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法人マスタ" sheetId="2" state="visible" r:id="rId4"/>
    <sheet name="投資法人戦略" sheetId="3" state="visible" r:id="rId5"/>
    <sheet name="物件マスタ" sheetId="4" state="visible" r:id="rId6"/>
    <sheet name="物件収支" sheetId="5" state="visible" r:id="rId7"/>
    <sheet name="環境認証" sheetId="6" state="visible" r:id="rId8"/>
    <sheet name="PM会社_物件別" sheetId="7" state="visible" r:id="rId9"/>
    <sheet name="PM会社_集計" sheetId="8" state="visible" r:id="rId10"/>
    <sheet name="GRESB評価" sheetId="9" state="visible" r:id="rId11"/>
    <sheet name="GRESB_MC30点" sheetId="10" state="visible" r:id="rId12"/>
    <sheet name="GRESB_PC70点" sheetId="11" state="visible" r:id="rId13"/>
  </sheets>
  <definedNames>
    <definedName function="false" hidden="true" localSheetId="1" name="_xlnm._FilterDatabase" vbProcedure="false">法人マスタ!$A$1:$M$301</definedName>
    <definedName function="false" hidden="true" localSheetId="3" name="_xlnm._FilterDatabase" vbProcedure="false">物件マスタ!$A$1:$AB$301</definedName>
    <definedName function="false" hidden="true" localSheetId="4" name="_xlnm._FilterDatabase" vbProcedure="false">物件収支!$A$1:$X$301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<sst xmlns="http://schemas.openxmlformats.org/spreadsheetml/2006/main" count="44355" uniqueCount="6140">
  <si>
    <r>
      <rPr>
        <b val="true"/>
        <sz val="14"/>
        <rFont val="Arial"/>
        <family val="0"/>
        <charset val="1"/>
      </rPr>
      <t xml:space="preserve">J-REIT</t>
    </r>
    <r>
      <rPr>
        <b val="true"/>
        <sz val="14"/>
        <rFont val="Noto Sans CJK SC"/>
        <family val="2"/>
      </rPr>
      <t xml:space="preserve">オフィス系</t>
    </r>
    <r>
      <rPr>
        <b val="true"/>
        <sz val="14"/>
        <rFont val="Arial"/>
        <family val="0"/>
        <charset val="1"/>
      </rPr>
      <t xml:space="preserve">16</t>
    </r>
    <r>
      <rPr>
        <b val="true"/>
        <sz val="14"/>
        <rFont val="Noto Sans CJK SC"/>
        <family val="2"/>
      </rPr>
      <t xml:space="preserve">法人 保有物件・収支比較データベース</t>
    </r>
  </si>
  <si>
    <t xml:space="preserve">【完成】全16法人・1,273行(物件1,203+期中譲渡等+法人一括16行)の投入・5段階検証を完了(2026/8/8)</t>
  </si>
  <si>
    <r>
      <rPr>
        <b val="true"/>
        <sz val="10"/>
        <rFont val="Arial"/>
        <family val="0"/>
        <charset val="1"/>
      </rPr>
      <t xml:space="preserve">1. </t>
    </r>
    <r>
      <rPr>
        <b val="true"/>
        <sz val="10"/>
        <rFont val="Noto Sans CJK SC"/>
        <family val="2"/>
      </rPr>
      <t xml:space="preserve">基本情報</t>
    </r>
  </si>
  <si>
    <r>
      <rPr>
        <sz val="10"/>
        <color rgb="FF0000FF"/>
        <rFont val="Arial"/>
        <family val="0"/>
        <charset val="1"/>
      </rPr>
      <t xml:space="preserve">16</t>
    </r>
    <r>
      <rPr>
        <sz val="10"/>
        <color rgb="FF0000FF"/>
        <rFont val="Noto Sans CJK SC"/>
        <family val="2"/>
      </rPr>
      <t xml:space="preserve">法人取得価格合計</t>
    </r>
    <r>
      <rPr>
        <sz val="10"/>
        <color rgb="FF0000FF"/>
        <rFont val="Arial"/>
        <family val="0"/>
        <charset val="1"/>
      </rPr>
      <t xml:space="preserve">: 8,485,612</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約</t>
    </r>
    <r>
      <rPr>
        <sz val="10"/>
        <color rgb="FF0000FF"/>
        <rFont val="Arial"/>
        <family val="0"/>
        <charset val="1"/>
      </rPr>
      <t xml:space="preserve">8.49</t>
    </r>
    <r>
      <rPr>
        <sz val="10"/>
        <color rgb="FF0000FF"/>
        <rFont val="Noto Sans CJK SC"/>
        <family val="2"/>
      </rPr>
      <t xml:space="preserve">兆円</t>
    </r>
    <r>
      <rPr>
        <sz val="10"/>
        <color rgb="FF0000FF"/>
        <rFont val="Arial"/>
        <family val="0"/>
        <charset val="1"/>
      </rPr>
      <t xml:space="preserve">)</t>
    </r>
    <r>
      <rPr>
        <sz val="10"/>
        <color rgb="FF0000FF"/>
        <rFont val="Noto Sans CJK SC"/>
        <family val="2"/>
      </rPr>
      <t xml:space="preserve">。各法人とも最新決算期短信と照合済</t>
    </r>
    <r>
      <rPr>
        <sz val="10"/>
        <color rgb="FF0000FF"/>
        <rFont val="Arial"/>
        <family val="0"/>
        <charset val="1"/>
      </rPr>
      <t xml:space="preserve">(</t>
    </r>
    <r>
      <rPr>
        <sz val="10"/>
        <color rgb="FF0000FF"/>
        <rFont val="Noto Sans CJK SC"/>
        <family val="2"/>
      </rPr>
      <t xml:space="preserve">鑑定評価額・</t>
    </r>
    <r>
      <rPr>
        <sz val="10"/>
        <color rgb="FF0000FF"/>
        <rFont val="Arial"/>
        <family val="0"/>
        <charset val="1"/>
      </rPr>
      <t xml:space="preserve">NLA</t>
    </r>
    <r>
      <rPr>
        <sz val="10"/>
        <color rgb="FF0000FF"/>
        <rFont val="Noto Sans CJK SC"/>
        <family val="2"/>
      </rPr>
      <t xml:space="preserve">・テナント数は原則完全一致、取得・帳簿の物件別合算と合計欄の差は百万円未満切捨て</t>
    </r>
    <r>
      <rPr>
        <sz val="10"/>
        <color rgb="FF0000FF"/>
        <rFont val="Arial"/>
        <family val="0"/>
        <charset val="1"/>
      </rPr>
      <t xml:space="preserve">/</t>
    </r>
    <r>
      <rPr>
        <sz val="10"/>
        <color rgb="FF0000FF"/>
        <rFont val="Noto Sans CJK SC"/>
        <family val="2"/>
      </rPr>
      <t xml:space="preserve">四捨五入</t>
    </r>
    <r>
      <rPr>
        <sz val="10"/>
        <color rgb="FF0000FF"/>
        <rFont val="Arial"/>
        <family val="0"/>
        <charset val="1"/>
      </rPr>
      <t xml:space="preserve">(HLC</t>
    </r>
    <r>
      <rPr>
        <sz val="10"/>
        <color rgb="FF0000FF"/>
        <rFont val="Noto Sans CJK SC"/>
        <family val="2"/>
      </rPr>
      <t xml:space="preserve">のみ</t>
    </r>
    <r>
      <rPr>
        <sz val="10"/>
        <color rgb="FF0000FF"/>
        <rFont val="Arial"/>
        <family val="0"/>
        <charset val="1"/>
      </rPr>
      <t xml:space="preserve">)</t>
    </r>
    <r>
      <rPr>
        <sz val="10"/>
        <color rgb="FF0000FF"/>
        <rFont val="Noto Sans CJK SC"/>
        <family val="2"/>
      </rPr>
      <t xml:space="preserve">の累積として全件注記済</t>
    </r>
    <r>
      <rPr>
        <sz val="10"/>
        <color rgb="FF0000FF"/>
        <rFont val="Arial"/>
        <family val="0"/>
        <charset val="1"/>
      </rPr>
      <t xml:space="preserve">)</t>
    </r>
  </si>
  <si>
    <t xml:space="preserve">作成日</t>
  </si>
  <si>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8</t>
    </r>
    <r>
      <rPr>
        <sz val="10"/>
        <color rgb="FF0000FF"/>
        <rFont val="Noto Sans CJK SC"/>
        <family val="2"/>
      </rPr>
      <t xml:space="preserve">月</t>
    </r>
    <r>
      <rPr>
        <sz val="10"/>
        <color rgb="FF0000FF"/>
        <rFont val="Arial"/>
        <family val="0"/>
        <charset val="1"/>
      </rPr>
      <t xml:space="preserve">7</t>
    </r>
    <r>
      <rPr>
        <sz val="10"/>
        <color rgb="FF0000FF"/>
        <rFont val="Noto Sans CJK SC"/>
        <family val="2"/>
      </rPr>
      <t xml:space="preserve">日</t>
    </r>
  </si>
  <si>
    <t xml:space="preserve">開示水準の類型: ①費用内訳フル開示=MHR・NUD・HLC(46/67)・JRE(76/79)・MTR(18/20) ②収益のみ開示=NBF・GOR・DOI・ICG・JEI・JPR・SHR・HFR・KDX ③法人一括のみ=TRE・SKR。E列(開示区分)で判別可能</t>
  </si>
  <si>
    <t xml:space="preserve">築年数計算の基準日</t>
  </si>
  <si>
    <t xml:space="preserve">原資料内の系統的丸め: 科目別切捨てによる内訳チェック(U列)1〜5千円・掲載損益との1千円差(多数法人)、KDXの3層切捨て構造(物件&lt;用途小計&lt;総合計)等はすべて備考に注記。数値は開示掲載値のまま転記(改変ゼロ)</t>
  </si>
  <si>
    <t xml:space="preserve">目的</t>
  </si>
  <si>
    <t xml:space="preserve">オフィス系J-REIT16法人の保有物件の基本情報と物件別収支（収入・費用・利益）を、法人をまたいで同一基準で比較できる形で管理する。</t>
  </si>
  <si>
    <t xml:space="preserve">次回更新の目安: NBF第50期(2026/8中旬)→JEI 2026年6月期(8月下旬)→TRE第46期(9/14)→HLC第25期(10月中旬)→MTR第49期(10月下旬)→JRE第50期・SKR(11月・SKRは上場廃止の可能性)→KDX第43期・SHR第24期(12月中旬)→HFR第50期(2027/1)。SKRはTOB成立時に更新対象から除外検討</t>
  </si>
  <si>
    <t xml:space="preserve">対象決算期</t>
  </si>
  <si>
    <t xml:space="preserve">各法人の最新決算期（法人マスタ「最新決算期」列参照）。決算期は法人ごとに異なるため、比較の際は期間月数と年換算値を用いること。</t>
  </si>
  <si>
    <r>
      <rPr>
        <b val="true"/>
        <sz val="10"/>
        <rFont val="Arial"/>
        <family val="0"/>
        <charset val="1"/>
      </rPr>
      <t xml:space="preserve">2. </t>
    </r>
    <r>
      <rPr>
        <b val="true"/>
        <sz val="10"/>
        <rFont val="Noto Sans CJK SC"/>
        <family val="2"/>
      </rPr>
      <t xml:space="preserve">シート構成</t>
    </r>
  </si>
  <si>
    <t xml:space="preserve">法人マスタ</t>
  </si>
  <si>
    <r>
      <rPr>
        <sz val="10"/>
        <rFont val="Arial"/>
        <family val="0"/>
        <charset val="1"/>
      </rPr>
      <t xml:space="preserve">16</t>
    </r>
    <r>
      <rPr>
        <sz val="10"/>
        <rFont val="Noto Sans CJK SC"/>
        <family val="2"/>
      </rPr>
      <t xml:space="preserve">法人の基本情報（コード、タイプ、スポンサー、決算期、投入状況）</t>
    </r>
  </si>
  <si>
    <t xml:space="preserve">物件マスタ</t>
  </si>
  <si>
    <t xml:space="preserve">物件の基本情報（1物件1行）：所在地、延床面積、階数、竣工年月、取得価格、鑑定評価額、稼働率ほか</t>
  </si>
  <si>
    <t xml:space="preserve">物件収支</t>
  </si>
  <si>
    <t xml:space="preserve">物件別の期次損益（1物件×1決算期で1行）：賃貸事業収入・費用の内訳、賃貸事業損益、NOI、NCF</t>
  </si>
  <si>
    <t xml:space="preserve">比較ビュー</t>
  </si>
  <si>
    <t xml:space="preserve">物件マスタ・物件収支・法人マスタを自動連結し、年換算NOI利回り・月坪賃料収入・費用率などの法人横断比較指標を数式で算出（全列自動計算・入力不要）</t>
  </si>
  <si>
    <r>
      <rPr>
        <b val="true"/>
        <sz val="10"/>
        <rFont val="Arial"/>
        <family val="0"/>
        <charset val="1"/>
      </rPr>
      <t xml:space="preserve">3. </t>
    </r>
    <r>
      <rPr>
        <b val="true"/>
        <sz val="10"/>
        <rFont val="Noto Sans CJK SC"/>
        <family val="2"/>
      </rPr>
      <t xml:space="preserve">単位・表記ルール（比較可能性の担保）</t>
    </r>
  </si>
  <si>
    <t xml:space="preserve">金額</t>
  </si>
  <si>
    <t xml:space="preserve">物件収支シート＝千円 ／ 取得価格・帳簿価額・鑑定評価額＝百万円 ／ 比較ビューの年換算NOI＝百万円</t>
  </si>
  <si>
    <t xml:space="preserve">面積</t>
  </si>
  <si>
    <t xml:space="preserve">㎡で入力。坪換算は 1㎡=0.3025坪 で比較ビューが自動計算</t>
  </si>
  <si>
    <t xml:space="preserve">比率</t>
  </si>
  <si>
    <t xml:space="preserve">稼働率・利回り等は小数で入力（例：97.5% → 0.975）。セル書式が%表示に変換</t>
  </si>
  <si>
    <t xml:space="preserve">竣工年月・取得年月</t>
  </si>
  <si>
    <t xml:space="preserve">日付として入力（例：2005/3/1）。表示は「2005年03月」形式</t>
  </si>
  <si>
    <t xml:space="preserve">決算期の表記</t>
  </si>
  <si>
    <t xml:space="preserve">「YYYY年M月期（第N期）」で統一。法人マスタと物件収支で完全一致させること（比較ビューのSUMIFSが文字列一致で参照するため）</t>
  </si>
  <si>
    <r>
      <rPr>
        <b val="true"/>
        <sz val="10"/>
        <rFont val="Arial"/>
        <family val="0"/>
        <charset val="1"/>
      </rPr>
      <t xml:space="preserve">4. </t>
    </r>
    <r>
      <rPr>
        <b val="true"/>
        <sz val="10"/>
        <rFont val="Noto Sans CJK SC"/>
        <family val="2"/>
      </rPr>
      <t xml:space="preserve">色の凡例</t>
    </r>
  </si>
  <si>
    <t xml:space="preserve">青字</t>
  </si>
  <si>
    <t xml:space="preserve">原資料から転記した手入力データ</t>
  </si>
  <si>
    <t xml:space="preserve">黒字</t>
  </si>
  <si>
    <t xml:space="preserve">数式（編集しないこと）</t>
  </si>
  <si>
    <t xml:space="preserve">黄色セル</t>
  </si>
  <si>
    <t xml:space="preserve">要確認・要入力の項目</t>
  </si>
  <si>
    <t xml:space="preserve">薄橙の行</t>
  </si>
  <si>
    <t xml:space="preserve">架空物件による記入例（実データ投入後に削除すること）</t>
  </si>
  <si>
    <r>
      <rPr>
        <b val="true"/>
        <sz val="10"/>
        <rFont val="Arial"/>
        <family val="0"/>
        <charset val="1"/>
      </rPr>
      <t xml:space="preserve">5. </t>
    </r>
    <r>
      <rPr>
        <b val="true"/>
        <sz val="10"/>
        <rFont val="Noto Sans CJK SC"/>
        <family val="2"/>
      </rPr>
      <t xml:space="preserve">データ出典ルール（優先順位）</t>
    </r>
  </si>
  <si>
    <t xml:space="preserve">①</t>
  </si>
  <si>
    <t xml:space="preserve">各投資法人の直近期「有価証券報告書」内「個別不動産の収支状況」→ 物件別の収入・費用内訳の一次情報</t>
  </si>
  <si>
    <t xml:space="preserve">②</t>
  </si>
  <si>
    <t xml:space="preserve">各投資法人の「資産運用報告」「決算短信」「決算説明資料」→ 物件基本情報・稼働率・鑑定評価額</t>
  </si>
  <si>
    <t xml:space="preserve">③</t>
  </si>
  <si>
    <t xml:space="preserve">各投資法人ウェブサイトのポートフォリオページ → 建物概要の補完</t>
  </si>
  <si>
    <t xml:space="preserve">非開示の扱い</t>
  </si>
  <si>
    <t xml:space="preserve">テナント同意が得られない物件は収支が非開示・一部非開示となる。開示区分列に「非開示」「一部非開示」と記録し、空欄と区別する。非開示物件を含む法人平均・合計を扱う際は注記必須。</t>
  </si>
  <si>
    <r>
      <rPr>
        <b val="true"/>
        <sz val="10"/>
        <rFont val="Arial"/>
        <family val="0"/>
        <charset val="1"/>
      </rPr>
      <t xml:space="preserve">6. </t>
    </r>
    <r>
      <rPr>
        <b val="true"/>
        <sz val="10"/>
        <rFont val="Noto Sans CJK SC"/>
        <family val="2"/>
      </rPr>
      <t xml:space="preserve">検証プロセス（各法人のデータ投入ごとに</t>
    </r>
    <r>
      <rPr>
        <b val="true"/>
        <sz val="10"/>
        <rFont val="Arial"/>
        <family val="0"/>
        <charset val="1"/>
      </rPr>
      <t xml:space="preserve">5</t>
    </r>
    <r>
      <rPr>
        <b val="true"/>
        <sz val="10"/>
        <rFont val="Noto Sans CJK SC"/>
        <family val="2"/>
      </rPr>
      <t xml:space="preserve">段階を実施し、実施日を法人マスタ備考に記録）</t>
    </r>
  </si>
  <si>
    <t xml:space="preserve">第1段階：転記照合</t>
  </si>
  <si>
    <t xml:space="preserve">原資料PDFと全セルを突合（金額は千円単位まで一致確認）</t>
  </si>
  <si>
    <t xml:space="preserve">第2段階：内訳整合</t>
  </si>
  <si>
    <t xml:space="preserve">物件収支の「内訳チェック」列が全行0、または0でない場合は備考欄で原資料由来の丸め差等として説明済みであることを確認（例：GOR-ALL行の差3千円は開示数値の丸めに由来）</t>
  </si>
  <si>
    <t xml:space="preserve">第3段階：法人合計照合</t>
  </si>
  <si>
    <t xml:space="preserve">物件収支の法人別合計を、当該法人の損益計算書の賃貸事業収入・費用と突合（差異は非開示物件・期中売買物件として説明できること）</t>
  </si>
  <si>
    <t xml:space="preserve">第4段階：指標妥当性</t>
  </si>
  <si>
    <t xml:space="preserve">比較ビューでNOI利回りが概ね2〜7%のレンジ外、稼働率100%超、月坪賃料が市場相場と乖離する物件を抽出し原資料へ立ち返って精査</t>
  </si>
  <si>
    <t xml:space="preserve">第5段階：再計算検証</t>
  </si>
  <si>
    <t xml:space="preserve">全数式の再計算とエラー0件の確認、無作為抽出3物件の手計算照合</t>
  </si>
  <si>
    <r>
      <rPr>
        <b val="true"/>
        <sz val="10"/>
        <rFont val="Arial"/>
        <family val="0"/>
        <charset val="1"/>
      </rPr>
      <t xml:space="preserve">7. </t>
    </r>
    <r>
      <rPr>
        <b val="true"/>
        <sz val="10"/>
        <rFont val="Noto Sans CJK SC"/>
        <family val="2"/>
      </rPr>
      <t xml:space="preserve">現在の投入状況</t>
    </r>
  </si>
  <si>
    <r>
      <rPr>
        <sz val="10"/>
        <color rgb="FF0000FF"/>
        <rFont val="Arial"/>
        <family val="0"/>
        <charset val="1"/>
      </rPr>
      <t xml:space="preserve">16</t>
    </r>
    <r>
      <rPr>
        <sz val="10"/>
        <color rgb="FF0000FF"/>
        <rFont val="Noto Sans CJK SC"/>
        <family val="2"/>
      </rPr>
      <t xml:space="preserve">法人投入済（決算期・期数に「要確認」フラグ付きの項目あり。黄色セル参照）</t>
    </r>
  </si>
  <si>
    <t xml:space="preserve">物件マスタ・物件収支</t>
  </si>
  <si>
    <r>
      <rPr>
        <sz val="10"/>
        <color rgb="FF0000FF"/>
        <rFont val="Arial"/>
        <family val="0"/>
        <charset val="1"/>
      </rPr>
      <t xml:space="preserve">GOR</t>
    </r>
    <r>
      <rPr>
        <sz val="10"/>
        <color rgb="FF0000FF"/>
        <rFont val="Noto Sans CJK SC"/>
        <family val="2"/>
      </rPr>
      <t xml:space="preserve">（グローバル・ワン）投入済：物件</t>
    </r>
    <r>
      <rPr>
        <sz val="10"/>
        <color rgb="FF0000FF"/>
        <rFont val="Arial"/>
        <family val="0"/>
        <charset val="1"/>
      </rPr>
      <t xml:space="preserve">18</t>
    </r>
    <r>
      <rPr>
        <sz val="10"/>
        <color rgb="FF0000FF"/>
        <rFont val="Noto Sans CJK SC"/>
        <family val="2"/>
      </rPr>
      <t xml:space="preserve">行（期末</t>
    </r>
    <r>
      <rPr>
        <sz val="10"/>
        <color rgb="FF0000FF"/>
        <rFont val="Arial"/>
        <family val="0"/>
        <charset val="1"/>
      </rPr>
      <t xml:space="preserve">16</t>
    </r>
    <r>
      <rPr>
        <sz val="10"/>
        <color rgb="FF0000FF"/>
        <rFont val="Noto Sans CJK SC"/>
        <family val="2"/>
      </rPr>
      <t xml:space="preserve">物件＋期中譲渡</t>
    </r>
    <r>
      <rPr>
        <sz val="10"/>
        <color rgb="FF0000FF"/>
        <rFont val="Arial"/>
        <family val="0"/>
        <charset val="1"/>
      </rPr>
      <t xml:space="preserve">1</t>
    </r>
    <r>
      <rPr>
        <sz val="10"/>
        <color rgb="FF0000FF"/>
        <rFont val="Noto Sans CJK SC"/>
        <family val="2"/>
      </rPr>
      <t xml:space="preserve">＋第</t>
    </r>
    <r>
      <rPr>
        <sz val="10"/>
        <color rgb="FF0000FF"/>
        <rFont val="Arial"/>
        <family val="0"/>
        <charset val="1"/>
      </rPr>
      <t xml:space="preserve">46</t>
    </r>
    <r>
      <rPr>
        <sz val="10"/>
        <color rgb="FF0000FF"/>
        <rFont val="Noto Sans CJK SC"/>
        <family val="2"/>
      </rPr>
      <t xml:space="preserve">期取得</t>
    </r>
    <r>
      <rPr>
        <sz val="10"/>
        <color rgb="FF0000FF"/>
        <rFont val="Arial"/>
        <family val="0"/>
        <charset val="1"/>
      </rPr>
      <t xml:space="preserve">1</t>
    </r>
    <r>
      <rPr>
        <sz val="10"/>
        <color rgb="FF0000FF"/>
        <rFont val="Noto Sans CJK SC"/>
        <family val="2"/>
      </rPr>
      <t xml:space="preserve">）＋ポートフォリオ全体行。物件別収支は収益・稼働率・テナント数まで開示、費用内訳は法人一括のみ（</t>
    </r>
    <r>
      <rPr>
        <sz val="10"/>
        <color rgb="FF0000FF"/>
        <rFont val="Arial"/>
        <family val="0"/>
        <charset val="1"/>
      </rPr>
      <t xml:space="preserve">GOR-ALL</t>
    </r>
    <r>
      <rPr>
        <sz val="10"/>
        <color rgb="FF0000FF"/>
        <rFont val="Noto Sans CJK SC"/>
        <family val="2"/>
      </rPr>
      <t xml:space="preserve">行参照）。他</t>
    </r>
    <r>
      <rPr>
        <sz val="10"/>
        <color rgb="FF0000FF"/>
        <rFont val="Arial"/>
        <family val="0"/>
        <charset val="1"/>
      </rPr>
      <t xml:space="preserve">15</t>
    </r>
    <r>
      <rPr>
        <sz val="10"/>
        <color rgb="FF0000FF"/>
        <rFont val="Noto Sans CJK SC"/>
        <family val="2"/>
      </rPr>
      <t xml:space="preserve">法人は順次投入。</t>
    </r>
  </si>
  <si>
    <t xml:space="preserve">【環境認証シート】(2026/8/7調査)</t>
  </si>
  <si>
    <t xml:space="preserve">・各法人のウェブサイト/ESGレポート/決算説明資料/適時開示の公表情報に基づき、ZEB(BELS含む)/DBJ/CASBEE/LEED/WELLの5分類で物件別に収録。</t>
  </si>
  <si>
    <t xml:space="preserve">・1物件が複数認証を保有する場合は複数行。同一物件の事務所/住宅/店舗別認証も別行(認証名称に区分を付記)。</t>
  </si>
  <si>
    <t xml:space="preserve">・本シートに記載のない物件は、各法人の開示上、上記5分類の認証取得の公表が確認できなかった物件(=開示ベースで認証なし)。</t>
  </si>
  <si>
    <t xml:space="preserve">・出典時点は法人により異なる(2024/11末〜2026/6末)。詳細と法人別の注意事項は環境認証シート下部「法人別出典・注記」参照。</t>
  </si>
  <si>
    <t xml:space="preserve">・5分類外の認証(東京都低炭素モデルビル、SMBCサステイナブルビルディング、JHEP、Fitwel、ResReal、東京都建築物省エネ性能評価書、優良特定地球温暖化対策事業所)は非収録(各法人注記に記載)。</t>
  </si>
  <si>
    <t xml:space="preserve">・WELLは16法人の開示上、狭義のWELL認証(IWBI)の取得公表が確認できなかったため0件。CASBEEウェルネスオフィスはCASBEEに収録。</t>
  </si>
  <si>
    <t xml:space="preserve">・出典URL: NBF esg.nbf-m.com / JRE jre-esg.com / GOR go-reit.co.jp / DOI daiwa-office.co.jp / ICG ichigo-office.co.jp / JEI excellent-reit.co.jp(ESGレポート) / MHR mori-hills-reit.co.jp / JPR jpr-reit.co.jp / TRE tokyu-reit.co.jp / HLC hulic-reit.co.jp / NUD nud-reit.co.jp / HFR heiwa-re.co.jp(ESGレポート2025) / SHR sekisuihouse-reit.co.jp / MTR mt-reit.jp / SKR s-reit.co.jp(適時開示・決算説明資料) / KDX kdx-reit.com</t>
  </si>
  <si>
    <t xml:space="preserve">・物件マスタ末尾「環境認証数」列=当該物件の収録認証件数(COUNTIF)。</t>
  </si>
  <si>
    <t xml:space="preserve">【環境認証シート 表記統一ルール(2026/8/8改訂)】</t>
  </si>
  <si>
    <t xml:space="preserve">・認証名称は法人ごとの表記ゆれ(BELS評価/BELS認証/BELS等)を統一。ZEB=「BELS」、ZEB評価併記時のみ「BELS（ZEB Ready）」「BELS（ZEB Oriented）」。</t>
  </si>
  <si>
    <t xml:space="preserve">・CASBEE=「CASBEE-不動産」「CASBEE-建築」「CASBEE-ウェルネスオフィス」。出典が評価ツールを特定していないものは「CASBEE-不動産／建築（区分不明）」。</t>
  </si>
  <si>
    <t xml:space="preserve">・LEEDは認証システム種別まで表記(LEED O+M / LEED ND / LEED NC)。出典が種別未開示のものは「LEED（種別不明）」。</t>
  </si>
  <si>
    <t xml:space="preserve">・列構成を変更: 物件ID/法人ID/認証種別/認証名称/対象区分/ランク/取得年月/出典物件名/備考。棟別・用途別認証は「対象区分」列で識別。</t>
  </si>
  <si>
    <t xml:space="preserve">・ランク列は値のみ(S/A/B+、★1〜★6、Platinum/Gold)。判別不能・非開示の理由は備考列に記載。</t>
  </si>
  <si>
    <t xml:space="preserve">・同一BELS評価書が「星数のみ」「ZEB表記のみ」に分かれていた1件(いちご八丁堀ビル)を1行に統合したため、ZEBは92→91件。</t>
  </si>
  <si>
    <t xml:space="preserve">【管理会社シート】(2026/8/9調査)</t>
  </si>
  <si>
    <t xml:space="preserve">・「管理会社_物件別」＝管理会社側が公表する管理実績一覧に実名で掲載され、本DBの物件と名寄せ一致した物件のみを収録（161件）。推定は一切含まない。</t>
  </si>
  <si>
    <t xml:space="preserve">・「管理会社_法人別」＝各投資法人のスポンサー系管理会社と委託類型。確認ステータス欄に一次情報の有無を明示。</t>
  </si>
  <si>
    <t xml:space="preserve">・J-REITは物件別の管理会社（PM/BM）を法定開示していない。有価証券報告書には選定方針・管理方針の記載のみで委託先名の記載はない。</t>
  </si>
  <si>
    <t xml:space="preserve">・そのため本シートは管理会社側の公表実績に依拠する。各社の掲載は「実績の一部」であることが多く、カバー率は法人により大きく異なる。</t>
  </si>
  <si>
    <t xml:space="preserve">・カバー率が低い法人は「管理会社がない」のではなく「公表情報から特定できていない」ことを意味する。法人間のシェア比較には使用しないこと。</t>
  </si>
  <si>
    <t xml:space="preserve">【投資法人戦略シート】(2026/8/9作成)</t>
  </si>
  <si>
    <t xml:space="preserve">・16法人の運用戦略を、経営コンサルタント／シンクタンクの観点から「戦略ポジション／戦略の軸／モデルの構造／主要リスク／ESG・管理の特徴」の5項目に構造化。</t>
  </si>
  <si>
    <t xml:space="preserve">・記述はすべて本DBの実測値（物件数・資産規模・集中度・利回り・築年・稼働率・エリア/用途構成・認証保有率）を根拠とし、数値は同シート右側の定量列に併記。</t>
  </si>
  <si>
    <t xml:space="preserve">・「上位5物件集中度」＝取得価格上位5物件の合計÷全物件の取得価格合計。単一物件への依存度を測る指標。</t>
  </si>
  <si>
    <t xml:space="preserve">・SKRの総合型REIT転換(2023年)およびTOB(2026年・不成立)は各法人開示に基づく事実。それ以外の戦略記述は本DBの実測構造からの分析であり、各法人の公式見解ではない。</t>
  </si>
  <si>
    <t xml:space="preserve">・築年中央値が空欄の法人(NBF/JRE/KDX/ICG/NUD/HFR)は、物件別の竣工年月が未開示であることによる。</t>
  </si>
  <si>
    <t xml:space="preserve">【投資法人戦略シート 算定基礎の訂正】(2026/8/9)</t>
  </si>
  <si>
    <t xml:space="preserve">・資産規模・1物件平均・上位5物件集中度の算定基礎を「取得価格」から「期末鑑定評価額」に変更した。</t>
  </si>
  <si>
    <t xml:space="preserve">・理由: 取得価格は物件別の開示が1,257物件中1,117件(88.9%)にとどまり、特にICG(88物件)とTRE(28物件)は全物件が非開示のため、取得価格ベースでは資産規模が0と算定されてしまうため。</t>
  </si>
  <si>
    <t xml:space="preserve">・期末鑑定評価額は1,230/1,257件(97.9%)と最も網羅性が高く、法人間の比較可能性が最も高い。</t>
  </si>
  <si>
    <t xml:space="preserve">・「資産規模の算定物件数」「取得価格の開示率」「参考:取得価格合計」の3列を追加し、算定の前提を明示した。</t>
  </si>
  <si>
    <t xml:space="preserve">・なお利回り(粗利回り・NOI利回り)の分母は従来どおり取得価格。指標ごとに分母が異なる点に注意すること。</t>
  </si>
  <si>
    <t xml:space="preserve">【金額項目の監査と是正】(2026/8/9・監査法人の観点で全数点検)</t>
  </si>
  <si>
    <t xml:space="preserve">◆検出1: 含み損益の定義が非標準 — 「鑑定÷取得価格−1」で算定していたが、開示上の含み損益は「鑑定評価額−期末帳簿価額」。取得価格は取得諸費用を含まず減価償却も反映しないため基準として不適切。</t>
  </si>
  <si>
    <t xml:space="preserve">  →是正: 含み損益(百万円)を鑑定−帳簿で算定(1,163件)。「含み損益率(%)＝鑑定÷帳簿−1」列を新設。参考として「対取得価格の値上がり率(%)」列も併設。中央値は18.5%→16.7%に変化。</t>
  </si>
  <si>
    <t xml:space="preserve">◆検出2: 期中取得・期中譲渡物件の年換算が実態と乖離 — 決算期6か月のうち数日〜数週間しか保有していない物件の収入を機械的に2倍しており、粗利回りが0.02%等の異常値になっていた。</t>
  </si>
  <si>
    <t xml:space="preserve">  →是正: 「通期保有フラグ」「年換算の妥当性」列を新設し44件を×と判定。うちアプリのデータ23件は利回り・経費率の算定対象から除外。</t>
  </si>
  <si>
    <t xml:space="preserve">◆検出3: 期中の持分譲渡により分母のみ減額される物件 — 取得価格から譲渡持分相当を控除する一方、収入は譲渡前の全期間分が計上され、利回りが過大になっていた(JPR横浜日本大通ビル25.8%等)。</t>
  </si>
  <si>
    <t xml:space="preserve">  →是正: 検出2と同じフラグで除外。</t>
  </si>
  <si>
    <t xml:space="preserve">◆検出4: 取得価格ベース利回りの比較可能性の欠如 — 取得価格は歴史的原価のため、取得時期が古い物件ほど利回りが高く出る(SE札幌ビル: 取得55億/鑑定127億→取得価格ベース16.3%・鑑定ベース7.0%)。</t>
  </si>
  <si>
    <t xml:space="preserve">  →是正: 期末鑑定評価額を分母とする「粗利回り(鑑定)」「NOI利回り(鑑定)」を主指標に変更。カバー率も88.9%→97.9%に向上し、ICG87物件が新たに算定可能となった。取得価格ベースも切替指標として併存。</t>
  </si>
  <si>
    <t xml:space="preserve">◆検出5: 百万円単位開示による丸め誤差 — 収入が百万円未満切捨てで開示される法人があり、小規模物件では利回りの精度が落ちる。</t>
  </si>
  <si>
    <t xml:space="preserve">  →是正: 「収入の単位精度」列を新設。収入50百万円未満かつ百万円単位開示の162件を「低精度」と明示。</t>
  </si>
  <si>
    <t xml:space="preserve">◆指標ごとの分母の整理: 利回り=期末鑑定評価額(主)／取得価格(参考)、経費率・NOIマージン=賃貸事業収入、含み損益率=期末帳簿価額、資産規模・集中度=期末鑑定評価額。</t>
  </si>
  <si>
    <t xml:space="preserve">【ポジショニング図の監査と是正】(2026/8/9)</t>
  </si>
  <si>
    <t xml:space="preserve">◆検出6: 単位換算の誤り — バブルのツールチップで、百万円単位の合計を10,000で除して「兆円」と表示していた。正しくは1,000,000で除す。日本ビルファンドが1.52兆円のところ151.90兆円と、実際の100倍で表示されていた。</t>
  </si>
  <si>
    <t xml:space="preserve">  →是正: 1,000,000で除算。あわせて表示指標を取得価格合計から期末鑑定評価額合計に変更。</t>
  </si>
  <si>
    <t xml:space="preserve">◆検出7: バブルの大きさが取得価格合計で、非開示法人が消失 — いちごオフィスリートと東急リアル・エステートは取得価格が全物件非開示のため合計0となり、バブルが表示されていなかった。</t>
  </si>
  <si>
    <t xml:space="preserve">  →是正: 16法人すべてで算定可能な期末鑑定評価額の合計に変更。</t>
  </si>
  <si>
    <t xml:space="preserve">◆検出8: 横軸が築年数中央値で、6法人が図から欠落 — 竣工年月を開示するのは9法人のみで、NBF・JRE・KDX・ICG・NUD・HFRが表示されていなかった。資産規模上位法人が欠落したポジショニング図は市場の姿を歪める。</t>
  </si>
  <si>
    <t xml:space="preserve">  →是正: 横軸を6種類（都心5区比率／1物件平均規模／東京圏比率／オフィス比率／認証保有率／築年数）から選択可能とし、既定を全法人算定可能な都心5区比率に変更。非表示となる法人名と理由をグラフ下に常時表示。</t>
  </si>
  <si>
    <t xml:space="preserve">◆ポジショニング指標としての適切性: 「取得価格の合計」は歴史的原価の累計で、取得時期の古い法人ほど過小に見える。現在の資産規模を示すには期末鑑定評価額の合計が適切であり、法人間の比較可能性も確保される。</t>
  </si>
  <si>
    <t xml:space="preserve">【分析手法の監査と是正】(2026/8/9・データサイエンスの観点)</t>
  </si>
  <si>
    <t xml:space="preserve">◆検出9: 2群比較に交絡調整がなく、属性の偏りを効果と誤読させていた — 「環境認証あり/なし」の粗利回り比較で+0.26ptの差が出ていたが、認証物件は非認証物件に対し賃貸面積で約2.3倍・鑑定評価額で約2.5倍と大きく、都心・オフィスに偏在していた。</t>
  </si>
  <si>
    <t xml:space="preserve">  →是正: エリア×用途で層別し層サイズで加重平均する調整(CMH型)を実装。調整後の差は-0.02pt(11層954物件)となり、単純比較の差はほぼ消滅した。単純比較・層別調整後・効果量の3点を常時併記。</t>
  </si>
  <si>
    <t xml:space="preserve">◆検出10: 中央値の点推定のみで、差の統計的な確からしさを示していなかった。</t>
  </si>
  <si>
    <t xml:space="preserve">  →是正: ブートストラップ法(再標本600回)による中央値および中央値差の95%信頼区間を実装。区間が0をまたぐ場合は「統計的に有意とはいえない」と明示。共通言語効果量も併記。</t>
  </si>
  <si>
    <t xml:space="preserve">◆検出11: サンプル数の少ないグループの中央値を同列に扱っていた。</t>
  </si>
  <si>
    <t xml:space="preserve">  →是正: n&lt;5は非表示(従来通り)に加え、n&lt;15のグループを警告表示。各グループのnと信頼区間を注記に明示。</t>
  </si>
  <si>
    <t xml:space="preserve">◆検出12: 5軸評価の等ウェイトの妥当性を検証していなかった。</t>
  </si>
  <si>
    <t xml:space="preserve">  →是正: 1軸を除いた4軸での再計算による感度分析を実装。母集団全体では順位相関ρ=0.83〜0.90で等ウェイトの結論は頑健。各軸の分散もσ=23.7〜28.9とほぼ均等。個別物件では順位変動幅を表示し、変動が大きい場合は警告。</t>
  </si>
  <si>
    <t xml:space="preserve">◆検出13: 環境性能軸が離散変数であることを明示していなかった — 整数値のみを取り、198物件中44物件(22%)がスコア0、パーセンタイル値は9通りしかない。</t>
  </si>
  <si>
    <t xml:space="preserve">  →是正: 同順位が大量発生する旨をヘルプに明記。連続的な優劣ではなく粗い区分として読むよう注意喚起。</t>
  </si>
  <si>
    <t xml:space="preserve">◆残る限界(是正不能・明示のみ): ①開示バイアス(非開示は無作為欠測ではない) ②単一期断面 ③層別調整は使用変数のみ有効(築年・規模・テナント構成は未調整) ④観察データのため因果推論は不可 ⑤外れ値閾値(粗利回り0〜15%)は恣意的設定。</t>
  </si>
  <si>
    <t xml:space="preserve">【物件評価（5軸）の監査と是正】(2026/8/9)</t>
  </si>
  <si>
    <t xml:space="preserve">◆検出14: グレード上位が構造的に到達不能だった — 総合点は5軸のパーセンタイル平均のため中心極限効果で中央に圧縮され、実測で最小14.8点・最大74.7点。「90点以上でAAA」「80点以上でAA」の絶対閾値では上位2グレードが永久に空席となる設計だった。</t>
  </si>
  <si>
    <t xml:space="preserve">  →是正: 母集団内の相対順位でグレードを定義(AAA=上位5%/AA=15%/A=30%/BBB=50%/BB=70%/B=85%/C=下位15%)。全198物件で分布を検証し設計どおりに配分されることを確認。</t>
  </si>
  <si>
    <t xml:space="preserve">◆検出15: 採点母集団の用途偏在 — 評価対象198物件はオフィス134件(68%)・住宅39件・商業11件・ホテル8件と偏り、住宅やホテルがオフィスの物差しで測られていた。</t>
  </si>
  <si>
    <t xml:space="preserve">  →是正: 「採点の母集団」を全体/同用途内で切替可能に(同用途n&gt;=15の場合のみ)。切替により198物件中58物件のグレードが変わることを確認。</t>
  </si>
  <si>
    <t xml:space="preserve">◆検出16: 稼働安定軸の天井効果 — 198物件中136物件(69%)が稼働率100%で同順位。「優れているか」ではなく「満室を割っているか」の判別軸にすぎない。</t>
  </si>
  <si>
    <t xml:space="preserve">  →是正: 評価カードとヘルプに明示。</t>
  </si>
  <si>
    <t xml:space="preserve">◆検出17: 収益性と費用効率の逆相関(ρ=-0.44) — 高利回りで買える物件ほど収入対比の費用率が高く、両軸で高得点を取ることが構造的に困難。これが総合点の中心圧縮の主因。</t>
  </si>
  <si>
    <t xml:space="preserve">  →是正: 軸間相関を実測して明示。等ウェイトが相関のある軸の影響をやや重く見積もる可能性も注記。</t>
  </si>
  <si>
    <t xml:space="preserve">◆検出18: 5軸評価の合成指標が取得価格ベースのまま残存していた(前回の是正漏れ) — 個別物件カードの「粗利回り×NOIマージン=NOI利回り」が取得価格ベースで表示されていた。</t>
  </si>
  <si>
    <t xml:space="preserve">  →是正: 鑑定評価額ベースに統一。パッチ適用漏れを機械照合で検出する手順を追加。</t>
  </si>
  <si>
    <t xml:space="preserve">◆用語ヘルプの拡充: NOI・マスターリース・PM・BM・AM・CAPEX・稼働率とダウンタイム・フリーレントの基礎用語8項目を追加し、用語集は全61項目・12カテゴリとなった。</t>
  </si>
  <si>
    <t xml:space="preserve">【概況ページの監査と是正】(2026/8/9)</t>
  </si>
  <si>
    <t xml:space="preserve">◆検出19: 戦略シートの数値が旧基準のまま陳腐化 — 16法人中13法人で粗利回りが取得価格ベースかつ期中取得物件を含む旧値だった(例: NBF 7.16%→6.25%、JEI 8.94%→7.06%)。指標基準を変更した際、集計済みシートの再計算が漏れていた。</t>
  </si>
  <si>
    <t xml:space="preserve">  →是正: 粗利回り・稼働率・認証保有率・物件数・用途/エリア構成をすべて最新データで再計算。列名を「粗利回り中央値(%・鑑定評価額ベース)」に改称し、算定物件数の列を追加。本文中の数値と相対表現も更新。</t>
  </si>
  <si>
    <t xml:space="preserve">◆検出20: 母数の不一致が未説明 — 収録1,257物件に対しKPIは1,233物件。差の24物件は期中譲渡済みだが、その旨の表示がなかった。</t>
  </si>
  <si>
    <t xml:space="preserve">  →是正: KPIに「期中譲渡24件を除く」と明示し、ヘルプ項目「物件数の数え方」を新設。指標ごとの算定物件数もKPIに表示(粗利回りn=992は収入非開示214件・期中取得23件を除いた数と明示)。</t>
  </si>
  <si>
    <t xml:space="preserve">◆検出21: 認証保有率の分母が物件数のみ — 物件数ベース60%に対し鑑定評価額ベースでは81%と20pt以上の差。認証は大型物件に偏るため、分母の選択で印象が正反対になる。</t>
  </si>
  <si>
    <t xml:space="preserve">  →是正: KPIに両方を併記し、ヘルプで「どちらも正しい記述だが分母で印象が変わる」ことを明示。</t>
  </si>
  <si>
    <t xml:space="preserve">◆検出22: スペクトラム図の上限クリップ — 縦軸上限を99パーセンタイルに設定していたため、上位1%(9物件)のバーが頭で切れ、実際より低く見えていた。</t>
  </si>
  <si>
    <t xml:space="preserve">  →是正: 上限を最大値に変更し、全物件が正しい高さで描画されるようにした。</t>
  </si>
  <si>
    <t xml:space="preserve">◆検出23: 分布図で非表示になったグループが不可視 — n&lt;5のグループを黙って除外しており、利用者は存在自体に気づけなかった(例: 投資法人別ではTRE28物件・SKR16物件が丸ごと消えていた)。</t>
  </si>
  <si>
    <t xml:space="preserve">  →是正: 非表示グループ名と「算定できた件数/全件数」をグラフ下に明示。括弧内の数字が全物件数ではなく算定可能物件数である旨も注記。</t>
  </si>
  <si>
    <t xml:space="preserve">◆検出24: 法人マップのバブルと縦軸で母数が異なる — バブルの大きさは全保有物件の鑑定評価額合計、縦軸は指標を算定できた物件のみの中央値。</t>
  </si>
  <si>
    <t xml:space="preserve">  →是正: ツールチップに両方の算定物件数を表示。</t>
  </si>
  <si>
    <t xml:space="preserve">【トップページのヒーロー図の見直し】(2026/8/9)</t>
  </si>
  <si>
    <t xml:space="preserve">◆検出25: 意義の伝わらないグラフをトップに掲載していた — 992物件の粗利回りを低い順に並べた「スペクトラム図」は、分布の概形以外に読み取れる情報がなく、個別物件も識別できず、次のアクションにもつながらなかった。アプリの主題「利回りはどこで生まれ、どこで失われるのか」に対する答えを示していなかった。</t>
  </si>
  <si>
    <t xml:space="preserve">  →是正: 賃貸事業収入を100としてNOIに至るまでの費用の流出を示すウォーターフォール図に置換。</t>
  </si>
  <si>
    <t xml:space="preserve">◆新ヒーロー図の算定方法: 費用内訳を物件別に開示する199物件が対象。各物件の比率を単純平均すると小規模物件が過大に効くため、年間賃貸事業収入で加重集計(収入額=粗利回り×鑑定評価額で復元)。</t>
  </si>
  <si>
    <t xml:space="preserve">◆算定結果: 賃貸事業収入100に対し、外注委託費9.8・公租公課9.7・水道光熱費5.1・修繕費3.6・保険料0.1・その他4.0を差し引き、NOIは67.7。検算として100−32.3=67.7が実測のNOI÷収入と一致することを確認。</t>
  </si>
  <si>
    <t xml:space="preserve">◆「その他」項目の内容: 内訳の合計が経費率と一致しない物件が199件中47件あり(NTT都市開発リートは保険料と信託報酬をその他に含めるなど法人により費目区分が異なる)、その差額を集約している。恣意的な調整ではなく、区分不能な費用を明示的に1項目に集めたもの。</t>
  </si>
  <si>
    <t xml:space="preserve">◆減価償却費(収入比13.8)は現金支出を伴わないためNOIから除外。参考値として注記に表示。</t>
  </si>
  <si>
    <t xml:space="preserve">【分析ページの監査と是正】(2026/8/9)</t>
  </si>
  <si>
    <t xml:space="preserve">◆検出26: NaNを有効値として集計していた — NOIマージン(=NOI利回り÷粗利回り)の算定で、NOI利回りが未開示の物件に対し undefined/数値 の演算がNaNを返し、これを「値あり」と判定していた。算定物件数が実際の199件に対し995件と表示されていた。</t>
  </si>
  <si>
    <t xml:space="preserve">  →是正: 全指標の欠測判定を isFinite() による厳密判定に統一。中央値・パーセンタイル・グループ集計・層別調整・散布図のすべてでNaNを除外。</t>
  </si>
  <si>
    <t xml:space="preserve">◆検出27: 費用構成グラフが単純平均で、ヒーロー図(収入加重)と算定方式が不一致だった — 同じ費目でも図により値が異なり(例:オフィスの外注委託費 単純平均10.10 vs 収入加重10.62)、小規模物件が過大に効いていた。</t>
  </si>
  <si>
    <t xml:space="preserve">  →是正: 収入額で加重する方式に統一。あわせて内訳合計と経費率の差額を「未区分」として明示的に表示(従来は差額が消えていた)。</t>
  </si>
  <si>
    <t xml:space="preserve">◆検出28: 経費率(償却込み)しか指標がなく、運用の巧拙を測れなかった — 減価償却費は取得価格と建物比率で決まり運用と無関係のため、法人間比較に不適。</t>
  </si>
  <si>
    <t xml:space="preserve">  →是正: 「NOIマージン」を分布図・クロス分析・認証比較の選択肢に追加。経費率は「経費率(償却込)」と改称して併存。</t>
  </si>
  <si>
    <t xml:space="preserve">◆検出29: クロス分析で母集団が軸により変わることが不可視だった — 築年数を横軸にすると1,233物件→319物件、しかも9法人限定になるが表示がなかった。</t>
  </si>
  <si>
    <t xml:space="preserve">  →是正: 「横軸を算定できる件数／縦軸を算定できる件数／両方揃う件数」と対象法人数を常時表示。築年数選択時とNOI関連指標選択時には、除外される法人名を警告表示。</t>
  </si>
  <si>
    <t xml:space="preserve">◆検出30: 認証ランク別の比較が交絡したまま提示されていた — DBJ星数が上がるほど都心5区比率が上がり(★2:17%→★3:31%→★4:54%→★5:85%)、利回り差は認証ランクではなく立地の差を映している可能性が高い。</t>
  </si>
  <si>
    <t xml:space="preserve">  →是正: 星数別の都心5区比率を実測して警告表示。「認証ランクの効果」と読めないよう明示。</t>
  </si>
  <si>
    <t xml:space="preserve">◆分析手法の追加文書: ビン幅の設定根拠(築年5年・稼働率2%・面積/金額は対数1/3刻み、各ビンn&gt;=5)と、築年軸を選んだ際の母集団の偏りをヘルプに追加。</t>
  </si>
  <si>
    <t xml:space="preserve">【評価ページの監査と是正】(2026/8/9)</t>
  </si>
  <si>
    <t xml:space="preserve">◆検出31: 採点母集団を切り替えても、比較基準線とグレード閾値が全体母集団のままだった — 物件の偏差は同用途134物件で算定される一方、レーダーの基準線(青破線)とグレード判定は全体198物件で算定されており、表の「差分(pt)」が別々の物差しの引き算になっていた。</t>
  </si>
  <si>
    <t xml:space="preserve">  →是正: 採点母集団(VPOOL)を一元管理し、偏差・基準線・順位・グレード閾値のすべてを同一母集団で算定。実測では母集団の違いで偏差が最大12.1pt動くため(六本木ヒルズ森タワーの費用効率: 全体64.4→同用途76.5)、無視できない誤差だった。</t>
  </si>
  <si>
    <t xml:space="preserve">◆検出32: グレード閾値が全体母集団固定だった — 相対順位でグレードを定義しているにもかかわらず、閾値の算定元が採点母集団と一致していなかった。</t>
  </si>
  <si>
    <t xml:space="preserve">  →是正: 母集団ごとに閾値を算定しキャッシュ。同用途採点では198物件中58物件のグレードが変わることを確認。</t>
  </si>
  <si>
    <t xml:space="preserve">◆検証結果: 全198物件について、順位の範囲外0件・差分の異常0件・合成指標(粗利回り×NOIマージン=NOI利回り)の不一致0件。グレード分布は設計どおり(AAA10/AA20/A30/BBB40/BB40/B29/C29)。同用途採点でも順位の範囲外0件。</t>
  </si>
  <si>
    <t xml:space="preserve">◆同用途採点が有効なのはオフィス134物件と住宅39物件のみ。商業11・ホテル8・ヘルスケア1・その他5はn&lt;15のため自動的に全体母集団を使用する旨をヘルプに明記。</t>
  </si>
  <si>
    <t xml:space="preserve">【評価尺度の偏差値化】(2026/8/9)</t>
  </si>
  <si>
    <t xml:space="preserve">◆変更: 各軸の評価をパーセンタイル(0〜100)から偏差値(平均50・標準偏差10)に変更。下位物件が5ptのような極端な値になり差の大きさが直感的に把握できなかったため。</t>
  </si>
  <si>
    <t xml:space="preserve">◆算出方法: 平均と標準偏差から直接算出する方式ではなく、順位を正規分布に写像する正規スコア法(偏差値=50+10×Φ⁻¹(順位の割合))を採用。NOIマージン-207%のような外れ値に引きずられて他物件が中央に潰れるのを防ぐため。</t>
  </si>
  <si>
    <t xml:space="preserve">◆総合偏差値: 5軸の偏差値を平均すると中心極限効果で36.8〜58.5に圧縮されるため、平均値を母集団内で再度偏差値化。軸別・総合とも実測レンジは22〜78となった。</t>
  </si>
  <si>
    <t xml:space="preserve">◆検出33: グレードと順位の不整合5〜6件 — 偏差値を閾値と比較する方式では、同じ偏差値の物件が境界をまたいで別グレードになり、画面表示の順位と食い違っていた(例: 30/198位=15.2%なのにAA表示)。</t>
  </si>
  <si>
    <t xml:space="preserve">  →是正: グレードを順位÷母数から直接決定する方式に変更。全198物件で不整合0件を確認。</t>
  </si>
  <si>
    <t xml:space="preserve">◆検証結果: 偏差値が20〜80の範囲外0件、差分の異常0件、旧表記(パーセンタイル/100点)の残存0件、グレードと順位の不整合0件。グレード分布はAAA9/AA20/A30/BBB40/BB39/B30/C30。</t>
  </si>
  <si>
    <t xml:space="preserve">◆補足: 総合偏差値の表示は整数のため、198物件が49種類の値に丸められる(偏差値50は8物件)。近接する物件が同じ表示値になるのは丸めによるもので、内部の順位計算は一意。</t>
  </si>
  <si>
    <t xml:space="preserve">【環境性能軸の再設計】(2026/8/9)</t>
  </si>
  <si>
    <t xml:space="preserve">◆変更: 環境性能を「認証スコアの偏差値」と「実測エネルギー効率の偏差値」の50:50合成に変更。従来は認証数+DBJ星+CASBEEランクの単純合算のみで、実際の省エネ性能を全く反映していなかった。</t>
  </si>
  <si>
    <t xml:space="preserve">◆認証スコア(0〜20点): ZEB Ready=6/ZEB Oriented=4、BELS=★数×0.8、DBJ=★数×0.8、CASBEE=(S4/A3/B+2/B1)×0.9、LEED=(Platinum4/Gold3)×0.8、CASBEEウェルネス=1。重複取得は加点。DBの環境認証シートからZEB表記・BELS星数・LEEDランクを新たに抽出し731物件に付与した。</t>
  </si>
  <si>
    <t xml:space="preserve">◆エネルギー効率: 水道光熱費の原単位(円/㎡/年)。対収入比ではなく面積あたりとしたのは、賃料水準の高い物件が自動的に有利になるのを避けるため。オーナー負担範囲が用途で大きく異なるため比較は同一用途内に限定(オフィス中央値5,265円/㎡/年、n=106)。</t>
  </si>
  <si>
    <t xml:space="preserve">◆検出34: 水道光熱費0と開示された54物件を「省エネ」と誤評価する危険 — 実態はテナント直接契約や区分不能による非開示(六本木ヒルズ森タワー、アーク森ビル等)。</t>
  </si>
  <si>
    <t xml:space="preserve">  →是正: 0はエネルギー効率の算定対象から除外し、認証のみで評価。該当物件には「算定不可」と理由を明示。原単位を算定できるのは198物件中116物件。</t>
  </si>
  <si>
    <t xml:space="preserve">◆設計の妥当性検証: 認証スコアと光熱費原単位の順位相関はρ=-0.012でほぼ完全に独立。認証の有無は省エネ実績を全く説明しておらず、2指標を合成する統計的根拠が確認された。</t>
  </si>
  <si>
    <t xml:space="preserve">◆影響: 旧スコアとの順位相関ρ=0.572。198物件中57物件が60位以上変動。大同生命新潟ビル(光熱費3,565円/㎡)は154位→8位、大手町フィナンシャルシティノースタワー(13,320円/㎡)は29位→155位となり、認証保有だけでは高評価にならない設計に変わった。</t>
  </si>
  <si>
    <t xml:space="preserve">◆検証結果: 全198物件で内訳表示の欠落0件、エネルギー効率あり116件・算定不可の明示82件・分類漏れ0件、環境性能の偏差値レンジ22〜76。</t>
  </si>
  <si>
    <t xml:space="preserve">【稼働安定軸の基準線が49になる件の検証】(2026/8/9)</t>
  </si>
  <si>
    <t xml:space="preserve">◆結論: 計算誤りではなく、同順位が大量に発生する軸の統計的性質。実測で全体平均は 収益性50.000／費用効率50.000／資産価値50.001 に対し、稼働安定のみ49.231。</t>
  </si>
  <si>
    <t xml:space="preserve">◆原因: 評価対象198物件のうち136物件(69%)が稼働率100%で、この136物件はすべて偏差値54.03の同順位。満室を割った62物件は偏差値22〜52に広く散らばる。上側に大きな塊、下側にロングテールという非対称な分布のため、平均が50をわずかに下回る。</t>
  </si>
  <si>
    <t xml:space="preserve">  →対応: 数値は正しいため変更せず、乖離する軸に注記アイコンを自動付与し、理由をヘルプ「基準線が50ちょうどにならない軸がある理由」で説明。この軸は「50より上か下か」ではなく「満室(54.0)かどうか」で読む旨も明記。</t>
  </si>
  <si>
    <t xml:space="preserve">◆検出35: 併せて表示ロジックの不具合を発見 — 基準グループが全体か否かの判定に参照比較(base===EL)を用いていたが、vGroup()が毎回新しい配列を返すため常に偽となり、全体を選んでいても「当グループの位置」という文言が表示されていた。</t>
  </si>
  <si>
    <t xml:space="preserve">  →是正: 件数による判定に変更。全体選択時は「評価対象198物件の平均」「全体中央値」、法人等で絞込時は「当グループの位置」「グループ中央値」と正しく切り替わることを確認。</t>
  </si>
  <si>
    <t xml:space="preserve">【評価軸②の入れ替え: 稼働安定 → 規模・流動性】(2026/8/9)</t>
  </si>
  <si>
    <t xml:space="preserve">◆背景: 稼働率は評価対象198物件のうち136物件(69%)が100%で同順位となり、値の種類も46通りしかなく判別力が不足していた。同順位の偏りにより軸の平均偏差値が49.2と50から乖離する副作用もあった。</t>
  </si>
  <si>
    <t xml:space="preserve">◆代替候補の定量比較(既存4軸との順位相関の最大値／カバー率):</t>
  </si>
  <si>
    <t xml:space="preserve">  賃料単価(円/㎡/年)  相関-0.507(収益性と重複・分母違い) / 146件</t>
  </si>
  <si>
    <t xml:space="preserve">  修繕費率(対収入)    相関-0.579(費用効率の内数で重複)   / 179件</t>
  </si>
  <si>
    <t xml:space="preserve">  立地×規模の合成     相関-0.486(キャップレートの裏返し) / 198件</t>
  </si>
  <si>
    <t xml:space="preserve">  外注委託費率        相関-0.671(費用効率と重複)         / 197件</t>
  </si>
  <si>
    <t xml:space="preserve">  鑑定評価額(規模)    相関-0.279 ← 最も独立             / 198件</t>
  </si>
  <si>
    <t xml:space="preserve">◆採用: 期末鑑定評価額を「規模・流動性」として採用。カバー率100%、既存4軸との相関は最大0.279で5軸中最も独立。売却時の買い手の広がりとテナント誘致における選ばれやすさという実務的な意味を持つ。</t>
  </si>
  <si>
    <t xml:space="preserve">◆位置づけ: 他4軸が運用実績を映すのに対し、この軸は資産そのものが構造的に持つ強さを示す。運用の巧拙を測る軸ではない旨をヘルプに明記。</t>
  </si>
  <si>
    <t xml:space="preserve">◆稼働率の扱い: 評価軸からは外すが、評価カードに参考値として全物件で表示。稼働実績は収益性(粗利回り)の分子である賃貸事業収入に織り込まれているため評価から消えるわけではない旨も明記。</t>
  </si>
  <si>
    <t xml:space="preserve">◆検証結果: 全198物件で軸の欠落0件、規模・流動性の偏差値レンジ22〜78、稼働率の参考表示198件。全5軸の基準偏差値が50に揃い、49の乖離も解消。</t>
  </si>
  <si>
    <t xml:space="preserve">【評価ページへの一式反映と総点検】(2026/8/9)</t>
  </si>
  <si>
    <t xml:space="preserve">◆評価母集団の見直し: 稼働率が評価軸でなくなったため、母集団の必須条件から稼働率を外し、5軸の算定に必要な項目(粗利回り・NOI利回り・経費率・含み損益率・鑑定評価額)と通期保有のみを条件とした。これにより渋谷クロスタワー(底地・稼働率非開示)が加わり、評価対象は198→199物件となった。</t>
  </si>
  <si>
    <t xml:space="preserve">◆表記の統一: 「収益力・稼働安定・費用効率・資産価値・環境性能」という旧5軸の記述が、評価ページの導入文・偏差値の定義文・5軸評価のヘルプに残っていたため、すべて「収益性・規模・流動性・費用効率・資産価値・環境性能」に統一。物件数の記述も203→199に修正。</t>
  </si>
  <si>
    <t xml:space="preserve">◆ヘルプの整合: 旧軸ax_occを削除しax_liqを新設。HTML内で参照する全32キー・コード内で呼び出す全25キー・5軸のヘルプキーすべてについて、定義の存在を機械的に検証し未定義0件を確認。</t>
  </si>
  <si>
    <t xml:space="preserve">◆稼働率の扱いの明確化: 評価軸から外したうえで、全物件の評価カードに参考値として表示。非開示の物件は「非開示」と表示する。ヘルプ「稼働率を評価軸から外した理由」で、稼働実績は収益性(粗利回り)の分子に織り込まれている旨も説明。</t>
  </si>
  <si>
    <t xml:space="preserve">◆「基準線が50にならない」ヘルプの更新: 稼働率を軸から外したことで全5軸の基準偏差値が50に揃ったため、記述を現状に合わせて改訂。グループ絞込時に50から離れるのは正常である旨を追記。</t>
  </si>
  <si>
    <t xml:space="preserve">◆検証結果(全199物件): 5軸すべて表示199/199、稼働率の参考表示199/199、順位の妥当性199/199、グレードと順位の整合199/199、環境性能の内訳表示199/199、総合偏差値レンジ22〜78。同用途採点(オフィス135物件)でも正常動作。</t>
  </si>
  <si>
    <t xml:space="preserve">◆他ページへの波及確認: 絞込の「5軸評価」プルダウンは評価対象199/対象外1034と自動更新され、物件一覧の評価バッジも一致。概況・分析・提言の各ページに不整合なし。</t>
  </si>
  <si>
    <t xml:space="preserve">【評価ページの表示・総評の全面是正】(2026/8/9)</t>
  </si>
  <si>
    <t xml:space="preserve">◆検出36: 環境性能の「中央値」に合成偏差値の中央値(=50)を表示していた — 環境性能は認証と実測エネルギー効率の合成偏差値のため、その中央値を数値で出しても意味を持たない。</t>
  </si>
  <si>
    <t xml:space="preserve">  →是正: 構成する実データの中央値(認証2.7点／オフィスの光熱費原単位5,260円/㎡/年)を表示。選択物件側も認証スコアの実点数を表示。</t>
  </si>
  <si>
    <t xml:space="preserve">◆検出37: 未選択時に「この物件」列が全行「—」で表示されていた — 情報量がないうえ、平均像を見る画面で空列が主役の位置を占めていた。</t>
  </si>
  <si>
    <t xml:space="preserve">  →是正: 物件未選択時は当該列を出さない。列見出しも「全体中央値」→「評価対象全体の中央値」、絞込時は「(グループ名)の中央値」と具体化。</t>
  </si>
  <si>
    <t xml:space="preserve">◆検出38: 総評に旧軸の残骸 — 平均像の総評が「稼働率」を基準線の構成要素として説明していた(medAll.occは既に存在せず表示が壊れる状態)。</t>
  </si>
  <si>
    <t xml:space="preserve">  →是正: 新5軸(収益性・規模流動性・費用効率・資産価値・環境性能)で全面的に書き直し。軸ごとの差の付きやすさ、収益性×費用効率=NOI利回りの分解関係、環境性能の2要素が無相関(ρ=-0.012)であることを説明する構成とした。</t>
  </si>
  <si>
    <t xml:space="preserve">◆検出39: 費用内訳の0%を「費用が軽い」と誤読させる表示 — 水道光熱費0%等をそのまま並べていた。</t>
  </si>
  <si>
    <t xml:space="preserve">  →是正: 0%は「計上なし」と表記し、テナント直接負担または他費目への合算であって費用が発生していない意味ではない旨を注記(該当66物件)。</t>
  </si>
  <si>
    <r>
      <rPr>
        <sz val="10"/>
        <rFont val="Arial"/>
        <family val="0"/>
        <charset val="1"/>
      </rPr>
      <t xml:space="preserve">◆UI</t>
    </r>
    <r>
      <rPr>
        <sz val="10"/>
        <rFont val="Noto Sans CJK SC"/>
        <family val="2"/>
      </rPr>
      <t xml:space="preserve">表記の統一</t>
    </r>
    <r>
      <rPr>
        <sz val="10"/>
        <rFont val="Arial"/>
        <family val="0"/>
        <charset val="1"/>
      </rPr>
      <t xml:space="preserve">: </t>
    </r>
    <r>
      <rPr>
        <sz val="10"/>
        <rFont val="Noto Sans CJK SC"/>
        <family val="2"/>
      </rPr>
      <t xml:space="preserve">金額に桁区切りを適用</t>
    </r>
    <r>
      <rPr>
        <sz val="10"/>
        <rFont val="Arial"/>
        <family val="0"/>
        <charset val="1"/>
      </rPr>
      <t xml:space="preserve">(159,200</t>
    </r>
    <r>
      <rPr>
        <sz val="10"/>
        <rFont val="Noto Sans CJK SC"/>
        <family val="2"/>
      </rPr>
      <t xml:space="preserve">百万円</t>
    </r>
    <r>
      <rPr>
        <sz val="10"/>
        <rFont val="Arial"/>
        <family val="0"/>
        <charset val="1"/>
      </rPr>
      <t xml:space="preserve">)</t>
    </r>
    <r>
      <rPr>
        <sz val="10"/>
        <rFont val="Noto Sans CJK SC"/>
        <family val="2"/>
      </rPr>
      <t xml:space="preserve">、「偏差」→「偏差値」、順位の母集団名を採点母集団に一致</t>
    </r>
    <r>
      <rPr>
        <sz val="10"/>
        <rFont val="Arial"/>
        <family val="0"/>
        <charset val="1"/>
      </rPr>
      <t xml:space="preserve">(</t>
    </r>
    <r>
      <rPr>
        <sz val="10"/>
        <rFont val="Noto Sans CJK SC"/>
        <family val="2"/>
      </rPr>
      <t xml:space="preserve">同用途採点時は「オフィス</t>
    </r>
    <r>
      <rPr>
        <sz val="10"/>
        <rFont val="Arial"/>
        <family val="0"/>
        <charset val="1"/>
      </rPr>
      <t xml:space="preserve">135</t>
    </r>
    <r>
      <rPr>
        <sz val="10"/>
        <rFont val="Noto Sans CJK SC"/>
        <family val="2"/>
      </rPr>
      <t xml:space="preserve">物件中」</t>
    </r>
    <r>
      <rPr>
        <sz val="10"/>
        <rFont val="Arial"/>
        <family val="0"/>
        <charset val="1"/>
      </rPr>
      <t xml:space="preserve">)</t>
    </r>
    <r>
      <rPr>
        <sz val="10"/>
        <rFont val="Noto Sans CJK SC"/>
        <family val="2"/>
      </rPr>
      <t xml:space="preserve">、基準線の呼称を「グループ中央値」から「基準線」に統一。</t>
    </r>
  </si>
  <si>
    <t xml:space="preserve">◆環境性能の総評を状態別に分岐: 認証高×効率低は「認証は取ったが運用が追いついていない典型」(17物件)、認証低×効率高は「実力はあるが第三者評価がない状態」(3物件)、効率算定不可は認証のみ評価である旨を明示(93物件)。</t>
  </si>
  <si>
    <t xml:space="preserve">◆検証結果: 全199物件で総評の異常表記(undefined/NaN等)0件、段落構成の不備0件。</t>
  </si>
  <si>
    <t xml:space="preserve">【評価ページ 全項目の逐条点検】(2026/8/9)</t>
  </si>
  <si>
    <t xml:space="preserve">◆検出40: 物件数の表記が11のヘルプ項目で旧値(198/203)のまま残っていた。→199に統一(14箇所)。</t>
  </si>
  <si>
    <t xml:space="preserve">◆検出41: 評価母集団ヘルプの内訳が旧構成(JRE76/NUD55/HLC44/MTR18/MHR11)のままだった。実データ(JRE75/NUD52/HLC44/MTR18/MHR10、用途はオフィス135・住宅39・商業11・ホテル8・ヘルスケア1・その他5)に修正。条件の記述からも「稼働率」を削除。</t>
  </si>
  <si>
    <t xml:space="preserve">◆検出42: 収益性の計算式が「÷取得価格」のままだった(主指標は鑑定評価額ベース)。用語集の「粗利回り」項目も同様。両方を鑑定評価額ベースに修正し、取得価格ベースは参考指標と明記。</t>
  </si>
  <si>
    <t xml:space="preserve">◆検出43: 軸名「環境性能」が実態と乖離 — 認証と実測エネルギー効率の合成になったため「環境・省エネ」に改称。表・レーダー・総評・ヘルプ・導入文の全12箇所を統一(DBJ/LEEDの制度説明としての「環境性能」は一般語のため保持)。</t>
  </si>
  <si>
    <t xml:space="preserve">◆検出44(重大): ヘルプ項目の削除処理で、意図した1項目(grndisc)だけでなく後続17項目(corpmap/bubble/dist/cross/stack/spread/cert/rank/cov/bmdata/bmcov/aum/strategy/period/stats/confound/sens)を巻き込んで削除していた。用語集が68→51項目に減り、グラフの「?」11個が反応しない状態だった。</t>
  </si>
  <si>
    <t xml:space="preserve">  →是正: 直前の出力物から17項目を復元し、復元分の表記も199物件・新軸名に統一。全機能テスト16項目の回復を確認。</t>
  </si>
  <si>
    <t xml:space="preserve">◆最終チェックリスト: 旧物件数0件／旧軸名「環境性能」0件／旧偏差表記0件／旧環境スコア表記0件／収益性の分母が取得価格0件／削除漏れ0件。「稼働安定」は軸を入れ替えた経緯の説明として1箇所のみ意図的に残置。</t>
  </si>
  <si>
    <t xml:space="preserve">【提言ページの監査と是正】(2026/8/9)</t>
  </si>
  <si>
    <t xml:space="preserve">◆検出45(重大): 提言2の主張と根拠が論理的に成立していなかった — 「空室を埋めると増益」の根拠に稼働別の粗利回り(99%以上5.55% vs 95%未満4.90%)を用いていたが、エリア×用途で層別調整すると差は+0.03ptとほぼ消滅。高稼働物件の利回りが高いのは稼働のためではなく、地方・中小物件が高稼働かつ高利回りという交絡だった。</t>
  </si>
  <si>
    <t xml:space="preserve">  →是正: 根拠を賃料単価(年間賃貸事業収入÷賃貸可能面積)に差し替え。オフィスで稼働99%以上71,632円/㎡/年 → 95〜99%70,000円 → 95%未満63,945円と、空室が単位面積あたり収入を直接押し下げることを実証。あわせて「稼働は利回り(価格に対する比率)ではなく収入そのものに効く」と論点を整理。</t>
  </si>
  <si>
    <t xml:space="preserve">◆検出46: 提言6が層別調整の結果と矛盾していた — 本文は「認証物件は市場が高く評価している」と断定していたが、層別調整後の差は-0.02ptで、稼働98%以上の割合も認証あり70%・なし70%と差がない。</t>
  </si>
  <si>
    <t xml:space="preserve">  →是正: 「認証それ自体が保有中の収益を押し上げる証拠は本データからは得られない」と事実に即して書き換え。認証の意味をESG要件充足・買い手の幅・省エネ改修とのセット効果に整理し、環境軸で認証と実測効率が無相関(ρ=-0.012)であることから「認証を取るだけでは光熱費は下がらない」と明記。</t>
  </si>
  <si>
    <t xml:space="preserve">◆検出47: 費用の0%(計上なし)を分位計算に含めていた — 水道光熱費で51件、テナント直接負担等による非計上を「費用が軽い物件」として中央値・分位に算入していた。→0%を除外し、除外件数を明示。中央値は5.7%→6.7%に是正。</t>
  </si>
  <si>
    <t xml:space="preserve">◆検出48: サンプル不足時に「—%」「n=0」が表示されていた — ホテルで絞り込むと全8物件が光熱費計上なしとなり、中央値—%・改善余地0.0%分という無意味な表示になっていた。→n&lt;5では算定不可である旨と該当件数を明示する表示に変更。</t>
  </si>
  <si>
    <t xml:space="preserve">◆検出49: 認証で絞り込むと提言6の比較が片側だけになっていた — 「認証あり」で絞ると認証なしの値が—%になり比較が成立しなかった。→この提言のみ認証フィルタを除いた母集団で算定し、その旨を明示。</t>
  </si>
  <si>
    <t xml:space="preserve">◆検出50: 根拠値にサンプル数が併記されておらず、少数の物件から導いた数値と大量サンプルの数値が同列に見えていた。→全ての根拠値にn=を併記。築年別の値には竣工年月開示9法人のみが対象である旨の注記を追加。</t>
  </si>
  <si>
    <t xml:space="preserve">◆検証結果: 用途7・エリア7・法人9・評価対象3・認証3・築年5の計34通りの絞込で、異常表記(undefined/NaN/n=0/—%)0件、提言数の不備0件。</t>
  </si>
  <si>
    <t xml:space="preserve">【分析ページ 再監査】(2026/8/9)</t>
  </si>
  <si>
    <t xml:space="preserve">◆検出51(重大): 費用構成グラフの注記が誤り — 「100から積み上げを引いた残りがNOIマージン」と説明していたが、積み上げには減価償却費が含まれるため、残りは償却後の賃貸事業利益率であってNOIマージンではない。オフィス実測で残り55.2に対しNOIマージンは66.5と11pt乖離していた。</t>
  </si>
  <si>
    <t xml:space="preserve">  →是正: 「NOIマージン＝残り＋減価償却費」の関係を明記(55.2+13.9=69.1で実測と整合)。ヘルプ項目「費用構成の積み上げとNOIマージンの関係」を新設。</t>
  </si>
  <si>
    <t xml:space="preserve">◆検出52: 費目別ばらつきが0%(計上なし)を分位計算に含めていた — 水道光熱費で51件、保険料で110件、その他で74件が0%。分布が下に引っ張られ、水道光熱費の中央値は5.66%と実態(計上ありのみで6.72%)より1pt低く出ていた。</t>
  </si>
  <si>
    <t xml:space="preserve">  →是正: 0%を分位から除外し、用途別の除外件数を注記。x軸ラベルも「計上ありのみ」と明示。n&lt;5で非表示になったグループ名も表示。</t>
  </si>
  <si>
    <t xml:space="preserve">◆検出53: 認証保有率の分母が物件数のみ — 認証は大型物件に偏るため、鑑定評価額ベースでは全体60.4%→81.2%、エリア別でも最大25pt(他23区: 53%→77%)変わる。物件数ベースだけでは資産規模から見た浸透度が分からない。</t>
  </si>
  <si>
    <t xml:space="preserve">  →是正: 「物件数ベース／鑑定評価額ベース」の切替を追加し、両方の全体値を常時併記。</t>
  </si>
  <si>
    <t xml:space="preserve">◆検出54(自己作り込み): drawCov関数の置換時に、後続のdrawStrat・fillStrat・drawBmの3関数と変数STSELを巻き込んで削除していた。戦略プロファイルと管理会社の描画が全て停止する状態だった。</t>
  </si>
  <si>
    <t xml:space="preserve">  →是正: 直前の出力物から関数3件と宣言1件を復元。関数名・トップレベル宣言の集合を新旧で差分比較する検証手順を追加した。</t>
  </si>
  <si>
    <t xml:space="preserve">◆確認できた妥当性: 認証ランク別チャートはDBJ★2〜5(n=6/65/39/13)・CASBEE S/A/B+(n=240/266/7)・認証種別(ZEB70/DBJ133/CASBEE513/LEED0)いずれも正常。LEEDは利回り算定可能物件が0件のためバー非表示とし、その旨を注記する仕様が機能している。</t>
  </si>
  <si>
    <t xml:space="preserve">◆検証結果: 因子・費用・認証の全セグメント切替45通りで異常表記0件、実行時エラー0件。</t>
  </si>
  <si>
    <t xml:space="preserve">【分析ページ 切り口の妥当性監査とUI統一】(2026/8/9)</t>
  </si>
  <si>
    <r>
      <rPr>
        <sz val="10"/>
        <rFont val="Arial"/>
        <family val="0"/>
        <charset val="1"/>
      </rPr>
      <t xml:space="preserve">◆UI: </t>
    </r>
    <r>
      <rPr>
        <sz val="10"/>
        <rFont val="Noto Sans CJK SC"/>
        <family val="2"/>
      </rPr>
      <t xml:space="preserve">横並びカードの高さ不揃いを是正 — </t>
    </r>
    <r>
      <rPr>
        <sz val="10"/>
        <rFont val="Arial"/>
        <family val="0"/>
        <charset val="1"/>
      </rPr>
      <t xml:space="preserve">align-items:start </t>
    </r>
    <r>
      <rPr>
        <sz val="10"/>
        <rFont val="Noto Sans CJK SC"/>
        <family val="2"/>
      </rPr>
      <t xml:space="preserve">により中身の量で高さがばらつき下端が不揃いだった。</t>
    </r>
    <r>
      <rPr>
        <sz val="10"/>
        <rFont val="Arial"/>
        <family val="0"/>
        <charset val="1"/>
      </rPr>
      <t xml:space="preserve">stretch</t>
    </r>
    <r>
      <rPr>
        <sz val="10"/>
        <rFont val="Noto Sans CJK SC"/>
        <family val="2"/>
      </rPr>
      <t xml:space="preserve">に変更し、カード内部を縦フレックス化、最終注記を</t>
    </r>
    <r>
      <rPr>
        <sz val="10"/>
        <rFont val="Arial"/>
        <family val="0"/>
        <charset val="1"/>
      </rPr>
      <t xml:space="preserve">margin-top:auto</t>
    </r>
    <r>
      <rPr>
        <sz val="10"/>
        <rFont val="Noto Sans CJK SC"/>
        <family val="2"/>
      </rPr>
      <t xml:space="preserve">で下端に寄せてグラフ位置を揃えた。セグメント行にも</t>
    </r>
    <r>
      <rPr>
        <sz val="10"/>
        <rFont val="Arial"/>
        <family val="0"/>
        <charset val="1"/>
      </rPr>
      <t xml:space="preserve">min-height</t>
    </r>
    <r>
      <rPr>
        <sz val="10"/>
        <rFont val="Noto Sans CJK SC"/>
        <family val="2"/>
      </rPr>
      <t xml:space="preserve">を設定。</t>
    </r>
  </si>
  <si>
    <t xml:space="preserve">◆検出55: クロス分析の横軸「延床面積」に分析価値がなかった — カバー183件(賃貸可能面積1,164件の16%)、賃貸可能面積と情報が重複、粗利回りとの順位相関も0.07と弱い。→削除。</t>
  </si>
  <si>
    <t xml:space="preserve">◆検出56: クロス分析のX軸とY軸に同一指標(稼働率・含み損益率)が両方存在し、同じ指標同士の散布図という無意味な組合せが選択可能だった。→Y軸から稼働率・経費率を削除し「収益の分解軸」(粗利回り/NOI利回り/NOIマージン/含み損益率)に統一。同一指標が選ばれた場合の防御も実装。</t>
  </si>
  <si>
    <t xml:space="preserve">◆検出57(重大): 管理会社ペインが成立しない比較を示唆していた — 管理会社が判明した162物件と費用内訳を開示する193物件の重複は0件で、「A社の管理物件は光熱費が安い」といった比較は原理的に不可能。</t>
  </si>
  <si>
    <t xml:space="preserve">  →是正: ペインの位置づけを「委託構造の可視化」に限定し、成績比較ができない理由と重複0件という事実を明示。ヘルプ項目「管理会社別の成績比較ができない理由」を新設。</t>
  </si>
  <si>
    <t xml:space="preserve">◆検出58(自己作り込み): drawBmの置換時に変数STSELの宣言を巻き込んで削除。前回と同種の事故を繰り返したため、再発防止として tests/integrity.test.cjs を新設し、関数名・トップレベル宣言の重複と欠落をビルド毎に機械検査する体制とした(現在: 関数86件・宣言53件・重複0件)。</t>
  </si>
  <si>
    <t xml:space="preserve">◆検出59: 管理会社ペインの注記要素(bmNote)がHTMLに挿入されていなかった(置換失敗を検証せず進めた)。→挿入し表示を確認。</t>
  </si>
  <si>
    <t xml:space="preserve">◆検証: 因子・費用・認証・管理会社の4ペイン×全セグメント切替を5巡(計205操作)実施し、異常表記0件・実行時エラー0件。</t>
  </si>
  <si>
    <t xml:space="preserve">【補足説明の全数監査】(2026/8/9・ヘルプ69項目＋本文注記)</t>
  </si>
  <si>
    <t xml:space="preserve">◆検出60: 統計値の陳腐化 — 光熱費0の物件数(54→55件、母集団が198→199に変わったため)、規模・流動性の軸間相関(0.279→0.29)が旧値のままだった。実データで再計算して是正。</t>
  </si>
  <si>
    <t xml:space="preserve">◆検出61: 軸間相関の説明に未記載の相関があった — 実測で規模・流動性×環境省エネにρ=0.35、収益性×規模流動性にρ=-0.29が存在するが記載がなかった。両方を追記し、収益性×費用効率も-0.44→-0.45に更新。</t>
  </si>
  <si>
    <t xml:space="preserve">◆検出62: NOI利回りの定義式が「÷取得価格」のままだった。→期末鑑定評価額(主指標)に修正。</t>
  </si>
  <si>
    <t xml:space="preserve">◆検出63: キャップレートの説明が「本アプリは取得価格ベース」という旧前提のままだった。→鑑定評価額ベースであること、鑑定はNOIを還元利回りで割って算定するため本アプリの利回りはキャップレートに近い性質を持つこと(ただし鑑定は安定NOI、本アプリは実績NOI)を明記。</t>
  </si>
  <si>
    <t xml:space="preserve">◆検出64: 5軸評価の注記が稼働率を軸に含む前提だった。→収益性と費用効率の負の相関、単年断面の制約、母集団の偏りという現行の3点に差し替え。</t>
  </si>
  <si>
    <t xml:space="preserve">◆検出65: ポジショニング図の説明が「横軸=築年数固定・バブル=取得価格合計」という旧仕様のままだった。→軸は切替可能・バブルは鑑定評価額合計・色は法人固定と是正。</t>
  </si>
  <si>
    <t xml:space="preserve">◆検出66: 本文注記の陳腐化5件 — 「判明分161物件」(現162件)、認証ランクの断定的表現(交絡の可能性に言及せず)、バブルの説明不足など。すべて最新化し、該当するヘルプへのリンクを追加。</t>
  </si>
  <si>
    <t xml:space="preserve">◆検出67: ヘルプ項目bmlimitの定義が置換操作で失われ、参照エラーになっていた。→復元。</t>
  </si>
  <si>
    <t xml:space="preserve">◆再発防止: tests/docs.test.cjs を新設し、①説明文中の数値と実データの照合 ②ヘルプキーの参照整合 ③旧仕様の残存検査 ④必須項目(タイトル・本文)の充足 ⑤文言の一貫性 の5観点をビルド毎に自動検査する体制とした。現在69項目すべてで要修正0件。</t>
  </si>
  <si>
    <t xml:space="preserve">【PM会社シートへの全面刷新】(2026/8/9)</t>
  </si>
  <si>
    <t xml:space="preserve">◆旧「管理会社_物件別」「管理会社_法人別」シートを削除した。理由: ①管理会社側の公表実績に依拠していたためカバー率が13.1%と低く、②PM(プロパティマネジメント)とBM(ビルマネジメント)の区別が曖昧で、③管理会社の開示姿勢に依存する偏った母集団だったため。</t>
  </si>
  <si>
    <t xml:space="preserve">◆新設: 「PM会社_物件別」「PM会社_集計」。各投資法人の有価証券報告書に記載されたPM会社を一次情報として収録する。</t>
  </si>
  <si>
    <t xml:space="preserve">◆用語の定義: PM(プロパティマネジメント)会社＝物件の収益最大化を担う受託者。テナント募集・賃料改定・収支計画の策定・BM会社の選定と統括を行う。建物設備の維持を担うBM(ビルマネジメント)会社とは業務範囲が異なる。有価証券報告書に記載されるのは通常PM会社である。</t>
  </si>
  <si>
    <t xml:space="preserve">◆収録方針: 有価証券報告書の記載のみを一次情報として採用し、推定は一切行わない。出典資料名・決算期・記載箇所を各行に明記する。</t>
  </si>
  <si>
    <t xml:space="preserve">【PM会社データの取込 第1弾】(2026/8/9・4法人)</t>
  </si>
  <si>
    <t xml:space="preserve">◆取込元: 大和証券オフィス(第40期)・グローバル・ワン(第45期)・平和不動産リート・ヒューリックリートの各有価証券報告書。個別物件表の「ＰＭ会社」欄を抽出。</t>
  </si>
  <si>
    <t xml:space="preserve">◆結果: 232物件・PM会社22社を収録。DOI 58/60(96.7%)、GOR 16/18(88.9%)、HLC 62/69(89.9%)、HFR 96/138(69.6%)。名寄せ不一致0件。</t>
  </si>
  <si>
    <t xml:space="preserve">◆抽出方法: DOIとGORはPDFのテキスト層から、HFRとHLCはページ単位の行走査で物件名とPM会社を対応。GORはpdftotextでテキストを取得できずpdfplumberで抽出した(Adobe-Japan1の言語パック不足のため)。</t>
  </si>
  <si>
    <t xml:space="preserve">◆判明した委託構造: ヒューリックリートは62物件中61件が自社(ヒューリック株式会社)で系列内製型。平和不動産リートは長谷工ライブネット37件・Apaman Property33件・東急住宅リース13件と住宅系PMに分散委託。大和証券オフィスはベスト・プロパティ22件を軸に6社へ分散。グローバル・ワンは16物件に9社と最も分散度が高い。</t>
  </si>
  <si>
    <t xml:space="preserve">◆独立系PM会社の存在感: ザイマックス16件、ベスト・プロパティ22件、エム・エス・ビルサポート10件など、スポンサー系列によらない独立系が相当数を占めることが確認できた。</t>
  </si>
  <si>
    <t xml:space="preserve">◆データ品質: 必須列(物件ID・法人ID・物件名・PM会社・出典資料・決算期)の空欄0件。有報上「－」と記載された1件は、PM会社を置いていないかマスターリース会社が兼務するものとして備考に明記。</t>
  </si>
  <si>
    <t xml:space="preserve">【PM会社データ 第2弾取込】(2026/8/9・4法人追加/計8法人)</t>
  </si>
  <si>
    <t xml:space="preserve">◆追加: いちごオフィス(2026年4月期)・ジャパンエクセレント(2025年12月期)・日本プライムリアルティ第48期(2025年12月期)・ジャパンリアルエステイト(2026年3月期)。累計488物件・PM会社62社。</t>
  </si>
  <si>
    <t xml:space="preserve">◆記載様式の差異: ICG/JEIは「ＰＭ会社」欄、JPR/JREは「不動産管理会社」欄。JREは会社名がPDF上で2行に折り返し、損益列と同一行に出力されるため、前後行を結合して復元した。</t>
  </si>
  <si>
    <t xml:space="preserve">◆カバー率: JEI 97.1%、DOI 96.7%、ICG 96.6%、JRE 96.2%、JPR 94.1%、HLC 89.9%、GOR 88.9%、HFR 69.6%。名寄せ不一致0件。</t>
  </si>
  <si>
    <t xml:space="preserve">◆表記の正規化: 「（注）」等の注記を除去(5件)、非開示表記を「記載なし・非開示」として系列分類、用途別/共同受託の複数社記載を専用の系列区分とした。62社すべてを系列分類済み。</t>
  </si>
  <si>
    <t xml:space="preserve">◆重要な変化: PM会社が判明した物件と費用内訳を開示する物件の重複が0件→115件となり、PM会社別の運営コスト比較が可能になった。オフィスでn&gt;=5の5社について水道光熱費の原単位を比較すると、中央値で4,301〜6,059円/㎡/年の幅がある。</t>
  </si>
  <si>
    <t xml:space="preserve">  →アプリに「PM会社別の水道光熱費の原単位」チャートを追加。ただしPM会社の選定は投資法人が行うため、PM会社の差と投資法人の差が分離できていない。因果推定には使えず分布の記述にとどまる旨をヘルプに明記。</t>
  </si>
  <si>
    <t xml:space="preserve">【PM会社データ 第3弾取込】(2026/8/9・3法人追加/計11法人)</t>
  </si>
  <si>
    <t xml:space="preserve">◆追加: ケネディクス・オフィス(2026年4月期)・森ヒルズリート(2026年1月期)・日本ビルファンド(2025年12月期)。累計907物件・PM会社92社。</t>
  </si>
  <si>
    <t xml:space="preserve">◆森トラスト総合リート(MTR)は物件別のPM会社記載がなかった。有報にはPM会社の選定方針とPM業務の定義の記述はあるが、個別物件表に委託先名の欄がない。同法人は保有20物件すべてが一棟貸しのマスターリース形態であり、テナント(森トラスト等)が施設運営管理を担う構造のため。</t>
  </si>
  <si>
    <t xml:space="preserve">◆記載様式: KDX/MHRは「PM会社」欄、NBFは「建物管理会社」欄。NBFのみBM的な呼称だが、有報上これが管理委託先を示す唯一の欄であるため収録し、備考にその旨を明記した。</t>
  </si>
  <si>
    <t xml:space="preserve">◆名寄せの課題と対応: KDXでヘルスケア物件の物件名に「分類 介護付有料老人ホーム」等が連結され、NBFで「（注）」が付与されていたため16件が未一致となった。物件名の正規化(分類表記・注記・丸数字の除去)を追加し、KDX 339/345(98.3%)、NBF 69/70(98.6%)まで改善。残る1件は取得予定物件(未保有)のため対象外。</t>
  </si>
  <si>
    <t xml:space="preserve">◆カバー率(11法人): MHR 100%、NBF 98.6%、KDX 98.3%、DOI 96.7%、ICG 96.6%、JRE 96.2%、JEI 94.1%、JPR 92.6%、HLC 89.9%、GOR 88.9%、HFR 69.6%。</t>
  </si>
  <si>
    <t xml:space="preserve">◆委託構造の特徴: ケネディクス系161件(KDXの46.9%)と長谷工ライブネット106件が最大。系列分布では独立系272件が最多で、スポンサー系列に依存しないPM委託が全体の3割を占める。</t>
  </si>
  <si>
    <r>
      <rPr>
        <sz val="10"/>
        <rFont val="Arial"/>
        <family val="0"/>
        <charset val="1"/>
      </rPr>
      <t xml:space="preserve">◆PM</t>
    </r>
    <r>
      <rPr>
        <sz val="10"/>
        <rFont val="Noto Sans CJK SC"/>
        <family val="2"/>
      </rPr>
      <t xml:space="preserve">会社別の運営コスト比較</t>
    </r>
    <r>
      <rPr>
        <sz val="10"/>
        <rFont val="Arial"/>
        <family val="0"/>
        <charset val="1"/>
      </rPr>
      <t xml:space="preserve">: </t>
    </r>
    <r>
      <rPr>
        <sz val="10"/>
        <rFont val="Noto Sans CJK SC"/>
        <family val="2"/>
      </rPr>
      <t xml:space="preserve">対象が</t>
    </r>
    <r>
      <rPr>
        <sz val="10"/>
        <rFont val="Arial"/>
        <family val="0"/>
        <charset val="1"/>
      </rPr>
      <t xml:space="preserve">115→125</t>
    </r>
    <r>
      <rPr>
        <sz val="10"/>
        <rFont val="Noto Sans CJK SC"/>
        <family val="2"/>
      </rPr>
      <t xml:space="preserve">物件に増加。オフィスで</t>
    </r>
    <r>
      <rPr>
        <sz val="10"/>
        <rFont val="Arial"/>
        <family val="0"/>
        <charset val="1"/>
      </rPr>
      <t xml:space="preserve">n&gt;=5</t>
    </r>
    <r>
      <rPr>
        <sz val="10"/>
        <rFont val="Noto Sans CJK SC"/>
        <family val="2"/>
      </rPr>
      <t xml:space="preserve">の</t>
    </r>
    <r>
      <rPr>
        <sz val="10"/>
        <rFont val="Arial"/>
        <family val="0"/>
        <charset val="1"/>
      </rPr>
      <t xml:space="preserve">5</t>
    </r>
    <r>
      <rPr>
        <sz val="10"/>
        <rFont val="Noto Sans CJK SC"/>
        <family val="2"/>
      </rPr>
      <t xml:space="preserve">社の水道光熱費原単位は</t>
    </r>
    <r>
      <rPr>
        <sz val="10"/>
        <rFont val="Arial"/>
        <family val="0"/>
        <charset val="1"/>
      </rPr>
      <t xml:space="preserve">4,301</t>
    </r>
    <r>
      <rPr>
        <sz val="10"/>
        <rFont val="Noto Sans CJK SC"/>
        <family val="2"/>
      </rPr>
      <t xml:space="preserve">〜</t>
    </r>
    <r>
      <rPr>
        <sz val="10"/>
        <rFont val="Arial"/>
        <family val="0"/>
        <charset val="1"/>
      </rPr>
      <t xml:space="preserve">6,059</t>
    </r>
    <r>
      <rPr>
        <sz val="10"/>
        <rFont val="Noto Sans CJK SC"/>
        <family val="2"/>
      </rPr>
      <t xml:space="preserve">円</t>
    </r>
    <r>
      <rPr>
        <sz val="10"/>
        <rFont val="Arial"/>
        <family val="0"/>
        <charset val="1"/>
      </rPr>
      <t xml:space="preserve">/</t>
    </r>
    <r>
      <rPr>
        <sz val="10"/>
        <rFont val="Noto Sans CJK SC"/>
        <family val="2"/>
      </rPr>
      <t xml:space="preserve">㎡</t>
    </r>
    <r>
      <rPr>
        <sz val="10"/>
        <rFont val="Arial"/>
        <family val="0"/>
        <charset val="1"/>
      </rPr>
      <t xml:space="preserve">/</t>
    </r>
    <r>
      <rPr>
        <sz val="10"/>
        <rFont val="Noto Sans CJK SC"/>
        <family val="2"/>
      </rPr>
      <t xml:space="preserve">年。</t>
    </r>
  </si>
  <si>
    <t xml:space="preserve">【PM会社データ 取込完了】(2026/8/9・全16法人)</t>
  </si>
  <si>
    <t xml:space="preserve">◆最終追加: NTT都市開発リート(2026年4月期)・積水ハウス・リート(2026年4月期)・サンケイリアルエステート(2026年2月期)・東急リアル・エステート(2026年1月期)。</t>
  </si>
  <si>
    <t xml:space="preserve">◆最終結果: 1,128物件・PM会社112社。全1,257物件に対するカバー率89.7%(分析対象1,233物件に対しては91.2%)。名寄せ不一致0件・重複0件・必須列の空欄0件。</t>
  </si>
  <si>
    <t xml:space="preserve">◆法人別カバー率: MHR/TRE 100%、NBF 98.6%、KDX 98.3%、DOI 96.7%、ICG 96.6%、JRE 96.2%、NUD 95.2%、JEI 94.1%、JPR 92.6%、HLC 89.9%、GOR 88.9%、SKR 81.2%、SHR 80.0%、HFR 69.6%、MTR 0%。</t>
  </si>
  <si>
    <r>
      <rPr>
        <sz val="10"/>
        <rFont val="Arial"/>
        <family val="0"/>
        <charset val="1"/>
      </rPr>
      <t xml:space="preserve">◆MTR(</t>
    </r>
    <r>
      <rPr>
        <sz val="10"/>
        <rFont val="Noto Sans CJK SC"/>
        <family val="2"/>
      </rPr>
      <t xml:space="preserve">森トラスト総合リート</t>
    </r>
    <r>
      <rPr>
        <sz val="10"/>
        <rFont val="Arial"/>
        <family val="0"/>
        <charset val="1"/>
      </rPr>
      <t xml:space="preserve">)</t>
    </r>
    <r>
      <rPr>
        <sz val="10"/>
        <rFont val="Noto Sans CJK SC"/>
        <family val="2"/>
      </rPr>
      <t xml:space="preserve">のみ</t>
    </r>
    <r>
      <rPr>
        <sz val="10"/>
        <rFont val="Arial"/>
        <family val="0"/>
        <charset val="1"/>
      </rPr>
      <t xml:space="preserve">0% — </t>
    </r>
    <r>
      <rPr>
        <sz val="10"/>
        <rFont val="Noto Sans CJK SC"/>
        <family val="2"/>
      </rPr>
      <t xml:space="preserve">有報に</t>
    </r>
    <r>
      <rPr>
        <sz val="10"/>
        <rFont val="Arial"/>
        <family val="0"/>
        <charset val="1"/>
      </rPr>
      <t xml:space="preserve">PM</t>
    </r>
    <r>
      <rPr>
        <sz val="10"/>
        <rFont val="Noto Sans CJK SC"/>
        <family val="2"/>
      </rPr>
      <t xml:space="preserve">会社の選定方針の記述はあるが、個別物件表に委託先名の欄がない。保有</t>
    </r>
    <r>
      <rPr>
        <sz val="10"/>
        <rFont val="Arial"/>
        <family val="0"/>
        <charset val="1"/>
      </rPr>
      <t xml:space="preserve">20</t>
    </r>
    <r>
      <rPr>
        <sz val="10"/>
        <rFont val="Noto Sans CJK SC"/>
        <family val="2"/>
      </rPr>
      <t xml:space="preserve">物件すべてが一棟貸しのマスターリース形態で、テナントが施設運営管理を担う構造のため。欠測ではなく委託構造自体が他法人と異なる。</t>
    </r>
  </si>
  <si>
    <t xml:space="preserve">◆抽出上の技術的対応: ①記載欄名が法人により4種類(ＰＭ会社/PM会社/不動産管理会社/建物管理会社) ②JRE・SKRは会社名がPDF上で2行に折り返すため前後行を結合して復元 ③GORはpdftotextで読めずpdfplumberを使用 ④KDX・NBFは物件名に分類表記や注記が連結されるため正規化を追加。</t>
  </si>
  <si>
    <t xml:space="preserve">◆委託構造の全体像: 独立系294件が最多で全体の26%。系列別ではケネディクス系161件、積水ハウス系78件、ヒューリック系61件、長谷工系52件。上位はケネディクス・プロパティ・デザイン161件、長谷工ライブネット121件、ヒューリック61件。</t>
  </si>
  <si>
    <t xml:space="preserve">◆分析可能性の向上: PM会社が判明し費用内訳も開示されている物件が0件→176件に増加。オフィスでn&gt;=5の5社について水道光熱費の原単位を比較可能(4,301〜6,059円/㎡/年)。ただしPM会社の差と投資法人の差が分離できないため、因果推定ではなく分布の記述として扱う。</t>
  </si>
  <si>
    <t xml:space="preserve">【PM会社データの正確性監査とスポンサー系分析の追加】(2026/8/9)</t>
  </si>
  <si>
    <t xml:space="preserve">◆検出68: 同一のPM会社に複数の系列区分が付与されていた(6社) — 森ビル株式会社が「森ビル系」と「森ビル系（自社）」、東急住宅リース株式会社が3種類など、取込の弾ごとに分類が揺れていた。→社名から系列を一意に決めるマスタを作成し111件を統一。全109社で系列が一意であることを機械検証。</t>
  </si>
  <si>
    <t xml:space="preserve">◆検出69: 複数社への委託が1つの社名欄に連結されていた(5件) — 「事務所：株式会社第一ビルディング 住宅：相互住宅株式会社」「大成有楽不動産株式会社他」など。→主たる1社に正規化し、原文を備考に保存。</t>
  </si>
  <si>
    <t xml:space="preserve">◆検出70: 非開示表記の系列区分が不統一 — 「－」「―」「非開示」が独立系と記載なしに分かれていた。→すべて「記載なし・非開示」に統一。</t>
  </si>
  <si>
    <t xml:space="preserve">◆新規分析「スポンサー系PM会社への委託比率」を追加: 各投資法人のスポンサーグループに属するPM会社への委託割合。DBに「スポンサー系判定」列(スポンサー系/第三者/非開示)を新設し、集計シートに「スポンサー系PMの比率(%)」列を追加。</t>
  </si>
  <si>
    <t xml:space="preserve">◆分析結果: 全体では判明分1,118物件のうち49.9%がスポンサー系。法人別の振れ幅は極端で、MHR 100%・HLC 98.4%・TRE 96.4%の系列内製型に対し、DOI 0%・HFR 1.1%・GOR 12.5%はほぼ全面的な第三者委託型。</t>
  </si>
  <si>
    <t xml:space="preserve">◆運営コストとの関係: オフィスで実測すると外注委託費率はスポンサー系9.4%・第三者11.3%、水道光熱費原単位はスポンサー系5,751円/㎡・第三者4,645円/㎡。ただしスポンサー系の物件は都心5区59%・鑑定中央値115億円、第三者は39%・56億円と、都心の大型物件ほど系列に委託される傾向があり、この差には立地と規模の交絡が含まれる。委託形態の優劣を示すものではない旨を注記に明示。</t>
  </si>
  <si>
    <t xml:space="preserve">◆切り口の妥当性: PMペインの構成を「判明率／PM会社別受託数／スポンサー系比率／PM会社別の運営コスト／委託構造」の5枚とした。スポンサー系比率は運営品質の統制と委託費の市場競争のどちらを優先するかという経営判断が最も端的に表れる指標であり、実測の振れ幅も0〜100%と最大。</t>
  </si>
  <si>
    <t xml:space="preserve">【PM会社ドリルダウン・物件表示・起動演出の追加】(2026/8/9)</t>
  </si>
  <si>
    <t xml:space="preserve">◆スポンサー系PM比率のバーをタップすると、その投資法人のPM会社別内訳(会社名・物件数・比率・スポンサー系/第三者の区分)を表示するドリルダウンを実装。横棒グラフに行単位のクリック判定を追加した。もう一度タップで閉じる。</t>
  </si>
  <si>
    <t xml:space="preserve">◆物件ページ: 各物件にPM会社名を表示し、スポンサー系の場合は「系列」バッジを付与。並び替えに「PM会社名 順」を追加。</t>
  </si>
  <si>
    <t xml:space="preserve">◆提言5(委託契約)にPM会社データを根拠として追加: オフィスで委託構造を比較すると、ヒューリックリート1社/27物件(委託費率7.5%)、NTT都市開発リート2社/16物件(9.4%)、ジャパンリアルエステイト11社/71物件(10.8%)。1社集約ほど委託費率が低い傾向が見えるが、法人数が少なく統計的結論は出せない旨と、自社グループ委託か第三者かで意味が変わる旨を明記。</t>
  </si>
  <si>
    <t xml:space="preserve">◆起動アニメーション: アプリ起動時に利瞰マーク(五角形SVG)が拡大しながら迫り、ブランド名を経て本体へ遷移する演出を追加。描画完了後1.15秒で閉じ、端末が遅い場合も1.6秒で必ず閉じるフェイルセーフを実装。prefers-reduced-motionに対応し、動きを抑える設定の端末ではアニメーションを行わない。</t>
  </si>
  <si>
    <t xml:space="preserve">◆検証(5観点): ①ドリルダウン16回開閉で異常0 ②開閉トグルの正常動作 ③物件一覧のPM表示を絞込3条件で計72行確認 ④PM会社名順ソートの動作 ⑤全ビュー巡回で新規エラー0。全自動テスト(機能16項目・整合性・補足説明監査・レイアウト66パターン)もエラー0。</t>
  </si>
  <si>
    <t xml:space="preserve">【用途スコープ制への全面移行】(2026/8/9)</t>
  </si>
  <si>
    <t xml:space="preserve">◆設計変更: オフィスと住宅は費用構造(住宅は外注委託費が重く光熱費が軽い)も稼働の意味(住宅は入退去が常態)も異なり、混ぜた比較は解釈できない。そこで用途を絞込の一項目ではなく&lt;アプリ全体の前提&gt;として扱う「用途スコープ」を導入し、上部の絞込条件6種は廃止した。</t>
  </si>
  <si>
    <t xml:space="preserve">◆評価ページ: 偏差値50の基準を用途別に持つ構成に変更。オフィス135物件／住宅39物件それぞれの平均像を基準線とし、同一用途の個別物件を金色で重ね合わせる。実測で両用途とも全5軸の基準偏差値が50に揃うことを確認。</t>
  </si>
  <si>
    <t xml:space="preserve">◆投資法人の選択は物件を探すための絞込に限定し、基準線・偏差値・順位・グレードには一切影響しない仕様とした(実測で基準線が変化しないことを検証)。従来の「投資法人の保有物件全体の偏差値表示」は廃止。</t>
  </si>
  <si>
    <t xml:space="preserve">◆概況・分析ページも用途スコープに連動。オフィス634物件(粗利回り中央値5.79%)と住宅400物件(4.91%)で全チャートの母集団が切り替わる。</t>
  </si>
  <si>
    <t xml:space="preserve">◆物件をタップして評価タブへ遷移する際、その物件の用途がスコープと異なる場合は自動でスコープを切り替える。</t>
  </si>
  <si>
    <t xml:space="preserve">◆検証(5観点): ①両用途の基準線が各軸50 ②全174物件(オフィス135+住宅39)で順位・グレードの不整合0件 ③法人絞込が基準線に影響しないこと ④概況・分析の母集団切替 ⑤エラー0。自動テストも17項目すべて通過。</t>
  </si>
  <si>
    <t xml:space="preserve">◆テストの更新: 廃止した絞込プルダウンへの参照を除去し、用途スコープの切替を検査対象に追加した。</t>
  </si>
  <si>
    <t xml:space="preserve">【UI整理と全体整合性の徹底監査】(2026/8/9)</t>
  </si>
  <si>
    <t xml:space="preserve">◆削除: ①認証ペインの集計軸から「用途」(用途スコープで固定済みのため冗長) ②LEED取得物件vs未取得物件のカード(LEED取得4件すべて粗利回り非開示で比較が成立しないため) ③評価ページの建物用途プルダウン(用途スコープに一本化)。</t>
  </si>
  <si>
    <t xml:space="preserve">◆変更: 評価ページの投資法人ラベルを「投資法人」→「投資法人を選ぶ」に。物件を探すための絞込であり評価基準には影響しないことを明確化。</t>
  </si>
  <si>
    <t xml:space="preserve">◆検出71: PM会社ペインが用途スコープを無視して全1,233物件で集計していた — 分母が1,233のまま表示され、オフィス634/住宅400と整合しなかった。→判明率・PM会社別受託数・スポンサー系比率・運営コスト比較のすべてを用途スコープ内で集計するよう修正。住宅ではPM判明377/400物件(94.3%)、PM会社28社。</t>
  </si>
  <si>
    <t xml:space="preserve">◆検出72: 横棒グラフのクリックリスナーが再描画のたびに増加していた — ドリルダウン実装の副作用で、20巡の反復操作でリスナーが16→36に増加。→リスナーは初回のみ登録し、当たり判定情報を要素に保持して差し替える方式に変更。反復後も16のまま(増加0)を確認。</t>
  </si>
  <si>
    <t xml:space="preserve">◆検出73: 安定性テストと機能テストが削除済みUIを参照していた。→用途スコープの往復検査に置き換え。</t>
  </si>
  <si>
    <t xml:space="preserve">◆監査体制の強化: 全10観点の整合性監査をtests/consistencyA・Bとして自動テストに組み込んだ。①KPIと実データの一致 ②評価タブの基準線50と順位グレード整合 ③削除機能の残存 ④全ビュー全セグメント両用途の異常表記 ⑤ヘルプ参照整合 ⑥提言の根拠値 ⑦戦略プロファイル ⑧PMペインの分母 ⑨物件一覧の件数 ⑩スコープ往復後の状態。</t>
  </si>
  <si>
    <t xml:space="preserve">◆最終結果: 機能テスト17項目・整合性・補足説明監査・整合性監査10観点・レイアウト64パターン、すべてエラー0/要修正0。評価対象174物件(オフィス135+住宅39)で順位グレードの不整合0件。</t>
  </si>
  <si>
    <t xml:space="preserve">【セキュリティを含む全面監査】(2026/8/9)</t>
  </si>
  <si>
    <t xml:space="preserve">◆セキュリティ静的検査(0件): CSPハッシュがmeta/HTTPヘッダー両方で一致、script-srcにunsafe-inline/unsafe-evalなし、eval・new Function・document.write・innerHTMLへの変数直接代入・ブラウザストレージ・外部通信・外部URL・iframe・インラインイベント属性のいずれも検出なし。必須CSPディレクティブ7種とセキュリティヘッダー7種の存在も確認。</t>
  </si>
  <si>
    <t xml:space="preserve">◆セキュリティ動的検査(0件): PM会社名・PM系列・スポンサー系判定という新規フィールドに5種類のXSSペイロード(img onerror/script閉じ/属性ブレイクアウト/svg onload/javascriptスキーム)と__proto__を注入し、全ビュー・全ペイン・ドリルダウン・両用途スコープを巡回。XSS発火0件、注入要素0個、scriptタグは正規の4本のみ、プロトタイプ汚染なし。DOM改ざん(不正な用途ボタン追加・不正物件IDの選択)にも耐性を確認。</t>
  </si>
  <si>
    <t xml:space="preserve">◆データ正確性検査(0件): ①ビルド前後で1,257物件が完全一致 ②必須フィールドの欠損0・物件ID重複0 ③6指標が妥当な範囲内 ④PM会社1,128物件すべてにスポンサー系判定があり値も3種類のみ ⑤期中取得44件すべてで利回り等の指標が無効化されている。</t>
  </si>
  <si>
    <r>
      <rPr>
        <sz val="10"/>
        <rFont val="Arial"/>
        <family val="0"/>
        <charset val="1"/>
      </rPr>
      <t xml:space="preserve">◆DB</t>
    </r>
    <r>
      <rPr>
        <sz val="10"/>
        <rFont val="Noto Sans CJK SC"/>
        <family val="2"/>
      </rPr>
      <t xml:space="preserve">整合検査</t>
    </r>
    <r>
      <rPr>
        <sz val="10"/>
        <rFont val="Arial"/>
        <family val="0"/>
        <charset val="1"/>
      </rPr>
      <t xml:space="preserve">(0</t>
    </r>
    <r>
      <rPr>
        <sz val="10"/>
        <rFont val="Noto Sans CJK SC"/>
        <family val="2"/>
      </rPr>
      <t xml:space="preserve">件</t>
    </r>
    <r>
      <rPr>
        <sz val="10"/>
        <rFont val="Arial"/>
        <family val="0"/>
        <charset val="1"/>
      </rPr>
      <t xml:space="preserve">): </t>
    </r>
    <r>
      <rPr>
        <sz val="10"/>
        <rFont val="Noto Sans CJK SC"/>
        <family val="2"/>
      </rPr>
      <t xml:space="preserve">物件マスタ</t>
    </r>
    <r>
      <rPr>
        <sz val="10"/>
        <rFont val="Arial"/>
        <family val="0"/>
        <charset val="1"/>
      </rPr>
      <t xml:space="preserve">1,257</t>
    </r>
    <r>
      <rPr>
        <sz val="10"/>
        <rFont val="Noto Sans CJK SC"/>
        <family val="2"/>
      </rPr>
      <t xml:space="preserve">物件とアプリデータの法人</t>
    </r>
    <r>
      <rPr>
        <sz val="10"/>
        <rFont val="Arial"/>
        <family val="0"/>
        <charset val="1"/>
      </rPr>
      <t xml:space="preserve">ID</t>
    </r>
    <r>
      <rPr>
        <sz val="10"/>
        <rFont val="Noto Sans CJK SC"/>
        <family val="2"/>
      </rPr>
      <t xml:space="preserve">・物件名・鑑定評価額が全件一致。</t>
    </r>
    <r>
      <rPr>
        <sz val="10"/>
        <rFont val="Arial"/>
        <family val="0"/>
        <charset val="1"/>
      </rPr>
      <t xml:space="preserve">PM</t>
    </r>
    <r>
      <rPr>
        <sz val="10"/>
        <rFont val="Noto Sans CJK SC"/>
        <family val="2"/>
      </rPr>
      <t xml:space="preserve">会社シート</t>
    </r>
    <r>
      <rPr>
        <sz val="10"/>
        <rFont val="Arial"/>
        <family val="0"/>
        <charset val="1"/>
      </rPr>
      <t xml:space="preserve">1,128</t>
    </r>
    <r>
      <rPr>
        <sz val="10"/>
        <rFont val="Noto Sans CJK SC"/>
        <family val="2"/>
      </rPr>
      <t xml:space="preserve">件とアプリの</t>
    </r>
    <r>
      <rPr>
        <sz val="10"/>
        <rFont val="Arial"/>
        <family val="0"/>
        <charset val="1"/>
      </rPr>
      <t xml:space="preserve">pm_co/pm_sp</t>
    </r>
    <r>
      <rPr>
        <sz val="10"/>
        <rFont val="Noto Sans CJK SC"/>
        <family val="2"/>
      </rPr>
      <t xml:space="preserve">が全件一致。環境認証</t>
    </r>
    <r>
      <rPr>
        <sz val="10"/>
        <rFont val="Arial"/>
        <family val="0"/>
        <charset val="1"/>
      </rPr>
      <t xml:space="preserve">745</t>
    </r>
    <r>
      <rPr>
        <sz val="10"/>
        <rFont val="Noto Sans CJK SC"/>
        <family val="2"/>
      </rPr>
      <t xml:space="preserve">物件も一致。</t>
    </r>
  </si>
  <si>
    <t xml:space="preserve">◆検出74: 横棒グラフのクリックリスナーが再描画のたびに増加(16→36)。ドリルダウン実装の副作用。→リスナーを初回のみ登録し当たり判定情報を差し替える方式に変更、増加0を確認。</t>
  </si>
  <si>
    <t xml:space="preserve">◆検査体制: 自動テストを11本に拡充し、npm testで全て実行される。機能17項目・状態安定性・XSS・CSP静的検査・新機能の攻撃面・データ正確性・関数の重複欠落・説明文の陳腐化・整合性10観点・レイアウト64パターン。GitHub ActionsのCIもnpm testに統一。</t>
  </si>
  <si>
    <t xml:space="preserve">◆最終結果: 全11本のテストで要修正0件・エラー0件。</t>
  </si>
  <si>
    <t xml:space="preserve">【説明文の全面刷新と提言の用途別分岐】(2026/8/9)</t>
  </si>
  <si>
    <t xml:space="preserve">◆検出75: 用途スコープ導入で廃止した機能への言及が13箇所残存 — 「上部の検索・絞込は5つのタブすべてに同時に効きます」「採点母集団を同用途内に切り替えると」「評価対象199物件を母数として」「プルダウンで投資法人や用途を絞ると比較の基準線が切り替わる」等。すべて現行仕様に書き換え、最終検査で残存0件を確認。</t>
  </si>
  <si>
    <t xml:space="preserve">◆検出76(重大): オフィスと住宅で提言の内容が同一で、数値だけ差し替えていた。実測すると両者は構造が根本的に異なり、同じ打ち手を示すことは実務上ミスリードとなる。</t>
  </si>
  <si>
    <t xml:space="preserve">  実測した4つの構造差: ①水道光熱費の「計上なし」比率が住宅64%・オフィス9%(住宅は各戸が入居者と直接契約するためオーナーの削減余地は共用部に限られる) ②満室物件の比率がオフィス73%・住宅24%(住宅は入退去が常態で、目標は空室ゼロでなく空室期間の短縮) ③修繕費の対収入比が住宅7.0%・オフィス2.5%と2.8倍差(住宅は退去毎の原状回復が積み上がる) ④ZEB認証は非住宅向け制度のため住宅の取得0件。</t>
  </si>
  <si>
    <t xml:space="preserve">  →是正: 提言6手のうち3手を用途別に差し替えた。オフィスの「BM/省エネ(熱源制御・外気冷房)」「BM/修繕計画(築20年の段差)」に対し、住宅は「BM/原状回復(仕様標準化・工期短縮)」「BM/光熱費(負担者が違うため共用部に限定)」。取得・リーシング・委託契約・環境認証も住宅の実態に即した内容に書き換え。</t>
  </si>
  <si>
    <t xml:space="preserve">◆本文中の固定値10項目を実データと照合し全て一致を確認(住宅修繕費7.0%、倍率2.8倍、光熱費計上なし64%、満室率24%/73%、オフィス下位10%稼働94.8%、鑑定中央値5,905百万円など)。</t>
  </si>
  <si>
    <t xml:space="preserve">◆ヘルプ項目「オフィスと住宅で分析を分ける理由」を新設し、4つの構造差を根拠とともに明示。</t>
  </si>
  <si>
    <t xml:space="preserve">◆検証: 自動テスト13本すべてで要修正0件・エラー0件。陳腐化パターン8種の最終検査でも残存0件。</t>
  </si>
  <si>
    <t xml:space="preserve">【17法人目の追加: セントラル・リート投資法人（旧ザイマックス・リート）】(2026/8/16)</t>
  </si>
  <si>
    <t xml:space="preserve">◆重要な発見: 同法人は2025年11月21日の投資主総会承認により「ザイマックス・リート投資法人」から「セントラル・リート投資法人」へ商号変更。2025年10月に名鉄都市開発が資産運用会社の51%を取得し、ザイマックスグループとのダブルスポンサー体制へ移行した。法人IDはCTR、証券コードは3488で変更なし。</t>
  </si>
  <si>
    <t xml:space="preserve">◆収録データ: 20物件（2026年3月30日現在）。取得価格合計50,591百万円は公式サイトの505.9億円と完全一致。鑑定評価額合計64,624百万円。用途はオフィス11・商業6・ホテル2・住宅1。</t>
  </si>
  <si>
    <t xml:space="preserve">◆環境認証: 公式サステナビリティページから物件別ランクまで収録。CASBEE不動産10件（Sランク9・Aランク1）、BELS4件（★5のエニシオ名駅、★4札幌大通、★3ビスタ仙台、★2東麻布）。認証取得12物件は公式値と完全一致。</t>
  </si>
  <si>
    <t xml:space="preserve">◆検出77(重大・自己作り込み): 取得年月を推定で入力し、6件が実データと相違していた（札幌大通2022-09→2022-03、木場公園2022-06→2022-03、戸塚フロント2021-03→2021-07、バロー勝川2021-09→2022-01、からくさホテル2024-03→2024-09、西葛西2022-09→2022-03）。→2026年3月17日付プレスリリースの参考資料2から全20件を一次情報で確定。「推定は行わない」という収録方針に自ら違反しており、以後は一次情報が取れるまで空欄とする運用を徹底する。</t>
  </si>
  <si>
    <t xml:space="preserve">◆検出78: BELS★数の変換誤り — DBの「★5」形式から★記号を1個と数えており、全4件が★1になっていた。→数字部分を読み取る方式に修正。</t>
  </si>
  <si>
    <t xml:space="preserve">◆物件別収支は非開示: 同法人は物件別の賃貸事業収支を開示していないため、第16期の法人合計のみ収録（収入2,156・費用1,058・償却193・NOI 1,291百万円）。検算で収入−費用＋償却＝NOIが一致することを確認。したがって5軸評価の対象外となる。</t>
  </si>
  <si>
    <r>
      <rPr>
        <sz val="10"/>
        <rFont val="Arial"/>
        <family val="0"/>
        <charset val="1"/>
      </rPr>
      <t xml:space="preserve">◆PM</t>
    </r>
    <r>
      <rPr>
        <sz val="10"/>
        <rFont val="Noto Sans CJK SC"/>
        <family val="2"/>
      </rPr>
      <t xml:space="preserve">会社</t>
    </r>
    <r>
      <rPr>
        <sz val="10"/>
        <rFont val="Arial"/>
        <family val="0"/>
        <charset val="1"/>
      </rPr>
      <t xml:space="preserve">: </t>
    </r>
    <r>
      <rPr>
        <sz val="10"/>
        <rFont val="Noto Sans CJK SC"/>
        <family val="2"/>
      </rPr>
      <t xml:space="preserve">有報には「株式会社ザイマックスが</t>
    </r>
    <r>
      <rPr>
        <sz val="10"/>
        <rFont val="Arial"/>
        <family val="0"/>
        <charset val="1"/>
      </rPr>
      <t xml:space="preserve">13</t>
    </r>
    <r>
      <rPr>
        <sz val="10"/>
        <rFont val="Noto Sans CJK SC"/>
        <family val="2"/>
      </rPr>
      <t xml:space="preserve">物件を受託」との記載があるが物件別の対応表は非開示。ただし名古屋</t>
    </r>
    <r>
      <rPr>
        <sz val="10"/>
        <rFont val="Arial"/>
        <family val="0"/>
        <charset val="1"/>
      </rPr>
      <t xml:space="preserve">2</t>
    </r>
    <r>
      <rPr>
        <sz val="10"/>
        <rFont val="Noto Sans CJK SC"/>
        <family val="2"/>
      </rPr>
      <t xml:space="preserve">物件については取得プレスリリースに「株式会社ザイマックス東海」と明記されており、この</t>
    </r>
    <r>
      <rPr>
        <sz val="10"/>
        <rFont val="Arial"/>
        <family val="0"/>
        <charset val="1"/>
      </rPr>
      <t xml:space="preserve">2</t>
    </r>
    <r>
      <rPr>
        <sz val="10"/>
        <rFont val="Noto Sans CJK SC"/>
        <family val="2"/>
      </rPr>
      <t xml:space="preserve">件のみ物件別に収録した。</t>
    </r>
  </si>
  <si>
    <t xml:space="preserve">◆データ充足: 所有形態・持分割合・取得年月・取得価格・鑑定評価額は20/20で完全充足。延床面積18/20、竣工年月18/20（バロー勝川店は底地のため建物情報なし、からくさホテル札幌は準共有20%で未開示）。稼働率・テナント数・PMLは名古屋2物件のみ判明（他は非開示）。</t>
  </si>
  <si>
    <t xml:space="preserve">◆検証(5観点): ①取得価格合計が公式値と完全一致 ②用途・エリア構成 ③認証12物件が公式値と一致・BELS★5を確認 ④異常値0件 ⑤含み損益率は全体+27.7%（最大は東上野ビル+58.3%）。自動テスト13本すべてエラー0・要修正0。</t>
  </si>
  <si>
    <t xml:space="preserve">【18法人目の追加: Oneリート投資法人】(2026/8/16)</t>
  </si>
  <si>
    <t xml:space="preserve">◆収録: 34物件（2026年7月30日現在）。取得価格合計151,202百万円は公式サイトの投資比率合計100.0%と整合。鑑定評価額172,755百万円、賃貸可能面積201,022.24㎡。用途はオフィス27・ホテル7。</t>
  </si>
  <si>
    <t xml:space="preserve">◆最大の収穫: 第25期(2026年2月期)決算短信の参考情報「個別物件の収益状況」に、26物件の費用内訳(管理業務費・水道光熱費・公租公課・損害保険料・修繕費・その他・減価償却費)とNOI・資本的支出・テナント数・稼働率が完全開示されていた。これにより5軸評価の対象が199→225物件、オフィスは135→161物件に拡大した。費用内訳を開示する法人は5→6法人となる。</t>
  </si>
  <si>
    <t xml:space="preserve">◆データ検算: 物件別の費用内訳合計と費用計の残差は最大1千円(千円未満の端数処理による)。収入内訳(賃料+その他)と収益計、収益計-費用計とNOIも全26物件で整合を確認。</t>
  </si>
  <si>
    <t xml:space="preserve">◆環境認証: 公式サステナビリティページから物件別ランクを収録。CASBEE不動産21件(Sランク2・Aランク18・B+1)、DBJ Green Building 3件、BELS 2件(ONEST箱崎ビルは6つ星)。25物件が認証を保有し、34物件に対する保有率は73.5%。同一物件で複数年の記載がある場合は最新の再取得年を採用。</t>
  </si>
  <si>
    <t xml:space="preserve">◆検出79(重大・自己作り込み): 稼働率の列に賃貸面積を投入していた(PLタプルの添字を誤り、[15]の賃貸面積を稼働率として格納)。中央値が3,918%という異常値で検出。→正しい添字[16]から再投入。</t>
  </si>
  <si>
    <t xml:space="preserve">◆検出80: 稼働率の格納形式が既存法人と不統一だった。既存16法人は小数(1=100%)形式だが、CTRとORIは百分率(100=100%)で投入していた。→両法人を小数形式に統一(CTR 2件・ORI 28件を修正)。</t>
  </si>
  <si>
    <t xml:space="preserve">◆エリア区分の統一: CTR投入時にC5/T23/TKN/M3という独自表記を使っていたため、既存の日本語表記(都心5区/その他東京23区/東京周辺都市部/その他3大都市圏/3大都市圏以外の政令市)に統一した(20件)。</t>
  </si>
  <si>
    <t xml:space="preserve">◆非開示項目: コンフォートイン名古屋栄駅前とカンデオホテルズ京都烏丸六角は賃借人の同意が得られず収益・費用が非開示(NOIと減価償却費のみ開示)。2026年3月19日取得の6物件は第25期決算短信に建物概要の記載がないため竣工年月等が空欄。</t>
  </si>
  <si>
    <t xml:space="preserve">◆検証(5観点): ①取得価格合計が公式値と一致 ②粗利回り中央値6.54%・NOIマージン71.5%と妥当な範囲 ③費用構成の中央値(外注委託8.9%・水道光熱8.1%・公租公課8.4%・修繕2.9%・減価償却12.6%) ④異常値0件 ⑤含み損益率は中央+6.9%(最大+71.2%・最小-4.3%)。自動テスト13本すべてエラー0・要修正0。</t>
  </si>
  <si>
    <t xml:space="preserve">【提言ページの削除とGRESBページの新設】(2026/8/16)</t>
  </si>
  <si>
    <t xml:space="preserve">◆提言ページを一式削除。アプリのタブは「概況・分析・物件・評価・GRESB」の5構成となった。ヘルプ内の提言への言及3箇所も現行仕様に書き換え、残存0件を確認。</t>
  </si>
  <si>
    <r>
      <rPr>
        <sz val="10"/>
        <rFont val="Arial"/>
        <family val="0"/>
        <charset val="1"/>
      </rPr>
      <t xml:space="preserve">◆DB</t>
    </r>
    <r>
      <rPr>
        <sz val="10"/>
        <rFont val="Noto Sans CJK SC"/>
        <family val="2"/>
      </rPr>
      <t xml:space="preserve">に</t>
    </r>
    <r>
      <rPr>
        <sz val="10"/>
        <rFont val="Arial"/>
        <family val="0"/>
        <charset val="1"/>
      </rPr>
      <t xml:space="preserve">3</t>
    </r>
    <r>
      <rPr>
        <sz val="10"/>
        <rFont val="Noto Sans CJK SC"/>
        <family val="2"/>
      </rPr>
      <t xml:space="preserve">シートを新設</t>
    </r>
    <r>
      <rPr>
        <sz val="10"/>
        <rFont val="Arial"/>
        <family val="0"/>
        <charset val="1"/>
      </rPr>
      <t xml:space="preserve">: </t>
    </r>
    <r>
      <rPr>
        <sz val="10"/>
        <rFont val="Noto Sans CJK SC"/>
        <family val="2"/>
      </rPr>
      <t xml:space="preserve">「</t>
    </r>
    <r>
      <rPr>
        <sz val="10"/>
        <rFont val="Arial"/>
        <family val="0"/>
        <charset val="1"/>
      </rPr>
      <t xml:space="preserve">GRESB</t>
    </r>
    <r>
      <rPr>
        <sz val="10"/>
        <rFont val="Noto Sans CJK SC"/>
        <family val="2"/>
      </rPr>
      <t xml:space="preserve">評価」</t>
    </r>
    <r>
      <rPr>
        <sz val="10"/>
        <rFont val="Arial"/>
        <family val="0"/>
        <charset val="1"/>
      </rPr>
      <t xml:space="preserve">(18</t>
    </r>
    <r>
      <rPr>
        <sz val="10"/>
        <rFont val="Noto Sans CJK SC"/>
        <family val="2"/>
      </rPr>
      <t xml:space="preserve">法人の</t>
    </r>
    <r>
      <rPr>
        <sz val="10"/>
        <rFont val="Arial"/>
        <family val="0"/>
        <charset val="1"/>
      </rPr>
      <t xml:space="preserve">2025</t>
    </r>
    <r>
      <rPr>
        <sz val="10"/>
        <rFont val="Noto Sans CJK SC"/>
        <family val="2"/>
      </rPr>
      <t xml:space="preserve">年星数・五分位・グリーンスター・開示評価・情報源</t>
    </r>
    <r>
      <rPr>
        <sz val="10"/>
        <rFont val="Arial"/>
        <family val="0"/>
        <charset val="1"/>
      </rPr>
      <t xml:space="preserve">)</t>
    </r>
    <r>
      <rPr>
        <sz val="10"/>
        <rFont val="Noto Sans CJK SC"/>
        <family val="2"/>
      </rPr>
      <t xml:space="preserve">、「</t>
    </r>
    <r>
      <rPr>
        <sz val="10"/>
        <rFont val="Arial"/>
        <family val="0"/>
        <charset val="1"/>
      </rPr>
      <t xml:space="preserve">GRESB_MC30</t>
    </r>
    <r>
      <rPr>
        <sz val="10"/>
        <rFont val="Noto Sans CJK SC"/>
        <family val="2"/>
      </rPr>
      <t xml:space="preserve">点」</t>
    </r>
    <r>
      <rPr>
        <sz val="10"/>
        <rFont val="Arial"/>
        <family val="0"/>
        <charset val="1"/>
      </rPr>
      <t xml:space="preserve">(</t>
    </r>
    <r>
      <rPr>
        <sz val="10"/>
        <rFont val="Noto Sans CJK SC"/>
        <family val="2"/>
      </rPr>
      <t xml:space="preserve">マネジメント</t>
    </r>
    <r>
      <rPr>
        <sz val="10"/>
        <rFont val="Arial"/>
        <family val="0"/>
        <charset val="1"/>
      </rPr>
      <t xml:space="preserve">31</t>
    </r>
    <r>
      <rPr>
        <sz val="10"/>
        <rFont val="Noto Sans CJK SC"/>
        <family val="2"/>
      </rPr>
      <t xml:space="preserve">指標の配点と要求水準</t>
    </r>
    <r>
      <rPr>
        <sz val="10"/>
        <rFont val="Arial"/>
        <family val="0"/>
        <charset val="1"/>
      </rPr>
      <t xml:space="preserve">)</t>
    </r>
    <r>
      <rPr>
        <sz val="10"/>
        <rFont val="Noto Sans CJK SC"/>
        <family val="2"/>
      </rPr>
      <t xml:space="preserve">、「</t>
    </r>
    <r>
      <rPr>
        <sz val="10"/>
        <rFont val="Arial"/>
        <family val="0"/>
        <charset val="1"/>
      </rPr>
      <t xml:space="preserve">GRESB_PC70</t>
    </r>
    <r>
      <rPr>
        <sz val="10"/>
        <rFont val="Noto Sans CJK SC"/>
        <family val="2"/>
      </rPr>
      <t xml:space="preserve">点」</t>
    </r>
    <r>
      <rPr>
        <sz val="10"/>
        <rFont val="Arial"/>
        <family val="0"/>
        <charset val="1"/>
      </rPr>
      <t xml:space="preserve">(</t>
    </r>
    <r>
      <rPr>
        <sz val="10"/>
        <rFont val="Noto Sans CJK SC"/>
        <family val="2"/>
      </rPr>
      <t xml:space="preserve">パフォーマンス</t>
    </r>
    <r>
      <rPr>
        <sz val="10"/>
        <rFont val="Arial"/>
        <family val="0"/>
        <charset val="1"/>
      </rPr>
      <t xml:space="preserve">26</t>
    </r>
    <r>
      <rPr>
        <sz val="10"/>
        <rFont val="Noto Sans CJK SC"/>
        <family val="2"/>
      </rPr>
      <t xml:space="preserve">指標</t>
    </r>
    <r>
      <rPr>
        <sz val="10"/>
        <rFont val="Arial"/>
        <family val="0"/>
        <charset val="1"/>
      </rPr>
      <t xml:space="preserve">)</t>
    </r>
    <r>
      <rPr>
        <sz val="10"/>
        <rFont val="Noto Sans CJK SC"/>
        <family val="2"/>
      </rPr>
      <t xml:space="preserve">。オフィス系</t>
    </r>
    <r>
      <rPr>
        <sz val="10"/>
        <rFont val="Arial"/>
        <family val="0"/>
        <charset val="1"/>
      </rPr>
      <t xml:space="preserve">J-REIT</t>
    </r>
    <r>
      <rPr>
        <sz val="10"/>
        <rFont val="Noto Sans CJK SC"/>
        <family val="2"/>
      </rPr>
      <t xml:space="preserve">が受審するのはスタンディング・インベストメント・ベンチマークのため、開発対象の</t>
    </r>
    <r>
      <rPr>
        <sz val="10"/>
        <rFont val="Arial"/>
        <family val="0"/>
        <charset val="1"/>
      </rPr>
      <t xml:space="preserve">DC70</t>
    </r>
    <r>
      <rPr>
        <sz val="10"/>
        <rFont val="Noto Sans CJK SC"/>
        <family val="2"/>
      </rPr>
      <t xml:space="preserve">点と住宅セクター特例は収録対象外とした。</t>
    </r>
  </si>
  <si>
    <t xml:space="preserve">◆星数の分布(18法人): ★5が5法人(NBF・JRE・GOR・JPR・KDX)、★4が10法人、★3が2法人(ICG・SHR)、★2が1法人(SKR)。平均4.1。</t>
  </si>
  <si>
    <r>
      <rPr>
        <sz val="10"/>
        <rFont val="Arial"/>
        <family val="0"/>
        <charset val="1"/>
      </rPr>
      <t xml:space="preserve">◆GRESB</t>
    </r>
    <r>
      <rPr>
        <sz val="10"/>
        <rFont val="Noto Sans CJK SC"/>
        <family val="2"/>
      </rPr>
      <t xml:space="preserve">ページの構成</t>
    </r>
    <r>
      <rPr>
        <sz val="10"/>
        <rFont val="Arial"/>
        <family val="0"/>
        <charset val="1"/>
      </rPr>
      <t xml:space="preserve">: ①18</t>
    </r>
    <r>
      <rPr>
        <sz val="10"/>
        <rFont val="Noto Sans CJK SC"/>
        <family val="2"/>
      </rPr>
      <t xml:space="preserve">法人の星数一覧 ②</t>
    </r>
    <r>
      <rPr>
        <sz val="10"/>
        <rFont val="Arial"/>
        <family val="0"/>
        <charset val="1"/>
      </rPr>
      <t xml:space="preserve">100</t>
    </r>
    <r>
      <rPr>
        <sz val="10"/>
        <rFont val="Noto Sans CJK SC"/>
        <family val="2"/>
      </rPr>
      <t xml:space="preserve">点の構成</t>
    </r>
    <r>
      <rPr>
        <sz val="10"/>
        <rFont val="Arial"/>
        <family val="0"/>
        <charset val="1"/>
      </rPr>
      <t xml:space="preserve">(MC30+PC70) ③</t>
    </r>
    <r>
      <rPr>
        <sz val="10"/>
        <rFont val="Noto Sans CJK SC"/>
        <family val="2"/>
      </rPr>
      <t xml:space="preserve">静的採点</t>
    </r>
    <r>
      <rPr>
        <sz val="10"/>
        <rFont val="Arial"/>
        <family val="0"/>
        <charset val="1"/>
      </rPr>
      <t xml:space="preserve">57.5</t>
    </r>
    <r>
      <rPr>
        <sz val="10"/>
        <rFont val="Noto Sans CJK SC"/>
        <family val="2"/>
      </rPr>
      <t xml:space="preserve">点と相対採点</t>
    </r>
    <r>
      <rPr>
        <sz val="10"/>
        <rFont val="Arial"/>
        <family val="0"/>
        <charset val="1"/>
      </rPr>
      <t xml:space="preserve">42.5</t>
    </r>
    <r>
      <rPr>
        <sz val="10"/>
        <rFont val="Noto Sans CJK SC"/>
        <family val="2"/>
      </rPr>
      <t xml:space="preserve">点の対比 ④指標別配点</t>
    </r>
    <r>
      <rPr>
        <sz val="10"/>
        <rFont val="Arial"/>
        <family val="0"/>
        <charset val="1"/>
      </rPr>
      <t xml:space="preserve">(MC/PC</t>
    </r>
    <r>
      <rPr>
        <sz val="10"/>
        <rFont val="Noto Sans CJK SC"/>
        <family val="2"/>
      </rPr>
      <t xml:space="preserve">切替</t>
    </r>
    <r>
      <rPr>
        <sz val="10"/>
        <rFont val="Arial"/>
        <family val="0"/>
        <charset val="1"/>
      </rPr>
      <t xml:space="preserve">) ⑤ESG</t>
    </r>
    <r>
      <rPr>
        <sz val="10"/>
        <rFont val="Noto Sans CJK SC"/>
        <family val="2"/>
      </rPr>
      <t xml:space="preserve">次元の配分 ⑥オフィス</t>
    </r>
    <r>
      <rPr>
        <sz val="10"/>
        <rFont val="Arial"/>
        <family val="0"/>
        <charset val="1"/>
      </rPr>
      <t xml:space="preserve">REIT</t>
    </r>
    <r>
      <rPr>
        <sz val="10"/>
        <rFont val="Noto Sans CJK SC"/>
        <family val="2"/>
      </rPr>
      <t xml:space="preserve">が動かせる打ち手</t>
    </r>
    <r>
      <rPr>
        <sz val="10"/>
        <rFont val="Arial"/>
        <family val="0"/>
        <charset val="1"/>
      </rPr>
      <t xml:space="preserve">5</t>
    </r>
    <r>
      <rPr>
        <sz val="10"/>
        <rFont val="Noto Sans CJK SC"/>
        <family val="2"/>
      </rPr>
      <t xml:space="preserve">つ ⑦</t>
    </r>
    <r>
      <rPr>
        <sz val="10"/>
        <rFont val="Arial"/>
        <family val="0"/>
        <charset val="1"/>
      </rPr>
      <t xml:space="preserve">2026</t>
    </r>
    <r>
      <rPr>
        <sz val="10"/>
        <rFont val="Noto Sans CJK SC"/>
        <family val="2"/>
      </rPr>
      <t xml:space="preserve">年基準の変更</t>
    </r>
    <r>
      <rPr>
        <sz val="10"/>
        <rFont val="Arial"/>
        <family val="0"/>
        <charset val="1"/>
      </rPr>
      <t xml:space="preserve">11</t>
    </r>
    <r>
      <rPr>
        <sz val="10"/>
        <rFont val="Noto Sans CJK SC"/>
        <family val="2"/>
      </rPr>
      <t xml:space="preserve">項目。添付の</t>
    </r>
    <r>
      <rPr>
        <sz val="10"/>
        <rFont val="Arial"/>
        <family val="0"/>
        <charset val="1"/>
      </rPr>
      <t xml:space="preserve">GRESB</t>
    </r>
    <r>
      <rPr>
        <sz val="10"/>
        <rFont val="Noto Sans CJK SC"/>
        <family val="2"/>
      </rPr>
      <t xml:space="preserve">ロゴを</t>
    </r>
    <r>
      <rPr>
        <sz val="10"/>
        <rFont val="Arial"/>
        <family val="0"/>
        <charset val="1"/>
      </rPr>
      <t xml:space="preserve">Base64</t>
    </r>
    <r>
      <rPr>
        <sz val="10"/>
        <rFont val="Noto Sans CJK SC"/>
        <family val="2"/>
      </rPr>
      <t xml:space="preserve">で埋め込み。</t>
    </r>
  </si>
  <si>
    <t xml:space="preserve">◆収録した構造の要点: (1)星は参加者内での五分位順位で決まるため自社の点数が上がっても他社次第で下がる (2)MCはE:0%/S:34%/G:66%で実質ガバナンス評価、PCはE:89%/S:11%/G:0%で実質環境評価と正反対 (3)100点のうち57.5点は静的採点で自力満点が可能、42.5点は相対採点で事前推定不能 (4)PC最大配点はEN1エネルギー消費14点でPCの20%、上位4指標で36.5点 (5)2026年は気候リスク管理が2→4点と最大の増点、省エネ・節水・廃棄物の施策報告は3→1点に圧縮。</t>
  </si>
  <si>
    <t xml:space="preserve">◆検出81(自己作り込み): drawPlays関数の削除時にbuildSelects・closeSplash・drawHits・drawRead・CKH・MONOFの6件を巻き込んで削除。整合性テストで検出し復元。</t>
  </si>
  <si>
    <t xml:space="preserve">◆検証(5観点): ①提言の残存0件 ②星数18法人の表示 ③MC31指標の配点合計が30.00点・PC26指標が70.00点と公式値に完全一致 ④ヘルプ8項目すべて表示 ⑤用途スコープ切替後も正常動作。自動テスト13本すべてエラー0・要修正0。</t>
  </si>
  <si>
    <t xml:space="preserve">【CTR・ORIのPM会社追加とDB全面整理】(2026/8/16)</t>
  </si>
  <si>
    <r>
      <rPr>
        <sz val="10"/>
        <rFont val="Arial"/>
        <family val="0"/>
        <charset val="1"/>
      </rPr>
      <t xml:space="preserve">◆GRESB</t>
    </r>
    <r>
      <rPr>
        <sz val="10"/>
        <rFont val="Noto Sans CJK SC"/>
        <family val="2"/>
      </rPr>
      <t xml:space="preserve">の五分位（段階）の情報を</t>
    </r>
    <r>
      <rPr>
        <sz val="10"/>
        <rFont val="Arial"/>
        <family val="0"/>
        <charset val="1"/>
      </rPr>
      <t xml:space="preserve">DB</t>
    </r>
    <r>
      <rPr>
        <sz val="10"/>
        <rFont val="Noto Sans CJK SC"/>
        <family val="2"/>
      </rPr>
      <t xml:space="preserve">・アプリの双方から削除。星が順位で決まる仕組みの説明は残した。</t>
    </r>
  </si>
  <si>
    <t xml:space="preserve">◆有価証券報告書からPM会社を追加収録: セントラル・リート18物件（保有20物件の90.0%・PM5社）、Oneリート28物件（34物件の82.4%・PM9社）。名寄せ不一致0件。累計1,174物件。</t>
  </si>
  <si>
    <r>
      <rPr>
        <sz val="10"/>
        <rFont val="Arial"/>
        <family val="0"/>
        <charset val="1"/>
      </rPr>
      <t xml:space="preserve">◆CTR</t>
    </r>
    <r>
      <rPr>
        <sz val="10"/>
        <rFont val="Noto Sans CJK SC"/>
        <family val="2"/>
      </rPr>
      <t xml:space="preserve">の内訳</t>
    </r>
    <r>
      <rPr>
        <sz val="10"/>
        <rFont val="Arial"/>
        <family val="0"/>
        <charset val="1"/>
      </rPr>
      <t xml:space="preserve">: </t>
    </r>
    <r>
      <rPr>
        <sz val="10"/>
        <rFont val="Noto Sans CJK SC"/>
        <family val="2"/>
      </rPr>
      <t xml:space="preserve">株式会社ザイマックス</t>
    </r>
    <r>
      <rPr>
        <sz val="10"/>
        <rFont val="Arial"/>
        <family val="0"/>
        <charset val="1"/>
      </rPr>
      <t xml:space="preserve">13</t>
    </r>
    <r>
      <rPr>
        <sz val="10"/>
        <rFont val="Noto Sans CJK SC"/>
        <family val="2"/>
      </rPr>
      <t xml:space="preserve">物件（有報本文の「</t>
    </r>
    <r>
      <rPr>
        <sz val="10"/>
        <rFont val="Arial"/>
        <family val="0"/>
        <charset val="1"/>
      </rPr>
      <t xml:space="preserve">13</t>
    </r>
    <r>
      <rPr>
        <sz val="10"/>
        <rFont val="Noto Sans CJK SC"/>
        <family val="2"/>
      </rPr>
      <t xml:space="preserve">物件を受託」との記載と完全一致）、ザイマックス北海道</t>
    </r>
    <r>
      <rPr>
        <sz val="10"/>
        <rFont val="Arial"/>
        <family val="0"/>
        <charset val="1"/>
      </rPr>
      <t xml:space="preserve">2</t>
    </r>
    <r>
      <rPr>
        <sz val="10"/>
        <rFont val="Noto Sans CJK SC"/>
        <family val="2"/>
      </rPr>
      <t xml:space="preserve">・ザイマックス関西</t>
    </r>
    <r>
      <rPr>
        <sz val="10"/>
        <rFont val="Arial"/>
        <family val="0"/>
        <charset val="1"/>
      </rPr>
      <t xml:space="preserve">1</t>
    </r>
    <r>
      <rPr>
        <sz val="10"/>
        <rFont val="Noto Sans CJK SC"/>
        <family val="2"/>
      </rPr>
      <t xml:space="preserve">・</t>
    </r>
    <r>
      <rPr>
        <sz val="10"/>
        <rFont val="Arial"/>
        <family val="0"/>
        <charset val="1"/>
      </rPr>
      <t xml:space="preserve">JLL</t>
    </r>
    <r>
      <rPr>
        <sz val="10"/>
        <rFont val="Noto Sans CJK SC"/>
        <family val="2"/>
      </rPr>
      <t xml:space="preserve">リテールマネジメント</t>
    </r>
    <r>
      <rPr>
        <sz val="10"/>
        <rFont val="Arial"/>
        <family val="0"/>
        <charset val="1"/>
      </rPr>
      <t xml:space="preserve">1</t>
    </r>
    <r>
      <rPr>
        <sz val="10"/>
        <rFont val="Noto Sans CJK SC"/>
        <family val="2"/>
      </rPr>
      <t xml:space="preserve">・大和ライフネクスト</t>
    </r>
    <r>
      <rPr>
        <sz val="10"/>
        <rFont val="Arial"/>
        <family val="0"/>
        <charset val="1"/>
      </rPr>
      <t xml:space="preserve">1</t>
    </r>
    <r>
      <rPr>
        <sz val="10"/>
        <rFont val="Noto Sans CJK SC"/>
        <family val="2"/>
      </rPr>
      <t xml:space="preserve">。スポンサー系比率</t>
    </r>
    <r>
      <rPr>
        <sz val="10"/>
        <rFont val="Arial"/>
        <family val="0"/>
        <charset val="1"/>
      </rPr>
      <t xml:space="preserve">88.9%</t>
    </r>
    <r>
      <rPr>
        <sz val="10"/>
        <rFont val="Noto Sans CJK SC"/>
        <family val="2"/>
      </rPr>
      <t xml:space="preserve">。</t>
    </r>
  </si>
  <si>
    <r>
      <rPr>
        <sz val="10"/>
        <rFont val="Arial"/>
        <family val="0"/>
        <charset val="1"/>
      </rPr>
      <t xml:space="preserve">◆ORI</t>
    </r>
    <r>
      <rPr>
        <sz val="10"/>
        <rFont val="Noto Sans CJK SC"/>
        <family val="2"/>
      </rPr>
      <t xml:space="preserve">の内訳</t>
    </r>
    <r>
      <rPr>
        <sz val="10"/>
        <rFont val="Arial"/>
        <family val="0"/>
        <charset val="1"/>
      </rPr>
      <t xml:space="preserve">: </t>
    </r>
    <r>
      <rPr>
        <sz val="10"/>
        <rFont val="Noto Sans CJK SC"/>
        <family val="2"/>
      </rPr>
      <t xml:space="preserve">東洋不動産プロパティマネジメント</t>
    </r>
    <r>
      <rPr>
        <sz val="10"/>
        <rFont val="Arial"/>
        <family val="0"/>
        <charset val="1"/>
      </rPr>
      <t xml:space="preserve">10</t>
    </r>
    <r>
      <rPr>
        <sz val="10"/>
        <rFont val="Noto Sans CJK SC"/>
        <family val="2"/>
      </rPr>
      <t xml:space="preserve">物件、ザイマックス</t>
    </r>
    <r>
      <rPr>
        <sz val="10"/>
        <rFont val="Arial"/>
        <family val="0"/>
        <charset val="1"/>
      </rPr>
      <t xml:space="preserve">6</t>
    </r>
    <r>
      <rPr>
        <sz val="10"/>
        <rFont val="Noto Sans CJK SC"/>
        <family val="2"/>
      </rPr>
      <t xml:space="preserve">、エム・エス・ビルサポート</t>
    </r>
    <r>
      <rPr>
        <sz val="10"/>
        <rFont val="Arial"/>
        <family val="0"/>
        <charset val="1"/>
      </rPr>
      <t xml:space="preserve">5</t>
    </r>
    <r>
      <rPr>
        <sz val="10"/>
        <rFont val="Noto Sans CJK SC"/>
        <family val="2"/>
      </rPr>
      <t xml:space="preserve">、ザイマックス東海</t>
    </r>
    <r>
      <rPr>
        <sz val="10"/>
        <rFont val="Arial"/>
        <family val="0"/>
        <charset val="1"/>
      </rPr>
      <t xml:space="preserve">2</t>
    </r>
    <r>
      <rPr>
        <sz val="10"/>
        <rFont val="Noto Sans CJK SC"/>
        <family val="2"/>
      </rPr>
      <t xml:space="preserve">、第一ビルディング・伊藤忠アーバンコミュニティ等。スポンサーのみずほ信託銀行は</t>
    </r>
    <r>
      <rPr>
        <sz val="10"/>
        <rFont val="Arial"/>
        <family val="0"/>
        <charset val="1"/>
      </rPr>
      <t xml:space="preserve">PM</t>
    </r>
    <r>
      <rPr>
        <sz val="10"/>
        <rFont val="Noto Sans CJK SC"/>
        <family val="2"/>
      </rPr>
      <t xml:space="preserve">会社に該当しないためスポンサー系比率</t>
    </r>
    <r>
      <rPr>
        <sz val="10"/>
        <rFont val="Arial"/>
        <family val="0"/>
        <charset val="1"/>
      </rPr>
      <t xml:space="preserve">0%</t>
    </r>
    <r>
      <rPr>
        <sz val="10"/>
        <rFont val="Noto Sans CJK SC"/>
        <family val="2"/>
      </rPr>
      <t xml:space="preserve">。</t>
    </r>
  </si>
  <si>
    <t xml:space="preserve">◆検出82(重大・自己作り込み): 法人ID順の並べ替え処理で物件マスタのORI 26行・物件収支26行・環境認証11行が重複していた。物件マスタが1,337物件（実1,311）となりORIの保有物件数が60と誤表示。→重複を除去し全シートで再検証。</t>
  </si>
  <si>
    <t xml:space="preserve">◆検出83: 「比較ビュー」シートが古いままでORIが6物件しか反映されていなかった。→物件マスタから全面再生成し1,311物件・18法人に統一。</t>
  </si>
  <si>
    <t xml:space="preserve">◆検出84: PM会社_集計シートが16法人でCTR・ORIが欠落していた。→18法人で再生成。</t>
  </si>
  <si>
    <t xml:space="preserve">◆記載順序の統一: 全8シート（法人マスタ・物件マスタ・物件収支・環境認証・PM会社_物件別・PM会社_集計・投資法人戦略・GRESB評価）の法人ID出現順を法人マスタ順（NBF→JRE→…→CTR→ORI）に統一。物件マスタ・物件収支・PM会社_物件別・環境認証の4シートで順序が不統一だったものを是正した。</t>
  </si>
  <si>
    <t xml:space="preserve">◆アプリの説明文を最新化: 費用内訳を開示する法人が「5法人」のままだった箇所8件を「6法人（JRE・MHR・HLC・NUD・MTR・ORI）」に修正。費用構成の算定対象を225物件→219物件に是正。</t>
  </si>
  <si>
    <t xml:space="preserve">◆検証(5観点): ①KPIの実データ照合（オフィス672物件・粗利回り5.82%、住宅401物件・4.91%）②PM会社ペインの分母 ③GRESB18法人・五分位の削除 ④評価タブの基準線50 ⑤戦略プロファイル18法人で異常表記0。DB整合も5観点で要修正0件。自動テスト13本すべてエラー0。</t>
  </si>
  <si>
    <t xml:space="preserve">【評価ページの是正とUI改善】(2026/8/16)</t>
  </si>
  <si>
    <t xml:space="preserve">◆検出85(最重大): CORP_L（法人ラベル定義）にCTRとORIが登録されていなかった。前回の追加処理が別の場所に入っており実際には未反映。このため評価タブの投資法人プルダウンからORI 26物件が欠落し、法人別の合計が135となって評価対象161物件と一致していなかった。→CORP_L・CORP_Cに正しく追加し、合計161で一致することを確認。</t>
  </si>
  <si>
    <t xml:space="preserve">◆検出86: レーダーチャートの軸がmin=25/max=75の固定で、偏差値の実レンジ（22.6〜77.4）の両端がクリップされ、外れ値のプロットが枠外に出ていた。→表示データの実測値から動的に軸を取る方式（下限20以下・上限80以上を保証）に変更し、クリップを解消。</t>
  </si>
  <si>
    <t xml:space="preserve">◆物件ページに投資法人での絞込機能を追加。一覧のみに作用し、概況・分析・評価の母集団には影響しない設計とした（法人別件数の合計が対象物件数と一致することを検証）。</t>
  </si>
  <si>
    <t xml:space="preserve">◆検出87: 認証分析の指標「稼働率」でラベルが10箇所重なっていた。オフィスの72%が稼働率100%で、認証あり・なしの両群とも中央値100.0%と判別力がないことが原因。→指標から除外し「規模（鑑定評価額）」に置き換え。</t>
  </si>
  <si>
    <t xml:space="preserve">◆概況のKPIを実データと再照合し、すべて正確であることを確認: オフィス672物件（期中譲渡24件を除く）、粗利回り中央値5.82%（n=565／収入非開示84件・期中取得19件を除く）、NOI利回り3.87%（n=162）、認証保有率70%（470物件／評価額ベース86%）。</t>
  </si>
  <si>
    <t xml:space="preserve">◆全体整合の自動検査を tests/consistencyC.test.cjs として新設。①法人ラベル18法人の網羅 ②各プルダウンの法人別合計と対象物件数の一致 ③戦略プルダウン18法人 ④全評価カード200物件の順位整合 ⑤全ビュー152操作の異常表記。これによりCORP_L欠落のような定義漏れが機械的に検出できる体制とした。</t>
  </si>
  <si>
    <t xml:space="preserve">◆検証: 自動テスト14本すべてエラー0・要修正0。レイアウト検査も幅390/1280の両方で文字重なり0件。</t>
  </si>
  <si>
    <t xml:space="preserve">【データベースの不要記載の監査と削除】(2026/8/16)</t>
  </si>
  <si>
    <t xml:space="preserve">◆完全に空の列を20件削除: 物件マスタ2列・物件収支4列（いずれも見出しもデータもない残骸）、比較ビュー14列（対象決算期・賃貸事業収入・NOI利回り等。再生成時に値が入らなくなっていた）。</t>
  </si>
  <si>
    <t xml:space="preserve">◆「比較ビュー」シートを削除。残る12列すべてが物件マスタの部分集合で、独自の情報を持たないため（物件マスタにない列は「投資法人名」のみで、これは法人IDから導出可能）。データの二重管理を解消した。</t>
  </si>
  <si>
    <t xml:space="preserve">◆環境認証シートの完全に空の行3件を削除（920行に）。</t>
  </si>
  <si>
    <t xml:space="preserve">◆シートの並び順を論理順に整理: README → 法人マスタ → 投資法人戦略 → 物件マスタ → 物件収支 → 環境認証 → PM会社_物件別 → PM会社_集計 → GRESB評価 → GRESB_MC30点 → GRESB_PC70点。法人単位の情報から物件単位へ、最後に評価という流れに統一。</t>
  </si>
  <si>
    <t xml:space="preserve">◆法人マスタのMTRの決算月が「要確認」のままだった。→有価証券報告書（第48期＝2025年9月1日〜2026年2月28日）から「2月・8月」と確定。全18法人で未確定の記載0件。</t>
  </si>
  <si>
    <t xml:space="preserve">◆物件収支の備考にあった列参照（「U列」「P列」等）を列名に置換（208件）。列を削除したことで参照がずれる問題を根本的に解消した。</t>
  </si>
  <si>
    <t xml:space="preserve">◆監査結果: 全11シートで完全に空の列0件・空行0件、列参照の残存0件、未確定の記載0件。物件マスタ1,311物件・PM会社1,174件ともにアプリデータと完全一致。自動テスト14本すべてエラー0。</t>
  </si>
  <si>
    <t xml:space="preserve">【物件タブの絞込・ソート改修】(2026/8/16)</t>
  </si>
  <si>
    <t xml:space="preserve">◆ソートを3系統6項目に整理: 利回り（高い順・低い順）／稼働率（高い順・低い順）／築年数（新しい順・古い順）。物件を比べる目的に直結する軸のみを残し、NOI利回り・含み損益率・PM会社名・経費率・取得価格の5項目は削除して絞込で代替する設計とした。</t>
  </si>
  <si>
    <t xml:space="preserve">◆絞込を3種に拡張: 投資法人・環境認証・PM会社。互いに掛け合わせが効く。環境認証は「あり／なし」に加えて認証種別（ZEB・BELS／DBJ Green Building／CASBEE／LEED）でも絞れる。PM会社は受託物件数の多い順に80社を列挙。</t>
  </si>
  <si>
    <t xml:space="preserve">◆各プルダウンの件数は「自分以外の絞込を反映した実数」を表示する方式とした。法人を選ぶと認証・PM会社の件数もその法人内の数に変わるため、選んだ結果が0件になることがない。0件の選択肢は自動的に非表示。</t>
  </si>
  <si>
    <t xml:space="preserve">◆この絞込は物件タブの一覧にのみ作用し、概況・分析・評価の母集団には影響しない。ヘルプ項目「物件タブの絞込とソート」を新設してこの設計思想を明記した。</t>
  </si>
  <si>
    <t xml:space="preserve">◆整合性検査 tests/consistencyD.test.cjs を新設: ①ソート6種の動作 ②絞込3種の件数と実データの一致 ③掛け合わせ時の整合 ④KPIの実データ照合（物件数・粗利回り中央値・n数） ⑤全ビュー144操作の異常表記。自動テストは15本構成となった。</t>
  </si>
  <si>
    <t xml:space="preserve">◆検証: 自動テスト15本すべてエラー0・要修正0。機能テスト17項目、レイアウト検査も幅390/1280で文字重なり0件。</t>
  </si>
  <si>
    <r>
      <rPr>
        <b val="true"/>
        <sz val="10"/>
        <rFont val="Noto Sans CJK SC"/>
        <family val="2"/>
      </rPr>
      <t xml:space="preserve">【物件タブの</t>
    </r>
    <r>
      <rPr>
        <b val="true"/>
        <sz val="10"/>
        <rFont val="Arial"/>
        <family val="0"/>
        <charset val="1"/>
      </rPr>
      <t xml:space="preserve">UI</t>
    </r>
    <r>
      <rPr>
        <b val="true"/>
        <sz val="10"/>
        <rFont val="Noto Sans CJK SC"/>
        <family val="2"/>
      </rPr>
      <t xml:space="preserve">是正】</t>
    </r>
    <r>
      <rPr>
        <b val="true"/>
        <sz val="10"/>
        <rFont val="Arial"/>
        <family val="0"/>
        <charset val="1"/>
      </rPr>
      <t xml:space="preserve">(2026/8/16)</t>
    </r>
  </si>
  <si>
    <r>
      <rPr>
        <sz val="10"/>
        <rFont val="Noto Sans CJK SC"/>
        <family val="2"/>
      </rPr>
      <t xml:space="preserve">◆検出</t>
    </r>
    <r>
      <rPr>
        <sz val="10"/>
        <rFont val="Arial"/>
        <family val="0"/>
        <charset val="1"/>
      </rPr>
      <t xml:space="preserve">88: </t>
    </r>
    <r>
      <rPr>
        <sz val="10"/>
        <rFont val="Noto Sans CJK SC"/>
        <family val="2"/>
      </rPr>
      <t xml:space="preserve">前回追加した絞込</t>
    </r>
    <r>
      <rPr>
        <sz val="10"/>
        <rFont val="Arial"/>
        <family val="0"/>
        <charset val="1"/>
      </rPr>
      <t xml:space="preserve">3</t>
    </r>
    <r>
      <rPr>
        <sz val="10"/>
        <rFont val="Noto Sans CJK SC"/>
        <family val="2"/>
      </rPr>
      <t xml:space="preserve">種（投資法人・環境認証・</t>
    </r>
    <r>
      <rPr>
        <sz val="10"/>
        <rFont val="Arial"/>
        <family val="0"/>
        <charset val="1"/>
      </rPr>
      <t xml:space="preserve">PM</t>
    </r>
    <r>
      <rPr>
        <sz val="10"/>
        <rFont val="Noto Sans CJK SC"/>
        <family val="2"/>
      </rPr>
      <t xml:space="preserve">会社）が画面に表示されていなかった。</t>
    </r>
    <r>
      <rPr>
        <sz val="10"/>
        <rFont val="Arial"/>
        <family val="0"/>
        <charset val="1"/>
      </rPr>
      <t xml:space="preserve">HTML</t>
    </r>
    <r>
      <rPr>
        <sz val="10"/>
        <rFont val="Noto Sans CJK SC"/>
        <family val="2"/>
      </rPr>
      <t xml:space="preserve">に </t>
    </r>
    <r>
      <rPr>
        <sz val="10"/>
        <rFont val="Arial"/>
        <family val="0"/>
        <charset val="1"/>
      </rPr>
      <t xml:space="preserve">.selects </t>
    </r>
    <r>
      <rPr>
        <sz val="10"/>
        <rFont val="Noto Sans CJK SC"/>
        <family val="2"/>
      </rPr>
      <t xml:space="preserve">クラスを使っていたが、これは旧絞込パネル用で</t>
    </r>
    <r>
      <rPr>
        <sz val="10"/>
        <rFont val="Arial"/>
        <family val="0"/>
        <charset val="1"/>
      </rPr>
      <t xml:space="preserve">CSS</t>
    </r>
    <r>
      <rPr>
        <sz val="10"/>
        <rFont val="Noto Sans CJK SC"/>
        <family val="2"/>
      </rPr>
      <t xml:space="preserve">に </t>
    </r>
    <r>
      <rPr>
        <sz val="10"/>
        <rFont val="Arial"/>
        <family val="0"/>
        <charset val="1"/>
      </rPr>
      <t xml:space="preserve">display:none </t>
    </r>
    <r>
      <rPr>
        <sz val="10"/>
        <rFont val="Noto Sans CJK SC"/>
        <family val="2"/>
      </rPr>
      <t xml:space="preserve">が指定されており、</t>
    </r>
    <r>
      <rPr>
        <sz val="10"/>
        <rFont val="Arial"/>
        <family val="0"/>
        <charset val="1"/>
      </rPr>
      <t xml:space="preserve">.open </t>
    </r>
    <r>
      <rPr>
        <sz val="10"/>
        <rFont val="Noto Sans CJK SC"/>
        <family val="2"/>
      </rPr>
      <t xml:space="preserve">が付かない限り非表示になる仕様だった。→専用の </t>
    </r>
    <r>
      <rPr>
        <sz val="10"/>
        <rFont val="Arial"/>
        <family val="0"/>
        <charset val="1"/>
      </rPr>
      <t xml:space="preserve">.prfilters </t>
    </r>
    <r>
      <rPr>
        <sz val="10"/>
        <rFont val="Noto Sans CJK SC"/>
        <family val="2"/>
      </rPr>
      <t xml:space="preserve">クラスを新設（</t>
    </r>
    <r>
      <rPr>
        <sz val="10"/>
        <rFont val="Arial"/>
        <family val="0"/>
        <charset val="1"/>
      </rPr>
      <t xml:space="preserve">1</t>
    </r>
    <r>
      <rPr>
        <sz val="10"/>
        <rFont val="Noto Sans CJK SC"/>
        <family val="2"/>
      </rPr>
      <t xml:space="preserve">列／</t>
    </r>
    <r>
      <rPr>
        <sz val="10"/>
        <rFont val="Arial"/>
        <family val="0"/>
        <charset val="1"/>
      </rPr>
      <t xml:space="preserve">640px</t>
    </r>
    <r>
      <rPr>
        <sz val="10"/>
        <rFont val="Noto Sans CJK SC"/>
        <family val="2"/>
      </rPr>
      <t xml:space="preserve">以上で</t>
    </r>
    <r>
      <rPr>
        <sz val="10"/>
        <rFont val="Arial"/>
        <family val="0"/>
        <charset val="1"/>
      </rPr>
      <t xml:space="preserve">3</t>
    </r>
    <r>
      <rPr>
        <sz val="10"/>
        <rFont val="Noto Sans CJK SC"/>
        <family val="2"/>
      </rPr>
      <t xml:space="preserve">列のグリッド）。選択中の項目は金色で強調表示する。</t>
    </r>
  </si>
  <si>
    <r>
      <rPr>
        <sz val="10"/>
        <rFont val="Noto Sans CJK SC"/>
        <family val="2"/>
      </rPr>
      <t xml:space="preserve">◆並び替えを</t>
    </r>
    <r>
      <rPr>
        <sz val="10"/>
        <rFont val="Arial"/>
        <family val="0"/>
        <charset val="1"/>
      </rPr>
      <t xml:space="preserve">6</t>
    </r>
    <r>
      <rPr>
        <sz val="10"/>
        <rFont val="Noto Sans CJK SC"/>
        <family val="2"/>
      </rPr>
      <t xml:space="preserve">ボタンから</t>
    </r>
    <r>
      <rPr>
        <sz val="10"/>
        <rFont val="Arial"/>
        <family val="0"/>
        <charset val="1"/>
      </rPr>
      <t xml:space="preserve">3</t>
    </r>
    <r>
      <rPr>
        <sz val="10"/>
        <rFont val="Noto Sans CJK SC"/>
        <family val="2"/>
      </rPr>
      <t xml:space="preserve">ボタンに統合。「高い順」「低い順」を別ボタンにする方式をやめ、軸ごとに</t>
    </r>
    <r>
      <rPr>
        <sz val="10"/>
        <rFont val="Arial"/>
        <family val="0"/>
        <charset val="1"/>
      </rPr>
      <t xml:space="preserve">1</t>
    </r>
    <r>
      <rPr>
        <sz val="10"/>
        <rFont val="Noto Sans CJK SC"/>
        <family val="2"/>
      </rPr>
      <t xml:space="preserve">ボタンとして矢印（↑↓）で方向を示し、選択中のボタンを再タップすると反転する方式に変更した。既定の向きは利回り・稼働率が降順、築年数が昇順（新しい順）。</t>
    </r>
  </si>
  <si>
    <r>
      <rPr>
        <sz val="10"/>
        <rFont val="Noto Sans CJK SC"/>
        <family val="2"/>
      </rPr>
      <t xml:space="preserve">◆デザイン</t>
    </r>
    <r>
      <rPr>
        <sz val="10"/>
        <rFont val="Arial"/>
        <family val="0"/>
        <charset val="1"/>
      </rPr>
      <t xml:space="preserve">: </t>
    </r>
    <r>
      <rPr>
        <sz val="10"/>
        <rFont val="Noto Sans CJK SC"/>
        <family val="2"/>
      </rPr>
      <t xml:space="preserve">ピル型（角丸</t>
    </r>
    <r>
      <rPr>
        <sz val="10"/>
        <rFont val="Arial"/>
        <family val="0"/>
        <charset val="1"/>
      </rPr>
      <t xml:space="preserve">999px</t>
    </r>
    <r>
      <rPr>
        <sz val="10"/>
        <rFont val="Noto Sans CJK SC"/>
        <family val="2"/>
      </rPr>
      <t xml:space="preserve">）のボタンに統一し、選択中は金色の枠線と淡い金色の背景で示す。矢印は非選択時に不透明度</t>
    </r>
    <r>
      <rPr>
        <sz val="10"/>
        <rFont val="Arial"/>
        <family val="0"/>
        <charset val="1"/>
      </rPr>
      <t xml:space="preserve">45%</t>
    </r>
    <r>
      <rPr>
        <sz val="10"/>
        <rFont val="Noto Sans CJK SC"/>
        <family val="2"/>
      </rPr>
      <t xml:space="preserve">で控えめに、選択時は</t>
    </r>
    <r>
      <rPr>
        <sz val="10"/>
        <rFont val="Arial"/>
        <family val="0"/>
        <charset val="1"/>
      </rPr>
      <t xml:space="preserve">100%</t>
    </r>
    <r>
      <rPr>
        <sz val="10"/>
        <rFont val="Noto Sans CJK SC"/>
        <family val="2"/>
      </rPr>
      <t xml:space="preserve">で表示。ホバー時に矢印がわずかに拡大する。</t>
    </r>
  </si>
  <si>
    <r>
      <rPr>
        <sz val="10"/>
        <rFont val="Noto Sans CJK SC"/>
        <family val="2"/>
      </rPr>
      <t xml:space="preserve">◆検証</t>
    </r>
    <r>
      <rPr>
        <sz val="10"/>
        <rFont val="Arial"/>
        <family val="0"/>
        <charset val="1"/>
      </rPr>
      <t xml:space="preserve">(5</t>
    </r>
    <r>
      <rPr>
        <sz val="10"/>
        <rFont val="Noto Sans CJK SC"/>
        <family val="2"/>
      </rPr>
      <t xml:space="preserve">観点</t>
    </r>
    <r>
      <rPr>
        <sz val="10"/>
        <rFont val="Arial"/>
        <family val="0"/>
        <charset val="1"/>
      </rPr>
      <t xml:space="preserve">): ①</t>
    </r>
    <r>
      <rPr>
        <sz val="10"/>
        <rFont val="Noto Sans CJK SC"/>
        <family val="2"/>
      </rPr>
      <t xml:space="preserve">絞込</t>
    </r>
    <r>
      <rPr>
        <sz val="10"/>
        <rFont val="Arial"/>
        <family val="0"/>
        <charset val="1"/>
      </rPr>
      <t xml:space="preserve">3</t>
    </r>
    <r>
      <rPr>
        <sz val="10"/>
        <rFont val="Noto Sans CJK SC"/>
        <family val="2"/>
      </rPr>
      <t xml:space="preserve">種の</t>
    </r>
    <r>
      <rPr>
        <sz val="10"/>
        <rFont val="Arial"/>
        <family val="0"/>
        <charset val="1"/>
      </rPr>
      <t xml:space="preserve">select</t>
    </r>
    <r>
      <rPr>
        <sz val="10"/>
        <rFont val="Noto Sans CJK SC"/>
        <family val="2"/>
      </rPr>
      <t xml:space="preserve">が表示される ②並び替えが</t>
    </r>
    <r>
      <rPr>
        <sz val="10"/>
        <rFont val="Arial"/>
        <family val="0"/>
        <charset val="1"/>
      </rPr>
      <t xml:space="preserve">3</t>
    </r>
    <r>
      <rPr>
        <sz val="10"/>
        <rFont val="Noto Sans CJK SC"/>
        <family val="2"/>
      </rPr>
      <t xml:space="preserve">ボタン ③</t>
    </r>
    <r>
      <rPr>
        <sz val="10"/>
        <rFont val="Arial"/>
        <family val="0"/>
        <charset val="1"/>
      </rPr>
      <t xml:space="preserve">3</t>
    </r>
    <r>
      <rPr>
        <sz val="10"/>
        <rFont val="Noto Sans CJK SC"/>
        <family val="2"/>
      </rPr>
      <t xml:space="preserve">軸すべてで方向トグルが動作 ④利回り降順が実データ順と一致 ⑤絞込とソートの併用が正常。自動テスト</t>
    </r>
    <r>
      <rPr>
        <sz val="10"/>
        <rFont val="Arial"/>
        <family val="0"/>
        <charset val="1"/>
      </rPr>
      <t xml:space="preserve">15</t>
    </r>
    <r>
      <rPr>
        <sz val="10"/>
        <rFont val="Noto Sans CJK SC"/>
        <family val="2"/>
      </rPr>
      <t xml:space="preserve">本すべてエラー</t>
    </r>
    <r>
      <rPr>
        <sz val="10"/>
        <rFont val="Arial"/>
        <family val="0"/>
        <charset val="1"/>
      </rPr>
      <t xml:space="preserve">0</t>
    </r>
    <r>
      <rPr>
        <sz val="10"/>
        <rFont val="Noto Sans CJK SC"/>
        <family val="2"/>
      </rPr>
      <t xml:space="preserve">・要修正</t>
    </r>
    <r>
      <rPr>
        <sz val="10"/>
        <rFont val="Arial"/>
        <family val="0"/>
        <charset val="1"/>
      </rPr>
      <t xml:space="preserve">0</t>
    </r>
    <r>
      <rPr>
        <sz val="10"/>
        <rFont val="Noto Sans CJK SC"/>
        <family val="2"/>
      </rPr>
      <t xml:space="preserve">、レイアウト検査も幅</t>
    </r>
    <r>
      <rPr>
        <sz val="10"/>
        <rFont val="Arial"/>
        <family val="0"/>
        <charset val="1"/>
      </rPr>
      <t xml:space="preserve">390/1280</t>
    </r>
    <r>
      <rPr>
        <sz val="10"/>
        <rFont val="Noto Sans CJK SC"/>
        <family val="2"/>
      </rPr>
      <t xml:space="preserve">で文字重なり</t>
    </r>
    <r>
      <rPr>
        <sz val="10"/>
        <rFont val="Arial"/>
        <family val="0"/>
        <charset val="1"/>
      </rPr>
      <t xml:space="preserve">0</t>
    </r>
    <r>
      <rPr>
        <sz val="10"/>
        <rFont val="Noto Sans CJK SC"/>
        <family val="2"/>
      </rPr>
      <t xml:space="preserve">件。</t>
    </r>
  </si>
  <si>
    <t xml:space="preserve">法人ID</t>
  </si>
  <si>
    <t xml:space="preserve">証券コード</t>
  </si>
  <si>
    <t xml:space="preserve">投資法人名</t>
  </si>
  <si>
    <t xml:space="preserve">運用タイプ</t>
  </si>
  <si>
    <t xml:space="preserve">オフィス比率の目安</t>
  </si>
  <si>
    <t xml:space="preserve">主要スポンサー</t>
  </si>
  <si>
    <t xml:space="preserve">決算月</t>
  </si>
  <si>
    <t xml:space="preserve">最新決算期（本DB収録対象）</t>
  </si>
  <si>
    <t xml:space="preserve">保有物件数（直近開示）</t>
  </si>
  <si>
    <t xml:space="preserve">取得価格合計(百万円)</t>
  </si>
  <si>
    <t xml:space="preserve">物件データ投入数</t>
  </si>
  <si>
    <t xml:space="preserve">確認ステータス</t>
  </si>
  <si>
    <t xml:space="preserve">備考</t>
  </si>
  <si>
    <t xml:space="preserve">NBF</t>
  </si>
  <si>
    <t xml:space="preserve">8951</t>
  </si>
  <si>
    <t xml:space="preserve">日本ビルファンド投資法人</t>
  </si>
  <si>
    <t xml:space="preserve">オフィス特化型</t>
  </si>
  <si>
    <t xml:space="preserve">ほぼ100%</t>
  </si>
  <si>
    <t xml:space="preserve">三井不動産・住友生命ほか</t>
  </si>
  <si>
    <r>
      <rPr>
        <sz val="10"/>
        <color rgb="FF0000FF"/>
        <rFont val="Arial"/>
        <family val="0"/>
        <charset val="1"/>
      </rPr>
      <t xml:space="preserve">6</t>
    </r>
    <r>
      <rPr>
        <sz val="10"/>
        <color rgb="FF0000FF"/>
        <rFont val="Noto Sans CJK SC"/>
        <family val="2"/>
      </rPr>
      <t xml:space="preserve">月・</t>
    </r>
    <r>
      <rPr>
        <sz val="10"/>
        <color rgb="FF0000FF"/>
        <rFont val="Arial"/>
        <family val="0"/>
        <charset val="1"/>
      </rPr>
      <t xml:space="preserve">12</t>
    </r>
    <r>
      <rPr>
        <sz val="10"/>
        <color rgb="FF0000FF"/>
        <rFont val="Noto Sans CJK SC"/>
        <family val="2"/>
      </rPr>
      <t xml:space="preserve">月</t>
    </r>
  </si>
  <si>
    <r>
      <rPr>
        <sz val="10"/>
        <color rgb="FF0000FF"/>
        <rFont val="Arial"/>
        <family val="0"/>
        <charset val="1"/>
      </rPr>
      <t xml:space="preserve">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月期（第</t>
    </r>
    <r>
      <rPr>
        <sz val="10"/>
        <color rgb="FF0000FF"/>
        <rFont val="Arial"/>
        <family val="0"/>
        <charset val="1"/>
      </rPr>
      <t xml:space="preserve">49</t>
    </r>
    <r>
      <rPr>
        <sz val="10"/>
        <color rgb="FF0000FF"/>
        <rFont val="Noto Sans CJK SC"/>
        <family val="2"/>
      </rPr>
      <t xml:space="preserve">期）</t>
    </r>
  </si>
  <si>
    <t xml:space="preserve">確認済（短信照合）</t>
  </si>
  <si>
    <t xml:space="preserve">決算月6月/12月。第49期短信より投入し5段階検証実施(2026/8/7)。※2026年6月期(第50期)短信は2026/8中旬公表見込み→公表後に差替検討。J-REIT最大規模・オフィス特化。格付JCR AA+/R&amp;I AA/S&amp;P A+。期末LTV43.3%・長期固定比率83.9%。収益開示59物件・非開示11物件(残差8,862百万円=一括比18.3%、取得価格比率19.2%と符合し整合確認済)。原資料の丸め表示に伴う合計欄と個別合算の微差は物件マスタNBF-ALL行注記参照</t>
  </si>
  <si>
    <t xml:space="preserve">JRE</t>
  </si>
  <si>
    <t xml:space="preserve">8952</t>
  </si>
  <si>
    <t xml:space="preserve">ジャパンリアルエステイト投資法人</t>
  </si>
  <si>
    <t xml:space="preserve">三菱地所ほか</t>
  </si>
  <si>
    <r>
      <rPr>
        <sz val="10"/>
        <color rgb="FF0000FF"/>
        <rFont val="Arial"/>
        <family val="0"/>
        <charset val="1"/>
      </rPr>
      <t xml:space="preserve">3</t>
    </r>
    <r>
      <rPr>
        <sz val="10"/>
        <color rgb="FF0000FF"/>
        <rFont val="Noto Sans CJK SC"/>
        <family val="2"/>
      </rPr>
      <t xml:space="preserve">月・</t>
    </r>
    <r>
      <rPr>
        <sz val="10"/>
        <color rgb="FF0000FF"/>
        <rFont val="Arial"/>
        <family val="0"/>
        <charset val="1"/>
      </rPr>
      <t xml:space="preserve">9</t>
    </r>
    <r>
      <rPr>
        <sz val="10"/>
        <color rgb="FF0000FF"/>
        <rFont val="Noto Sans CJK SC"/>
        <family val="2"/>
      </rPr>
      <t xml:space="preserve">月</t>
    </r>
  </si>
  <si>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3</t>
    </r>
    <r>
      <rPr>
        <sz val="10"/>
        <color rgb="FF0000FF"/>
        <rFont val="Noto Sans CJK SC"/>
        <family val="2"/>
      </rPr>
      <t xml:space="preserve">月期（第</t>
    </r>
    <r>
      <rPr>
        <sz val="10"/>
        <color rgb="FF0000FF"/>
        <rFont val="Arial"/>
        <family val="0"/>
        <charset val="1"/>
      </rPr>
      <t xml:space="preserve">49</t>
    </r>
    <r>
      <rPr>
        <sz val="10"/>
        <color rgb="FF0000FF"/>
        <rFont val="Noto Sans CJK SC"/>
        <family val="2"/>
      </rPr>
      <t xml:space="preserve">期）</t>
    </r>
  </si>
  <si>
    <t xml:space="preserve">日本初のJ-REIT2銘柄の一つ(2001/9上場・オフィス特化)。物件別収支は費用内訳までフル開示(76/79物件・百万円単位)。取得価格は千円単位開示でDB中最高精度。竣工年月は短信非掲載のため未収録。※第50期(2026年9月期)短信は2026/11中旬公表見込</t>
  </si>
  <si>
    <t xml:space="preserve">GOR</t>
  </si>
  <si>
    <t xml:space="preserve">8958</t>
  </si>
  <si>
    <t xml:space="preserve">グローバル・ワン不動産投資法人</t>
  </si>
  <si>
    <t xml:space="preserve">明治安田生命・近鉄グループHD・三菱UFJ信託ほか</t>
  </si>
  <si>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3</t>
    </r>
    <r>
      <rPr>
        <sz val="10"/>
        <color rgb="FF0000FF"/>
        <rFont val="Noto Sans CJK SC"/>
        <family val="2"/>
      </rPr>
      <t xml:space="preserve">月期（第</t>
    </r>
    <r>
      <rPr>
        <sz val="10"/>
        <color rgb="FF0000FF"/>
        <rFont val="Arial"/>
        <family val="0"/>
        <charset val="1"/>
      </rPr>
      <t xml:space="preserve">45</t>
    </r>
    <r>
      <rPr>
        <sz val="10"/>
        <color rgb="FF0000FF"/>
        <rFont val="Noto Sans CJK SC"/>
        <family val="2"/>
      </rPr>
      <t xml:space="preserve">期）</t>
    </r>
  </si>
  <si>
    <t xml:space="preserve">物件数・取得価格は2026/4/24現在（公式サイト）。物件・収支データは第45期短信より投入し5段階検証実施（2026/8/7）。物件収支の費用内訳は法人一括開示のみ（GOR-ALL行に収録）</t>
  </si>
  <si>
    <t xml:space="preserve">DOI</t>
  </si>
  <si>
    <t xml:space="preserve">8976</t>
  </si>
  <si>
    <t xml:space="preserve">大和証券オフィス投資法人</t>
  </si>
  <si>
    <t xml:space="preserve">大和証券グループ本社</t>
  </si>
  <si>
    <r>
      <rPr>
        <sz val="10"/>
        <color rgb="FF0000FF"/>
        <rFont val="Arial"/>
        <family val="0"/>
        <charset val="1"/>
      </rPr>
      <t xml:space="preserve">5</t>
    </r>
    <r>
      <rPr>
        <sz val="10"/>
        <color rgb="FF0000FF"/>
        <rFont val="Noto Sans CJK SC"/>
        <family val="2"/>
      </rPr>
      <t xml:space="preserve">月・</t>
    </r>
    <r>
      <rPr>
        <sz val="10"/>
        <color rgb="FF0000FF"/>
        <rFont val="Arial"/>
        <family val="0"/>
        <charset val="1"/>
      </rPr>
      <t xml:space="preserve">11</t>
    </r>
    <r>
      <rPr>
        <sz val="10"/>
        <color rgb="FF0000FF"/>
        <rFont val="Noto Sans CJK SC"/>
        <family val="2"/>
      </rPr>
      <t xml:space="preserve">月</t>
    </r>
  </si>
  <si>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5</t>
    </r>
    <r>
      <rPr>
        <sz val="10"/>
        <color rgb="FF0000FF"/>
        <rFont val="Noto Sans CJK SC"/>
        <family val="2"/>
      </rPr>
      <t xml:space="preserve">月期（第</t>
    </r>
    <r>
      <rPr>
        <sz val="10"/>
        <color rgb="FF0000FF"/>
        <rFont val="Arial"/>
        <family val="0"/>
        <charset val="1"/>
      </rPr>
      <t xml:space="preserve">41</t>
    </r>
    <r>
      <rPr>
        <sz val="10"/>
        <color rgb="FF0000FF"/>
        <rFont val="Noto Sans CJK SC"/>
        <family val="2"/>
      </rPr>
      <t xml:space="preserve">期）</t>
    </r>
  </si>
  <si>
    <t xml:space="preserve">決算月5月/11月。物件・収支は第41期短信より投入し5段階検証実施(2026/8/7)。物件別収益は千円単位開示だが7物件はテナント同意なく非開示。竣工年月・階数は短信開示(登記簿ベース)。2026/12/1効力で投資口1:4分割・自己投資口取得(上限15億円)を公表。個別物件収支データ(Excel)を別途公表しており物件別費用の将来拡充が可能</t>
  </si>
  <si>
    <t xml:space="preserve">ICG</t>
  </si>
  <si>
    <t xml:space="preserve">8975</t>
  </si>
  <si>
    <t xml:space="preserve">いちごオフィスリート投資法人</t>
  </si>
  <si>
    <t xml:space="preserve">オフィス主体型</t>
  </si>
  <si>
    <t xml:space="preserve">高</t>
  </si>
  <si>
    <t xml:space="preserve">いちご</t>
  </si>
  <si>
    <r>
      <rPr>
        <sz val="10"/>
        <color rgb="FF0000FF"/>
        <rFont val="Arial"/>
        <family val="0"/>
        <charset val="1"/>
      </rPr>
      <t xml:space="preserve">4</t>
    </r>
    <r>
      <rPr>
        <sz val="10"/>
        <color rgb="FF0000FF"/>
        <rFont val="Noto Sans CJK SC"/>
        <family val="2"/>
      </rPr>
      <t xml:space="preserve">月・</t>
    </r>
    <r>
      <rPr>
        <sz val="10"/>
        <color rgb="FF0000FF"/>
        <rFont val="Arial"/>
        <family val="0"/>
        <charset val="1"/>
      </rPr>
      <t xml:space="preserve">10</t>
    </r>
    <r>
      <rPr>
        <sz val="10"/>
        <color rgb="FF0000FF"/>
        <rFont val="Noto Sans CJK SC"/>
        <family val="2"/>
      </rPr>
      <t xml:space="preserve">月</t>
    </r>
  </si>
  <si>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月期（第</t>
    </r>
    <r>
      <rPr>
        <sz val="10"/>
        <color rgb="FF0000FF"/>
        <rFont val="Arial"/>
        <family val="0"/>
        <charset val="1"/>
      </rPr>
      <t xml:space="preserve">41</t>
    </r>
    <r>
      <rPr>
        <sz val="10"/>
        <color rgb="FF0000FF"/>
        <rFont val="Noto Sans CJK SC"/>
        <family val="2"/>
      </rPr>
      <t xml:space="preserve">期）</t>
    </r>
  </si>
  <si>
    <t xml:space="preserve">決算月4月/10月。第41期短信より投入し5段階検証実施(2026/8/7)。中規模オフィス特化型・87物件は16法人中最多クラスの小口分散。物件別に当期総賃料収入(その他収入含む発生ベース)をフル開示し88行合算が一括と整合(切捨て差42千円のみ)=MHRに次ぐ開示水準。ICG独自の地域区分(品川区含む「都心6区」等)は物件備考に保存。格付JCR A+。期末有利子負債126,638百万円。期後2026/7/17に4物件一括譲渡(住友商事・売却益約59億円)。※2026年10月期(第42期)短信は2026/12中旬公表見込→公表後更新検討</t>
  </si>
  <si>
    <t xml:space="preserve">JEI</t>
  </si>
  <si>
    <t xml:space="preserve">8987</t>
  </si>
  <si>
    <t xml:space="preserve">ジャパンエクセレント投資法人</t>
  </si>
  <si>
    <t xml:space="preserve">日鉄興和不動産・第一生命・積水ハウスほか</t>
  </si>
  <si>
    <r>
      <rPr>
        <sz val="10"/>
        <color rgb="FF0000FF"/>
        <rFont val="Arial"/>
        <family val="0"/>
        <charset val="1"/>
      </rPr>
      <t xml:space="preserve">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月期（第</t>
    </r>
    <r>
      <rPr>
        <sz val="10"/>
        <color rgb="FF0000FF"/>
        <rFont val="Arial"/>
        <family val="0"/>
        <charset val="1"/>
      </rPr>
      <t xml:space="preserve">39</t>
    </r>
    <r>
      <rPr>
        <sz val="10"/>
        <color rgb="FF0000FF"/>
        <rFont val="Noto Sans CJK SC"/>
        <family val="2"/>
      </rPr>
      <t xml:space="preserve">期）</t>
    </r>
  </si>
  <si>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6</t>
    </r>
    <r>
      <rPr>
        <sz val="10"/>
        <color rgb="FF0000FF"/>
        <rFont val="Noto Sans CJK SC"/>
        <family val="2"/>
      </rPr>
      <t xml:space="preserve">月期は</t>
    </r>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8</t>
    </r>
    <r>
      <rPr>
        <sz val="10"/>
        <color rgb="FF0000FF"/>
        <rFont val="Noto Sans CJK SC"/>
        <family val="2"/>
      </rPr>
      <t xml:space="preserve">月下旬公表見込み（公表後に収録対象期の更新を検討）。物件・収支データは第</t>
    </r>
    <r>
      <rPr>
        <sz val="10"/>
        <color rgb="FF0000FF"/>
        <rFont val="Arial"/>
        <family val="0"/>
        <charset val="1"/>
      </rPr>
      <t xml:space="preserve">39</t>
    </r>
    <r>
      <rPr>
        <sz val="10"/>
        <color rgb="FF0000FF"/>
        <rFont val="Noto Sans CJK SC"/>
        <family val="2"/>
      </rPr>
      <t xml:space="preserve">期短信より投入し</t>
    </r>
    <r>
      <rPr>
        <sz val="10"/>
        <color rgb="FF0000FF"/>
        <rFont val="Arial"/>
        <family val="0"/>
        <charset val="1"/>
      </rPr>
      <t xml:space="preserve">5</t>
    </r>
    <r>
      <rPr>
        <sz val="10"/>
        <color rgb="FF0000FF"/>
        <rFont val="Noto Sans CJK SC"/>
        <family val="2"/>
      </rPr>
      <t xml:space="preserve">段階検証実施（</t>
    </r>
    <r>
      <rPr>
        <sz val="10"/>
        <color rgb="FF0000FF"/>
        <rFont val="Arial"/>
        <family val="0"/>
        <charset val="1"/>
      </rPr>
      <t xml:space="preserve">2026/8/7</t>
    </r>
    <r>
      <rPr>
        <sz val="10"/>
        <color rgb="FF0000FF"/>
        <rFont val="Noto Sans CJK SC"/>
        <family val="2"/>
      </rPr>
      <t xml:space="preserve">）。物件別収益は千円単位開示だが</t>
    </r>
    <r>
      <rPr>
        <sz val="10"/>
        <color rgb="FF0000FF"/>
        <rFont val="Arial"/>
        <family val="0"/>
        <charset val="1"/>
      </rPr>
      <t xml:space="preserve">8</t>
    </r>
    <r>
      <rPr>
        <sz val="10"/>
        <color rgb="FF0000FF"/>
        <rFont val="Noto Sans CJK SC"/>
        <family val="2"/>
      </rPr>
      <t xml:space="preserve">物件はテナント同意なく非開示</t>
    </r>
  </si>
  <si>
    <t xml:space="preserve">MHR</t>
  </si>
  <si>
    <t xml:space="preserve">3234</t>
  </si>
  <si>
    <t xml:space="preserve">森ヒルズリート投資法人</t>
  </si>
  <si>
    <t xml:space="preserve">総合型（オフィス中心）</t>
  </si>
  <si>
    <t xml:space="preserve">約9割</t>
  </si>
  <si>
    <t xml:space="preserve">森ビル</t>
  </si>
  <si>
    <r>
      <rPr>
        <sz val="10"/>
        <color rgb="FF0000FF"/>
        <rFont val="Arial"/>
        <family val="0"/>
        <charset val="1"/>
      </rPr>
      <t xml:space="preserve">1</t>
    </r>
    <r>
      <rPr>
        <sz val="10"/>
        <color rgb="FF0000FF"/>
        <rFont val="Noto Sans CJK SC"/>
        <family val="2"/>
      </rPr>
      <t xml:space="preserve">月・</t>
    </r>
    <r>
      <rPr>
        <sz val="10"/>
        <color rgb="FF0000FF"/>
        <rFont val="Arial"/>
        <family val="0"/>
        <charset val="1"/>
      </rPr>
      <t xml:space="preserve">7</t>
    </r>
    <r>
      <rPr>
        <sz val="10"/>
        <color rgb="FF0000FF"/>
        <rFont val="Noto Sans CJK SC"/>
        <family val="2"/>
      </rPr>
      <t xml:space="preserve">月</t>
    </r>
  </si>
  <si>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1</t>
    </r>
    <r>
      <rPr>
        <sz val="10"/>
        <color rgb="FF0000FF"/>
        <rFont val="Noto Sans CJK SC"/>
        <family val="2"/>
      </rPr>
      <t xml:space="preserve">月期（第</t>
    </r>
    <r>
      <rPr>
        <sz val="10"/>
        <color rgb="FF0000FF"/>
        <rFont val="Arial"/>
        <family val="0"/>
        <charset val="1"/>
      </rPr>
      <t xml:space="preserve">39</t>
    </r>
    <r>
      <rPr>
        <sz val="10"/>
        <color rgb="FF0000FF"/>
        <rFont val="Noto Sans CJK SC"/>
        <family val="2"/>
      </rPr>
      <t xml:space="preserve">期）</t>
    </r>
  </si>
  <si>
    <t xml:space="preserve">決算月1月/7月。第39期短信より投入し5段階検証実施(2026/8/7)。16法人中初の物件別費用フル開示(11物件全て)。主要テナント森ビル(固定型ML中心、賃貸面積66.4%)。期後: ラフォーレ原宿底地各5%を2026/7・12に追加譲渡予定、自己投資口取得(上限10億円)実施済</t>
  </si>
  <si>
    <t xml:space="preserve">JPR</t>
  </si>
  <si>
    <t xml:space="preserve">8955</t>
  </si>
  <si>
    <t xml:space="preserve">日本プライムリアルティ投資法人</t>
  </si>
  <si>
    <t xml:space="preserve">複合型（オフィス＋商業）</t>
  </si>
  <si>
    <t xml:space="preserve">東京建物ほか</t>
  </si>
  <si>
    <r>
      <rPr>
        <sz val="10"/>
        <color rgb="FF0000FF"/>
        <rFont val="Arial"/>
        <family val="0"/>
        <charset val="1"/>
      </rPr>
      <t xml:space="preserve">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月期（第</t>
    </r>
    <r>
      <rPr>
        <sz val="10"/>
        <color rgb="FF0000FF"/>
        <rFont val="Arial"/>
        <family val="0"/>
        <charset val="1"/>
      </rPr>
      <t xml:space="preserve">48</t>
    </r>
    <r>
      <rPr>
        <sz val="10"/>
        <color rgb="FF0000FF"/>
        <rFont val="Noto Sans CJK SC"/>
        <family val="2"/>
      </rPr>
      <t xml:space="preserve">期）</t>
    </r>
  </si>
  <si>
    <t xml:space="preserve">決算月6月/12月。第48期短信(2026/3/10訂正=実績数値への影響なし)より投入し5段階検証実施(2026/8/7)。オフィス・都市型商業複合型(ホテル2物件含む)。JPR独自の地域区分(品川区含む「東京都心」等)は物件備考に保存。格付JCR AA/R&amp;I AA-/S&amp;P A(長期)。期末LTV43.4%・長期固定比率86.7%。開示51物件・非開示16物件(残差検証済)。期中譲渡HDC神戸を含め68行収録。取得価格合計欄と個別合算の1百万円差(切捨て由来)は物件マスタJPR-ALL行注記参照。2025/7/1投資口1:4分割</t>
  </si>
  <si>
    <t xml:space="preserve">TRE</t>
  </si>
  <si>
    <t xml:space="preserve">8957</t>
  </si>
  <si>
    <t xml:space="preserve">東急リアル・エステート投資法人</t>
  </si>
  <si>
    <t xml:space="preserve">東急</t>
  </si>
  <si>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1</t>
    </r>
    <r>
      <rPr>
        <sz val="10"/>
        <color rgb="FF0000FF"/>
        <rFont val="Noto Sans CJK SC"/>
        <family val="2"/>
      </rPr>
      <t xml:space="preserve">月期（第</t>
    </r>
    <r>
      <rPr>
        <sz val="10"/>
        <color rgb="FF0000FF"/>
        <rFont val="Arial"/>
        <family val="0"/>
        <charset val="1"/>
      </rPr>
      <t xml:space="preserve">45</t>
    </r>
    <r>
      <rPr>
        <sz val="10"/>
        <color rgb="FF0000FF"/>
        <rFont val="Noto Sans CJK SC"/>
        <family val="2"/>
      </rPr>
      <t xml:space="preserve">期）</t>
    </r>
  </si>
  <si>
    <t xml:space="preserve">決算月1月/7月。第45期短信より投入し5段階検証実施(2026/8/7)。渋谷・東急沿線特化型(商業・オフィス・住宅・複合)。物件別は帳簿・算定価額・契約賃料・PMLを開示する一方、取得価格・発生ベース収支は非開示という16法人中特異な開示スタイル(物件マスタ20・21・25列と備考に収録)。帳簿・月額賃料の合計欄と個別合算の各13千円差(切捨て由来)は物件マスタTRE-ALL行注記参照。格付JCR AA-/R&amp;I A+。期末有利子負債1,055億円・加重平均利率0.82%。※2026年7月期(第46期)短信は2026/9/14公表予定→公表後更新検討</t>
  </si>
  <si>
    <t xml:space="preserve">HLC</t>
  </si>
  <si>
    <t xml:space="preserve">3295</t>
  </si>
  <si>
    <t xml:space="preserve">ヒューリックリート投資法人</t>
  </si>
  <si>
    <t xml:space="preserve">複合型（東京コマーシャル＋次世代アセット）</t>
  </si>
  <si>
    <t xml:space="preserve">ヒューリック</t>
  </si>
  <si>
    <r>
      <rPr>
        <sz val="10"/>
        <color rgb="FF0000FF"/>
        <rFont val="Arial"/>
        <family val="0"/>
        <charset val="1"/>
      </rPr>
      <t xml:space="preserve">2</t>
    </r>
    <r>
      <rPr>
        <sz val="10"/>
        <color rgb="FF0000FF"/>
        <rFont val="Noto Sans CJK SC"/>
        <family val="2"/>
      </rPr>
      <t xml:space="preserve">月・</t>
    </r>
    <r>
      <rPr>
        <sz val="10"/>
        <color rgb="FF0000FF"/>
        <rFont val="Arial"/>
        <family val="0"/>
        <charset val="1"/>
      </rPr>
      <t xml:space="preserve">8</t>
    </r>
    <r>
      <rPr>
        <sz val="10"/>
        <color rgb="FF0000FF"/>
        <rFont val="Noto Sans CJK SC"/>
        <family val="2"/>
      </rPr>
      <t xml:space="preserve">月</t>
    </r>
  </si>
  <si>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月期（第</t>
    </r>
    <r>
      <rPr>
        <sz val="10"/>
        <color rgb="FF0000FF"/>
        <rFont val="Arial"/>
        <family val="0"/>
        <charset val="1"/>
      </rPr>
      <t xml:space="preserve">24</t>
    </r>
    <r>
      <rPr>
        <sz val="10"/>
        <color rgb="FF0000FF"/>
        <rFont val="Noto Sans CJK SC"/>
        <family val="2"/>
      </rPr>
      <t xml:space="preserve">期）</t>
    </r>
  </si>
  <si>
    <t xml:space="preserve">東京コマーシャル・プロパティ(オフィス・商業)重点+ホテル+次世代アセット。取得価格は百万円未満四捨五入。物件別収支フル開示46/67物件(費用内訳含む・NOIのみ22物件)。期後NC5物件譲渡→62物件。※第25期(2026年8月期)短信は2026/10中旬公表見込</t>
  </si>
  <si>
    <t xml:space="preserve">NUD</t>
  </si>
  <si>
    <t xml:space="preserve">8956</t>
  </si>
  <si>
    <r>
      <rPr>
        <sz val="10"/>
        <color rgb="FF0000FF"/>
        <rFont val="Arial"/>
        <family val="0"/>
        <charset val="1"/>
      </rPr>
      <t xml:space="preserve">NTT</t>
    </r>
    <r>
      <rPr>
        <sz val="10"/>
        <color rgb="FF0000FF"/>
        <rFont val="Noto Sans CJK SC"/>
        <family val="2"/>
      </rPr>
      <t xml:space="preserve">都市開発リート投資法人</t>
    </r>
  </si>
  <si>
    <t xml:space="preserve">複合型（オフィス＋住宅）</t>
  </si>
  <si>
    <t xml:space="preserve">中〜高</t>
  </si>
  <si>
    <r>
      <rPr>
        <sz val="10"/>
        <color rgb="FF0000FF"/>
        <rFont val="Arial"/>
        <family val="0"/>
        <charset val="1"/>
      </rPr>
      <t xml:space="preserve">NTT</t>
    </r>
    <r>
      <rPr>
        <sz val="10"/>
        <color rgb="FF0000FF"/>
        <rFont val="Noto Sans CJK SC"/>
        <family val="2"/>
      </rPr>
      <t xml:space="preserve">都市開発</t>
    </r>
  </si>
  <si>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月期（第</t>
    </r>
    <r>
      <rPr>
        <sz val="10"/>
        <color rgb="FF0000FF"/>
        <rFont val="Arial"/>
        <family val="0"/>
        <charset val="1"/>
      </rPr>
      <t xml:space="preserve">47</t>
    </r>
    <r>
      <rPr>
        <sz val="10"/>
        <color rgb="FF0000FF"/>
        <rFont val="Noto Sans CJK SC"/>
        <family val="2"/>
      </rPr>
      <t xml:space="preserve">期）</t>
    </r>
  </si>
  <si>
    <t xml:space="preserve">決算月4月/10月。第47期短信+公式ポートフォリオ一覧より投入し5段階検証実施(2026/8/7)。オフィス25+レジデンス36+優先出資証券1(秋葉原UDX19%)の複合型。物件別に費用内訳を含む損益をフル開示(百万円単位)=MHRに次ぐ第3の費用開示法人(非開示6物件は損益・NOIのみ開示、この2値の列解釈は用途計との突合で検証確定済)。NTTグループがテナント上位を占める(上位10テナント中8社・面積22.8%)。格付JCR AA。期末有利子負債147,250百万円(長期比率94.6%)。※2026年10月期(第48期)短信は2026/12中旬公表見込→公表後更新検討</t>
  </si>
  <si>
    <t xml:space="preserve">HFR</t>
  </si>
  <si>
    <t xml:space="preserve">8966</t>
  </si>
  <si>
    <t xml:space="preserve">平和不動産リート投資法人</t>
  </si>
  <si>
    <t xml:space="preserve">中</t>
  </si>
  <si>
    <t xml:space="preserve">平和不動産</t>
  </si>
  <si>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5</t>
    </r>
    <r>
      <rPr>
        <sz val="10"/>
        <color rgb="FF0000FF"/>
        <rFont val="Noto Sans CJK SC"/>
        <family val="2"/>
      </rPr>
      <t xml:space="preserve">月期（第</t>
    </r>
    <r>
      <rPr>
        <sz val="10"/>
        <color rgb="FF0000FF"/>
        <rFont val="Arial"/>
        <family val="0"/>
        <charset val="1"/>
      </rPr>
      <t xml:space="preserve">49</t>
    </r>
    <r>
      <rPr>
        <sz val="10"/>
        <color rgb="FF0000FF"/>
        <rFont val="Noto Sans CJK SC"/>
        <family val="2"/>
      </rPr>
      <t xml:space="preserve">期）</t>
    </r>
  </si>
  <si>
    <t xml:space="preserve">決算月5月/11月。第49期短信より投入し5段階検証実施(2026/8/7)。中小型オフィス46+レジデンス90の136物件複合型。物件別に鑑定・帳簿・取得・NLA・稼働・テナント数・賃貸事業収入(千円)・PMLを開示(Of-40アーク森ビルの収入のみML同意なく非開示)。竣工年月は短信非掲載。個別物件収支データ(費用内訳含む)はxlsx別綴で公表=将来精緻化候補。2010/10にジャパン・シングルレジデンス投資法人と合併。5年連続で毎年6月に公募増資を実施する成長軌道(期後2026/6も11,762百万円調達・3物件取得で139物件→8/7現在141物件)。格付JCR AA-(安定的)。期末有利子負債138,680百万円(総資産LTV48.55%)。※2026年11月期(第50期)短信は2027/1中旬公表見込→公表後更新検討</t>
  </si>
  <si>
    <t xml:space="preserve">SHR</t>
  </si>
  <si>
    <t xml:space="preserve">3309</t>
  </si>
  <si>
    <t xml:space="preserve">積水ハウス・リート投資法人</t>
  </si>
  <si>
    <t xml:space="preserve">積水ハウス</t>
  </si>
  <si>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月期（第</t>
    </r>
    <r>
      <rPr>
        <sz val="10"/>
        <color rgb="FF0000FF"/>
        <rFont val="Arial"/>
        <family val="0"/>
        <charset val="1"/>
      </rPr>
      <t xml:space="preserve">23</t>
    </r>
    <r>
      <rPr>
        <sz val="10"/>
        <color rgb="FF0000FF"/>
        <rFont val="Noto Sans CJK SC"/>
        <family val="2"/>
      </rPr>
      <t xml:space="preserve">期）</t>
    </r>
  </si>
  <si>
    <t xml:space="preserve">決算月4月/10月。第23期短信より投入し5段階検証実施(2026/8/7)。国内住居131+米国住居2(LLC出資)+オフィス5の138物件・取得価格5,611億円は16法人中最大級。旧積水ハウス・レジデンシャル投資法人を2018/5に吸収合併(承継物件の取得価格は合併時鑑定評価額)。物件別に千円単位の個別収支(費用内訳フル)を開示する最高水準の透明性(本DBは今回、賃貸借状況表の収益(百万円)ベースで収録・個別収支千円版は将来精緻化候補として注記)。帳簿-57百万円等の差は原資料内切捨て累積を機械照合で確定。米国不動産(シアトル/ワシントンD.C.)を保有する唯一のJ-REITの一つ。御殿山SHビル10回分割譲渡は資本再配分の代表例。格付JCR AA(安定的)/R&amp;I AA-(安定的)。期末有利子負債284,032百万円(総資産LTV48.4%)。※2026年10月期(第24期)短信は2026/12中旬公表見込→公表後更新検討</t>
  </si>
  <si>
    <t xml:space="preserve">MTR</t>
  </si>
  <si>
    <t xml:space="preserve">8961</t>
  </si>
  <si>
    <t xml:space="preserve">森トラストリート投資法人</t>
  </si>
  <si>
    <t xml:space="preserve">総合型（オフィス・ホテル中核）</t>
  </si>
  <si>
    <t xml:space="preserve">森トラスト</t>
  </si>
  <si>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月期（第</t>
    </r>
    <r>
      <rPr>
        <sz val="10"/>
        <color rgb="FF0000FF"/>
        <rFont val="Arial"/>
        <family val="0"/>
        <charset val="1"/>
      </rPr>
      <t xml:space="preserve">48</t>
    </r>
    <r>
      <rPr>
        <sz val="10"/>
        <color rgb="FF0000FF"/>
        <rFont val="Noto Sans CJK SC"/>
        <family val="2"/>
      </rPr>
      <t xml:space="preserve">期）</t>
    </r>
  </si>
  <si>
    <r>
      <rPr>
        <sz val="10"/>
        <color rgb="FF0000FF"/>
        <rFont val="Arial"/>
        <family val="0"/>
        <charset val="1"/>
      </rPr>
      <t xml:space="preserve">2023/3</t>
    </r>
    <r>
      <rPr>
        <sz val="10"/>
        <color rgb="FF0000FF"/>
        <rFont val="Noto Sans CJK SC"/>
        <family val="2"/>
      </rPr>
      <t xml:space="preserve">にホテルリート</t>
    </r>
    <r>
      <rPr>
        <sz val="10"/>
        <color rgb="FF0000FF"/>
        <rFont val="Arial"/>
        <family val="0"/>
        <charset val="1"/>
      </rPr>
      <t xml:space="preserve">(MTH)</t>
    </r>
    <r>
      <rPr>
        <sz val="10"/>
        <color rgb="FF0000FF"/>
        <rFont val="Noto Sans CJK SC"/>
        <family val="2"/>
      </rPr>
      <t xml:space="preserve">を吸収合併した総合型</t>
    </r>
    <r>
      <rPr>
        <sz val="10"/>
        <color rgb="FF0000FF"/>
        <rFont val="Arial"/>
        <family val="0"/>
        <charset val="1"/>
      </rPr>
      <t xml:space="preserve">(</t>
    </r>
    <r>
      <rPr>
        <sz val="10"/>
        <color rgb="FF0000FF"/>
        <rFont val="Noto Sans CJK SC"/>
        <family val="2"/>
      </rPr>
      <t xml:space="preserve">旧・森トラスト総合リート</t>
    </r>
    <r>
      <rPr>
        <sz val="10"/>
        <color rgb="FF0000FF"/>
        <rFont val="Arial"/>
        <family val="0"/>
        <charset val="1"/>
      </rPr>
      <t xml:space="preserve">)</t>
    </r>
    <r>
      <rPr>
        <sz val="10"/>
        <color rgb="FF0000FF"/>
        <rFont val="Noto Sans CJK SC"/>
        <family val="2"/>
      </rPr>
      <t xml:space="preserve">。オフィス・ホテル中核。物件別収支フル開示</t>
    </r>
    <r>
      <rPr>
        <sz val="10"/>
        <color rgb="FF0000FF"/>
        <rFont val="Arial"/>
        <family val="0"/>
        <charset val="1"/>
      </rPr>
      <t xml:space="preserve">18/20</t>
    </r>
    <r>
      <rPr>
        <sz val="10"/>
        <color rgb="FF0000FF"/>
        <rFont val="Noto Sans CJK SC"/>
        <family val="2"/>
      </rPr>
      <t xml:space="preserve">物件</t>
    </r>
    <r>
      <rPr>
        <sz val="10"/>
        <color rgb="FF0000FF"/>
        <rFont val="Arial"/>
        <family val="0"/>
        <charset val="1"/>
      </rPr>
      <t xml:space="preserve">(</t>
    </r>
    <r>
      <rPr>
        <sz val="10"/>
        <color rgb="FF0000FF"/>
        <rFont val="Noto Sans CJK SC"/>
        <family val="2"/>
      </rPr>
      <t xml:space="preserve">千円単位・費用内訳含む</t>
    </r>
    <r>
      <rPr>
        <sz val="10"/>
        <color rgb="FF0000FF"/>
        <rFont val="Arial"/>
        <family val="0"/>
        <charset val="1"/>
      </rPr>
      <t xml:space="preserve">)</t>
    </r>
    <r>
      <rPr>
        <sz val="10"/>
        <color rgb="FF0000FF"/>
        <rFont val="Noto Sans CJK SC"/>
        <family val="2"/>
      </rPr>
      <t xml:space="preserve">。スポンサー森トラストへの賃貸が収益の約</t>
    </r>
    <r>
      <rPr>
        <sz val="10"/>
        <color rgb="FF0000FF"/>
        <rFont val="Arial"/>
        <family val="0"/>
        <charset val="1"/>
      </rPr>
      <t xml:space="preserve">5</t>
    </r>
    <r>
      <rPr>
        <sz val="10"/>
        <color rgb="FF0000FF"/>
        <rFont val="Noto Sans CJK SC"/>
        <family val="2"/>
      </rPr>
      <t xml:space="preserve">割。※第</t>
    </r>
    <r>
      <rPr>
        <sz val="10"/>
        <color rgb="FF0000FF"/>
        <rFont val="Arial"/>
        <family val="0"/>
        <charset val="1"/>
      </rPr>
      <t xml:space="preserve">49</t>
    </r>
    <r>
      <rPr>
        <sz val="10"/>
        <color rgb="FF0000FF"/>
        <rFont val="Noto Sans CJK SC"/>
        <family val="2"/>
      </rPr>
      <t xml:space="preserve">期</t>
    </r>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8</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短信は</t>
    </r>
    <r>
      <rPr>
        <sz val="10"/>
        <color rgb="FF0000FF"/>
        <rFont val="Arial"/>
        <family val="0"/>
        <charset val="1"/>
      </rPr>
      <t xml:space="preserve">2026/10</t>
    </r>
    <r>
      <rPr>
        <sz val="10"/>
        <color rgb="FF0000FF"/>
        <rFont val="Noto Sans CJK SC"/>
        <family val="2"/>
      </rPr>
      <t xml:space="preserve">下旬公表見込</t>
    </r>
  </si>
  <si>
    <t xml:space="preserve">SKR</t>
  </si>
  <si>
    <t xml:space="preserve">2972</t>
  </si>
  <si>
    <t xml:space="preserve">サンケイリアルエステート投資法人</t>
  </si>
  <si>
    <t xml:space="preserve">総合型（オフィス主体）</t>
  </si>
  <si>
    <r>
      <rPr>
        <sz val="10"/>
        <color rgb="FF0000FF"/>
        <rFont val="Arial"/>
        <family val="0"/>
        <charset val="1"/>
      </rPr>
      <t xml:space="preserve">50</t>
    </r>
    <r>
      <rPr>
        <sz val="10"/>
        <color rgb="FF0000FF"/>
        <rFont val="Noto Sans CJK SC"/>
        <family val="2"/>
      </rPr>
      <t xml:space="preserve">〜</t>
    </r>
    <r>
      <rPr>
        <sz val="10"/>
        <color rgb="FF0000FF"/>
        <rFont val="Arial"/>
        <family val="0"/>
        <charset val="1"/>
      </rPr>
      <t xml:space="preserve">70%</t>
    </r>
    <r>
      <rPr>
        <sz val="10"/>
        <color rgb="FF0000FF"/>
        <rFont val="Noto Sans CJK SC"/>
        <family val="2"/>
      </rPr>
      <t xml:space="preserve">目安</t>
    </r>
  </si>
  <si>
    <t xml:space="preserve">サンケイビル（フジサンケイグループ）</t>
  </si>
  <si>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月期（第</t>
    </r>
    <r>
      <rPr>
        <sz val="10"/>
        <color rgb="FF0000FF"/>
        <rFont val="Arial"/>
        <family val="0"/>
        <charset val="1"/>
      </rPr>
      <t xml:space="preserve">14</t>
    </r>
    <r>
      <rPr>
        <sz val="10"/>
        <color rgb="FF0000FF"/>
        <rFont val="Noto Sans CJK SC"/>
        <family val="2"/>
      </rPr>
      <t xml:space="preserve">期）</t>
    </r>
  </si>
  <si>
    <t xml:space="preserve">総合型(オフィス9+ホテル6+物流1)。物件別収支非開示(一括のみ)。当期は福岡G減損で無分配・無償減資。Tiger/Lion LPSによるTOB成立見込(2026/5/7結果公表・上場廃止前提)。※上場廃止となる場合は本DBの更新対象から外れる可能性</t>
  </si>
  <si>
    <t xml:space="preserve">KDX</t>
  </si>
  <si>
    <t xml:space="preserve">8972</t>
  </si>
  <si>
    <t xml:space="preserve">ＫＤＸ不動産投資法人</t>
  </si>
  <si>
    <t xml:space="preserve">総合型</t>
  </si>
  <si>
    <t xml:space="preserve">ケネディクス</t>
  </si>
  <si>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月期（第</t>
    </r>
    <r>
      <rPr>
        <sz val="10"/>
        <color rgb="FF0000FF"/>
        <rFont val="Arial"/>
        <family val="0"/>
        <charset val="1"/>
      </rPr>
      <t xml:space="preserve">42</t>
    </r>
    <r>
      <rPr>
        <sz val="10"/>
        <color rgb="FF0000FF"/>
        <rFont val="Noto Sans CJK SC"/>
        <family val="2"/>
      </rPr>
      <t xml:space="preserve">期）</t>
    </r>
  </si>
  <si>
    <t xml:space="preserve">決算月4月/10月。2023/11の3リート合併(旧KDXオフィス8972+ケネディクス・レジデンシャル・ネクスト3278+ケネディクス商業リート3453)で誕生した国内最大級総合型。第42期短信より投入(2026/8/7)。343物件・取得1,218,978百万円=16法人中最大。物件別開示は取得・帳簿・鑑定・NLA・稼働・テナント数・総賃貸事業収入(百万円単位)。所在地・竣工年月は短信非掲載(個別物件データブックxlsx別綴)→エリア区分は短信の東京経済圏/地方経済圏2区分を収録。物流14・宿泊6・ヘルスケア42の収入とアーク森ビルは非開示。規模が最大のため3応答分割で全343物件+譲渡2の投入完了・5段階検証実施(2026/8/7)。※第43期(2026年10月期)短信は2026/12中旬公表見込→公表後更新検討</t>
  </si>
  <si>
    <t xml:space="preserve">CTR</t>
  </si>
  <si>
    <t xml:space="preserve">3488</t>
  </si>
  <si>
    <t xml:space="preserve">セントラル・リート投資法人（旧ザイマックス・リート投資法人）</t>
  </si>
  <si>
    <t xml:space="preserve">総合型（オフィス・商業・ホテル）</t>
  </si>
  <si>
    <t xml:space="preserve">約56%（取得価格ベース）</t>
  </si>
  <si>
    <t xml:space="preserve">名鉄都市開発・ザイマックスグループ（2025年10月よりダブルスポンサー）</t>
  </si>
  <si>
    <t xml:space="preserve">第16期（2026年2月期）</t>
  </si>
  <si>
    <t xml:space="preserve">確認済（公式サイト・有報）</t>
  </si>
  <si>
    <r>
      <rPr>
        <sz val="10"/>
        <color rgb="FF0000FF"/>
        <rFont val="Arial"/>
        <family val="0"/>
        <charset val="1"/>
      </rPr>
      <t xml:space="preserve">2025</t>
    </r>
    <r>
      <rPr>
        <sz val="10"/>
        <color rgb="FF0000FF"/>
        <rFont val="Noto Sans CJK SC"/>
        <family val="2"/>
      </rPr>
      <t xml:space="preserve">年</t>
    </r>
    <r>
      <rPr>
        <sz val="10"/>
        <color rgb="FF0000FF"/>
        <rFont val="Arial"/>
        <family val="0"/>
        <charset val="1"/>
      </rPr>
      <t xml:space="preserve">11</t>
    </r>
    <r>
      <rPr>
        <sz val="10"/>
        <color rgb="FF0000FF"/>
        <rFont val="Noto Sans CJK SC"/>
        <family val="2"/>
      </rPr>
      <t xml:space="preserve">月の投資主総会承認によりザイマックス・リート投資法人から名称変更。</t>
    </r>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3</t>
    </r>
    <r>
      <rPr>
        <sz val="10"/>
        <color rgb="FF0000FF"/>
        <rFont val="Noto Sans CJK SC"/>
        <family val="2"/>
      </rPr>
      <t xml:space="preserve">月</t>
    </r>
    <r>
      <rPr>
        <sz val="10"/>
        <color rgb="FF0000FF"/>
        <rFont val="Arial"/>
        <family val="0"/>
        <charset val="1"/>
      </rPr>
      <t xml:space="preserve">30</t>
    </r>
    <r>
      <rPr>
        <sz val="10"/>
        <color rgb="FF0000FF"/>
        <rFont val="Noto Sans CJK SC"/>
        <family val="2"/>
      </rPr>
      <t xml:space="preserve">日にエニシオ名駅・上前津</t>
    </r>
    <r>
      <rPr>
        <sz val="10"/>
        <color rgb="FF0000FF"/>
        <rFont val="Arial"/>
        <family val="0"/>
        <charset val="1"/>
      </rPr>
      <t xml:space="preserve">KD</t>
    </r>
    <r>
      <rPr>
        <sz val="10"/>
        <color rgb="FF0000FF"/>
        <rFont val="Noto Sans CJK SC"/>
        <family val="2"/>
      </rPr>
      <t xml:space="preserve">ビルを取得し</t>
    </r>
    <r>
      <rPr>
        <sz val="10"/>
        <color rgb="FF0000FF"/>
        <rFont val="Arial"/>
        <family val="0"/>
        <charset val="1"/>
      </rPr>
      <t xml:space="preserve">20</t>
    </r>
    <r>
      <rPr>
        <sz val="10"/>
        <color rgb="FF0000FF"/>
        <rFont val="Noto Sans CJK SC"/>
        <family val="2"/>
      </rPr>
      <t xml:space="preserve">物件。第</t>
    </r>
    <r>
      <rPr>
        <sz val="10"/>
        <color rgb="FF0000FF"/>
        <rFont val="Arial"/>
        <family val="0"/>
        <charset val="1"/>
      </rPr>
      <t xml:space="preserve">16</t>
    </r>
    <r>
      <rPr>
        <sz val="10"/>
        <color rgb="FF0000FF"/>
        <rFont val="Noto Sans CJK SC"/>
        <family val="2"/>
      </rPr>
      <t xml:space="preserve">期末の法人合計は稼働率</t>
    </r>
    <r>
      <rPr>
        <sz val="10"/>
        <color rgb="FF0000FF"/>
        <rFont val="Arial"/>
        <family val="0"/>
        <charset val="1"/>
      </rPr>
      <t xml:space="preserve">99.9%</t>
    </r>
    <r>
      <rPr>
        <sz val="10"/>
        <color rgb="FF0000FF"/>
        <rFont val="Noto Sans CJK SC"/>
        <family val="2"/>
      </rPr>
      <t xml:space="preserve">・総賃貸可能面積</t>
    </r>
    <r>
      <rPr>
        <sz val="10"/>
        <color rgb="FF0000FF"/>
        <rFont val="Arial"/>
        <family val="0"/>
        <charset val="1"/>
      </rPr>
      <t xml:space="preserve">86,030.38</t>
    </r>
    <r>
      <rPr>
        <sz val="10"/>
        <color rgb="FF0000FF"/>
        <rFont val="Noto Sans CJK SC"/>
        <family val="2"/>
      </rPr>
      <t xml:space="preserve">㎡・</t>
    </r>
    <r>
      <rPr>
        <sz val="10"/>
        <color rgb="FF0000FF"/>
        <rFont val="Arial"/>
        <family val="0"/>
        <charset val="1"/>
      </rPr>
      <t xml:space="preserve">NOI 1,291</t>
    </r>
    <r>
      <rPr>
        <sz val="10"/>
        <color rgb="FF0000FF"/>
        <rFont val="Noto Sans CJK SC"/>
        <family val="2"/>
      </rPr>
      <t xml:space="preserve">百万円（半期）。平均稼働率は</t>
    </r>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6</t>
    </r>
    <r>
      <rPr>
        <sz val="10"/>
        <color rgb="FF0000FF"/>
        <rFont val="Noto Sans CJK SC"/>
        <family val="2"/>
      </rPr>
      <t xml:space="preserve">月</t>
    </r>
    <r>
      <rPr>
        <sz val="10"/>
        <color rgb="FF0000FF"/>
        <rFont val="Arial"/>
        <family val="0"/>
        <charset val="1"/>
      </rPr>
      <t xml:space="preserve">30</t>
    </r>
    <r>
      <rPr>
        <sz val="10"/>
        <color rgb="FF0000FF"/>
        <rFont val="Noto Sans CJK SC"/>
        <family val="2"/>
      </rPr>
      <t xml:space="preserve">日現在</t>
    </r>
    <r>
      <rPr>
        <sz val="10"/>
        <color rgb="FF0000FF"/>
        <rFont val="Arial"/>
        <family val="0"/>
        <charset val="1"/>
      </rPr>
      <t xml:space="preserve">99.6%</t>
    </r>
  </si>
  <si>
    <t xml:space="preserve">ORI</t>
  </si>
  <si>
    <t xml:space="preserve">3290</t>
  </si>
  <si>
    <r>
      <rPr>
        <sz val="10"/>
        <color rgb="FF0000FF"/>
        <rFont val="Arial"/>
        <family val="0"/>
        <charset val="1"/>
      </rPr>
      <t xml:space="preserve">One</t>
    </r>
    <r>
      <rPr>
        <sz val="10"/>
        <color rgb="FF0000FF"/>
        <rFont val="Noto Sans CJK SC"/>
        <family val="2"/>
      </rPr>
      <t xml:space="preserve">リート投資法人</t>
    </r>
  </si>
  <si>
    <t xml:space="preserve">総合型（中小規模オフィス中心）</t>
  </si>
  <si>
    <t xml:space="preserve">約74%（取得価格ベース）</t>
  </si>
  <si>
    <t xml:space="preserve">みずほ信託銀行（みずほフィナンシャルグループ）</t>
  </si>
  <si>
    <t xml:space="preserve">第25期（2026年2月期）</t>
  </si>
  <si>
    <t xml:space="preserve">確認済（公式サイト・決算短信）</t>
  </si>
  <si>
    <r>
      <rPr>
        <sz val="10"/>
        <color rgb="FF0000FF"/>
        <rFont val="Arial"/>
        <family val="0"/>
        <charset val="1"/>
      </rPr>
      <t xml:space="preserve">2013</t>
    </r>
    <r>
      <rPr>
        <sz val="10"/>
        <color rgb="FF0000FF"/>
        <rFont val="Noto Sans CJK SC"/>
        <family val="2"/>
      </rPr>
      <t xml:space="preserve">年</t>
    </r>
    <r>
      <rPr>
        <sz val="10"/>
        <color rgb="FF0000FF"/>
        <rFont val="Arial"/>
        <family val="0"/>
        <charset val="1"/>
      </rPr>
      <t xml:space="preserve">10</t>
    </r>
    <r>
      <rPr>
        <sz val="10"/>
        <color rgb="FF0000FF"/>
        <rFont val="Noto Sans CJK SC"/>
        <family val="2"/>
      </rPr>
      <t xml:space="preserve">月に</t>
    </r>
    <r>
      <rPr>
        <sz val="10"/>
        <color rgb="FF0000FF"/>
        <rFont val="Arial"/>
        <family val="0"/>
        <charset val="1"/>
      </rPr>
      <t xml:space="preserve">SIA</t>
    </r>
    <r>
      <rPr>
        <sz val="10"/>
        <color rgb="FF0000FF"/>
        <rFont val="Noto Sans CJK SC"/>
        <family val="2"/>
      </rPr>
      <t xml:space="preserve">不動産投資法人として上場、</t>
    </r>
    <r>
      <rPr>
        <sz val="10"/>
        <color rgb="FF0000FF"/>
        <rFont val="Arial"/>
        <family val="0"/>
        <charset val="1"/>
      </rPr>
      <t xml:space="preserve">2017</t>
    </r>
    <r>
      <rPr>
        <sz val="10"/>
        <color rgb="FF0000FF"/>
        <rFont val="Noto Sans CJK SC"/>
        <family val="2"/>
      </rPr>
      <t xml:space="preserve">年</t>
    </r>
    <r>
      <rPr>
        <sz val="10"/>
        <color rgb="FF0000FF"/>
        <rFont val="Arial"/>
        <family val="0"/>
        <charset val="1"/>
      </rPr>
      <t xml:space="preserve">6</t>
    </r>
    <r>
      <rPr>
        <sz val="10"/>
        <color rgb="FF0000FF"/>
        <rFont val="Noto Sans CJK SC"/>
        <family val="2"/>
      </rPr>
      <t xml:space="preserve">月に現名称へ。</t>
    </r>
    <r>
      <rPr>
        <sz val="10"/>
        <color rgb="FF0000FF"/>
        <rFont val="Arial"/>
        <family val="0"/>
        <charset val="1"/>
      </rPr>
      <t xml:space="preserve">2025</t>
    </r>
    <r>
      <rPr>
        <sz val="10"/>
        <color rgb="FF0000FF"/>
        <rFont val="Noto Sans CJK SC"/>
        <family val="2"/>
      </rPr>
      <t xml:space="preserve">年</t>
    </r>
    <r>
      <rPr>
        <sz val="10"/>
        <color rgb="FF0000FF"/>
        <rFont val="Arial"/>
        <family val="0"/>
        <charset val="1"/>
      </rPr>
      <t xml:space="preserve">5</t>
    </r>
    <r>
      <rPr>
        <sz val="10"/>
        <color rgb="FF0000FF"/>
        <rFont val="Noto Sans CJK SC"/>
        <family val="2"/>
      </rPr>
      <t xml:space="preserve">月に用途を限定しない総合型へ規約変更しホテルへの投資を開始。中小規模オフィス（延床概ね</t>
    </r>
    <r>
      <rPr>
        <sz val="10"/>
        <color rgb="FF0000FF"/>
        <rFont val="Arial"/>
        <family val="0"/>
        <charset val="1"/>
      </rPr>
      <t xml:space="preserve">33,000</t>
    </r>
    <r>
      <rPr>
        <sz val="10"/>
        <color rgb="FF0000FF"/>
        <rFont val="Noto Sans CJK SC"/>
        <family val="2"/>
      </rPr>
      <t xml:space="preserve">㎡未満）を重点投資対象とする。第</t>
    </r>
    <r>
      <rPr>
        <sz val="10"/>
        <color rgb="FF0000FF"/>
        <rFont val="Arial"/>
        <family val="0"/>
        <charset val="1"/>
      </rPr>
      <t xml:space="preserve">25</t>
    </r>
    <r>
      <rPr>
        <sz val="10"/>
        <color rgb="FF0000FF"/>
        <rFont val="Noto Sans CJK SC"/>
        <family val="2"/>
      </rPr>
      <t xml:space="preserve">期末は</t>
    </r>
    <r>
      <rPr>
        <sz val="10"/>
        <color rgb="FF0000FF"/>
        <rFont val="Arial"/>
        <family val="0"/>
        <charset val="1"/>
      </rPr>
      <t xml:space="preserve">28</t>
    </r>
    <r>
      <rPr>
        <sz val="10"/>
        <color rgb="FF0000FF"/>
        <rFont val="Noto Sans CJK SC"/>
        <family val="2"/>
      </rPr>
      <t xml:space="preserve">物件だが、</t>
    </r>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3</t>
    </r>
    <r>
      <rPr>
        <sz val="10"/>
        <color rgb="FF0000FF"/>
        <rFont val="Noto Sans CJK SC"/>
        <family val="2"/>
      </rPr>
      <t xml:space="preserve">月</t>
    </r>
    <r>
      <rPr>
        <sz val="10"/>
        <color rgb="FF0000FF"/>
        <rFont val="Arial"/>
        <family val="0"/>
        <charset val="1"/>
      </rPr>
      <t xml:space="preserve">19</t>
    </r>
    <r>
      <rPr>
        <sz val="10"/>
        <color rgb="FF0000FF"/>
        <rFont val="Noto Sans CJK SC"/>
        <family val="2"/>
      </rPr>
      <t xml:space="preserve">日にホテル</t>
    </r>
    <r>
      <rPr>
        <sz val="10"/>
        <color rgb="FF0000FF"/>
        <rFont val="Arial"/>
        <family val="0"/>
        <charset val="1"/>
      </rPr>
      <t xml:space="preserve">5</t>
    </r>
    <r>
      <rPr>
        <sz val="10"/>
        <color rgb="FF0000FF"/>
        <rFont val="Noto Sans CJK SC"/>
        <family val="2"/>
      </rPr>
      <t xml:space="preserve">物件と</t>
    </r>
    <r>
      <rPr>
        <sz val="10"/>
        <color rgb="FF0000FF"/>
        <rFont val="Arial"/>
        <family val="0"/>
        <charset val="1"/>
      </rPr>
      <t xml:space="preserve">ONEST</t>
    </r>
    <r>
      <rPr>
        <sz val="10"/>
        <color rgb="FF0000FF"/>
        <rFont val="Noto Sans CJK SC"/>
        <family val="2"/>
      </rPr>
      <t xml:space="preserve">飯田橋スクエアを取得し</t>
    </r>
    <r>
      <rPr>
        <sz val="10"/>
        <color rgb="FF0000FF"/>
        <rFont val="Arial"/>
        <family val="0"/>
        <charset val="1"/>
      </rPr>
      <t xml:space="preserve">34</t>
    </r>
    <r>
      <rPr>
        <sz val="10"/>
        <color rgb="FF0000FF"/>
        <rFont val="Noto Sans CJK SC"/>
        <family val="2"/>
      </rPr>
      <t xml:space="preserve">物件（うち</t>
    </r>
    <r>
      <rPr>
        <sz val="10"/>
        <color rgb="FF0000FF"/>
        <rFont val="Arial"/>
        <family val="0"/>
        <charset val="1"/>
      </rPr>
      <t xml:space="preserve">ONEST</t>
    </r>
    <r>
      <rPr>
        <sz val="10"/>
        <color rgb="FF0000FF"/>
        <rFont val="Noto Sans CJK SC"/>
        <family val="2"/>
      </rPr>
      <t xml:space="preserve">京都烏丸スクエアは東京建物へ</t>
    </r>
    <r>
      <rPr>
        <sz val="10"/>
        <color rgb="FF0000FF"/>
        <rFont val="Arial"/>
        <family val="0"/>
        <charset val="1"/>
      </rPr>
      <t xml:space="preserve">4</t>
    </r>
    <r>
      <rPr>
        <sz val="10"/>
        <color rgb="FF0000FF"/>
        <rFont val="Noto Sans CJK SC"/>
        <family val="2"/>
      </rPr>
      <t xml:space="preserve">回に分割して譲渡中、</t>
    </r>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3</t>
    </r>
    <r>
      <rPr>
        <sz val="10"/>
        <color rgb="FF0000FF"/>
        <rFont val="Noto Sans CJK SC"/>
        <family val="2"/>
      </rPr>
      <t xml:space="preserve">月に</t>
    </r>
    <r>
      <rPr>
        <sz val="10"/>
        <color rgb="FF0000FF"/>
        <rFont val="Arial"/>
        <family val="0"/>
        <charset val="1"/>
      </rPr>
      <t xml:space="preserve">10%</t>
    </r>
    <r>
      <rPr>
        <sz val="10"/>
        <color rgb="FF0000FF"/>
        <rFont val="Noto Sans CJK SC"/>
        <family val="2"/>
      </rPr>
      <t xml:space="preserve">譲渡済で残</t>
    </r>
    <r>
      <rPr>
        <sz val="10"/>
        <color rgb="FF0000FF"/>
        <rFont val="Arial"/>
        <family val="0"/>
        <charset val="1"/>
      </rPr>
      <t xml:space="preserve">90%</t>
    </r>
    <r>
      <rPr>
        <sz val="10"/>
        <color rgb="FF0000FF"/>
        <rFont val="Noto Sans CJK SC"/>
        <family val="2"/>
      </rPr>
      <t xml:space="preserve">）</t>
    </r>
  </si>
  <si>
    <t xml:space="preserve">戦略ポジション</t>
  </si>
  <si>
    <t xml:space="preserve">戦略の軸</t>
  </si>
  <si>
    <t xml:space="preserve">モデルの構造</t>
  </si>
  <si>
    <t xml:space="preserve">主要リスク</t>
  </si>
  <si>
    <r>
      <rPr>
        <b val="true"/>
        <sz val="10"/>
        <rFont val="Arial"/>
        <family val="0"/>
        <charset val="1"/>
      </rPr>
      <t xml:space="preserve">ESG</t>
    </r>
    <r>
      <rPr>
        <b val="true"/>
        <sz val="10"/>
        <rFont val="Noto Sans CJK SC"/>
        <family val="2"/>
      </rPr>
      <t xml:space="preserve">・管理の特徴</t>
    </r>
  </si>
  <si>
    <t xml:space="preserve">物件数</t>
  </si>
  <si>
    <t xml:space="preserve">資産規模(兆円・鑑定評価額ベース)</t>
  </si>
  <si>
    <t xml:space="preserve">1物件平均(百万円・鑑定評価額ベース)</t>
  </si>
  <si>
    <t xml:space="preserve">上位5物件集中度(%・鑑定評価額ベース)</t>
  </si>
  <si>
    <t xml:space="preserve">粗利回り中央値(%・鑑定評価額ベース)</t>
  </si>
  <si>
    <t xml:space="preserve">築年中央値</t>
  </si>
  <si>
    <t xml:space="preserve">稼働率中央値(%)</t>
  </si>
  <si>
    <t xml:space="preserve">賃貸面積中央値(㎡)</t>
  </si>
  <si>
    <t xml:space="preserve">東京圏比率(%)</t>
  </si>
  <si>
    <t xml:space="preserve">都心5区比率(%)</t>
  </si>
  <si>
    <t xml:space="preserve">オフィス比率(%)</t>
  </si>
  <si>
    <t xml:space="preserve">用途構成</t>
  </si>
  <si>
    <t xml:space="preserve">エリア構成</t>
  </si>
  <si>
    <t xml:space="preserve">認証保有率(%)</t>
  </si>
  <si>
    <t xml:space="preserve">資産規模の算定物件数</t>
  </si>
  <si>
    <t xml:space="preserve">取得価格の開示率(%)</t>
  </si>
  <si>
    <t xml:space="preserve">参考:取得価格合計(兆円)</t>
  </si>
  <si>
    <t xml:space="preserve">粗利回りの算定物件数</t>
  </si>
  <si>
    <t xml:space="preserve">稼働率の算定物件数</t>
  </si>
  <si>
    <t xml:space="preserve">超大型コア・オフィス特化型</t>
  </si>
  <si>
    <t xml:space="preserve">規模の優位で「都心の象徴的資産」を押さえる</t>
  </si>
  <si>
    <r>
      <rPr>
        <sz val="10"/>
        <color rgb="FF0000FF"/>
        <rFont val="Arial"/>
        <family val="0"/>
        <charset val="1"/>
      </rPr>
      <t xml:space="preserve">1</t>
    </r>
    <r>
      <rPr>
        <sz val="10"/>
        <color rgb="FF0000FF"/>
        <rFont val="Noto Sans CJK SC"/>
        <family val="2"/>
      </rPr>
      <t xml:space="preserve">物件あたり平均</t>
    </r>
    <r>
      <rPr>
        <sz val="10"/>
        <color rgb="FF0000FF"/>
        <rFont val="Arial"/>
        <family val="0"/>
        <charset val="1"/>
      </rPr>
      <t xml:space="preserve">254</t>
    </r>
    <r>
      <rPr>
        <sz val="10"/>
        <color rgb="FF0000FF"/>
        <rFont val="Noto Sans CJK SC"/>
        <family val="2"/>
      </rPr>
      <t xml:space="preserve">億円（鑑定評価額ベース）は</t>
    </r>
    <r>
      <rPr>
        <sz val="10"/>
        <color rgb="FF0000FF"/>
        <rFont val="Arial"/>
        <family val="0"/>
        <charset val="1"/>
      </rPr>
      <t xml:space="preserve">MHR(460</t>
    </r>
    <r>
      <rPr>
        <sz val="10"/>
        <color rgb="FF0000FF"/>
        <rFont val="Noto Sans CJK SC"/>
        <family val="2"/>
      </rPr>
      <t xml:space="preserve">億円</t>
    </r>
    <r>
      <rPr>
        <sz val="10"/>
        <color rgb="FF0000FF"/>
        <rFont val="Arial"/>
        <family val="0"/>
        <charset val="1"/>
      </rPr>
      <t xml:space="preserve">)</t>
    </r>
    <r>
      <rPr>
        <sz val="10"/>
        <color rgb="FF0000FF"/>
        <rFont val="Noto Sans CJK SC"/>
        <family val="2"/>
      </rPr>
      <t xml:space="preserve">に次ぐ規模。三井不動産の開発物件を継続取得し、都心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44%</t>
    </r>
    <r>
      <rPr>
        <sz val="10"/>
        <color rgb="FF0000FF"/>
        <rFont val="Noto Sans CJK SC"/>
        <family val="2"/>
      </rPr>
      <t xml:space="preserve">・東京圏</t>
    </r>
    <r>
      <rPr>
        <sz val="10"/>
        <color rgb="FF0000FF"/>
        <rFont val="Arial"/>
        <family val="0"/>
        <charset val="1"/>
      </rPr>
      <t xml:space="preserve">74%</t>
    </r>
    <r>
      <rPr>
        <sz val="10"/>
        <color rgb="FF0000FF"/>
        <rFont val="Noto Sans CJK SC"/>
        <family val="2"/>
      </rPr>
      <t xml:space="preserve">に集中。オフィス</t>
    </r>
    <r>
      <rPr>
        <sz val="10"/>
        <color rgb="FF0000FF"/>
        <rFont val="Arial"/>
        <family val="0"/>
        <charset val="1"/>
      </rPr>
      <t xml:space="preserve">100%</t>
    </r>
    <r>
      <rPr>
        <sz val="10"/>
        <color rgb="FF0000FF"/>
        <rFont val="Noto Sans CJK SC"/>
        <family val="2"/>
      </rPr>
      <t xml:space="preserve">で用途分散を放棄する代わり、テナント信用力と立地で下方リスクを抑える設計。</t>
    </r>
  </si>
  <si>
    <t xml:space="preserve">オフィス市況の一方向リスクを丸ごと負う。上位5物件で32.5%を占め、大型1棟の稼働変動が全体に効く。</t>
  </si>
  <si>
    <t xml:space="preserve">認証保有率97.1%は全法人最高。ESG適格性を資金調達コストと出口価格に転嫁する戦略が最も徹底している。</t>
  </si>
  <si>
    <t xml:space="preserve">オフィス100%</t>
  </si>
  <si>
    <t xml:space="preserve">都心5区44% / 他23区19% / 他3大都市圏14%</t>
  </si>
  <si>
    <t xml:space="preserve">大型コア・オフィス特化型（全国分散併用）</t>
  </si>
  <si>
    <t xml:space="preserve">都心の質と地方中核都市の利回りを両建てする</t>
  </si>
  <si>
    <t xml:space="preserve">都心5区49%と最も都心比率が高い一方、地方圏19%を明示的に組み込む。1物件平均183億円。三菱地所の開発力を背景に、丸の内型のプライム物件と地方中核都市のランドマークを組み合わせ、キャップレート差を収益源にする。</t>
  </si>
  <si>
    <t xml:space="preserve">地方物件は流動性が低く、出口が限られる。テナント集中度の管理が生命線。</t>
  </si>
  <si>
    <t xml:space="preserve">認証91.1%。管理は三菱地所プロパティマネジメントに集約するが、物件名を非開示とする情報統制型。</t>
  </si>
  <si>
    <t xml:space="preserve">都心5区49% / 地方圏19% / 他3大都市圏14%</t>
  </si>
  <si>
    <t xml:space="preserve">少数精鋭・大型オフィス型</t>
  </si>
  <si>
    <r>
      <rPr>
        <sz val="10"/>
        <color rgb="FF0000FF"/>
        <rFont val="Arial"/>
        <family val="0"/>
        <charset val="1"/>
      </rPr>
      <t xml:space="preserve">18</t>
    </r>
    <r>
      <rPr>
        <sz val="10"/>
        <color rgb="FF0000FF"/>
        <rFont val="Noto Sans CJK SC"/>
        <family val="2"/>
      </rPr>
      <t xml:space="preserve">物件に絞り、</t>
    </r>
    <r>
      <rPr>
        <sz val="10"/>
        <color rgb="FF0000FF"/>
        <rFont val="Arial"/>
        <family val="0"/>
        <charset val="1"/>
      </rPr>
      <t xml:space="preserve">1</t>
    </r>
    <r>
      <rPr>
        <sz val="10"/>
        <color rgb="FF0000FF"/>
        <rFont val="Noto Sans CJK SC"/>
        <family val="2"/>
      </rPr>
      <t xml:space="preserve">棟あたりの質で勝負する</t>
    </r>
  </si>
  <si>
    <t xml:space="preserve">保有18物件で1物件平均158億円。上位5物件で48.9%と集中度が高い。複数スポンサー（明治安田生命・近鉄・農林中金・三菱UFJ信託）の物件供給を受ける独立系に近い構造。粗利回り4.60%（鑑定評価額ベース）はMHR(4.44%)に次ぐ16法人で2番目の低さで、価格の高い優良物件を保有していることを示す。</t>
  </si>
  <si>
    <t xml:space="preserve">物件数が少なく、1棟の退去がポートフォリオ全体の稼働に直結する。スポンサー単独の開発パイプラインに依存できない。</t>
  </si>
  <si>
    <t xml:space="preserve">認証77.8%。規模の制約を質で補う典型。</t>
  </si>
  <si>
    <t xml:space="preserve">他3大都市圏33% / 都心5区22% / 他23区17%</t>
  </si>
  <si>
    <t xml:space="preserve">都心集中・中規模オフィス型</t>
  </si>
  <si>
    <t xml:space="preserve">都心5区に83%を集中させ、立地だけで選別する</t>
  </si>
  <si>
    <t xml:space="preserve">都心5区82.8%・東京圏98.3%は16法人で突出。1物件平均108億円・賃貸面積中央値3,794㎡と中規模に振り、築年中央値28.7年の既存ビルを取得してバリューアップする発想。</t>
  </si>
  <si>
    <t xml:space="preserve">築古比率が高く、修繕・設備更新の資本的支出が構造的に重い。エリア分散が事実上ないため、都心オフィス需給の変調を直撃で受ける。</t>
  </si>
  <si>
    <t xml:space="preserve">認証63.8%は都心特化型として低め。築古ストックへの認証後付けが今後の課題。</t>
  </si>
  <si>
    <t xml:space="preserve">都心5区83% / 他23区12% / 東京圏3%</t>
  </si>
  <si>
    <t xml:space="preserve">中小型ビルの再生（バリューアッド）型</t>
  </si>
  <si>
    <t xml:space="preserve">市場に埋もれた中小ビルを買い、手を入れて価値を上げる</t>
  </si>
  <si>
    <r>
      <rPr>
        <sz val="10"/>
        <color rgb="FF0000FF"/>
        <rFont val="Arial"/>
        <family val="0"/>
        <charset val="1"/>
      </rPr>
      <t xml:space="preserve">87</t>
    </r>
    <r>
      <rPr>
        <sz val="10"/>
        <color rgb="FF0000FF"/>
        <rFont val="Noto Sans CJK SC"/>
        <family val="2"/>
      </rPr>
      <t xml:space="preserve">物件・</t>
    </r>
    <r>
      <rPr>
        <sz val="10"/>
        <color rgb="FF0000FF"/>
        <rFont val="Arial"/>
        <family val="0"/>
        <charset val="1"/>
      </rPr>
      <t xml:space="preserve">1</t>
    </r>
    <r>
      <rPr>
        <sz val="10"/>
        <color rgb="FF0000FF"/>
        <rFont val="Noto Sans CJK SC"/>
        <family val="2"/>
      </rPr>
      <t xml:space="preserve">物件平均</t>
    </r>
    <r>
      <rPr>
        <sz val="10"/>
        <color rgb="FF0000FF"/>
        <rFont val="Arial"/>
        <family val="0"/>
        <charset val="1"/>
      </rPr>
      <t xml:space="preserve">33</t>
    </r>
    <r>
      <rPr>
        <sz val="10"/>
        <color rgb="FF0000FF"/>
        <rFont val="Noto Sans CJK SC"/>
        <family val="2"/>
      </rPr>
      <t xml:space="preserve">億円・賃貸面積中央値</t>
    </r>
    <r>
      <rPr>
        <sz val="10"/>
        <color rgb="FF0000FF"/>
        <rFont val="Arial"/>
        <family val="0"/>
        <charset val="1"/>
      </rPr>
      <t xml:space="preserve">2,765</t>
    </r>
    <r>
      <rPr>
        <sz val="10"/>
        <color rgb="FF0000FF"/>
        <rFont val="Noto Sans CJK SC"/>
        <family val="2"/>
      </rPr>
      <t xml:space="preserve">㎡と小型の部類（</t>
    </r>
    <r>
      <rPr>
        <sz val="10"/>
        <color rgb="FF0000FF"/>
        <rFont val="Arial"/>
        <family val="0"/>
        <charset val="1"/>
      </rPr>
      <t xml:space="preserve">HFR 2,078</t>
    </r>
    <r>
      <rPr>
        <sz val="10"/>
        <color rgb="FF0000FF"/>
        <rFont val="Noto Sans CJK SC"/>
        <family val="2"/>
      </rPr>
      <t xml:space="preserve">㎡・</t>
    </r>
    <r>
      <rPr>
        <sz val="10"/>
        <color rgb="FF0000FF"/>
        <rFont val="Arial"/>
        <family val="0"/>
        <charset val="1"/>
      </rPr>
      <t xml:space="preserve">SHR 2,306</t>
    </r>
    <r>
      <rPr>
        <sz val="10"/>
        <color rgb="FF0000FF"/>
        <rFont val="Noto Sans CJK SC"/>
        <family val="2"/>
      </rPr>
      <t xml:space="preserve">㎡に次ぐ小ささ）。都心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41%</t>
    </r>
    <r>
      <rPr>
        <sz val="10"/>
        <color rgb="FF0000FF"/>
        <rFont val="Noto Sans CJK SC"/>
        <family val="2"/>
      </rPr>
      <t xml:space="preserve">だが他</t>
    </r>
    <r>
      <rPr>
        <sz val="10"/>
        <color rgb="FF0000FF"/>
        <rFont val="Arial"/>
        <family val="0"/>
        <charset val="1"/>
      </rPr>
      <t xml:space="preserve">23</t>
    </r>
    <r>
      <rPr>
        <sz val="10"/>
        <color rgb="FF0000FF"/>
        <rFont val="Noto Sans CJK SC"/>
        <family val="2"/>
      </rPr>
      <t xml:space="preserve">区</t>
    </r>
    <r>
      <rPr>
        <sz val="10"/>
        <color rgb="FF0000FF"/>
        <rFont val="Arial"/>
        <family val="0"/>
        <charset val="1"/>
      </rPr>
      <t xml:space="preserve">25%</t>
    </r>
    <r>
      <rPr>
        <sz val="10"/>
        <color rgb="FF0000FF"/>
        <rFont val="Noto Sans CJK SC"/>
        <family val="2"/>
      </rPr>
      <t xml:space="preserve">・地方</t>
    </r>
    <r>
      <rPr>
        <sz val="10"/>
        <color rgb="FF0000FF"/>
        <rFont val="Arial"/>
        <family val="0"/>
        <charset val="1"/>
      </rPr>
      <t xml:space="preserve">20%</t>
    </r>
    <r>
      <rPr>
        <sz val="10"/>
        <color rgb="FF0000FF"/>
        <rFont val="Noto Sans CJK SC"/>
        <family val="2"/>
      </rPr>
      <t xml:space="preserve">と広く拾う。大型プライム市場では価格競争に勝てないため、競合の少ない中小ビル市場で「心築（再生）」により利回りを作る。</t>
    </r>
  </si>
  <si>
    <t xml:space="preserve">物件数が多く1棟あたりが小さいため、管理オペレーションの効率が収益を左右する。テナントは中小企業中心で信用力が相対的に低い。</t>
  </si>
  <si>
    <t xml:space="preserve">認証21.8%は最低水準。中小ビルは認証取得の費用対効果が出にくく、ESG評価では構造的に不利。</t>
  </si>
  <si>
    <t xml:space="preserve">オフィス98% / 商業2%</t>
  </si>
  <si>
    <t xml:space="preserve">都心5区41% / 他23区25% / 他3大都市圏20%</t>
  </si>
  <si>
    <t xml:space="preserve">大型オフィス・準コア型</t>
  </si>
  <si>
    <t xml:space="preserve">東京圏の大型物件を軸に、地方中核都市で利回りを補完</t>
  </si>
  <si>
    <r>
      <rPr>
        <sz val="10"/>
        <color rgb="FF0000FF"/>
        <rFont val="Arial"/>
        <family val="0"/>
        <charset val="1"/>
      </rPr>
      <t xml:space="preserve">33</t>
    </r>
    <r>
      <rPr>
        <sz val="10"/>
        <color rgb="FF0000FF"/>
        <rFont val="Noto Sans CJK SC"/>
        <family val="2"/>
      </rPr>
      <t xml:space="preserve">物件・</t>
    </r>
    <r>
      <rPr>
        <sz val="10"/>
        <color rgb="FF0000FF"/>
        <rFont val="Arial"/>
        <family val="0"/>
        <charset val="1"/>
      </rPr>
      <t xml:space="preserve">1</t>
    </r>
    <r>
      <rPr>
        <sz val="10"/>
        <color rgb="FF0000FF"/>
        <rFont val="Noto Sans CJK SC"/>
        <family val="2"/>
      </rPr>
      <t xml:space="preserve">物件平均</t>
    </r>
    <r>
      <rPr>
        <sz val="10"/>
        <color rgb="FF0000FF"/>
        <rFont val="Arial"/>
        <family val="0"/>
        <charset val="1"/>
      </rPr>
      <t xml:space="preserve">107</t>
    </r>
    <r>
      <rPr>
        <sz val="10"/>
        <color rgb="FF0000FF"/>
        <rFont val="Noto Sans CJK SC"/>
        <family val="2"/>
      </rPr>
      <t xml:space="preserve">億円。都心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39%</t>
    </r>
    <r>
      <rPr>
        <sz val="10"/>
        <color rgb="FF0000FF"/>
        <rFont val="Noto Sans CJK SC"/>
        <family val="2"/>
      </rPr>
      <t xml:space="preserve">に対し東京圏</t>
    </r>
    <r>
      <rPr>
        <sz val="10"/>
        <color rgb="FF0000FF"/>
        <rFont val="Arial"/>
        <family val="0"/>
        <charset val="1"/>
      </rPr>
      <t xml:space="preserve">21%</t>
    </r>
    <r>
      <rPr>
        <sz val="10"/>
        <color rgb="FF0000FF"/>
        <rFont val="Noto Sans CJK SC"/>
        <family val="2"/>
      </rPr>
      <t xml:space="preserve">・地方</t>
    </r>
    <r>
      <rPr>
        <sz val="10"/>
        <color rgb="FF0000FF"/>
        <rFont val="Arial"/>
        <family val="0"/>
        <charset val="1"/>
      </rPr>
      <t xml:space="preserve">18%</t>
    </r>
    <r>
      <rPr>
        <sz val="10"/>
        <color rgb="FF0000FF"/>
        <rFont val="Noto Sans CJK SC"/>
        <family val="2"/>
      </rPr>
      <t xml:space="preserve">と分散。粗利回り</t>
    </r>
    <r>
      <rPr>
        <sz val="10"/>
        <color rgb="FF0000FF"/>
        <rFont val="Arial"/>
        <family val="0"/>
        <charset val="1"/>
      </rPr>
      <t xml:space="preserve">7.06%</t>
    </r>
    <r>
      <rPr>
        <sz val="10"/>
        <color rgb="FF0000FF"/>
        <rFont val="Noto Sans CJK SC"/>
        <family val="2"/>
      </rPr>
      <t xml:space="preserve">（鑑定評価額ベース）は</t>
    </r>
    <r>
      <rPr>
        <sz val="10"/>
        <color rgb="FF0000FF"/>
        <rFont val="Arial"/>
        <family val="0"/>
        <charset val="1"/>
      </rPr>
      <t xml:space="preserve">16</t>
    </r>
    <r>
      <rPr>
        <sz val="10"/>
        <color rgb="FF0000FF"/>
        <rFont val="Noto Sans CJK SC"/>
        <family val="2"/>
      </rPr>
      <t xml:space="preserve">法人で最高水準で、価格に対して収益の厚い物件を選好していることを示す。</t>
    </r>
  </si>
  <si>
    <t xml:space="preserve">高利回りは市場が求めたリスクプレミアムでもある。地方大型物件の出口戦略が問われる。</t>
  </si>
  <si>
    <t xml:space="preserve">認証78.8%。日鉄興和不動産系の開発物件を受け皿とする構造。</t>
  </si>
  <si>
    <t xml:space="preserve">都心5区39% / 東京圏21% / 地方圏18%</t>
  </si>
  <si>
    <t xml:space="preserve">都心プレミアム集中型（最も極端な集中戦略）</t>
  </si>
  <si>
    <t xml:space="preserve">森ビルの都心大規模再開発に100%張る</t>
  </si>
  <si>
    <r>
      <rPr>
        <sz val="10"/>
        <color rgb="FF0000FF"/>
        <rFont val="Arial"/>
        <family val="0"/>
        <charset val="1"/>
      </rPr>
      <t xml:space="preserve">11</t>
    </r>
    <r>
      <rPr>
        <sz val="10"/>
        <color rgb="FF0000FF"/>
        <rFont val="Noto Sans CJK SC"/>
        <family val="2"/>
      </rPr>
      <t xml:space="preserve">物件すべてが都心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1</t>
    </r>
    <r>
      <rPr>
        <sz val="10"/>
        <color rgb="FF0000FF"/>
        <rFont val="Noto Sans CJK SC"/>
        <family val="2"/>
      </rPr>
      <t xml:space="preserve">物件平均</t>
    </r>
    <r>
      <rPr>
        <sz val="10"/>
        <color rgb="FF0000FF"/>
        <rFont val="Arial"/>
        <family val="0"/>
        <charset val="1"/>
      </rPr>
      <t xml:space="preserve">460</t>
    </r>
    <r>
      <rPr>
        <sz val="10"/>
        <color rgb="FF0000FF"/>
        <rFont val="Noto Sans CJK SC"/>
        <family val="2"/>
      </rPr>
      <t xml:space="preserve">億円は</t>
    </r>
    <r>
      <rPr>
        <sz val="10"/>
        <color rgb="FF0000FF"/>
        <rFont val="Arial"/>
        <family val="0"/>
        <charset val="1"/>
      </rPr>
      <t xml:space="preserve">16</t>
    </r>
    <r>
      <rPr>
        <sz val="10"/>
        <color rgb="FF0000FF"/>
        <rFont val="Noto Sans CJK SC"/>
        <family val="2"/>
      </rPr>
      <t xml:space="preserve">法人で最大、上位</t>
    </r>
    <r>
      <rPr>
        <sz val="10"/>
        <color rgb="FF0000FF"/>
        <rFont val="Arial"/>
        <family val="0"/>
        <charset val="1"/>
      </rPr>
      <t xml:space="preserve">5</t>
    </r>
    <r>
      <rPr>
        <sz val="10"/>
        <color rgb="FF0000FF"/>
        <rFont val="Noto Sans CJK SC"/>
        <family val="2"/>
      </rPr>
      <t xml:space="preserve">物件で</t>
    </r>
    <r>
      <rPr>
        <sz val="10"/>
        <color rgb="FF0000FF"/>
        <rFont val="Arial"/>
        <family val="0"/>
        <charset val="1"/>
      </rPr>
      <t xml:space="preserve">79.9%</t>
    </r>
    <r>
      <rPr>
        <sz val="10"/>
        <color rgb="FF0000FF"/>
        <rFont val="Noto Sans CJK SC"/>
        <family val="2"/>
      </rPr>
      <t xml:space="preserve">を占める。六本木ヒルズ・虎ノ門ヒルズ・アーク森ビルといった街区型再開発の持分を保有し、オフィス</t>
    </r>
    <r>
      <rPr>
        <sz val="10"/>
        <color rgb="FF0000FF"/>
        <rFont val="Arial"/>
        <family val="0"/>
        <charset val="1"/>
      </rPr>
      <t xml:space="preserve">73%</t>
    </r>
    <r>
      <rPr>
        <sz val="10"/>
        <color rgb="FF0000FF"/>
        <rFont val="Noto Sans CJK SC"/>
        <family val="2"/>
      </rPr>
      <t xml:space="preserve">に住宅</t>
    </r>
    <r>
      <rPr>
        <sz val="10"/>
        <color rgb="FF0000FF"/>
        <rFont val="Arial"/>
        <family val="0"/>
        <charset val="1"/>
      </rPr>
      <t xml:space="preserve">18%</t>
    </r>
    <r>
      <rPr>
        <sz val="10"/>
        <color rgb="FF0000FF"/>
        <rFont val="Noto Sans CJK SC"/>
        <family val="2"/>
      </rPr>
      <t xml:space="preserve">・商業</t>
    </r>
    <r>
      <rPr>
        <sz val="10"/>
        <color rgb="FF0000FF"/>
        <rFont val="Arial"/>
        <family val="0"/>
        <charset val="1"/>
      </rPr>
      <t xml:space="preserve">9%</t>
    </r>
    <r>
      <rPr>
        <sz val="10"/>
        <color rgb="FF0000FF"/>
        <rFont val="Noto Sans CJK SC"/>
        <family val="2"/>
      </rPr>
      <t xml:space="preserve">を混ぜた複合用途で単一用途リスクを緩和。</t>
    </r>
  </si>
  <si>
    <t xml:space="preserve">集中度79.9%は16法人で最高。1物件の稼働・賃料改定が分配金に直結する。全物件が都心5区かつ森ビルの開発物件であり、単一デベロッパーへの依存度が最も高い部類。</t>
  </si>
  <si>
    <t xml:space="preserve">粗利回り4.44%（鑑定評価額ベース）は最低水準。市場が最も低いキャップレートで評価している＝資産価値が最も高く評価されている裏返し。</t>
  </si>
  <si>
    <t xml:space="preserve">オフィス73% / 住宅18% / 商業9%</t>
  </si>
  <si>
    <t xml:space="preserve">都心5区100%</t>
  </si>
  <si>
    <t xml:space="preserve">オフィス＋商業のバランス型</t>
  </si>
  <si>
    <t xml:space="preserve">用途と地域の二軸で分散し、変動を平準化する</t>
  </si>
  <si>
    <t xml:space="preserve">オフィス75%・商業22%。都心5区45%に東京圏21%を組み合わせ、上位5物件の集中度30.8%は低位。1物件平均100億円。東京建物の開発物件を軸にしつつ、特定用途・特定物件への依存を意図的に避けた設計。</t>
  </si>
  <si>
    <t xml:space="preserve">分散は変動を抑える一方で突出した成長も生みにくい。商業施設は個別のテナント業績に業績が連動する。</t>
  </si>
  <si>
    <t xml:space="preserve">築年中央値30.1年と築古。認証71.6%。計画修繕の巧拙が長期のNOIを決める帯にある。</t>
  </si>
  <si>
    <t xml:space="preserve">オフィス75% / 商業22% / ホテル3%</t>
  </si>
  <si>
    <t xml:space="preserve">都心5区45% / 東京圏21% / 他23区12%</t>
  </si>
  <si>
    <t xml:space="preserve">沿線集中・複合用途型</t>
  </si>
  <si>
    <t xml:space="preserve">東急沿線という「面」に投資し、街の成長を取り込む</t>
  </si>
  <si>
    <r>
      <rPr>
        <sz val="10"/>
        <color rgb="FF0000FF"/>
        <rFont val="Arial"/>
        <family val="0"/>
        <charset val="1"/>
      </rPr>
      <t xml:space="preserve">28</t>
    </r>
    <r>
      <rPr>
        <sz val="10"/>
        <color rgb="FF0000FF"/>
        <rFont val="Noto Sans CJK SC"/>
        <family val="2"/>
      </rPr>
      <t xml:space="preserve">物件すべてが東京圏、都心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71%</t>
    </r>
    <r>
      <rPr>
        <sz val="10"/>
        <color rgb="FF0000FF"/>
        <rFont val="Noto Sans CJK SC"/>
        <family val="2"/>
      </rPr>
      <t xml:space="preserve">。</t>
    </r>
    <r>
      <rPr>
        <sz val="10"/>
        <color rgb="FF0000FF"/>
        <rFont val="Arial"/>
        <family val="0"/>
        <charset val="1"/>
      </rPr>
      <t xml:space="preserve">1</t>
    </r>
    <r>
      <rPr>
        <sz val="10"/>
        <color rgb="FF0000FF"/>
        <rFont val="Noto Sans CJK SC"/>
        <family val="2"/>
      </rPr>
      <t xml:space="preserve">物件平均</t>
    </r>
    <r>
      <rPr>
        <sz val="10"/>
        <color rgb="FF0000FF"/>
        <rFont val="Arial"/>
        <family val="0"/>
        <charset val="1"/>
      </rPr>
      <t xml:space="preserve">117</t>
    </r>
    <r>
      <rPr>
        <sz val="10"/>
        <color rgb="FF0000FF"/>
        <rFont val="Noto Sans CJK SC"/>
        <family val="2"/>
      </rPr>
      <t xml:space="preserve">億円。オフィス</t>
    </r>
    <r>
      <rPr>
        <sz val="10"/>
        <color rgb="FF0000FF"/>
        <rFont val="Arial"/>
        <family val="0"/>
        <charset val="1"/>
      </rPr>
      <t xml:space="preserve">64%</t>
    </r>
    <r>
      <rPr>
        <sz val="10"/>
        <color rgb="FF0000FF"/>
        <rFont val="Noto Sans CJK SC"/>
        <family val="2"/>
      </rPr>
      <t xml:space="preserve">・商業</t>
    </r>
    <r>
      <rPr>
        <sz val="10"/>
        <color rgb="FF0000FF"/>
        <rFont val="Arial"/>
        <family val="0"/>
        <charset val="1"/>
      </rPr>
      <t xml:space="preserve">21%</t>
    </r>
    <r>
      <rPr>
        <sz val="10"/>
        <color rgb="FF0000FF"/>
        <rFont val="Noto Sans CJK SC"/>
        <family val="2"/>
      </rPr>
      <t xml:space="preserve">・住宅</t>
    </r>
    <r>
      <rPr>
        <sz val="10"/>
        <color rgb="FF0000FF"/>
        <rFont val="Arial"/>
        <family val="0"/>
        <charset val="1"/>
      </rPr>
      <t xml:space="preserve">11%</t>
    </r>
    <r>
      <rPr>
        <sz val="10"/>
        <color rgb="FF0000FF"/>
        <rFont val="Noto Sans CJK SC"/>
        <family val="2"/>
      </rPr>
      <t xml:space="preserve">の複合。渋谷・二子玉川など東急が開発を主導するエリアに集中し、街づくりの果実を賃料成長として回収する構造。</t>
    </r>
  </si>
  <si>
    <t xml:space="preserve">沿線集中は地域経済の変調に対する分散が効かない。築年中央値31.4年と築古で、更新投資の負担が重い。</t>
  </si>
  <si>
    <r>
      <rPr>
        <sz val="10"/>
        <color rgb="FF0000FF"/>
        <rFont val="Arial"/>
        <family val="0"/>
        <charset val="1"/>
      </rPr>
      <t xml:space="preserve">LEED ND</t>
    </r>
    <r>
      <rPr>
        <sz val="10"/>
        <color rgb="FF0000FF"/>
        <rFont val="Noto Sans CJK SC"/>
        <family val="2"/>
      </rPr>
      <t xml:space="preserve">（まちづくり部門）を取得した二子玉川ライズを保有。街区単位での</t>
    </r>
    <r>
      <rPr>
        <sz val="10"/>
        <color rgb="FF0000FF"/>
        <rFont val="Arial"/>
        <family val="0"/>
        <charset val="1"/>
      </rPr>
      <t xml:space="preserve">ESG</t>
    </r>
    <r>
      <rPr>
        <sz val="10"/>
        <color rgb="FF0000FF"/>
        <rFont val="Noto Sans CJK SC"/>
        <family val="2"/>
      </rPr>
      <t xml:space="preserve">評価という他法人にない資産を持つ。</t>
    </r>
  </si>
  <si>
    <t xml:space="preserve">オフィス64% / 商業21% / 住宅11%</t>
  </si>
  <si>
    <t xml:space="preserve">都心5区71% / 他23区21% / 東京圏7%</t>
  </si>
  <si>
    <t xml:space="preserve">用途分散・駅前立地特化型</t>
  </si>
  <si>
    <t xml:space="preserve">駅前という立地条件を共通項に、用途を跨いで分散する</t>
  </si>
  <si>
    <t xml:space="preserve">オフィス51%・ヘルスケア21%・商業12%。東京圏92.5%だが他23区45%が都心5区40%を上回る。1物件平均73億円。ヒューリックの「駅前・駅近」戦略を継承し、用途ではなく立地で選別する点が他法人と決定的に異なる。ヘルスケア21%は高齢化を捉えた長期契約型キャッシュフロー。</t>
  </si>
  <si>
    <t xml:space="preserve">ヘルスケアはオペレーター信用力に依存し、代替が難しい。用途分散はモニタリング負荷を高める。</t>
  </si>
  <si>
    <t xml:space="preserve">管理をヒューリックビルマネジメントに内製集約。グループ内で運営品質を統制する垂直統合型。</t>
  </si>
  <si>
    <t xml:space="preserve">オフィス51% / ヘルスケア21% / 商業12%</t>
  </si>
  <si>
    <t xml:space="preserve">他23区45% / 都心5区40% / 東京圏7%</t>
  </si>
  <si>
    <t xml:space="preserve">住宅・オフィス二本柱型</t>
  </si>
  <si>
    <t xml:space="preserve">変動の大きいオフィスを、安定的な住宅で中和する</t>
  </si>
  <si>
    <t xml:space="preserve">住宅58%・オフィス40%。都心5区56.5%と都心比率は高い。1物件平均55億円と中規模。オフィスの景気連動性を、賃料変動の小さい都心住宅で打ち消すポートフォリオ設計。</t>
  </si>
  <si>
    <t xml:space="preserve">住宅は個別の賃料上昇余地が限られ、成長エンジンにはなりにくい。稼働率中央値99.2%と既に高位で、稼働改善の余地が乏しい。</t>
  </si>
  <si>
    <t xml:space="preserve">認証71.0%。住宅系でのDBJ認証取得（23件）を積極化しており、オフィス偏重になりがちな認証取得を住宅にも広げている点が特徴。</t>
  </si>
  <si>
    <t xml:space="preserve">住宅58% / オフィス40% / その他2%</t>
  </si>
  <si>
    <t xml:space="preserve">都心5区56% / 他23区31% / 他3大都市圏8%</t>
  </si>
  <si>
    <t xml:space="preserve">小口分散・住宅主体型</t>
  </si>
  <si>
    <t xml:space="preserve">小さく多く持ち、1棟の失敗が効かない構造をつくる</t>
  </si>
  <si>
    <r>
      <rPr>
        <sz val="10"/>
        <color rgb="FF0000FF"/>
        <rFont val="Arial"/>
        <family val="0"/>
        <charset val="1"/>
      </rPr>
      <t xml:space="preserve">136</t>
    </r>
    <r>
      <rPr>
        <sz val="10"/>
        <color rgb="FF0000FF"/>
        <rFont val="Noto Sans CJK SC"/>
        <family val="2"/>
      </rPr>
      <t xml:space="preserve">物件・</t>
    </r>
    <r>
      <rPr>
        <sz val="10"/>
        <color rgb="FF0000FF"/>
        <rFont val="Arial"/>
        <family val="0"/>
        <charset val="1"/>
      </rPr>
      <t xml:space="preserve">1</t>
    </r>
    <r>
      <rPr>
        <sz val="10"/>
        <color rgb="FF0000FF"/>
        <rFont val="Noto Sans CJK SC"/>
        <family val="2"/>
      </rPr>
      <t xml:space="preserve">物件平均</t>
    </r>
    <r>
      <rPr>
        <sz val="10"/>
        <color rgb="FF0000FF"/>
        <rFont val="Arial"/>
        <family val="0"/>
        <charset val="1"/>
      </rPr>
      <t xml:space="preserve">24</t>
    </r>
    <r>
      <rPr>
        <sz val="10"/>
        <color rgb="FF0000FF"/>
        <rFont val="Noto Sans CJK SC"/>
        <family val="2"/>
      </rPr>
      <t xml:space="preserve">億円は</t>
    </r>
    <r>
      <rPr>
        <sz val="10"/>
        <color rgb="FF0000FF"/>
        <rFont val="Arial"/>
        <family val="0"/>
        <charset val="1"/>
      </rPr>
      <t xml:space="preserve">16</t>
    </r>
    <r>
      <rPr>
        <sz val="10"/>
        <color rgb="FF0000FF"/>
        <rFont val="Noto Sans CJK SC"/>
        <family val="2"/>
      </rPr>
      <t xml:space="preserve">法人で最小。上位</t>
    </r>
    <r>
      <rPr>
        <sz val="10"/>
        <color rgb="FF0000FF"/>
        <rFont val="Arial"/>
        <family val="0"/>
        <charset val="1"/>
      </rPr>
      <t xml:space="preserve">5</t>
    </r>
    <r>
      <rPr>
        <sz val="10"/>
        <color rgb="FF0000FF"/>
        <rFont val="Noto Sans CJK SC"/>
        <family val="2"/>
      </rPr>
      <t xml:space="preserve">物件の集中度</t>
    </r>
    <r>
      <rPr>
        <sz val="10"/>
        <color rgb="FF0000FF"/>
        <rFont val="Arial"/>
        <family val="0"/>
        <charset val="1"/>
      </rPr>
      <t xml:space="preserve">11.9%</t>
    </r>
    <r>
      <rPr>
        <sz val="10"/>
        <color rgb="FF0000FF"/>
        <rFont val="Noto Sans CJK SC"/>
        <family val="2"/>
      </rPr>
      <t xml:space="preserve">も最小で、極端な分散型。住宅</t>
    </r>
    <r>
      <rPr>
        <sz val="10"/>
        <color rgb="FF0000FF"/>
        <rFont val="Arial"/>
        <family val="0"/>
        <charset val="1"/>
      </rPr>
      <t xml:space="preserve">66%</t>
    </r>
    <r>
      <rPr>
        <sz val="10"/>
        <color rgb="FF0000FF"/>
        <rFont val="Noto Sans CJK SC"/>
        <family val="2"/>
      </rPr>
      <t xml:space="preserve">・オフィス</t>
    </r>
    <r>
      <rPr>
        <sz val="10"/>
        <color rgb="FF0000FF"/>
        <rFont val="Arial"/>
        <family val="0"/>
        <charset val="1"/>
      </rPr>
      <t xml:space="preserve">34%</t>
    </r>
    <r>
      <rPr>
        <sz val="10"/>
        <color rgb="FF0000FF"/>
        <rFont val="Noto Sans CJK SC"/>
        <family val="2"/>
      </rPr>
      <t xml:space="preserve">、他</t>
    </r>
    <r>
      <rPr>
        <sz val="10"/>
        <color rgb="FF0000FF"/>
        <rFont val="Arial"/>
        <family val="0"/>
        <charset val="1"/>
      </rPr>
      <t xml:space="preserve">23</t>
    </r>
    <r>
      <rPr>
        <sz val="10"/>
        <color rgb="FF0000FF"/>
        <rFont val="Noto Sans CJK SC"/>
        <family val="2"/>
      </rPr>
      <t xml:space="preserve">区</t>
    </r>
    <r>
      <rPr>
        <sz val="10"/>
        <color rgb="FF0000FF"/>
        <rFont val="Arial"/>
        <family val="0"/>
        <charset val="1"/>
      </rPr>
      <t xml:space="preserve">38%</t>
    </r>
    <r>
      <rPr>
        <sz val="10"/>
        <color rgb="FF0000FF"/>
        <rFont val="Noto Sans CJK SC"/>
        <family val="2"/>
      </rPr>
      <t xml:space="preserve">と都心外の実需エリアが中心。</t>
    </r>
  </si>
  <si>
    <r>
      <rPr>
        <sz val="10"/>
        <color rgb="FF0000FF"/>
        <rFont val="Arial"/>
        <family val="0"/>
        <charset val="1"/>
      </rPr>
      <t xml:space="preserve">1</t>
    </r>
    <r>
      <rPr>
        <sz val="10"/>
        <color rgb="FF0000FF"/>
        <rFont val="Noto Sans CJK SC"/>
        <family val="2"/>
      </rPr>
      <t xml:space="preserve">棟あたりが小さいため管理コストの比率が上がりやすい。物件数の多さは運営負荷とデータ管理の難易度を高める。</t>
    </r>
  </si>
  <si>
    <t xml:space="preserve">認証22.8%と低位。小規模物件は認証取得の採算が合わず、ESG面では構造的な制約を抱える。</t>
  </si>
  <si>
    <t xml:space="preserve">住宅66% / オフィス34%</t>
  </si>
  <si>
    <t xml:space="preserve">他23区38% / 都心5区23% / 他3大都市圏15%</t>
  </si>
  <si>
    <t xml:space="preserve">住宅特化・スポンサー開発直結型</t>
  </si>
  <si>
    <t xml:space="preserve">積水ハウスの開発供給を受け皿として安定成長する</t>
  </si>
  <si>
    <t xml:space="preserve">住宅96%。他23区46%・都心5区18%と、都心よりも実需の厚いエリアに展開。1物件平均48億円。築年中央値16.8年と16法人で最も築浅で、スポンサーの新築供給を継続的に取得している証左。米国物件も保有し地理分散を試行。</t>
  </si>
  <si>
    <t xml:space="preserve">稼働率中央値96.4%は16法人で最低。住宅は入退去が常態で、稼働の底上げ余地が最大の改善テーマ。</t>
  </si>
  <si>
    <t xml:space="preserve">認証81.2%と住宅系では突出。CASBEE不動産103件・BELS★5×9件で、ZEH水準の新築供給がそのまま認証率に直結している。</t>
  </si>
  <si>
    <t xml:space="preserve">住宅96% / オフィス4%</t>
  </si>
  <si>
    <t xml:space="preserve">他23区46% / 都心5区18% / 東京圏14%</t>
  </si>
  <si>
    <t xml:space="preserve">大型・複合（オフィス＋ホテル）型</t>
  </si>
  <si>
    <t xml:space="preserve">オフィスの安定とホテルの変動を意図的に組み合わせる</t>
  </si>
  <si>
    <r>
      <rPr>
        <sz val="10"/>
        <color rgb="FF0000FF"/>
        <rFont val="Arial"/>
        <family val="0"/>
        <charset val="1"/>
      </rPr>
      <t xml:space="preserve">20</t>
    </r>
    <r>
      <rPr>
        <sz val="10"/>
        <color rgb="FF0000FF"/>
        <rFont val="Noto Sans CJK SC"/>
        <family val="2"/>
      </rPr>
      <t xml:space="preserve">物件・</t>
    </r>
    <r>
      <rPr>
        <sz val="10"/>
        <color rgb="FF0000FF"/>
        <rFont val="Arial"/>
        <family val="0"/>
        <charset val="1"/>
      </rPr>
      <t xml:space="preserve">1</t>
    </r>
    <r>
      <rPr>
        <sz val="10"/>
        <color rgb="FF0000FF"/>
        <rFont val="Noto Sans CJK SC"/>
        <family val="2"/>
      </rPr>
      <t xml:space="preserve">物件平均</t>
    </r>
    <r>
      <rPr>
        <sz val="10"/>
        <color rgb="FF0000FF"/>
        <rFont val="Arial"/>
        <family val="0"/>
        <charset val="1"/>
      </rPr>
      <t xml:space="preserve">268</t>
    </r>
    <r>
      <rPr>
        <sz val="10"/>
        <color rgb="FF0000FF"/>
        <rFont val="Noto Sans CJK SC"/>
        <family val="2"/>
      </rPr>
      <t xml:space="preserve">億円と大型。オフィス</t>
    </r>
    <r>
      <rPr>
        <sz val="10"/>
        <color rgb="FF0000FF"/>
        <rFont val="Arial"/>
        <family val="0"/>
        <charset val="1"/>
      </rPr>
      <t xml:space="preserve">50%</t>
    </r>
    <r>
      <rPr>
        <sz val="10"/>
        <color rgb="FF0000FF"/>
        <rFont val="Noto Sans CJK SC"/>
        <family val="2"/>
      </rPr>
      <t xml:space="preserve">・ホテル</t>
    </r>
    <r>
      <rPr>
        <sz val="10"/>
        <color rgb="FF0000FF"/>
        <rFont val="Arial"/>
        <family val="0"/>
        <charset val="1"/>
      </rPr>
      <t xml:space="preserve">30%</t>
    </r>
    <r>
      <rPr>
        <sz val="10"/>
        <color rgb="FF0000FF"/>
        <rFont val="Noto Sans CJK SC"/>
        <family val="2"/>
      </rPr>
      <t xml:space="preserve">・商業</t>
    </r>
    <r>
      <rPr>
        <sz val="10"/>
        <color rgb="FF0000FF"/>
        <rFont val="Arial"/>
        <family val="0"/>
        <charset val="1"/>
      </rPr>
      <t xml:space="preserve">15%</t>
    </r>
    <r>
      <rPr>
        <sz val="10"/>
        <color rgb="FF0000FF"/>
        <rFont val="Noto Sans CJK SC"/>
        <family val="2"/>
      </rPr>
      <t xml:space="preserve">。上位</t>
    </r>
    <r>
      <rPr>
        <sz val="10"/>
        <color rgb="FF0000FF"/>
        <rFont val="Arial"/>
        <family val="0"/>
        <charset val="1"/>
      </rPr>
      <t xml:space="preserve">5</t>
    </r>
    <r>
      <rPr>
        <sz val="10"/>
        <color rgb="FF0000FF"/>
        <rFont val="Noto Sans CJK SC"/>
        <family val="2"/>
      </rPr>
      <t xml:space="preserve">物件で</t>
    </r>
    <r>
      <rPr>
        <sz val="10"/>
        <color rgb="FF0000FF"/>
        <rFont val="Arial"/>
        <family val="0"/>
        <charset val="1"/>
      </rPr>
      <t xml:space="preserve">57.3%</t>
    </r>
    <r>
      <rPr>
        <sz val="10"/>
        <color rgb="FF0000FF"/>
        <rFont val="Noto Sans CJK SC"/>
        <family val="2"/>
      </rPr>
      <t xml:space="preserve">と集中度が高い。森トラストの大型開発とホテル運営力を背景に、景気拡大局面ではホテルが伸び、後退局面ではオフィスが支える設計。</t>
    </r>
  </si>
  <si>
    <t xml:space="preserve">ホテルは変動費型で業績連動性が高く、外的ショックに脆い。集中度の高さがそれを増幅する。</t>
  </si>
  <si>
    <t xml:space="preserve">認証95.0%は最高水準。DBJ18件で、評価語（国内トップクラス等）ベースの高位認証を多数保有。</t>
  </si>
  <si>
    <t xml:space="preserve">オフィス50% / ホテル30% / 商業15%</t>
  </si>
  <si>
    <t xml:space="preserve">都心5区45% / 東京圏20% / 他3大都市圏15%</t>
  </si>
  <si>
    <t xml:space="preserve">総合型への転換途上</t>
  </si>
  <si>
    <t xml:space="preserve">オフィス単独から用途分散へ舵を切っている最中</t>
  </si>
  <si>
    <r>
      <rPr>
        <sz val="10"/>
        <color rgb="FF0000FF"/>
        <rFont val="Arial"/>
        <family val="0"/>
        <charset val="1"/>
      </rPr>
      <t xml:space="preserve">16</t>
    </r>
    <r>
      <rPr>
        <sz val="10"/>
        <color rgb="FF0000FF"/>
        <rFont val="Noto Sans CJK SC"/>
        <family val="2"/>
      </rPr>
      <t xml:space="preserve">物件・オフィス</t>
    </r>
    <r>
      <rPr>
        <sz val="10"/>
        <color rgb="FF0000FF"/>
        <rFont val="Arial"/>
        <family val="0"/>
        <charset val="1"/>
      </rPr>
      <t xml:space="preserve">56%</t>
    </r>
    <r>
      <rPr>
        <sz val="10"/>
        <color rgb="FF0000FF"/>
        <rFont val="Noto Sans CJK SC"/>
        <family val="2"/>
      </rPr>
      <t xml:space="preserve">・ホテル</t>
    </r>
    <r>
      <rPr>
        <sz val="10"/>
        <color rgb="FF0000FF"/>
        <rFont val="Arial"/>
        <family val="0"/>
        <charset val="1"/>
      </rPr>
      <t xml:space="preserve">38%</t>
    </r>
    <r>
      <rPr>
        <sz val="10"/>
        <color rgb="FF0000FF"/>
        <rFont val="Noto Sans CJK SC"/>
        <family val="2"/>
      </rPr>
      <t xml:space="preserve">・物流</t>
    </r>
    <r>
      <rPr>
        <sz val="10"/>
        <color rgb="FF0000FF"/>
        <rFont val="Arial"/>
        <family val="0"/>
        <charset val="1"/>
      </rPr>
      <t xml:space="preserve">6%</t>
    </r>
    <r>
      <rPr>
        <sz val="10"/>
        <color rgb="FF0000FF"/>
        <rFont val="Noto Sans CJK SC"/>
        <family val="2"/>
      </rPr>
      <t xml:space="preserve">。築年中央値</t>
    </r>
    <r>
      <rPr>
        <sz val="10"/>
        <color rgb="FF0000FF"/>
        <rFont val="Arial"/>
        <family val="0"/>
        <charset val="1"/>
      </rPr>
      <t xml:space="preserve">8.85</t>
    </r>
    <r>
      <rPr>
        <sz val="10"/>
        <color rgb="FF0000FF"/>
        <rFont val="Noto Sans CJK SC"/>
        <family val="2"/>
      </rPr>
      <t xml:space="preserve">年と</t>
    </r>
    <r>
      <rPr>
        <sz val="10"/>
        <color rgb="FF0000FF"/>
        <rFont val="Arial"/>
        <family val="0"/>
        <charset val="1"/>
      </rPr>
      <t xml:space="preserve">16</t>
    </r>
    <r>
      <rPr>
        <sz val="10"/>
        <color rgb="FF0000FF"/>
        <rFont val="Noto Sans CJK SC"/>
        <family val="2"/>
      </rPr>
      <t xml:space="preserve">法人で最も築浅。</t>
    </r>
    <r>
      <rPr>
        <sz val="10"/>
        <color rgb="FF0000FF"/>
        <rFont val="Arial"/>
        <family val="0"/>
        <charset val="1"/>
      </rPr>
      <t xml:space="preserve">2023</t>
    </r>
    <r>
      <rPr>
        <sz val="10"/>
        <color rgb="FF0000FF"/>
        <rFont val="Noto Sans CJK SC"/>
        <family val="2"/>
      </rPr>
      <t xml:space="preserve">年に運用ガイドラインを変更し総合型</t>
    </r>
    <r>
      <rPr>
        <sz val="10"/>
        <color rgb="FF0000FF"/>
        <rFont val="Arial"/>
        <family val="0"/>
        <charset val="1"/>
      </rPr>
      <t xml:space="preserve">REIT</t>
    </r>
    <r>
      <rPr>
        <sz val="10"/>
        <color rgb="FF0000FF"/>
        <rFont val="Noto Sans CJK SC"/>
        <family val="2"/>
      </rPr>
      <t xml:space="preserve">へ転換しており、現在のポートフォリオは移行途上の姿。</t>
    </r>
  </si>
  <si>
    <t xml:space="preserve">規模が小さく上位5物件で51.1%を占める。2026年に非公開化を目的としたTOBが実施され不成立に終わっており、資本政策の不確実性を抱える。</t>
  </si>
  <si>
    <t xml:space="preserve">認証25.0%と低位。ただし築浅比率が高く、今後の認証取得余地は大きい。</t>
  </si>
  <si>
    <t xml:space="preserve">オフィス56% / ホテル38% / 物流6%</t>
  </si>
  <si>
    <t xml:space="preserve">都心5区38% / 地方圏25% / 他3大都市圏19%</t>
  </si>
  <si>
    <t xml:space="preserve">超分散・独立系マルチアセット型</t>
  </si>
  <si>
    <t xml:space="preserve">スポンサー系列に依存せず、市場から広く買い集める</t>
  </si>
  <si>
    <r>
      <rPr>
        <sz val="10"/>
        <color rgb="FF0000FF"/>
        <rFont val="Arial"/>
        <family val="0"/>
        <charset val="1"/>
      </rPr>
      <t xml:space="preserve">343</t>
    </r>
    <r>
      <rPr>
        <sz val="10"/>
        <color rgb="FF0000FF"/>
        <rFont val="Noto Sans CJK SC"/>
        <family val="2"/>
      </rPr>
      <t xml:space="preserve">物件は</t>
    </r>
    <r>
      <rPr>
        <sz val="10"/>
        <color rgb="FF0000FF"/>
        <rFont val="Arial"/>
        <family val="0"/>
        <charset val="1"/>
      </rPr>
      <t xml:space="preserve">16</t>
    </r>
    <r>
      <rPr>
        <sz val="10"/>
        <color rgb="FF0000FF"/>
        <rFont val="Noto Sans CJK SC"/>
        <family val="2"/>
      </rPr>
      <t xml:space="preserve">法人で最多、</t>
    </r>
    <r>
      <rPr>
        <sz val="10"/>
        <color rgb="FF0000FF"/>
        <rFont val="Arial"/>
        <family val="0"/>
        <charset val="1"/>
      </rPr>
      <t xml:space="preserve">1</t>
    </r>
    <r>
      <rPr>
        <sz val="10"/>
        <color rgb="FF0000FF"/>
        <rFont val="Noto Sans CJK SC"/>
        <family val="2"/>
      </rPr>
      <t xml:space="preserve">物件平均</t>
    </r>
    <r>
      <rPr>
        <sz val="10"/>
        <color rgb="FF0000FF"/>
        <rFont val="Arial"/>
        <family val="0"/>
        <charset val="1"/>
      </rPr>
      <t xml:space="preserve">39</t>
    </r>
    <r>
      <rPr>
        <sz val="10"/>
        <color rgb="FF0000FF"/>
        <rFont val="Noto Sans CJK SC"/>
        <family val="2"/>
      </rPr>
      <t xml:space="preserve">億円・上位</t>
    </r>
    <r>
      <rPr>
        <sz val="10"/>
        <color rgb="FF0000FF"/>
        <rFont val="Arial"/>
        <family val="0"/>
        <charset val="1"/>
      </rPr>
      <t xml:space="preserve">5</t>
    </r>
    <r>
      <rPr>
        <sz val="10"/>
        <color rgb="FF0000FF"/>
        <rFont val="Noto Sans CJK SC"/>
        <family val="2"/>
      </rPr>
      <t xml:space="preserve">物件の集中度</t>
    </r>
    <r>
      <rPr>
        <sz val="10"/>
        <color rgb="FF0000FF"/>
        <rFont val="Arial"/>
        <family val="0"/>
        <charset val="1"/>
      </rPr>
      <t xml:space="preserve">9.0%</t>
    </r>
    <r>
      <rPr>
        <sz val="10"/>
        <color rgb="FF0000FF"/>
        <rFont val="Noto Sans CJK SC"/>
        <family val="2"/>
      </rPr>
      <t xml:space="preserve">は最小。住宅</t>
    </r>
    <r>
      <rPr>
        <sz val="10"/>
        <color rgb="FF0000FF"/>
        <rFont val="Arial"/>
        <family val="0"/>
        <charset val="1"/>
      </rPr>
      <t xml:space="preserve">39%</t>
    </r>
    <r>
      <rPr>
        <sz val="10"/>
        <color rgb="FF0000FF"/>
        <rFont val="Noto Sans CJK SC"/>
        <family val="2"/>
      </rPr>
      <t xml:space="preserve">・オフィス</t>
    </r>
    <r>
      <rPr>
        <sz val="10"/>
        <color rgb="FF0000FF"/>
        <rFont val="Arial"/>
        <family val="0"/>
        <charset val="1"/>
      </rPr>
      <t xml:space="preserve">25%</t>
    </r>
    <r>
      <rPr>
        <sz val="10"/>
        <color rgb="FF0000FF"/>
        <rFont val="Noto Sans CJK SC"/>
        <family val="2"/>
      </rPr>
      <t xml:space="preserve">・商業</t>
    </r>
    <r>
      <rPr>
        <sz val="10"/>
        <color rgb="FF0000FF"/>
        <rFont val="Arial"/>
        <family val="0"/>
        <charset val="1"/>
      </rPr>
      <t xml:space="preserve">17%</t>
    </r>
    <r>
      <rPr>
        <sz val="10"/>
        <color rgb="FF0000FF"/>
        <rFont val="Noto Sans CJK SC"/>
        <family val="2"/>
      </rPr>
      <t xml:space="preserve">と用途を広く分散し、東京圏</t>
    </r>
    <r>
      <rPr>
        <sz val="10"/>
        <color rgb="FF0000FF"/>
        <rFont val="Arial"/>
        <family val="0"/>
        <charset val="1"/>
      </rPr>
      <t xml:space="preserve">68%</t>
    </r>
    <r>
      <rPr>
        <sz val="10"/>
        <color rgb="FF0000FF"/>
        <rFont val="Noto Sans CJK SC"/>
        <family val="2"/>
      </rPr>
      <t xml:space="preserve">・地方圏</t>
    </r>
    <r>
      <rPr>
        <sz val="10"/>
        <color rgb="FF0000FF"/>
        <rFont val="Arial"/>
        <family val="0"/>
        <charset val="1"/>
      </rPr>
      <t xml:space="preserve">32%</t>
    </r>
    <r>
      <rPr>
        <sz val="10"/>
        <color rgb="FF0000FF"/>
        <rFont val="Noto Sans CJK SC"/>
        <family val="2"/>
      </rPr>
      <t xml:space="preserve">。特定の開発会社の供給に依存せず、市場全体を調達源とする独立系の典型。</t>
    </r>
  </si>
  <si>
    <t xml:space="preserve">物件数の多さは管理・情報開示の負荷を高める。分散は下振れを抑えるが、個別物件のバリューアップ効果は薄まる。</t>
  </si>
  <si>
    <t xml:space="preserve">管理をケネディクス・プロパティ・デザインに集約し、183棟を実名公開。16法人で最も管理体制の透明性が高い。</t>
  </si>
  <si>
    <t xml:space="preserve">住宅39% / オフィス25% / 商業17%</t>
  </si>
  <si>
    <t xml:space="preserve">東京圏68% / 地方圏32%</t>
  </si>
  <si>
    <t xml:space="preserve">セントラル・リート投資法人</t>
  </si>
  <si>
    <t xml:space="preserve">小型総合型・中部圏シフト途上</t>
  </si>
  <si>
    <r>
      <rPr>
        <sz val="10"/>
        <color rgb="FF0000FF"/>
        <rFont val="Arial"/>
        <family val="0"/>
        <charset val="1"/>
      </rPr>
      <t xml:space="preserve">PM</t>
    </r>
    <r>
      <rPr>
        <sz val="10"/>
        <color rgb="FF0000FF"/>
        <rFont val="Noto Sans CJK SC"/>
        <family val="2"/>
      </rPr>
      <t xml:space="preserve">実績を持つスポンサーの運営力で中小型物件の収益を引き上げる</t>
    </r>
  </si>
  <si>
    <r>
      <rPr>
        <sz val="10"/>
        <color rgb="FF0000FF"/>
        <rFont val="Arial"/>
        <family val="0"/>
        <charset val="1"/>
      </rPr>
      <t xml:space="preserve">20</t>
    </r>
    <r>
      <rPr>
        <sz val="10"/>
        <color rgb="FF0000FF"/>
        <rFont val="Noto Sans CJK SC"/>
        <family val="2"/>
      </rPr>
      <t xml:space="preserve">物件・</t>
    </r>
    <r>
      <rPr>
        <sz val="10"/>
        <color rgb="FF0000FF"/>
        <rFont val="Arial"/>
        <family val="0"/>
        <charset val="1"/>
      </rPr>
      <t xml:space="preserve">1</t>
    </r>
    <r>
      <rPr>
        <sz val="10"/>
        <color rgb="FF0000FF"/>
        <rFont val="Noto Sans CJK SC"/>
        <family val="2"/>
      </rPr>
      <t xml:space="preserve">物件平均</t>
    </r>
    <r>
      <rPr>
        <sz val="10"/>
        <color rgb="FF0000FF"/>
        <rFont val="Arial"/>
        <family val="0"/>
        <charset val="1"/>
      </rPr>
      <t xml:space="preserve">32</t>
    </r>
    <r>
      <rPr>
        <sz val="10"/>
        <color rgb="FF0000FF"/>
        <rFont val="Noto Sans CJK SC"/>
        <family val="2"/>
      </rPr>
      <t xml:space="preserve">億円と</t>
    </r>
    <r>
      <rPr>
        <sz val="10"/>
        <color rgb="FF0000FF"/>
        <rFont val="Arial"/>
        <family val="0"/>
        <charset val="1"/>
      </rPr>
      <t xml:space="preserve">16</t>
    </r>
    <r>
      <rPr>
        <sz val="10"/>
        <color rgb="FF0000FF"/>
        <rFont val="Noto Sans CJK SC"/>
        <family val="2"/>
      </rPr>
      <t xml:space="preserve">法人中で最小の部類。オフィス</t>
    </r>
    <r>
      <rPr>
        <sz val="10"/>
        <color rgb="FF0000FF"/>
        <rFont val="Arial"/>
        <family val="0"/>
        <charset val="1"/>
      </rPr>
      <t xml:space="preserve">55%</t>
    </r>
    <r>
      <rPr>
        <sz val="10"/>
        <color rgb="FF0000FF"/>
        <rFont val="Noto Sans CJK SC"/>
        <family val="2"/>
      </rPr>
      <t xml:space="preserve">・商業</t>
    </r>
    <r>
      <rPr>
        <sz val="10"/>
        <color rgb="FF0000FF"/>
        <rFont val="Arial"/>
        <family val="0"/>
        <charset val="1"/>
      </rPr>
      <t xml:space="preserve">30%</t>
    </r>
    <r>
      <rPr>
        <sz val="10"/>
        <color rgb="FF0000FF"/>
        <rFont val="Noto Sans CJK SC"/>
        <family val="2"/>
      </rPr>
      <t xml:space="preserve">・ホテル</t>
    </r>
    <r>
      <rPr>
        <sz val="10"/>
        <color rgb="FF0000FF"/>
        <rFont val="Arial"/>
        <family val="0"/>
        <charset val="1"/>
      </rPr>
      <t xml:space="preserve">10%</t>
    </r>
    <r>
      <rPr>
        <sz val="10"/>
        <color rgb="FF0000FF"/>
        <rFont val="Noto Sans CJK SC"/>
        <family val="2"/>
      </rPr>
      <t xml:space="preserve">の総合型で、都心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25%</t>
    </r>
    <r>
      <rPr>
        <sz val="10"/>
        <color rgb="FF0000FF"/>
        <rFont val="Noto Sans CJK SC"/>
        <family val="2"/>
      </rPr>
      <t xml:space="preserve">・他</t>
    </r>
    <r>
      <rPr>
        <sz val="10"/>
        <color rgb="FF0000FF"/>
        <rFont val="Arial"/>
        <family val="0"/>
        <charset val="1"/>
      </rPr>
      <t xml:space="preserve">3</t>
    </r>
    <r>
      <rPr>
        <sz val="10"/>
        <color rgb="FF0000FF"/>
        <rFont val="Noto Sans CJK SC"/>
        <family val="2"/>
      </rPr>
      <t xml:space="preserve">大都市圏</t>
    </r>
    <r>
      <rPr>
        <sz val="10"/>
        <color rgb="FF0000FF"/>
        <rFont val="Arial"/>
        <family val="0"/>
        <charset val="1"/>
      </rPr>
      <t xml:space="preserve">35%</t>
    </r>
    <r>
      <rPr>
        <sz val="10"/>
        <color rgb="FF0000FF"/>
        <rFont val="Noto Sans CJK SC"/>
        <family val="2"/>
      </rPr>
      <t xml:space="preserve">と地方分散が進む。スポンサーのザイマックスは</t>
    </r>
    <r>
      <rPr>
        <sz val="10"/>
        <color rgb="FF0000FF"/>
        <rFont val="Arial"/>
        <family val="0"/>
        <charset val="1"/>
      </rPr>
      <t xml:space="preserve">J-REIT</t>
    </r>
    <r>
      <rPr>
        <sz val="10"/>
        <color rgb="FF0000FF"/>
        <rFont val="Noto Sans CJK SC"/>
        <family val="2"/>
      </rPr>
      <t xml:space="preserve">の</t>
    </r>
    <r>
      <rPr>
        <sz val="10"/>
        <color rgb="FF0000FF"/>
        <rFont val="Arial"/>
        <family val="0"/>
        <charset val="1"/>
      </rPr>
      <t xml:space="preserve">PM</t>
    </r>
    <r>
      <rPr>
        <sz val="10"/>
        <color rgb="FF0000FF"/>
        <rFont val="Noto Sans CJK SC"/>
        <family val="2"/>
      </rPr>
      <t xml:space="preserve">受託で実績首位であり、自ら運営する物件を組み入れることで、中小型ビルでも管理品質を担保する構造。</t>
    </r>
    <r>
      <rPr>
        <sz val="10"/>
        <color rgb="FF0000FF"/>
        <rFont val="Arial"/>
        <family val="0"/>
        <charset val="1"/>
      </rPr>
      <t xml:space="preserve">2025</t>
    </r>
    <r>
      <rPr>
        <sz val="10"/>
        <color rgb="FF0000FF"/>
        <rFont val="Noto Sans CJK SC"/>
        <family val="2"/>
      </rPr>
      <t xml:space="preserve">年</t>
    </r>
    <r>
      <rPr>
        <sz val="10"/>
        <color rgb="FF0000FF"/>
        <rFont val="Arial"/>
        <family val="0"/>
        <charset val="1"/>
      </rPr>
      <t xml:space="preserve">10</t>
    </r>
    <r>
      <rPr>
        <sz val="10"/>
        <color rgb="FF0000FF"/>
        <rFont val="Noto Sans CJK SC"/>
        <family val="2"/>
      </rPr>
      <t xml:space="preserve">月に名鉄都市開発が</t>
    </r>
    <r>
      <rPr>
        <sz val="10"/>
        <color rgb="FF0000FF"/>
        <rFont val="Arial"/>
        <family val="0"/>
        <charset val="1"/>
      </rPr>
      <t xml:space="preserve">51%</t>
    </r>
    <r>
      <rPr>
        <sz val="10"/>
        <color rgb="FF0000FF"/>
        <rFont val="Noto Sans CJK SC"/>
        <family val="2"/>
      </rPr>
      <t xml:space="preserve">を取得しダブルスポンサー体制へ移行、</t>
    </r>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3</t>
    </r>
    <r>
      <rPr>
        <sz val="10"/>
        <color rgb="FF0000FF"/>
        <rFont val="Noto Sans CJK SC"/>
        <family val="2"/>
      </rPr>
      <t xml:space="preserve">月に名古屋の</t>
    </r>
    <r>
      <rPr>
        <sz val="10"/>
        <color rgb="FF0000FF"/>
        <rFont val="Arial"/>
        <family val="0"/>
        <charset val="1"/>
      </rPr>
      <t xml:space="preserve">2</t>
    </r>
    <r>
      <rPr>
        <sz val="10"/>
        <color rgb="FF0000FF"/>
        <rFont val="Noto Sans CJK SC"/>
        <family val="2"/>
      </rPr>
      <t xml:space="preserve">物件を取得し中部圏へのシフトを開始した。</t>
    </r>
  </si>
  <si>
    <t xml:space="preserve">資産規模506億円は16法人で最小級で、1物件の稼働変動が分配金に直結する。オフィス・商業・ホテル・住宅と用途が分散する一方、各用途の物件数が少なく用途別の運営ノウハウの蓄積が限定的。スポンサー交代に伴う投資方針の変化も不確実性となる。</t>
  </si>
  <si>
    <t xml:space="preserve">認証取得は12物件・延床面積ベース76.1%。CASBEE不動産8物件（うちSランク7）とBELS4物件を保有し、エニシオ名駅はBELS★5。保有オフィス9物件すべてで再生可能エネルギー100%電力を導入。GRESBリアルエステイト評価で4スター・グリーンスター、開示評価はAレベル。</t>
  </si>
  <si>
    <t xml:space="preserve">オフィス55% / 商業30% / ホテル10%</t>
  </si>
  <si>
    <t xml:space="preserve">他3大都市圏35% / 都心5区25% / 東京圏25%</t>
  </si>
  <si>
    <t xml:space="preserve">中小型オフィス特化からホテル併走型への転換途上</t>
  </si>
  <si>
    <t xml:space="preserve">みずほの情報網で中小型ビルを仕入れ、運営改善で価値を引き上げる</t>
  </si>
  <si>
    <r>
      <rPr>
        <sz val="10"/>
        <color rgb="FF0000FF"/>
        <rFont val="Arial"/>
        <family val="0"/>
        <charset val="1"/>
      </rPr>
      <t xml:space="preserve">34</t>
    </r>
    <r>
      <rPr>
        <sz val="10"/>
        <color rgb="FF0000FF"/>
        <rFont val="Noto Sans CJK SC"/>
        <family val="2"/>
      </rPr>
      <t xml:space="preserve">物件・</t>
    </r>
    <r>
      <rPr>
        <sz val="10"/>
        <color rgb="FF0000FF"/>
        <rFont val="Arial"/>
        <family val="0"/>
        <charset val="1"/>
      </rPr>
      <t xml:space="preserve">1</t>
    </r>
    <r>
      <rPr>
        <sz val="10"/>
        <color rgb="FF0000FF"/>
        <rFont val="Noto Sans CJK SC"/>
        <family val="2"/>
      </rPr>
      <t xml:space="preserve">物件平均</t>
    </r>
    <r>
      <rPr>
        <sz val="10"/>
        <color rgb="FF0000FF"/>
        <rFont val="Arial"/>
        <family val="0"/>
        <charset val="1"/>
      </rPr>
      <t xml:space="preserve">51</t>
    </r>
    <r>
      <rPr>
        <sz val="10"/>
        <color rgb="FF0000FF"/>
        <rFont val="Noto Sans CJK SC"/>
        <family val="2"/>
      </rPr>
      <t xml:space="preserve">億円。延床概ね</t>
    </r>
    <r>
      <rPr>
        <sz val="10"/>
        <color rgb="FF0000FF"/>
        <rFont val="Arial"/>
        <family val="0"/>
        <charset val="1"/>
      </rPr>
      <t xml:space="preserve">33,000</t>
    </r>
    <r>
      <rPr>
        <sz val="10"/>
        <color rgb="FF0000FF"/>
        <rFont val="Noto Sans CJK SC"/>
        <family val="2"/>
      </rPr>
      <t xml:space="preserve">㎡未満の中小規模オフィスを重点対象とし、都心</t>
    </r>
    <r>
      <rPr>
        <sz val="10"/>
        <color rgb="FF0000FF"/>
        <rFont val="Arial"/>
        <family val="0"/>
        <charset val="1"/>
      </rPr>
      <t xml:space="preserve">5</t>
    </r>
    <r>
      <rPr>
        <sz val="10"/>
        <color rgb="FF0000FF"/>
        <rFont val="Noto Sans CJK SC"/>
        <family val="2"/>
      </rPr>
      <t xml:space="preserve">区は</t>
    </r>
    <r>
      <rPr>
        <sz val="10"/>
        <color rgb="FF0000FF"/>
        <rFont val="Arial"/>
        <family val="0"/>
        <charset val="1"/>
      </rPr>
      <t xml:space="preserve">17.6%</t>
    </r>
    <r>
      <rPr>
        <sz val="10"/>
        <color rgb="FF0000FF"/>
        <rFont val="Noto Sans CJK SC"/>
        <family val="2"/>
      </rPr>
      <t xml:space="preserve">と低く、その他</t>
    </r>
    <r>
      <rPr>
        <sz val="10"/>
        <color rgb="FF0000FF"/>
        <rFont val="Arial"/>
        <family val="0"/>
        <charset val="1"/>
      </rPr>
      <t xml:space="preserve">23</t>
    </r>
    <r>
      <rPr>
        <sz val="10"/>
        <color rgb="FF0000FF"/>
        <rFont val="Noto Sans CJK SC"/>
        <family val="2"/>
      </rPr>
      <t xml:space="preserve">区・東京周辺都市部・地方中核市に分散する。</t>
    </r>
    <r>
      <rPr>
        <sz val="10"/>
        <color rgb="FF0000FF"/>
        <rFont val="Arial"/>
        <family val="0"/>
        <charset val="1"/>
      </rPr>
      <t xml:space="preserve">2025</t>
    </r>
    <r>
      <rPr>
        <sz val="10"/>
        <color rgb="FF0000FF"/>
        <rFont val="Noto Sans CJK SC"/>
        <family val="2"/>
      </rPr>
      <t xml:space="preserve">年</t>
    </r>
    <r>
      <rPr>
        <sz val="10"/>
        <color rgb="FF0000FF"/>
        <rFont val="Arial"/>
        <family val="0"/>
        <charset val="1"/>
      </rPr>
      <t xml:space="preserve">5</t>
    </r>
    <r>
      <rPr>
        <sz val="10"/>
        <color rgb="FF0000FF"/>
        <rFont val="Noto Sans CJK SC"/>
        <family val="2"/>
      </rPr>
      <t xml:space="preserve">月に用途無限定の総合型へ規約変更し、</t>
    </r>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3</t>
    </r>
    <r>
      <rPr>
        <sz val="10"/>
        <color rgb="FF0000FF"/>
        <rFont val="Noto Sans CJK SC"/>
        <family val="2"/>
      </rPr>
      <t xml:space="preserve">月にホテル</t>
    </r>
    <r>
      <rPr>
        <sz val="10"/>
        <color rgb="FF0000FF"/>
        <rFont val="Arial"/>
        <family val="0"/>
        <charset val="1"/>
      </rPr>
      <t xml:space="preserve">5</t>
    </r>
    <r>
      <rPr>
        <sz val="10"/>
        <color rgb="FF0000FF"/>
        <rFont val="Noto Sans CJK SC"/>
        <family val="2"/>
      </rPr>
      <t xml:space="preserve">物件（</t>
    </r>
    <r>
      <rPr>
        <sz val="10"/>
        <color rgb="FF0000FF"/>
        <rFont val="Arial"/>
        <family val="0"/>
        <charset val="1"/>
      </rPr>
      <t xml:space="preserve">286</t>
    </r>
    <r>
      <rPr>
        <sz val="10"/>
        <color rgb="FF0000FF"/>
        <rFont val="Noto Sans CJK SC"/>
        <family val="2"/>
      </rPr>
      <t xml:space="preserve">億円）を一括取得してホテル比率を約</t>
    </r>
    <r>
      <rPr>
        <sz val="10"/>
        <color rgb="FF0000FF"/>
        <rFont val="Arial"/>
        <family val="0"/>
        <charset val="1"/>
      </rPr>
      <t xml:space="preserve">25%</t>
    </r>
    <r>
      <rPr>
        <sz val="10"/>
        <color rgb="FF0000FF"/>
        <rFont val="Noto Sans CJK SC"/>
        <family val="2"/>
      </rPr>
      <t xml:space="preserve">へ引き上げた。物件入替を継続的に行い、</t>
    </r>
    <r>
      <rPr>
        <sz val="10"/>
        <color rgb="FF0000FF"/>
        <rFont val="Arial"/>
        <family val="0"/>
        <charset val="1"/>
      </rPr>
      <t xml:space="preserve">2025</t>
    </r>
    <r>
      <rPr>
        <sz val="10"/>
        <color rgb="FF0000FF"/>
        <rFont val="Noto Sans CJK SC"/>
        <family val="2"/>
      </rPr>
      <t xml:space="preserve">年以降だけで南品川</t>
    </r>
    <r>
      <rPr>
        <sz val="10"/>
        <color rgb="FF0000FF"/>
        <rFont val="Arial"/>
        <family val="0"/>
        <charset val="1"/>
      </rPr>
      <t xml:space="preserve">3</t>
    </r>
    <r>
      <rPr>
        <sz val="10"/>
        <color rgb="FF0000FF"/>
        <rFont val="Noto Sans CJK SC"/>
        <family val="2"/>
      </rPr>
      <t xml:space="preserve">物件・</t>
    </r>
    <r>
      <rPr>
        <sz val="10"/>
        <color rgb="FF0000FF"/>
        <rFont val="Arial"/>
        <family val="0"/>
        <charset val="1"/>
      </rPr>
      <t xml:space="preserve">MY</t>
    </r>
    <r>
      <rPr>
        <sz val="10"/>
        <color rgb="FF0000FF"/>
        <rFont val="Noto Sans CJK SC"/>
        <family val="2"/>
      </rPr>
      <t xml:space="preserve">熊本・</t>
    </r>
    <r>
      <rPr>
        <sz val="10"/>
        <color rgb="FF0000FF"/>
        <rFont val="Arial"/>
        <family val="0"/>
        <charset val="1"/>
      </rPr>
      <t xml:space="preserve">ONEST</t>
    </r>
    <r>
      <rPr>
        <sz val="10"/>
        <color rgb="FF0000FF"/>
        <rFont val="Noto Sans CJK SC"/>
        <family val="2"/>
      </rPr>
      <t xml:space="preserve">南大塚・新川一丁目を売却、京都烏丸スクエアも東京建物へ</t>
    </r>
    <r>
      <rPr>
        <sz val="10"/>
        <color rgb="FF0000FF"/>
        <rFont val="Arial"/>
        <family val="0"/>
        <charset val="1"/>
      </rPr>
      <t xml:space="preserve">4</t>
    </r>
    <r>
      <rPr>
        <sz val="10"/>
        <color rgb="FF0000FF"/>
        <rFont val="Noto Sans CJK SC"/>
        <family val="2"/>
      </rPr>
      <t xml:space="preserve">回分割で譲渡中。中長期の資産規模目標は</t>
    </r>
    <r>
      <rPr>
        <sz val="10"/>
        <color rgb="FF0000FF"/>
        <rFont val="Arial"/>
        <family val="0"/>
        <charset val="1"/>
      </rPr>
      <t xml:space="preserve">2,000</t>
    </r>
    <r>
      <rPr>
        <sz val="10"/>
        <color rgb="FF0000FF"/>
        <rFont val="Noto Sans CJK SC"/>
        <family val="2"/>
      </rPr>
      <t xml:space="preserve">億円。</t>
    </r>
  </si>
  <si>
    <t xml:space="preserve">中小型ビルは大企業の集約移転の受け皿になりにくく、テナント数が多いぶん個別の退去が積み上がりやすい。築年中央値34.5年と16法人で最も古い部類にあり、資本的支出が重い（第25期は533百万円で修繕費131百万円と合わせ664百万円）。ホテルへの急速な傾斜は収益の変動性を高める可能性があり、運営ノウハウの蓄積も途上。</t>
  </si>
  <si>
    <t xml:space="preserve">認証取得は25物件（CASBEE不動産21件・DBJ Green Building 3件・BELS 2件）。CASBEEはAランクが18件と中心で、Sランクは立川錦町ビルと大同生命水戸ビルの2件。ONEST箱崎ビルはBELS6つ星。延床面積ベースのグリーンビル認証取得割合を2030年度に90%とするKPIを掲げる。GRESBリアルエステイト評価で4スター・Green Starを8年連続獲得。</t>
  </si>
  <si>
    <t xml:space="preserve">オフィス79% / ホテル21%</t>
  </si>
  <si>
    <t xml:space="preserve">その他23区24% / 東京周辺都市部21% / その他3大都市圏21% / 都心5区18% / 政令市12% / 地方6%</t>
  </si>
  <si>
    <t xml:space="preserve">物件ID</t>
  </si>
  <si>
    <t xml:space="preserve">物件名</t>
  </si>
  <si>
    <t xml:space="preserve">主用途</t>
  </si>
  <si>
    <t xml:space="preserve">都道府県</t>
  </si>
  <si>
    <t xml:space="preserve">市区町村</t>
  </si>
  <si>
    <t xml:space="preserve">住所（詳細）</t>
  </si>
  <si>
    <t xml:space="preserve">エリア区分</t>
  </si>
  <si>
    <t xml:space="preserve">所有形態</t>
  </si>
  <si>
    <t xml:space="preserve">持分割合</t>
  </si>
  <si>
    <t xml:space="preserve">敷地面積(㎡)</t>
  </si>
  <si>
    <t xml:space="preserve">延床面積(㎡)</t>
  </si>
  <si>
    <t xml:space="preserve">賃貸可能面積(㎡)</t>
  </si>
  <si>
    <t xml:space="preserve">階数(地上)</t>
  </si>
  <si>
    <t xml:space="preserve">階数(地下)</t>
  </si>
  <si>
    <t xml:space="preserve">竣工年月</t>
  </si>
  <si>
    <t xml:space="preserve">築年数(年)</t>
  </si>
  <si>
    <t xml:space="preserve">取得年月</t>
  </si>
  <si>
    <t xml:space="preserve">取得価格(百万円)</t>
  </si>
  <si>
    <t xml:space="preserve">期末帳簿価額(百万円)</t>
  </si>
  <si>
    <t xml:space="preserve">期末鑑定評価額(百万円)</t>
  </si>
  <si>
    <t xml:space="preserve">含み損益(百万円)</t>
  </si>
  <si>
    <t xml:space="preserve">期末稼働率</t>
  </si>
  <si>
    <t xml:space="preserve">テナント数</t>
  </si>
  <si>
    <t xml:space="preserve">PML(%)</t>
  </si>
  <si>
    <t xml:space="preserve">出典（資料名・頁）</t>
  </si>
  <si>
    <t xml:space="preserve">環境認証数</t>
  </si>
  <si>
    <t xml:space="preserve">含み損益率(%)＝鑑定÷帳簿−1</t>
  </si>
  <si>
    <t xml:space="preserve">対取得価格の値上がり率(%)＝鑑定÷取得−1</t>
  </si>
  <si>
    <t xml:space="preserve">NBF-ALL</t>
  </si>
  <si>
    <t xml:space="preserve">【NBFポートフォリオ全体】</t>
  </si>
  <si>
    <t xml:space="preserve">オフィス</t>
  </si>
  <si>
    <t xml:space="preserve">東京都</t>
  </si>
  <si>
    <t xml:space="preserve">千代田区</t>
  </si>
  <si>
    <t xml:space="preserve">─</t>
  </si>
  <si>
    <r>
      <rPr>
        <sz val="10"/>
        <color rgb="FF0000FF"/>
        <rFont val="Arial"/>
        <family val="0"/>
        <charset val="1"/>
      </rPr>
      <t xml:space="preserve">70</t>
    </r>
    <r>
      <rPr>
        <sz val="10"/>
        <color rgb="FF0000FF"/>
        <rFont val="Noto Sans CJK SC"/>
        <family val="2"/>
      </rPr>
      <t xml:space="preserve">物件（</t>
    </r>
    <r>
      <rPr>
        <sz val="10"/>
        <color rgb="FF0000FF"/>
        <rFont val="Arial"/>
        <family val="0"/>
        <charset val="1"/>
      </rPr>
      <t xml:space="preserve">2025/12/31</t>
    </r>
    <r>
      <rPr>
        <sz val="10"/>
        <color rgb="FF0000FF"/>
        <rFont val="Noto Sans CJK SC"/>
        <family val="2"/>
      </rPr>
      <t xml:space="preserve">時点）</t>
    </r>
  </si>
  <si>
    <r>
      <rPr>
        <sz val="10"/>
        <color rgb="FF0000FF"/>
        <rFont val="Arial"/>
        <family val="0"/>
        <charset val="1"/>
      </rPr>
      <t xml:space="preserve">NBF 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(2026/2/16</t>
    </r>
    <r>
      <rPr>
        <sz val="10"/>
        <color rgb="FF0000FF"/>
        <rFont val="Noto Sans CJK SC"/>
        <family val="2"/>
      </rPr>
      <t xml:space="preserve">公表</t>
    </r>
    <r>
      <rPr>
        <sz val="10"/>
        <color rgb="FF0000FF"/>
        <rFont val="Arial"/>
        <family val="0"/>
        <charset val="1"/>
      </rPr>
      <t xml:space="preserve">)</t>
    </r>
  </si>
  <si>
    <t xml:space="preserve">確認済※</t>
  </si>
  <si>
    <r>
      <rPr>
        <sz val="10"/>
        <color rgb="FF0000FF"/>
        <rFont val="Arial"/>
        <family val="0"/>
        <charset val="1"/>
      </rPr>
      <t xml:space="preserve">J-REIT</t>
    </r>
    <r>
      <rPr>
        <sz val="10"/>
        <color rgb="FF0000FF"/>
        <rFont val="Noto Sans CJK SC"/>
        <family val="2"/>
      </rPr>
      <t xml:space="preserve">最大規模</t>
    </r>
    <r>
      <rPr>
        <sz val="10"/>
        <color rgb="FF0000FF"/>
        <rFont val="Arial"/>
        <family val="0"/>
        <charset val="1"/>
      </rPr>
      <t xml:space="preserve">(</t>
    </r>
    <r>
      <rPr>
        <sz val="10"/>
        <color rgb="FF0000FF"/>
        <rFont val="Noto Sans CJK SC"/>
        <family val="2"/>
      </rPr>
      <t xml:space="preserve">取得価格累計</t>
    </r>
    <r>
      <rPr>
        <sz val="10"/>
        <color rgb="FF0000FF"/>
        <rFont val="Arial"/>
        <family val="0"/>
        <charset val="1"/>
      </rPr>
      <t xml:space="preserve">1</t>
    </r>
    <r>
      <rPr>
        <sz val="10"/>
        <color rgb="FF0000FF"/>
        <rFont val="Noto Sans CJK SC"/>
        <family val="2"/>
      </rPr>
      <t xml:space="preserve">兆</t>
    </r>
    <r>
      <rPr>
        <sz val="10"/>
        <color rgb="FF0000FF"/>
        <rFont val="Arial"/>
        <family val="0"/>
        <charset val="1"/>
      </rPr>
      <t xml:space="preserve">5,190</t>
    </r>
    <r>
      <rPr>
        <sz val="10"/>
        <color rgb="FF0000FF"/>
        <rFont val="Noto Sans CJK SC"/>
        <family val="2"/>
      </rPr>
      <t xml:space="preserve">億円</t>
    </r>
    <r>
      <rPr>
        <sz val="10"/>
        <color rgb="FF0000FF"/>
        <rFont val="Arial"/>
        <family val="0"/>
        <charset val="1"/>
      </rPr>
      <t xml:space="preserve">)</t>
    </r>
    <r>
      <rPr>
        <sz val="10"/>
        <color rgb="FF0000FF"/>
        <rFont val="Noto Sans CJK SC"/>
        <family val="2"/>
      </rPr>
      <t xml:space="preserve">。取得・帳簿・鑑定は千円開示を百万円換算</t>
    </r>
    <r>
      <rPr>
        <sz val="10"/>
        <color rgb="FF0000FF"/>
        <rFont val="Arial"/>
        <family val="0"/>
        <charset val="1"/>
      </rPr>
      <t xml:space="preserve">(</t>
    </r>
    <r>
      <rPr>
        <sz val="10"/>
        <color rgb="FF0000FF"/>
        <rFont val="Noto Sans CJK SC"/>
        <family val="2"/>
      </rPr>
      <t xml:space="preserve">小数</t>
    </r>
    <r>
      <rPr>
        <sz val="10"/>
        <color rgb="FF0000FF"/>
        <rFont val="Arial"/>
        <family val="0"/>
        <charset val="1"/>
      </rPr>
      <t xml:space="preserve">3</t>
    </r>
    <r>
      <rPr>
        <sz val="10"/>
        <color rgb="FF0000FF"/>
        <rFont val="Noto Sans CJK SC"/>
        <family val="2"/>
      </rPr>
      <t xml:space="preserve">位</t>
    </r>
    <r>
      <rPr>
        <sz val="10"/>
        <color rgb="FF0000FF"/>
        <rFont val="Arial"/>
        <family val="0"/>
        <charset val="1"/>
      </rPr>
      <t xml:space="preserve">=</t>
    </r>
    <r>
      <rPr>
        <sz val="10"/>
        <color rgb="FF0000FF"/>
        <rFont val="Noto Sans CJK SC"/>
        <family val="2"/>
      </rPr>
      <t xml:space="preserve">千円精度</t>
    </r>
    <r>
      <rPr>
        <sz val="10"/>
        <color rgb="FF0000FF"/>
        <rFont val="Arial"/>
        <family val="0"/>
        <charset val="1"/>
      </rPr>
      <t xml:space="preserve">)</t>
    </r>
    <r>
      <rPr>
        <sz val="10"/>
        <color rgb="FF0000FF"/>
        <rFont val="Noto Sans CJK SC"/>
        <family val="2"/>
      </rPr>
      <t xml:space="preserve">。本行は短信合計欄の値。【原資料の丸め表示に関する注記】帳簿価額は円単位の値を千円未満切捨て表示のため、</t>
    </r>
    <r>
      <rPr>
        <sz val="10"/>
        <color rgb="FF0000FF"/>
        <rFont val="Arial"/>
        <family val="0"/>
        <charset val="1"/>
      </rPr>
      <t xml:space="preserve">70</t>
    </r>
    <r>
      <rPr>
        <sz val="10"/>
        <color rgb="FF0000FF"/>
        <rFont val="Noto Sans CJK SC"/>
        <family val="2"/>
      </rPr>
      <t xml:space="preserve">物件個別値の合算</t>
    </r>
    <r>
      <rPr>
        <sz val="10"/>
        <color rgb="FF0000FF"/>
        <rFont val="Arial"/>
        <family val="0"/>
        <charset val="1"/>
      </rPr>
      <t xml:space="preserve">(1,411,110,984</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は合計欄より</t>
    </r>
    <r>
      <rPr>
        <sz val="10"/>
        <color rgb="FF0000FF"/>
        <rFont val="Arial"/>
        <family val="0"/>
        <charset val="1"/>
      </rPr>
      <t xml:space="preserve">35</t>
    </r>
    <r>
      <rPr>
        <sz val="10"/>
        <color rgb="FF0000FF"/>
        <rFont val="Noto Sans CJK SC"/>
        <family val="2"/>
      </rPr>
      <t xml:space="preserve">千円小</t>
    </r>
    <r>
      <rPr>
        <sz val="10"/>
        <color rgb="FF0000FF"/>
        <rFont val="Arial"/>
        <family val="0"/>
        <charset val="1"/>
      </rPr>
      <t xml:space="preserve">(</t>
    </r>
    <r>
      <rPr>
        <sz val="10"/>
        <color rgb="FF0000FF"/>
        <rFont val="Noto Sans CJK SC"/>
        <family val="2"/>
      </rPr>
      <t xml:space="preserve">各地域小計の差</t>
    </r>
    <r>
      <rPr>
        <sz val="10"/>
        <color rgb="FF0000FF"/>
        <rFont val="Arial"/>
        <family val="0"/>
        <charset val="1"/>
      </rPr>
      <t xml:space="preserve">-16/-6/-3/-9</t>
    </r>
    <r>
      <rPr>
        <sz val="10"/>
        <color rgb="FF0000FF"/>
        <rFont val="Noto Sans CJK SC"/>
        <family val="2"/>
      </rPr>
      <t xml:space="preserve">千円も全て負符号で物件数以内</t>
    </r>
    <r>
      <rPr>
        <sz val="10"/>
        <color rgb="FF0000FF"/>
        <rFont val="Arial"/>
        <family val="0"/>
        <charset val="1"/>
      </rPr>
      <t xml:space="preserve">=</t>
    </r>
    <r>
      <rPr>
        <sz val="10"/>
        <color rgb="FF0000FF"/>
        <rFont val="Noto Sans CJK SC"/>
        <family val="2"/>
      </rPr>
      <t xml:space="preserve">切捨て累積として整合的</t>
    </r>
    <r>
      <rPr>
        <sz val="10"/>
        <color rgb="FF0000FF"/>
        <rFont val="Arial"/>
        <family val="0"/>
        <charset val="1"/>
      </rPr>
      <t xml:space="preserve">)</t>
    </r>
    <r>
      <rPr>
        <sz val="10"/>
        <color rgb="FF0000FF"/>
        <rFont val="Noto Sans CJK SC"/>
        <family val="2"/>
      </rPr>
      <t xml:space="preserve">。取得価格も按分物件の円未満端数により総計欄と</t>
    </r>
    <r>
      <rPr>
        <sz val="10"/>
        <color rgb="FF0000FF"/>
        <rFont val="Arial"/>
        <family val="0"/>
        <charset val="1"/>
      </rPr>
      <t xml:space="preserve">-1</t>
    </r>
    <r>
      <rPr>
        <sz val="10"/>
        <color rgb="FF0000FF"/>
        <rFont val="Noto Sans CJK SC"/>
        <family val="2"/>
      </rPr>
      <t xml:space="preserve">千円差</t>
    </r>
    <r>
      <rPr>
        <sz val="10"/>
        <color rgb="FF0000FF"/>
        <rFont val="Arial"/>
        <family val="0"/>
        <charset val="1"/>
      </rPr>
      <t xml:space="preserve">(</t>
    </r>
    <r>
      <rPr>
        <sz val="10"/>
        <color rgb="FF0000FF"/>
        <rFont val="Noto Sans CJK SC"/>
        <family val="2"/>
      </rPr>
      <t xml:space="preserve">地域小計は完全一致</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NLA</t>
    </r>
    <r>
      <rPr>
        <sz val="10"/>
        <color rgb="FF0000FF"/>
        <rFont val="Noto Sans CJK SC"/>
        <family val="2"/>
      </rPr>
      <t xml:space="preserve">は個別値の小数点以下四捨五入により合計欄と</t>
    </r>
    <r>
      <rPr>
        <sz val="10"/>
        <color rgb="FF0000FF"/>
        <rFont val="Arial"/>
        <family val="0"/>
        <charset val="1"/>
      </rPr>
      <t xml:space="preserve">1</t>
    </r>
    <r>
      <rPr>
        <sz val="10"/>
        <color rgb="FF0000FF"/>
        <rFont val="Noto Sans CJK SC"/>
        <family val="2"/>
      </rPr>
      <t xml:space="preserve">㎡差。鑑定・テナント数は完全一致。期末稼働</t>
    </r>
    <r>
      <rPr>
        <sz val="10"/>
        <color rgb="FF0000FF"/>
        <rFont val="Arial"/>
        <family val="0"/>
        <charset val="1"/>
      </rPr>
      <t xml:space="preserve">98.3%/</t>
    </r>
    <r>
      <rPr>
        <sz val="10"/>
        <color rgb="FF0000FF"/>
        <rFont val="Noto Sans CJK SC"/>
        <family val="2"/>
      </rPr>
      <t xml:space="preserve">期中平均</t>
    </r>
    <r>
      <rPr>
        <sz val="10"/>
        <color rgb="FF0000FF"/>
        <rFont val="Arial"/>
        <family val="0"/>
        <charset val="1"/>
      </rPr>
      <t xml:space="preserve">98.5%</t>
    </r>
    <r>
      <rPr>
        <sz val="10"/>
        <color rgb="FF0000FF"/>
        <rFont val="Noto Sans CJK SC"/>
        <family val="2"/>
      </rPr>
      <t xml:space="preserve">。</t>
    </r>
    <r>
      <rPr>
        <sz val="10"/>
        <color rgb="FF0000FF"/>
        <rFont val="Arial"/>
        <family val="0"/>
        <charset val="1"/>
      </rPr>
      <t xml:space="preserve">NLA</t>
    </r>
    <r>
      <rPr>
        <sz val="10"/>
        <color rgb="FF0000FF"/>
        <rFont val="Noto Sans CJK SC"/>
        <family val="2"/>
      </rPr>
      <t xml:space="preserve">・テナント数に</t>
    </r>
    <r>
      <rPr>
        <sz val="10"/>
        <color rgb="FF0000FF"/>
        <rFont val="Arial"/>
        <family val="0"/>
        <charset val="1"/>
      </rPr>
      <t xml:space="preserve">NBF</t>
    </r>
    <r>
      <rPr>
        <sz val="10"/>
        <color rgb="FF0000FF"/>
        <rFont val="Noto Sans CJK SC"/>
        <family val="2"/>
      </rPr>
      <t xml:space="preserve">虎ノ門ビル</t>
    </r>
    <r>
      <rPr>
        <sz val="10"/>
        <color rgb="FF0000FF"/>
        <rFont val="Arial"/>
        <family val="0"/>
        <charset val="1"/>
      </rPr>
      <t xml:space="preserve">(</t>
    </r>
    <r>
      <rPr>
        <sz val="10"/>
        <color rgb="FF0000FF"/>
        <rFont val="Noto Sans CJK SC"/>
        <family val="2"/>
      </rPr>
      <t xml:space="preserve">底地</t>
    </r>
    <r>
      <rPr>
        <sz val="10"/>
        <color rgb="FF0000FF"/>
        <rFont val="Arial"/>
        <family val="0"/>
        <charset val="1"/>
      </rPr>
      <t xml:space="preserve">)</t>
    </r>
    <r>
      <rPr>
        <sz val="10"/>
        <color rgb="FF0000FF"/>
        <rFont val="Noto Sans CJK SC"/>
        <family val="2"/>
      </rPr>
      <t xml:space="preserve">は含まず。最大テナント三井不動産</t>
    </r>
    <r>
      <rPr>
        <sz val="10"/>
        <color rgb="FF0000FF"/>
        <rFont val="Arial"/>
        <family val="0"/>
        <charset val="1"/>
      </rPr>
      <t xml:space="preserve">(</t>
    </r>
    <r>
      <rPr>
        <sz val="10"/>
        <color rgb="FF0000FF"/>
        <rFont val="Noto Sans CJK SC"/>
        <family val="2"/>
      </rPr>
      <t xml:space="preserve">賃貸面積</t>
    </r>
    <r>
      <rPr>
        <sz val="10"/>
        <color rgb="FF0000FF"/>
        <rFont val="Arial"/>
        <family val="0"/>
        <charset val="1"/>
      </rPr>
      <t xml:space="preserve">47.0%</t>
    </r>
    <r>
      <rPr>
        <sz val="10"/>
        <color rgb="FF0000FF"/>
        <rFont val="Noto Sans CJK SC"/>
        <family val="2"/>
      </rPr>
      <t xml:space="preserve">・サブリース転貸方式</t>
    </r>
    <r>
      <rPr>
        <sz val="10"/>
        <color rgb="FF0000FF"/>
        <rFont val="Arial"/>
        <family val="0"/>
        <charset val="1"/>
      </rPr>
      <t xml:space="preserve">24</t>
    </r>
    <r>
      <rPr>
        <sz val="10"/>
        <color rgb="FF0000FF"/>
        <rFont val="Noto Sans CJK SC"/>
        <family val="2"/>
      </rPr>
      <t xml:space="preserve">物件</t>
    </r>
    <r>
      <rPr>
        <sz val="10"/>
        <color rgb="FF0000FF"/>
        <rFont val="Arial"/>
        <family val="0"/>
        <charset val="1"/>
      </rPr>
      <t xml:space="preserve">)</t>
    </r>
    <r>
      <rPr>
        <sz val="10"/>
        <color rgb="FF0000FF"/>
        <rFont val="Noto Sans CJK SC"/>
        <family val="2"/>
      </rPr>
      <t xml:space="preserve">。期後</t>
    </r>
    <r>
      <rPr>
        <sz val="10"/>
        <color rgb="FF0000FF"/>
        <rFont val="Arial"/>
        <family val="0"/>
        <charset val="1"/>
      </rPr>
      <t xml:space="preserve">: 2026/1</t>
    </r>
    <r>
      <rPr>
        <sz val="10"/>
        <color rgb="FF0000FF"/>
        <rFont val="Noto Sans CJK SC"/>
        <family val="2"/>
      </rPr>
      <t xml:space="preserve">公募増資等</t>
    </r>
    <r>
      <rPr>
        <sz val="10"/>
        <color rgb="FF0000FF"/>
        <rFont val="Arial"/>
        <family val="0"/>
        <charset val="1"/>
      </rPr>
      <t xml:space="preserve">(</t>
    </r>
    <r>
      <rPr>
        <sz val="10"/>
        <color rgb="FF0000FF"/>
        <rFont val="Noto Sans CJK SC"/>
        <family val="2"/>
      </rPr>
      <t xml:space="preserve">発行済</t>
    </r>
    <r>
      <rPr>
        <sz val="10"/>
        <color rgb="FF0000FF"/>
        <rFont val="Arial"/>
        <family val="0"/>
        <charset val="1"/>
      </rPr>
      <t xml:space="preserve">8,815,000</t>
    </r>
    <r>
      <rPr>
        <sz val="10"/>
        <color rgb="FF0000FF"/>
        <rFont val="Noto Sans CJK SC"/>
        <family val="2"/>
      </rPr>
      <t xml:space="preserve">口へ</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2026/3/31</t>
    </r>
    <r>
      <rPr>
        <sz val="10"/>
        <color rgb="FF0000FF"/>
        <rFont val="Noto Sans CJK SC"/>
        <family val="2"/>
      </rPr>
      <t xml:space="preserve">日本橋本町</t>
    </r>
    <r>
      <rPr>
        <sz val="10"/>
        <color rgb="FF0000FF"/>
        <rFont val="Arial"/>
        <family val="0"/>
        <charset val="1"/>
      </rPr>
      <t xml:space="preserve">M-SQUARE(32,108</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・豊洲ベイサイドクロスタワー追加持分</t>
    </r>
    <r>
      <rPr>
        <sz val="10"/>
        <color rgb="FF0000FF"/>
        <rFont val="Arial"/>
        <family val="0"/>
        <charset val="1"/>
      </rPr>
      <t xml:space="preserve">(14,810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取得予定、</t>
    </r>
    <r>
      <rPr>
        <sz val="10"/>
        <color rgb="FF0000FF"/>
        <rFont val="Arial"/>
        <family val="0"/>
        <charset val="1"/>
      </rPr>
      <t xml:space="preserve">2026/6/30</t>
    </r>
    <r>
      <rPr>
        <sz val="10"/>
        <color rgb="FF0000FF"/>
        <rFont val="Noto Sans CJK SC"/>
        <family val="2"/>
      </rPr>
      <t xml:space="preserve">住友電設ビル・</t>
    </r>
    <r>
      <rPr>
        <sz val="10"/>
        <color rgb="FF0000FF"/>
        <rFont val="Arial"/>
        <family val="0"/>
        <charset val="1"/>
      </rPr>
      <t xml:space="preserve">2026/7/1 NBF</t>
    </r>
    <r>
      <rPr>
        <sz val="10"/>
        <color rgb="FF0000FF"/>
        <rFont val="Noto Sans CJK SC"/>
        <family val="2"/>
      </rPr>
      <t xml:space="preserve">札幌南二条ビル譲渡予定</t>
    </r>
  </si>
  <si>
    <t xml:space="preserve">NBF-01</t>
  </si>
  <si>
    <t xml:space="preserve">新宿三井ビルディング</t>
  </si>
  <si>
    <t xml:space="preserve">新宿区</t>
  </si>
  <si>
    <t xml:space="preserve">都心5区</t>
  </si>
  <si>
    <t xml:space="preserve">所有権（信託受益権準共有80%）</t>
  </si>
  <si>
    <t xml:space="preserve">確認済</t>
  </si>
  <si>
    <t xml:space="preserve">オフィス。竣工年月・階数・面積は短信非掲載(有報等で補完予定)。J-REIT運用資産中最大の旗艦物件。サブリース型(変動賃料)</t>
  </si>
  <si>
    <t xml:space="preserve">NBF-02</t>
  </si>
  <si>
    <t xml:space="preserve">飯田橋グラン・ブルーム</t>
  </si>
  <si>
    <t xml:space="preserve">区分所有権（信託受益権）</t>
  </si>
  <si>
    <t xml:space="preserve">オフィス。竣工年月・階数・面積は短信非掲載(有報等で補完予定)。2021/9・2022/3・2023/3の3回取得合計。サブリース型(変動)</t>
  </si>
  <si>
    <t xml:space="preserve">NBF-03</t>
  </si>
  <si>
    <t xml:space="preserve">六本木ティーキューブ</t>
  </si>
  <si>
    <t xml:space="preserve">港区</t>
  </si>
  <si>
    <t xml:space="preserve">オフィス。竣工年月・階数・面積は短信非掲載(有報等で補完予定)。サブリース型(変動)</t>
  </si>
  <si>
    <t xml:space="preserve">NBF-04</t>
  </si>
  <si>
    <t xml:space="preserve">西新宿三井ビルディング</t>
  </si>
  <si>
    <t xml:space="preserve">所有権（信託受益権準共有50%）</t>
  </si>
  <si>
    <t xml:space="preserve">オフィス。竣工年月・階数・面積は短信非掲載(有報等で補完予定)。任意組合出資持分(西新宿六丁目共有組合)含む。2002〜2023年の8回分割取得合計。サブリース型(変動)</t>
  </si>
  <si>
    <t xml:space="preserve">NBF-05</t>
  </si>
  <si>
    <t xml:space="preserve">セレスティン芝三井ビルディング</t>
  </si>
  <si>
    <t xml:space="preserve">横浜市神奈川区金港町2-6</t>
  </si>
  <si>
    <t xml:space="preserve">所有権（信託受益権準共有）※期末60%</t>
  </si>
  <si>
    <t xml:space="preserve">オフィス。竣工年月・階数・面積は短信非掲載(有報等で補完予定)。2013/5・2018/3の取得合計。ホテル部分は固定賃料契約</t>
  </si>
  <si>
    <t xml:space="preserve">NBF-06</t>
  </si>
  <si>
    <t xml:space="preserve">ＮＢＦ品川タワー</t>
  </si>
  <si>
    <t xml:space="preserve">所有権 共有持分50%（信託受益権）</t>
  </si>
  <si>
    <t xml:space="preserve">オフィス。竣工年月・階数・面積は短信非掲載(有報等で補完予定)。主要テナント:楽天グループ</t>
  </si>
  <si>
    <t xml:space="preserve">NBF-07</t>
  </si>
  <si>
    <t xml:space="preserve">ＮＢＦプラチナタワー</t>
  </si>
  <si>
    <t xml:space="preserve">千葉市中央区富士見2-5-12</t>
  </si>
  <si>
    <t xml:space="preserve">所有権（信託受益権）</t>
  </si>
  <si>
    <t xml:space="preserve">オフィス。竣工年月・階数・面積は短信非掲載(有報等で補完予定)。鑑定評価額60,800百万円は取得価格の約2倍。主要テナント:アクサ生命</t>
  </si>
  <si>
    <t xml:space="preserve">NBF-08</t>
  </si>
  <si>
    <t xml:space="preserve">ＮＢＦコモディオ汐留</t>
  </si>
  <si>
    <t xml:space="preserve">オフィス。竣工年月・階数・面積は短信非掲載(有報等で補完予定)。</t>
  </si>
  <si>
    <t xml:space="preserve">NBF-09</t>
  </si>
  <si>
    <t xml:space="preserve">Ｇ－ＢＡＳＥ田町</t>
  </si>
  <si>
    <t xml:space="preserve">所有権（共有持分20%）</t>
  </si>
  <si>
    <t xml:space="preserve">オフィス。竣工年月・階数・面積は短信非掲載(有報等で補完予定)。2019年3・4月の取得合計</t>
  </si>
  <si>
    <t xml:space="preserve">NBF-10</t>
  </si>
  <si>
    <t xml:space="preserve">虎ノ門琴平タワー</t>
  </si>
  <si>
    <t xml:space="preserve">大阪市東淀川区東中島1-19-4</t>
  </si>
  <si>
    <t xml:space="preserve">オフィス。竣工年月・階数・面積は短信非掲載(有報等で補完予定)。敷地の賃借権を含む。2004/11・2006/4の取得合計。サブリース型(変動)</t>
  </si>
  <si>
    <t xml:space="preserve">NBF-11</t>
  </si>
  <si>
    <t xml:space="preserve">ＮＢＦ渋谷ガーデンフロント</t>
  </si>
  <si>
    <t xml:space="preserve">渋谷区</t>
  </si>
  <si>
    <t xml:space="preserve">所有権（共有持分5%）</t>
  </si>
  <si>
    <t xml:space="preserve">オフィス。竣工年月・階数・面積は短信非掲載(有報等で補完予定)。2004/2・2013/3の取得合計。主要テナント:インフィニオンテクノロジーズジャパン</t>
  </si>
  <si>
    <t xml:space="preserve">NBF-12</t>
  </si>
  <si>
    <t xml:space="preserve">ＮＢＦ銀座通りビル</t>
  </si>
  <si>
    <t xml:space="preserve">中央区</t>
  </si>
  <si>
    <t xml:space="preserve">大阪市北区梅田3-3-20</t>
  </si>
  <si>
    <t xml:space="preserve">所有権（信託受益権準共有）※期末28%</t>
  </si>
  <si>
    <t xml:space="preserve">オフィス。竣工年月・階数・面積は短信非掲載(有報等で補完予定)。地上権を含む</t>
  </si>
  <si>
    <t xml:space="preserve">NBF-13</t>
  </si>
  <si>
    <t xml:space="preserve">新宿三井ビルディング二号館</t>
  </si>
  <si>
    <t xml:space="preserve">所有権（共有持分50%）</t>
  </si>
  <si>
    <t xml:space="preserve">NBF-14</t>
  </si>
  <si>
    <t xml:space="preserve">興和西新橋ビルＢ棟</t>
  </si>
  <si>
    <t xml:space="preserve">福岡市博多区中洲中島町1-3</t>
  </si>
  <si>
    <t xml:space="preserve">所有権（信託受益権準共有83%）</t>
  </si>
  <si>
    <t xml:space="preserve">オフィス。竣工年月・階数・面積は短信非掲載(有報等で補完予定)。2001〜2024年の5回分割取得合計。住宅部分はサブリース(変動)</t>
  </si>
  <si>
    <t xml:space="preserve">NBF-15</t>
  </si>
  <si>
    <t xml:space="preserve">リバーシティＭ－ＳＱＵＡＲＥ</t>
  </si>
  <si>
    <t xml:space="preserve">NBF-16</t>
  </si>
  <si>
    <t xml:space="preserve">新橋Ｍ－ＳＱＵＡＲＥ</t>
  </si>
  <si>
    <t xml:space="preserve">墨田区錦糸1-2-1</t>
  </si>
  <si>
    <t xml:space="preserve">（期中譲渡済）</t>
  </si>
  <si>
    <t xml:space="preserve">NBF-17</t>
  </si>
  <si>
    <t xml:space="preserve">ＮＢＦ虎ノ門ビル（底地）</t>
  </si>
  <si>
    <t xml:space="preserve">港区芝3-2-18</t>
  </si>
  <si>
    <t xml:space="preserve">オフィス。竣工年月・階数・面積は短信非掲載(有報等で補完予定)。2025/1/6付で建物を譲渡(売却益7,838千円)し底地のみ保有。NLA・稼働率・テナント数は開示対象外。取得価格は物件取得時の土地取得価格</t>
  </si>
  <si>
    <t xml:space="preserve">NBF-18</t>
  </si>
  <si>
    <t xml:space="preserve">グラントウキョウサウスタワー</t>
  </si>
  <si>
    <r>
      <rPr>
        <sz val="11"/>
        <color theme="1"/>
        <rFont val="Calibri"/>
        <family val="2"/>
        <charset val="1"/>
      </rPr>
      <t xml:space="preserve">16</t>
    </r>
    <r>
      <rPr>
        <sz val="11"/>
        <color theme="1"/>
        <rFont val="Noto Sans CJK SC"/>
        <family val="2"/>
      </rPr>
      <t xml:space="preserve">物件（</t>
    </r>
    <r>
      <rPr>
        <sz val="11"/>
        <color theme="1"/>
        <rFont val="Calibri"/>
        <family val="2"/>
        <charset val="1"/>
      </rPr>
      <t xml:space="preserve">2026/3/31</t>
    </r>
    <r>
      <rPr>
        <sz val="11"/>
        <color theme="1"/>
        <rFont val="Noto Sans CJK SC"/>
        <family val="2"/>
      </rPr>
      <t xml:space="preserve">時点）</t>
    </r>
  </si>
  <si>
    <t xml:space="preserve">オフィス。竣工年月・階数・面積は短信非掲載(有報等で補完予定)。2021/1取得価格から2024/3一部譲渡持分(約80%)を控除した残存持分の価格</t>
  </si>
  <si>
    <t xml:space="preserve">NBF-19</t>
  </si>
  <si>
    <t xml:space="preserve">ＮＢＦ　ＡＬＬＩＡＮＣＥ</t>
  </si>
  <si>
    <t xml:space="preserve">品川区</t>
  </si>
  <si>
    <t xml:space="preserve">NBF-20</t>
  </si>
  <si>
    <t xml:space="preserve">四谷メディカルビル</t>
  </si>
  <si>
    <t xml:space="preserve">オフィス。竣工年月・階数・面積は短信非掲載(有報等で補完予定)。鑑定評価額が取得価格を下回る数少ない物件。サブリース型(変動)</t>
  </si>
  <si>
    <t xml:space="preserve">NBF-21</t>
  </si>
  <si>
    <t xml:space="preserve">ＮＢＦ渋谷イースト</t>
  </si>
  <si>
    <t xml:space="preserve">NBF-22</t>
  </si>
  <si>
    <t xml:space="preserve">ＮＢＦ高輪ビル</t>
  </si>
  <si>
    <t xml:space="preserve">NBF-23</t>
  </si>
  <si>
    <t xml:space="preserve">ＮＢＦ赤坂山王スクエア</t>
  </si>
  <si>
    <t xml:space="preserve">NBF-24</t>
  </si>
  <si>
    <t xml:space="preserve">ＮＢＦ神田須田町ビル</t>
  </si>
  <si>
    <t xml:space="preserve">NBF-25</t>
  </si>
  <si>
    <t xml:space="preserve">ＮＢＦ小川町ビルディング</t>
  </si>
  <si>
    <t xml:space="preserve">オフィス。竣工年月・階数・面積は短信非掲載(有報等で補完予定)。2005/9・2020/11の取得合計。サブリース型(変動)</t>
  </si>
  <si>
    <t xml:space="preserve">NBF-26</t>
  </si>
  <si>
    <t xml:space="preserve">住友電設ビル</t>
  </si>
  <si>
    <t xml:space="preserve">オフィス。竣工年月・階数・面積は短信非掲載(有報等で補完予定)。2026/6/30付で三井不動産へ譲渡予定(譲渡価格10,000百万円=鑑定5,360百万円の約1.9倍、売却益5,112百万円見込)。港区三田・1991年6月竣工・SRC地下1階付12階建・延床9,185.13㎡(後発事象注記より)</t>
  </si>
  <si>
    <t xml:space="preserve">NBF-27</t>
  </si>
  <si>
    <t xml:space="preserve">ＮＢＦ東銀座スクエア</t>
  </si>
  <si>
    <t xml:space="preserve">港区赤坂1-8-1</t>
  </si>
  <si>
    <t xml:space="preserve">NBF-28</t>
  </si>
  <si>
    <t xml:space="preserve">日本橋兜町Ｍ－ＳＱＵＡＲＥ</t>
  </si>
  <si>
    <t xml:space="preserve">港区赤坂3-1-2</t>
  </si>
  <si>
    <t xml:space="preserve">NBF-29</t>
  </si>
  <si>
    <t xml:space="preserve">ＮＢＦ八丁堀テラス</t>
  </si>
  <si>
    <t xml:space="preserve">オフィス。竣工年月・階数・面積は短信非掲載(有報等で補完予定)。旧NBF新川ビルの取得価格を2020/6/30鑑定評価額比率で按分した金額</t>
  </si>
  <si>
    <t xml:space="preserve">NBF-30</t>
  </si>
  <si>
    <t xml:space="preserve">龍角散ビル</t>
  </si>
  <si>
    <t xml:space="preserve">NBF-31</t>
  </si>
  <si>
    <t xml:space="preserve">神宮前Ｍ－ＳＱＵＡＲＥ</t>
  </si>
  <si>
    <t xml:space="preserve">NBF-32</t>
  </si>
  <si>
    <t xml:space="preserve">豊洲ベイサイドクロスタワー</t>
  </si>
  <si>
    <t xml:space="preserve">江東区</t>
  </si>
  <si>
    <t xml:space="preserve">その他東京23区</t>
  </si>
  <si>
    <t xml:space="preserve">オフィス。竣工年月・階数・面積は短信非掲載(有報等で補完予定)。区分所有権(2022〜2024年3回取得・既存保有約47.69%)。2026/3/31付で追加取得予定(約9.19%・14,810百万円→合計約56.88%)。2020年3月竣工・地下2階付36階建・延床178,504.10㎡(建物全体)。店舗区画は固定賃料型ML</t>
  </si>
  <si>
    <t xml:space="preserve">NBF-33</t>
  </si>
  <si>
    <t xml:space="preserve">ＮＢＦ大崎ビル</t>
  </si>
  <si>
    <t xml:space="preserve">オフィス。竣工年月・階数・面積は短信非掲載(有報等で補完予定)。主要テナント:ソニーグループ(賃貸面積73,477㎡=ポートフォリオ全体の6.0%)</t>
  </si>
  <si>
    <t xml:space="preserve">NBF-34</t>
  </si>
  <si>
    <t xml:space="preserve">ゲートシティ大崎</t>
  </si>
  <si>
    <t xml:space="preserve">オフィス。竣工年月・階数・面積は短信非掲載(有報等で補完予定)。2006・2011・2013年の3回取得合計。サブリース型(変動)</t>
  </si>
  <si>
    <t xml:space="preserve">NBF-35</t>
  </si>
  <si>
    <t xml:space="preserve">ＮＢＦ豊洲キャナルフロント</t>
  </si>
  <si>
    <t xml:space="preserve">オフィス。竣工年月・階数・面積は短信非掲載(有報等で補完予定)。主要テナント:ソフトバンク</t>
  </si>
  <si>
    <t xml:space="preserve">NBF-36</t>
  </si>
  <si>
    <t xml:space="preserve">上野イーストタワー</t>
  </si>
  <si>
    <t xml:space="preserve">台東区</t>
  </si>
  <si>
    <t xml:space="preserve">オフィス。竣工年月・階数・面積は短信非掲載(有報等で補完予定)。2016/6・2021/3の取得合計。主要テナント:日立リアルエステートパートナーズ</t>
  </si>
  <si>
    <t xml:space="preserve">NBF-37</t>
  </si>
  <si>
    <t xml:space="preserve">ＮＢＦ豊洲ガーデンフロント</t>
  </si>
  <si>
    <t xml:space="preserve">オフィス。竣工年月・階数・面積は短信非掲載(有報等で補完予定)。主要テナント:博報堂DYホールディングス</t>
  </si>
  <si>
    <t xml:space="preserve">NBF-38</t>
  </si>
  <si>
    <t xml:space="preserve">大崎ブライトコア・ブライトプラザ</t>
  </si>
  <si>
    <t xml:space="preserve">オフィス。竣工年月・階数・面積は短信非掲載(有報等で補完予定)。2016〜2020年の5回分割取得合計。サブリース型(変動)</t>
  </si>
  <si>
    <t xml:space="preserve">NBF-39</t>
  </si>
  <si>
    <t xml:space="preserve">中目黒ＧＴタワー</t>
  </si>
  <si>
    <t xml:space="preserve">目黒区</t>
  </si>
  <si>
    <t xml:space="preserve">オフィス。竣工年月・階数・面積は短信非掲載(有報等で補完予定)。任意組合出資持分(中目黒GTタワー共有床組合)含む。2003〜2005年の3回取得合計。サブリース型(変動)</t>
  </si>
  <si>
    <t xml:space="preserve">NBF-40</t>
  </si>
  <si>
    <t xml:space="preserve">大崎ブライトタワー</t>
  </si>
  <si>
    <t xml:space="preserve">NBF-41</t>
  </si>
  <si>
    <t xml:space="preserve">ＮＢＦ池袋イースト</t>
  </si>
  <si>
    <t xml:space="preserve">豊島区</t>
  </si>
  <si>
    <t xml:space="preserve">NBF-42</t>
  </si>
  <si>
    <t xml:space="preserve">東五反田スクエア</t>
  </si>
  <si>
    <t xml:space="preserve">NBF-43</t>
  </si>
  <si>
    <t xml:space="preserve">ＮＢＦ池袋タワー</t>
  </si>
  <si>
    <t xml:space="preserve">NBF-44</t>
  </si>
  <si>
    <t xml:space="preserve">ＮＢＦ池袋シティビル</t>
  </si>
  <si>
    <t xml:space="preserve">NBF-45</t>
  </si>
  <si>
    <t xml:space="preserve">調布サウスゲートビル</t>
  </si>
  <si>
    <t xml:space="preserve">調布市</t>
  </si>
  <si>
    <t xml:space="preserve">東京周辺都市部</t>
  </si>
  <si>
    <t xml:space="preserve">オフィス。竣工年月・階数・面積は短信非掲載(有報等で補完予定)。主要テナント:アフラック生命</t>
  </si>
  <si>
    <t xml:space="preserve">NBF-46</t>
  </si>
  <si>
    <t xml:space="preserve">横浜三井ビルディング</t>
  </si>
  <si>
    <t xml:space="preserve">神奈川県</t>
  </si>
  <si>
    <t xml:space="preserve">横浜市</t>
  </si>
  <si>
    <t xml:space="preserve">オフィス。竣工年月・階数・面積は短信非掲載(有報等で補完予定)。2025年1月(第48期)取得。サブリース型(変動)</t>
  </si>
  <si>
    <t xml:space="preserve">NBF-47</t>
  </si>
  <si>
    <t xml:space="preserve">フロンティア武蔵小杉Ｎ棟・Ｓ棟</t>
  </si>
  <si>
    <t xml:space="preserve">川崎市</t>
  </si>
  <si>
    <t xml:space="preserve">オフィス。竣工年月・階数・面積は短信非掲載(有報等で補完予定)。2025/7/1取得(当期期中取得・約6ヶ月稼働)。主要テナント:エフサステクノロジーズ</t>
  </si>
  <si>
    <t xml:space="preserve">NBF-48</t>
  </si>
  <si>
    <t xml:space="preserve">横浜ＳＴビル</t>
  </si>
  <si>
    <t xml:space="preserve">オフィス。竣工年月・階数・面積は短信非掲載(有報等で補完予定)。2001/5・2021/11の取得合計。当期B1階商業エリア共用部リニューアル実施</t>
  </si>
  <si>
    <t xml:space="preserve">NBF-49</t>
  </si>
  <si>
    <t xml:space="preserve">パレール三井ビルディング</t>
  </si>
  <si>
    <t xml:space="preserve">NBF-50</t>
  </si>
  <si>
    <t xml:space="preserve">シーノ大宮ノースウィング</t>
  </si>
  <si>
    <t xml:space="preserve">埼玉県</t>
  </si>
  <si>
    <t xml:space="preserve">さいたま市</t>
  </si>
  <si>
    <t xml:space="preserve">オフィス。竣工年月・階数・面積は短信非掲載(有報等で補完予定)。2004年の2回取得合計</t>
  </si>
  <si>
    <t xml:space="preserve">NBF-51</t>
  </si>
  <si>
    <t xml:space="preserve">ＮＢＦ浦和ビル</t>
  </si>
  <si>
    <t xml:space="preserve">NBF-52</t>
  </si>
  <si>
    <t xml:space="preserve">ＮＢＦ松戸ビル</t>
  </si>
  <si>
    <t xml:space="preserve">千葉県</t>
  </si>
  <si>
    <t xml:space="preserve">松戸市</t>
  </si>
  <si>
    <t xml:space="preserve">NBF-53</t>
  </si>
  <si>
    <t xml:space="preserve">ＮＢＦ ＣＯＮＮＥＣＴ ＳＡＰＰＯＲＯ</t>
  </si>
  <si>
    <t xml:space="preserve">北海道</t>
  </si>
  <si>
    <t xml:space="preserve">札幌市</t>
  </si>
  <si>
    <r>
      <rPr>
        <sz val="10"/>
        <color rgb="FF0000FF"/>
        <rFont val="Arial"/>
        <family val="0"/>
        <charset val="1"/>
      </rPr>
      <t xml:space="preserve">3</t>
    </r>
    <r>
      <rPr>
        <sz val="10"/>
        <color rgb="FF0000FF"/>
        <rFont val="Noto Sans CJK SC"/>
        <family val="2"/>
      </rPr>
      <t xml:space="preserve">大都市圏以外の政令市</t>
    </r>
  </si>
  <si>
    <r>
      <rPr>
        <sz val="11"/>
        <color theme="1"/>
        <rFont val="Calibri"/>
        <family val="2"/>
        <charset val="1"/>
      </rPr>
      <t xml:space="preserve">33</t>
    </r>
    <r>
      <rPr>
        <sz val="11"/>
        <color theme="1"/>
        <rFont val="Noto Sans CJK SC"/>
        <family val="2"/>
      </rPr>
      <t xml:space="preserve">物件（</t>
    </r>
    <r>
      <rPr>
        <sz val="11"/>
        <color theme="1"/>
        <rFont val="Calibri"/>
        <family val="2"/>
        <charset val="1"/>
      </rPr>
      <t xml:space="preserve">2025/12/31</t>
    </r>
    <r>
      <rPr>
        <sz val="11"/>
        <color theme="1"/>
        <rFont val="Noto Sans CJK SC"/>
        <family val="2"/>
      </rPr>
      <t xml:space="preserve">時点）</t>
    </r>
  </si>
  <si>
    <t xml:space="preserve">オフィス。竣工年月・階数・面積は短信非掲載(有報等で補完予定)。2025/11取得(当期期中取得・約2ヶ月のため収益17百万円は期間僅少)。稼働62.3%はリースアップ途上。2026/4/1付で「CONNECT SAPPORO」から名称変更予定</t>
  </si>
  <si>
    <t xml:space="preserve">NBF-54</t>
  </si>
  <si>
    <t xml:space="preserve">札幌エルプラザ</t>
  </si>
  <si>
    <t xml:space="preserve">オフィス。竣工年月・階数・面積は短信非掲載(有報等で補完予定)。2003〜2005年の4回分割取得合計</t>
  </si>
  <si>
    <t xml:space="preserve">NBF-55</t>
  </si>
  <si>
    <t xml:space="preserve">ＮＢＦ札幌南二条ビル</t>
  </si>
  <si>
    <t xml:space="preserve">オフィス。竣工年月・階数・面積は短信非掲載(有報等で補完予定)。2026/7/1付で譲渡予定(譲渡価格1,900百万円・売却益217百万円見込)。1990年11月竣工・SRC地下2階付9階建・延床8,149.78㎡(後発事象注記より)</t>
  </si>
  <si>
    <t xml:space="preserve">NBF-56</t>
  </si>
  <si>
    <t xml:space="preserve">Ｄタワー富山</t>
  </si>
  <si>
    <t xml:space="preserve">富山県</t>
  </si>
  <si>
    <t xml:space="preserve">富山市</t>
  </si>
  <si>
    <t xml:space="preserve">その他地方都市</t>
  </si>
  <si>
    <t xml:space="preserve">オフィス。竣工年月・階数・面積は短信非掲載(有報等で補完予定)。2025年(第48期)取得。稼働46.6%はリースアップ途上</t>
  </si>
  <si>
    <t xml:space="preserve">NBF-57</t>
  </si>
  <si>
    <t xml:space="preserve">三井住友銀行名古屋ビル</t>
  </si>
  <si>
    <t xml:space="preserve">愛知県</t>
  </si>
  <si>
    <t xml:space="preserve">名古屋市</t>
  </si>
  <si>
    <t xml:space="preserve">その他3大都市圏</t>
  </si>
  <si>
    <t xml:space="preserve">NBF-58</t>
  </si>
  <si>
    <t xml:space="preserve">名古屋三井ビルディング新館</t>
  </si>
  <si>
    <t xml:space="preserve">NBF-59</t>
  </si>
  <si>
    <t xml:space="preserve">名古屋三井ビルディング本館</t>
  </si>
  <si>
    <t xml:space="preserve">NBF-60</t>
  </si>
  <si>
    <t xml:space="preserve">ＮＢＦ名古屋広小路ビル</t>
  </si>
  <si>
    <t xml:space="preserve">オフィス。竣工年月・階数・面積は短信非掲載(有報等で補完予定)。2004/3・2008/3の取得合計</t>
  </si>
  <si>
    <t xml:space="preserve">NBF-61</t>
  </si>
  <si>
    <t xml:space="preserve">中之島三井ビルディング</t>
  </si>
  <si>
    <t xml:space="preserve">大阪府</t>
  </si>
  <si>
    <t xml:space="preserve">大阪市</t>
  </si>
  <si>
    <t xml:space="preserve">NBF-62</t>
  </si>
  <si>
    <t xml:space="preserve">アクア堂島ＮＢＦタワー</t>
  </si>
  <si>
    <t xml:space="preserve">NBF-63</t>
  </si>
  <si>
    <t xml:space="preserve">中之島セントラルタワー</t>
  </si>
  <si>
    <t xml:space="preserve">NBF-64</t>
  </si>
  <si>
    <t xml:space="preserve">信濃橋三井ビルディング</t>
  </si>
  <si>
    <t xml:space="preserve">NBF-65</t>
  </si>
  <si>
    <t xml:space="preserve">堺筋本町センタービル</t>
  </si>
  <si>
    <t xml:space="preserve">オフィス。竣工年月・階数・面積は短信非掲載(有報等で補完予定)。2005/3・2014/1の取得合計</t>
  </si>
  <si>
    <t xml:space="preserve">NBF-66</t>
  </si>
  <si>
    <t xml:space="preserve">淀屋橋フレックスタワー</t>
  </si>
  <si>
    <t xml:space="preserve">NBF-67</t>
  </si>
  <si>
    <t xml:space="preserve">広島袋町ビルディング</t>
  </si>
  <si>
    <t xml:space="preserve">広島県</t>
  </si>
  <si>
    <t xml:space="preserve">広島市</t>
  </si>
  <si>
    <t xml:space="preserve">オフィス。竣工年月・階数・面積は短信非掲載(有報等で補完予定)。2003/11・2012/4の取得合計</t>
  </si>
  <si>
    <t xml:space="preserve">NBF-68</t>
  </si>
  <si>
    <t xml:space="preserve">ＮＢＦ松山日銀前ビル</t>
  </si>
  <si>
    <t xml:space="preserve">愛媛県</t>
  </si>
  <si>
    <t xml:space="preserve">松山市</t>
  </si>
  <si>
    <t xml:space="preserve">NBF-69</t>
  </si>
  <si>
    <t xml:space="preserve">博多祇園Ｍ－ＳＱＵＡＲＥ</t>
  </si>
  <si>
    <t xml:space="preserve">福岡県</t>
  </si>
  <si>
    <t xml:space="preserve">福岡市</t>
  </si>
  <si>
    <t xml:space="preserve">NBF-70</t>
  </si>
  <si>
    <t xml:space="preserve">ＮＢＦ熊本ビル</t>
  </si>
  <si>
    <t xml:space="preserve">熊本県</t>
  </si>
  <si>
    <t xml:space="preserve">熊本市</t>
  </si>
  <si>
    <t xml:space="preserve">JRE-ALL</t>
  </si>
  <si>
    <t xml:space="preserve">（JRE全79物件一括）</t>
  </si>
  <si>
    <t xml:space="preserve">（法人一括）</t>
  </si>
  <si>
    <r>
      <rPr>
        <sz val="10"/>
        <color rgb="FF0000FF"/>
        <rFont val="Arial"/>
        <family val="0"/>
        <charset val="1"/>
      </rPr>
      <t xml:space="preserve">JRE 2026</t>
    </r>
    <r>
      <rPr>
        <sz val="10"/>
        <color rgb="FF0000FF"/>
        <rFont val="Noto Sans CJK SC"/>
        <family val="2"/>
      </rPr>
      <t xml:space="preserve">年</t>
    </r>
    <r>
      <rPr>
        <sz val="10"/>
        <color rgb="FF0000FF"/>
        <rFont val="Arial"/>
        <family val="0"/>
        <charset val="1"/>
      </rPr>
      <t xml:space="preserve">3</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(2026/5/15</t>
    </r>
    <r>
      <rPr>
        <sz val="10"/>
        <color rgb="FF0000FF"/>
        <rFont val="Noto Sans CJK SC"/>
        <family val="2"/>
      </rPr>
      <t xml:space="preserve">公表</t>
    </r>
    <r>
      <rPr>
        <sz val="10"/>
        <color rgb="FF0000FF"/>
        <rFont val="Arial"/>
        <family val="0"/>
        <charset val="1"/>
      </rPr>
      <t xml:space="preserve">)</t>
    </r>
  </si>
  <si>
    <r>
      <rPr>
        <sz val="10"/>
        <color rgb="FF0000FF"/>
        <rFont val="Arial"/>
        <family val="0"/>
        <charset val="1"/>
      </rPr>
      <t xml:space="preserve">JRE</t>
    </r>
    <r>
      <rPr>
        <sz val="10"/>
        <color rgb="FF0000FF"/>
        <rFont val="Noto Sans CJK SC"/>
        <family val="2"/>
      </rPr>
      <t xml:space="preserve">全</t>
    </r>
    <r>
      <rPr>
        <sz val="10"/>
        <color rgb="FF0000FF"/>
        <rFont val="Arial"/>
        <family val="0"/>
        <charset val="1"/>
      </rPr>
      <t xml:space="preserve">79</t>
    </r>
    <r>
      <rPr>
        <sz val="10"/>
        <color rgb="FF0000FF"/>
        <rFont val="Noto Sans CJK SC"/>
        <family val="2"/>
      </rPr>
      <t xml:space="preserve">物件の一括行。取得価格合計</t>
    </r>
    <r>
      <rPr>
        <sz val="10"/>
        <color rgb="FF0000FF"/>
        <rFont val="Arial"/>
        <family val="0"/>
        <charset val="1"/>
      </rPr>
      <t xml:space="preserve">1,197,029,274</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千円単位開示</t>
    </r>
    <r>
      <rPr>
        <sz val="10"/>
        <color rgb="FF0000FF"/>
        <rFont val="Arial"/>
        <family val="0"/>
        <charset val="1"/>
      </rPr>
      <t xml:space="preserve">)</t>
    </r>
    <r>
      <rPr>
        <sz val="10"/>
        <color rgb="FF0000FF"/>
        <rFont val="Noto Sans CJK SC"/>
        <family val="2"/>
      </rPr>
      <t xml:space="preserve">は物件別合算と完全一致。鑑定</t>
    </r>
    <r>
      <rPr>
        <sz val="10"/>
        <color rgb="FF0000FF"/>
        <rFont val="Arial"/>
        <family val="0"/>
        <charset val="1"/>
      </rPr>
      <t xml:space="preserve">1,447,290</t>
    </r>
    <r>
      <rPr>
        <sz val="10"/>
        <color rgb="FF0000FF"/>
        <rFont val="Noto Sans CJK SC"/>
        <family val="2"/>
      </rPr>
      <t xml:space="preserve">百万円・テナント総数</t>
    </r>
    <r>
      <rPr>
        <sz val="10"/>
        <color rgb="FF0000FF"/>
        <rFont val="Arial"/>
        <family val="0"/>
        <charset val="1"/>
      </rPr>
      <t xml:space="preserve">1,674</t>
    </r>
    <r>
      <rPr>
        <sz val="10"/>
        <color rgb="FF0000FF"/>
        <rFont val="Noto Sans CJK SC"/>
        <family val="2"/>
      </rPr>
      <t xml:space="preserve">も完全一致、簿価合算</t>
    </r>
    <r>
      <rPr>
        <sz val="10"/>
        <color rgb="FF0000FF"/>
        <rFont val="Arial"/>
        <family val="0"/>
        <charset val="1"/>
      </rPr>
      <t xml:space="preserve">1,082,536</t>
    </r>
    <r>
      <rPr>
        <sz val="10"/>
        <color rgb="FF0000FF"/>
        <rFont val="Noto Sans CJK SC"/>
        <family val="2"/>
      </rPr>
      <t xml:space="preserve">は合計</t>
    </r>
    <r>
      <rPr>
        <sz val="10"/>
        <color rgb="FF0000FF"/>
        <rFont val="Arial"/>
        <family val="0"/>
        <charset val="1"/>
      </rPr>
      <t xml:space="preserve">1,082,573</t>
    </r>
    <r>
      <rPr>
        <sz val="10"/>
        <color rgb="FF0000FF"/>
        <rFont val="Noto Sans CJK SC"/>
        <family val="2"/>
      </rPr>
      <t xml:space="preserve">比</t>
    </r>
    <r>
      <rPr>
        <sz val="10"/>
        <color rgb="FF0000FF"/>
        <rFont val="Arial"/>
        <family val="0"/>
        <charset val="1"/>
      </rPr>
      <t xml:space="preserve">-37=</t>
    </r>
    <r>
      <rPr>
        <sz val="10"/>
        <color rgb="FF0000FF"/>
        <rFont val="Noto Sans CJK SC"/>
        <family val="2"/>
      </rPr>
      <t xml:space="preserve">百万円切捨て累積、</t>
    </r>
    <r>
      <rPr>
        <sz val="10"/>
        <color rgb="FF0000FF"/>
        <rFont val="Arial"/>
        <family val="0"/>
        <charset val="1"/>
      </rPr>
      <t xml:space="preserve">NLA</t>
    </r>
    <r>
      <rPr>
        <sz val="10"/>
        <color rgb="FF0000FF"/>
        <rFont val="Noto Sans CJK SC"/>
        <family val="2"/>
      </rPr>
      <t xml:space="preserve">合算</t>
    </r>
    <r>
      <rPr>
        <sz val="10"/>
        <color rgb="FF0000FF"/>
        <rFont val="Arial"/>
        <family val="0"/>
        <charset val="1"/>
      </rPr>
      <t xml:space="preserve">891,709</t>
    </r>
    <r>
      <rPr>
        <sz val="10"/>
        <color rgb="FF0000FF"/>
        <rFont val="Noto Sans CJK SC"/>
        <family val="2"/>
      </rPr>
      <t xml:space="preserve">㎡は合計</t>
    </r>
    <r>
      <rPr>
        <sz val="10"/>
        <color rgb="FF0000FF"/>
        <rFont val="Arial"/>
        <family val="0"/>
        <charset val="1"/>
      </rPr>
      <t xml:space="preserve">891,744</t>
    </r>
    <r>
      <rPr>
        <sz val="10"/>
        <color rgb="FF0000FF"/>
        <rFont val="Noto Sans CJK SC"/>
        <family val="2"/>
      </rPr>
      <t xml:space="preserve">㎡比</t>
    </r>
    <r>
      <rPr>
        <sz val="10"/>
        <color rgb="FF0000FF"/>
        <rFont val="Arial"/>
        <family val="0"/>
        <charset val="1"/>
      </rPr>
      <t xml:space="preserve">-35=</t>
    </r>
    <r>
      <rPr>
        <sz val="10"/>
        <color rgb="FF0000FF"/>
        <rFont val="Noto Sans CJK SC"/>
        <family val="2"/>
      </rPr>
      <t xml:space="preserve">㎡未満切捨て累積。入居率</t>
    </r>
    <r>
      <rPr>
        <sz val="10"/>
        <color rgb="FF0000FF"/>
        <rFont val="Arial"/>
        <family val="0"/>
        <charset val="1"/>
      </rPr>
      <t xml:space="preserve">98.9%(</t>
    </r>
    <r>
      <rPr>
        <sz val="10"/>
        <color rgb="FF0000FF"/>
        <rFont val="Noto Sans CJK SC"/>
        <family val="2"/>
      </rPr>
      <t xml:space="preserve">前期比</t>
    </r>
    <r>
      <rPr>
        <sz val="10"/>
        <color rgb="FF0000FF"/>
        <rFont val="Arial"/>
        <family val="0"/>
        <charset val="1"/>
      </rPr>
      <t xml:space="preserve">+1.5pt)</t>
    </r>
    <r>
      <rPr>
        <sz val="10"/>
        <color rgb="FF0000FF"/>
        <rFont val="Noto Sans CJK SC"/>
        <family val="2"/>
      </rPr>
      <t xml:space="preserve">。</t>
    </r>
    <r>
      <rPr>
        <sz val="10"/>
        <color rgb="FF0000FF"/>
        <rFont val="Arial"/>
        <family val="0"/>
        <charset val="1"/>
      </rPr>
      <t xml:space="preserve">2001</t>
    </r>
    <r>
      <rPr>
        <sz val="10"/>
        <color rgb="FF0000FF"/>
        <rFont val="Noto Sans CJK SC"/>
        <family val="2"/>
      </rPr>
      <t xml:space="preserve">年</t>
    </r>
    <r>
      <rPr>
        <sz val="10"/>
        <color rgb="FF0000FF"/>
        <rFont val="Arial"/>
        <family val="0"/>
        <charset val="1"/>
      </rPr>
      <t xml:space="preserve">9</t>
    </r>
    <r>
      <rPr>
        <sz val="10"/>
        <color rgb="FF0000FF"/>
        <rFont val="Noto Sans CJK SC"/>
        <family val="2"/>
      </rPr>
      <t xml:space="preserve">月上場の日本初の</t>
    </r>
    <r>
      <rPr>
        <sz val="10"/>
        <color rgb="FF0000FF"/>
        <rFont val="Arial"/>
        <family val="0"/>
        <charset val="1"/>
      </rPr>
      <t xml:space="preserve">J-REIT2</t>
    </r>
    <r>
      <rPr>
        <sz val="10"/>
        <color rgb="FF0000FF"/>
        <rFont val="Noto Sans CJK SC"/>
        <family val="2"/>
      </rPr>
      <t xml:space="preserve">銘柄の一つ</t>
    </r>
    <r>
      <rPr>
        <sz val="10"/>
        <color rgb="FF0000FF"/>
        <rFont val="Arial"/>
        <family val="0"/>
        <charset val="1"/>
      </rPr>
      <t xml:space="preserve">(</t>
    </r>
    <r>
      <rPr>
        <sz val="10"/>
        <color rgb="FF0000FF"/>
        <rFont val="Noto Sans CJK SC"/>
        <family val="2"/>
      </rPr>
      <t xml:space="preserve">オフィス特化・スポンサー三菱地所</t>
    </r>
    <r>
      <rPr>
        <sz val="10"/>
        <color rgb="FF0000FF"/>
        <rFont val="Arial"/>
        <family val="0"/>
        <charset val="1"/>
      </rPr>
      <t xml:space="preserve">)</t>
    </r>
    <r>
      <rPr>
        <sz val="10"/>
        <color rgb="FF0000FF"/>
        <rFont val="Noto Sans CJK SC"/>
        <family val="2"/>
      </rPr>
      <t xml:space="preserve">。期中</t>
    </r>
    <r>
      <rPr>
        <sz val="10"/>
        <color rgb="FF0000FF"/>
        <rFont val="Arial"/>
        <family val="0"/>
        <charset val="1"/>
      </rPr>
      <t xml:space="preserve">: The Link Sapporo</t>
    </r>
    <r>
      <rPr>
        <sz val="10"/>
        <color rgb="FF0000FF"/>
        <rFont val="Noto Sans CJK SC"/>
        <family val="2"/>
      </rPr>
      <t xml:space="preserve">取得</t>
    </r>
    <r>
      <rPr>
        <sz val="10"/>
        <color rgb="FF0000FF"/>
        <rFont val="Arial"/>
        <family val="0"/>
        <charset val="1"/>
      </rPr>
      <t xml:space="preserve">(21,340)</t>
    </r>
    <r>
      <rPr>
        <sz val="10"/>
        <color rgb="FF0000FF"/>
        <rFont val="Noto Sans CJK SC"/>
        <family val="2"/>
      </rPr>
      <t xml:space="preserve">・サッポロアーチビル取得</t>
    </r>
    <r>
      <rPr>
        <sz val="10"/>
        <color rgb="FF0000FF"/>
        <rFont val="Arial"/>
        <family val="0"/>
        <charset val="1"/>
      </rPr>
      <t xml:space="preserve">(8,175)</t>
    </r>
    <r>
      <rPr>
        <sz val="10"/>
        <color rgb="FF0000FF"/>
        <rFont val="Noto Sans CJK SC"/>
        <family val="2"/>
      </rPr>
      <t xml:space="preserve">・神田橋追加取得</t>
    </r>
    <r>
      <rPr>
        <sz val="10"/>
        <color rgb="FF0000FF"/>
        <rFont val="Arial"/>
        <family val="0"/>
        <charset val="1"/>
      </rPr>
      <t xml:space="preserve">(2,150)</t>
    </r>
    <r>
      <rPr>
        <sz val="10"/>
        <color rgb="FF0000FF"/>
        <rFont val="Noto Sans CJK SC"/>
        <family val="2"/>
      </rPr>
      <t xml:space="preserve">・新宿</t>
    </r>
    <r>
      <rPr>
        <sz val="10"/>
        <color rgb="FF0000FF"/>
        <rFont val="Arial"/>
        <family val="0"/>
        <charset val="1"/>
      </rPr>
      <t xml:space="preserve">ES</t>
    </r>
    <r>
      <rPr>
        <sz val="10"/>
        <color rgb="FF0000FF"/>
        <rFont val="Noto Sans CJK SC"/>
        <family val="2"/>
      </rPr>
      <t xml:space="preserve">追加取得</t>
    </r>
    <r>
      <rPr>
        <sz val="10"/>
        <color rgb="FF0000FF"/>
        <rFont val="Arial"/>
        <family val="0"/>
        <charset val="1"/>
      </rPr>
      <t xml:space="preserve">(20,353)</t>
    </r>
    <r>
      <rPr>
        <sz val="10"/>
        <color rgb="FF0000FF"/>
        <rFont val="Noto Sans CJK SC"/>
        <family val="2"/>
      </rPr>
      <t xml:space="preserve">、赤坂パークビル</t>
    </r>
    <r>
      <rPr>
        <sz val="10"/>
        <color rgb="FF0000FF"/>
        <rFont val="Arial"/>
        <family val="0"/>
        <charset val="1"/>
      </rPr>
      <t xml:space="preserve">16.66%</t>
    </r>
    <r>
      <rPr>
        <sz val="10"/>
        <color rgb="FF0000FF"/>
        <rFont val="Noto Sans CJK SC"/>
        <family val="2"/>
      </rPr>
      <t xml:space="preserve">譲渡</t>
    </r>
    <r>
      <rPr>
        <sz val="10"/>
        <color rgb="FF0000FF"/>
        <rFont val="Arial"/>
        <family val="0"/>
        <charset val="1"/>
      </rPr>
      <t xml:space="preserve">(13,444</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・天神クリスタル</t>
    </r>
    <r>
      <rPr>
        <sz val="10"/>
        <color rgb="FF0000FF"/>
        <rFont val="Arial"/>
        <family val="0"/>
        <charset val="1"/>
      </rPr>
      <t xml:space="preserve">50%</t>
    </r>
    <r>
      <rPr>
        <sz val="10"/>
        <color rgb="FF0000FF"/>
        <rFont val="Noto Sans CJK SC"/>
        <family val="2"/>
      </rPr>
      <t xml:space="preserve">譲渡</t>
    </r>
    <r>
      <rPr>
        <sz val="10"/>
        <color rgb="FF0000FF"/>
        <rFont val="Arial"/>
        <family val="0"/>
        <charset val="1"/>
      </rPr>
      <t xml:space="preserve">(3,315</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。期後</t>
    </r>
    <r>
      <rPr>
        <sz val="10"/>
        <color rgb="FF0000FF"/>
        <rFont val="Arial"/>
        <family val="0"/>
        <charset val="1"/>
      </rPr>
      <t xml:space="preserve">: 2026/4/1</t>
    </r>
    <r>
      <rPr>
        <sz val="10"/>
        <color rgb="FF0000FF"/>
        <rFont val="Noto Sans CJK SC"/>
        <family val="2"/>
      </rPr>
      <t xml:space="preserve">赤坂</t>
    </r>
    <r>
      <rPr>
        <sz val="10"/>
        <color rgb="FF0000FF"/>
        <rFont val="Arial"/>
        <family val="0"/>
        <charset val="1"/>
      </rPr>
      <t xml:space="preserve">3</t>
    </r>
    <r>
      <rPr>
        <sz val="10"/>
        <color rgb="FF0000FF"/>
        <rFont val="Noto Sans CJK SC"/>
        <family val="2"/>
      </rPr>
      <t xml:space="preserve">回目</t>
    </r>
    <r>
      <rPr>
        <sz val="10"/>
        <color rgb="FF0000FF"/>
        <rFont val="Arial"/>
        <family val="0"/>
        <charset val="1"/>
      </rPr>
      <t xml:space="preserve">16.66%</t>
    </r>
    <r>
      <rPr>
        <sz val="10"/>
        <color rgb="FF0000FF"/>
        <rFont val="Noto Sans CJK SC"/>
        <family val="2"/>
      </rPr>
      <t xml:space="preserve">譲渡</t>
    </r>
    <r>
      <rPr>
        <sz val="10"/>
        <color rgb="FF0000FF"/>
        <rFont val="Arial"/>
        <family val="0"/>
        <charset val="1"/>
      </rPr>
      <t xml:space="preserve">+</t>
    </r>
    <r>
      <rPr>
        <sz val="10"/>
        <color rgb="FF0000FF"/>
        <rFont val="Noto Sans CJK SC"/>
        <family val="2"/>
      </rPr>
      <t xml:space="preserve">天神残</t>
    </r>
    <r>
      <rPr>
        <sz val="10"/>
        <color rgb="FF0000FF"/>
        <rFont val="Arial"/>
        <family val="0"/>
        <charset val="1"/>
      </rPr>
      <t xml:space="preserve">50%</t>
    </r>
    <r>
      <rPr>
        <sz val="10"/>
        <color rgb="FF0000FF"/>
        <rFont val="Noto Sans CJK SC"/>
        <family val="2"/>
      </rPr>
      <t xml:space="preserve">譲渡、</t>
    </r>
    <r>
      <rPr>
        <sz val="10"/>
        <color rgb="FF0000FF"/>
        <rFont val="Arial"/>
        <family val="0"/>
        <charset val="1"/>
      </rPr>
      <t xml:space="preserve">4/2</t>
    </r>
    <r>
      <rPr>
        <sz val="10"/>
        <color rgb="FF0000FF"/>
        <rFont val="Noto Sans CJK SC"/>
        <family val="2"/>
      </rPr>
      <t xml:space="preserve">コモレ四谷</t>
    </r>
    <r>
      <rPr>
        <sz val="10"/>
        <color rgb="FF0000FF"/>
        <rFont val="Arial"/>
        <family val="0"/>
        <charset val="1"/>
      </rPr>
      <t xml:space="preserve">7.1%</t>
    </r>
    <r>
      <rPr>
        <sz val="10"/>
        <color rgb="FF0000FF"/>
        <rFont val="Noto Sans CJK SC"/>
        <family val="2"/>
      </rPr>
      <t xml:space="preserve">追加取得</t>
    </r>
    <r>
      <rPr>
        <sz val="10"/>
        <color rgb="FF0000FF"/>
        <rFont val="Arial"/>
        <family val="0"/>
        <charset val="1"/>
      </rPr>
      <t xml:space="preserve">(15,540)</t>
    </r>
    <r>
      <rPr>
        <sz val="10"/>
        <color rgb="FF0000FF"/>
        <rFont val="Noto Sans CJK SC"/>
        <family val="2"/>
      </rPr>
      <t xml:space="preserve">、</t>
    </r>
    <r>
      <rPr>
        <sz val="10"/>
        <color rgb="FF0000FF"/>
        <rFont val="Arial"/>
        <family val="0"/>
        <charset val="1"/>
      </rPr>
      <t xml:space="preserve">5/20</t>
    </r>
    <r>
      <rPr>
        <sz val="10"/>
        <color rgb="FF0000FF"/>
        <rFont val="Noto Sans CJK SC"/>
        <family val="2"/>
      </rPr>
      <t xml:space="preserve">大同生命新潟ビル譲渡予定→</t>
    </r>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9</t>
    </r>
    <r>
      <rPr>
        <sz val="10"/>
        <color rgb="FF0000FF"/>
        <rFont val="Noto Sans CJK SC"/>
        <family val="2"/>
      </rPr>
      <t xml:space="preserve">月期は</t>
    </r>
    <r>
      <rPr>
        <sz val="10"/>
        <color rgb="FF0000FF"/>
        <rFont val="Arial"/>
        <family val="0"/>
        <charset val="1"/>
      </rPr>
      <t xml:space="preserve">77</t>
    </r>
    <r>
      <rPr>
        <sz val="10"/>
        <color rgb="FF0000FF"/>
        <rFont val="Noto Sans CJK SC"/>
        <family val="2"/>
      </rPr>
      <t xml:space="preserve">物件前提。</t>
    </r>
    <r>
      <rPr>
        <sz val="10"/>
        <color rgb="FF0000FF"/>
        <rFont val="Arial"/>
        <family val="0"/>
        <charset val="1"/>
      </rPr>
      <t xml:space="preserve">2026/4/1</t>
    </r>
    <r>
      <rPr>
        <sz val="10"/>
        <color rgb="FF0000FF"/>
        <rFont val="Noto Sans CJK SC"/>
        <family val="2"/>
      </rPr>
      <t xml:space="preserve">公募増資</t>
    </r>
    <r>
      <rPr>
        <sz val="10"/>
        <color rgb="FF0000FF"/>
        <rFont val="Arial"/>
        <family val="0"/>
        <charset val="1"/>
      </rPr>
      <t xml:space="preserve">(161,200</t>
    </r>
    <r>
      <rPr>
        <sz val="10"/>
        <color rgb="FF0000FF"/>
        <rFont val="Noto Sans CJK SC"/>
        <family val="2"/>
      </rPr>
      <t xml:space="preserve">口・約</t>
    </r>
    <r>
      <rPr>
        <sz val="10"/>
        <color rgb="FF0000FF"/>
        <rFont val="Arial"/>
        <family val="0"/>
        <charset val="1"/>
      </rPr>
      <t xml:space="preserve">18,110</t>
    </r>
    <r>
      <rPr>
        <sz val="10"/>
        <color rgb="FF0000FF"/>
        <rFont val="Noto Sans CJK SC"/>
        <family val="2"/>
      </rPr>
      <t xml:space="preserve">百万円</t>
    </r>
    <r>
      <rPr>
        <sz val="10"/>
        <color rgb="FF0000FF"/>
        <rFont val="Arial"/>
        <family val="0"/>
        <charset val="1"/>
      </rPr>
      <t xml:space="preserve">)+4/24</t>
    </r>
    <r>
      <rPr>
        <sz val="10"/>
        <color rgb="FF0000FF"/>
        <rFont val="Noto Sans CJK SC"/>
        <family val="2"/>
      </rPr>
      <t xml:space="preserve">第三者割当</t>
    </r>
    <r>
      <rPr>
        <sz val="10"/>
        <color rgb="FF0000FF"/>
        <rFont val="Arial"/>
        <family val="0"/>
        <charset val="1"/>
      </rPr>
      <t xml:space="preserve">(8,060</t>
    </r>
    <r>
      <rPr>
        <sz val="10"/>
        <color rgb="FF0000FF"/>
        <rFont val="Noto Sans CJK SC"/>
        <family val="2"/>
      </rPr>
      <t xml:space="preserve">口</t>
    </r>
    <r>
      <rPr>
        <sz val="10"/>
        <color rgb="FF0000FF"/>
        <rFont val="Arial"/>
        <family val="0"/>
        <charset val="1"/>
      </rPr>
      <t xml:space="preserve">)→7,283,580</t>
    </r>
    <r>
      <rPr>
        <sz val="10"/>
        <color rgb="FF0000FF"/>
        <rFont val="Noto Sans CJK SC"/>
        <family val="2"/>
      </rPr>
      <t xml:space="preserve">口。渋谷クロスタワーは底地のみ</t>
    </r>
    <r>
      <rPr>
        <sz val="10"/>
        <color rgb="FF0000FF"/>
        <rFont val="Arial"/>
        <family val="0"/>
        <charset val="1"/>
      </rPr>
      <t xml:space="preserve">(</t>
    </r>
    <r>
      <rPr>
        <sz val="10"/>
        <color rgb="FF0000FF"/>
        <rFont val="Noto Sans CJK SC"/>
        <family val="2"/>
      </rPr>
      <t xml:space="preserve">物件数・取得価格に含み、</t>
    </r>
    <r>
      <rPr>
        <sz val="10"/>
        <color rgb="FF0000FF"/>
        <rFont val="Arial"/>
        <family val="0"/>
        <charset val="1"/>
      </rPr>
      <t xml:space="preserve">NLA</t>
    </r>
    <r>
      <rPr>
        <sz val="10"/>
        <color rgb="FF0000FF"/>
        <rFont val="Noto Sans CJK SC"/>
        <family val="2"/>
      </rPr>
      <t xml:space="preserve">・テナント数に含まず</t>
    </r>
    <r>
      <rPr>
        <sz val="10"/>
        <color rgb="FF0000FF"/>
        <rFont val="Arial"/>
        <family val="0"/>
        <charset val="1"/>
      </rPr>
      <t xml:space="preserve">)</t>
    </r>
    <r>
      <rPr>
        <sz val="10"/>
        <color rgb="FF0000FF"/>
        <rFont val="Noto Sans CJK SC"/>
        <family val="2"/>
      </rPr>
      <t xml:space="preserve">。格付</t>
    </r>
    <r>
      <rPr>
        <sz val="10"/>
        <color rgb="FF0000FF"/>
        <rFont val="Arial"/>
        <family val="0"/>
        <charset val="1"/>
      </rPr>
      <t xml:space="preserve">: JCR AA+/R&amp;I AA/S&amp;P A+(</t>
    </r>
    <r>
      <rPr>
        <sz val="10"/>
        <color rgb="FF0000FF"/>
        <rFont val="Noto Sans CJK SC"/>
        <family val="2"/>
      </rPr>
      <t xml:space="preserve">いずれも安定的</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LTV44.8%</t>
    </r>
    <r>
      <rPr>
        <sz val="10"/>
        <color rgb="FF0000FF"/>
        <rFont val="Noto Sans CJK SC"/>
        <family val="2"/>
      </rPr>
      <t xml:space="preserve">。主要テナント</t>
    </r>
    <r>
      <rPr>
        <sz val="10"/>
        <color rgb="FF0000FF"/>
        <rFont val="Arial"/>
        <family val="0"/>
        <charset val="1"/>
      </rPr>
      <t xml:space="preserve">: </t>
    </r>
    <r>
      <rPr>
        <sz val="10"/>
        <color rgb="FF0000FF"/>
        <rFont val="Noto Sans CJK SC"/>
        <family val="2"/>
      </rPr>
      <t xml:space="preserve">三菱地所</t>
    </r>
    <r>
      <rPr>
        <sz val="10"/>
        <color rgb="FF0000FF"/>
        <rFont val="Arial"/>
        <family val="0"/>
        <charset val="1"/>
      </rPr>
      <t xml:space="preserve">4,556,587</t>
    </r>
    <r>
      <rPr>
        <sz val="10"/>
        <color rgb="FF0000FF"/>
        <rFont val="Noto Sans CJK SC"/>
        <family val="2"/>
      </rPr>
      <t xml:space="preserve">千円</t>
    </r>
  </si>
  <si>
    <t xml:space="preserve">JRE-001</t>
  </si>
  <si>
    <t xml:space="preserve">北の丸スクエア</t>
  </si>
  <si>
    <t xml:space="preserve">住宅部分(NLA11,694㎡・入居98.6%)は本表数値に含まず</t>
  </si>
  <si>
    <t xml:space="preserve">JRE-002</t>
  </si>
  <si>
    <t xml:space="preserve">ＪＲＥ神田小川町ビル</t>
  </si>
  <si>
    <t xml:space="preserve">構造S・RC、鑑定直接還元利回り3.0%。延床面積は短信非掲載(賃貸可能面積を収録)、住所詳細は有報で補完予定</t>
  </si>
  <si>
    <t xml:space="preserve">JRE-003</t>
  </si>
  <si>
    <t xml:space="preserve">神田橋パークビルヂング</t>
  </si>
  <si>
    <r>
      <rPr>
        <sz val="10"/>
        <color rgb="FF0000FF"/>
        <rFont val="Arial"/>
        <family val="0"/>
        <charset val="1"/>
      </rPr>
      <t xml:space="preserve">2026/1/21</t>
    </r>
    <r>
      <rPr>
        <sz val="10"/>
        <color rgb="FF0000FF"/>
        <rFont val="Noto Sans CJK SC"/>
        <family val="2"/>
      </rPr>
      <t xml:space="preserve">に持分</t>
    </r>
    <r>
      <rPr>
        <sz val="10"/>
        <color rgb="FF0000FF"/>
        <rFont val="Arial"/>
        <family val="0"/>
        <charset val="1"/>
      </rPr>
      <t xml:space="preserve">28.68%</t>
    </r>
    <r>
      <rPr>
        <sz val="10"/>
        <color rgb="FF0000FF"/>
        <rFont val="Noto Sans CJK SC"/>
        <family val="2"/>
      </rPr>
      <t xml:space="preserve">追加取得</t>
    </r>
    <r>
      <rPr>
        <sz val="10"/>
        <color rgb="FF0000FF"/>
        <rFont val="Arial"/>
        <family val="0"/>
        <charset val="1"/>
      </rPr>
      <t xml:space="preserve">(2,150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持分</t>
    </r>
    <r>
      <rPr>
        <sz val="10"/>
        <color rgb="FF0000FF"/>
        <rFont val="Arial"/>
        <family val="0"/>
        <charset val="1"/>
      </rPr>
      <t xml:space="preserve">85.44%</t>
    </r>
  </si>
  <si>
    <t xml:space="preserve">JRE-004</t>
  </si>
  <si>
    <t xml:space="preserve">大手町フィナンシャルシティノースタワー</t>
  </si>
  <si>
    <t xml:space="preserve">構造S、鑑定直接還元利回り3.1%。2024年5月以降、再開発組合から家賃損失補償を受領(賃貸面積・稼働率は補償部分込み)。延床面積は短信非掲載(賃貸可能面積を収録)、住所詳細は有報で補完予定</t>
  </si>
  <si>
    <t xml:space="preserve">JRE-005</t>
  </si>
  <si>
    <t xml:space="preserve">大手町パークビルディング</t>
  </si>
  <si>
    <t xml:space="preserve">構造S・RC、鑑定直接還元利回り3.3%。延床面積は短信非掲載(賃貸可能面積を収録)、住所詳細は有報で補完予定</t>
  </si>
  <si>
    <t xml:space="preserve">JRE-006</t>
  </si>
  <si>
    <t xml:space="preserve">二番町ガーデン</t>
  </si>
  <si>
    <t xml:space="preserve">住宅部分(NLA1,686㎡・入居100.0%)は本表数値に含まず</t>
  </si>
  <si>
    <t xml:space="preserve">JRE-007</t>
  </si>
  <si>
    <t xml:space="preserve">三菱ＵＦＪ信託銀行本店ビル</t>
  </si>
  <si>
    <t xml:space="preserve">構造S、鑑定直接還元利回り3.1%。延床面積は短信非掲載(賃貸可能面積を収録)、住所詳細は有報で補完予定</t>
  </si>
  <si>
    <t xml:space="preserve">JRE-008</t>
  </si>
  <si>
    <t xml:space="preserve">ビュレックス麹町</t>
  </si>
  <si>
    <t xml:space="preserve">JRE-009</t>
  </si>
  <si>
    <r>
      <rPr>
        <sz val="10"/>
        <color rgb="FF0000FF"/>
        <rFont val="Arial"/>
        <family val="0"/>
        <charset val="1"/>
      </rPr>
      <t xml:space="preserve">CIRCLES</t>
    </r>
    <r>
      <rPr>
        <sz val="10"/>
        <color rgb="FF0000FF"/>
        <rFont val="Noto Sans CJK SC"/>
        <family val="2"/>
      </rPr>
      <t xml:space="preserve">平河町</t>
    </r>
  </si>
  <si>
    <t xml:space="preserve">構造RC、鑑定直接還元利回り3.1%。延床面積は短信非掲載(賃貸可能面積を収録)、住所詳細は有報で補完予定</t>
  </si>
  <si>
    <t xml:space="preserve">JRE-010</t>
  </si>
  <si>
    <t xml:space="preserve">山王グランドビル</t>
  </si>
  <si>
    <t xml:space="preserve">賃貸事業損益は掲載値114百万円(F-I=115との差は百万円切捨て由来)</t>
  </si>
  <si>
    <t xml:space="preserve">JRE-011</t>
  </si>
  <si>
    <t xml:space="preserve">有楽町電気ビルヂング</t>
  </si>
  <si>
    <t xml:space="preserve">構造S・SRC・RC、鑑定直接還元利回り3.4%。延床面積は短信非掲載(賃貸可能面積を収録)、住所詳細は有報で補完予定</t>
  </si>
  <si>
    <t xml:space="preserve">JRE-012</t>
  </si>
  <si>
    <t xml:space="preserve">フロントプレイス日本橋</t>
  </si>
  <si>
    <t xml:space="preserve">構造S・SRC、鑑定直接還元利回り3.3%。延床面積は短信非掲載(賃貸可能面積を収録)、住所詳細は有報で補完予定</t>
  </si>
  <si>
    <t xml:space="preserve">JRE-013</t>
  </si>
  <si>
    <t xml:space="preserve">ＪＲＥ茅場町二丁目ビル</t>
  </si>
  <si>
    <t xml:space="preserve">構造SRC、鑑定直接還元利回り3.4%。延床面積は短信非掲載(賃貸可能面積を収録)、住所詳細は有報で補完予定</t>
  </si>
  <si>
    <t xml:space="preserve">JRE-014</t>
  </si>
  <si>
    <t xml:space="preserve">ビュレックス京橋</t>
  </si>
  <si>
    <t xml:space="preserve">構造SRC・RC・S、鑑定直接還元利回り3.1%。延床面積は短信非掲載(賃貸可能面積を収録)、住所詳細は有報で補完予定</t>
  </si>
  <si>
    <t xml:space="preserve">JRE-015</t>
  </si>
  <si>
    <t xml:space="preserve">ＪＲＥ銀座一丁目イーストビル</t>
  </si>
  <si>
    <t xml:space="preserve">構造S・SRC、鑑定直接還元利回り3.6%。延床面積は短信非掲載(賃貸可能面積を収録)、住所詳細は有報で補完予定</t>
  </si>
  <si>
    <t xml:space="preserve">JRE-016</t>
  </si>
  <si>
    <t xml:space="preserve">銀座三和ビル</t>
  </si>
  <si>
    <t xml:space="preserve">構造S、鑑定直接還元利回り3.6%。延床面積は短信非掲載(賃貸可能面積を収録)、住所詳細は有報で補完予定</t>
  </si>
  <si>
    <t xml:space="preserve">JRE-017</t>
  </si>
  <si>
    <t xml:space="preserve">ＪＲＥ銀座三丁目ビル</t>
  </si>
  <si>
    <t xml:space="preserve">取得価格は隣接地取得・解体・増築工事費を含む合計</t>
  </si>
  <si>
    <t xml:space="preserve">JRE-018</t>
  </si>
  <si>
    <t xml:space="preserve">赤坂パークビル</t>
  </si>
  <si>
    <t xml:space="preserve">分割譲渡中: 2025/4/1に準共有持分16.70%、2025/10/1に16.66%譲渡(当期売却益3,946,189千円)、2026/4/1に3回目16.66%譲渡。住宅部分(NLA7,183㎡・入居88.6%)は本表数値に含まず</t>
  </si>
  <si>
    <t xml:space="preserve">JRE-019</t>
  </si>
  <si>
    <t xml:space="preserve">the ARGYLE aoyama</t>
  </si>
  <si>
    <t xml:space="preserve">構造SRC・S、鑑定直接還元利回り3.7%。延床面積は短信非掲載(賃貸可能面積を収録)、住所詳細は有報で補完予定</t>
  </si>
  <si>
    <t xml:space="preserve">JRE-020</t>
  </si>
  <si>
    <t xml:space="preserve">3rd MINAMI AOYAMA</t>
  </si>
  <si>
    <t xml:space="preserve">構造S、鑑定直接還元利回り3.2%。延床面積は短信非掲載(賃貸可能面積を収録)、住所詳細は有報で補完予定</t>
  </si>
  <si>
    <t xml:space="preserve">JRE-021</t>
  </si>
  <si>
    <t xml:space="preserve">ＪＲＥ青山クリスタルビル</t>
  </si>
  <si>
    <t xml:space="preserve">構造S・RC、鑑定直接還元利回り3.5%。延床面積は短信非掲載(賃貸可能面積を収録)、住所詳細は有報で補完予定</t>
  </si>
  <si>
    <t xml:space="preserve">JRE-022</t>
  </si>
  <si>
    <t xml:space="preserve">クローバー芝公園</t>
  </si>
  <si>
    <t xml:space="preserve">構造SRC・RC・S、鑑定直接還元利回り3.7%。延床面積は短信非掲載(賃貸可能面積を収録)、住所詳細は有報で補完予定</t>
  </si>
  <si>
    <t xml:space="preserve">JRE-023</t>
  </si>
  <si>
    <t xml:space="preserve">汐留ビルディング</t>
  </si>
  <si>
    <t xml:space="preserve">構造SRC・S、鑑定直接還元利回り3.8%。延床面積は短信非掲載(賃貸可能面積を収録)、住所詳細は有報で補完予定</t>
  </si>
  <si>
    <t xml:space="preserve">JRE-024</t>
  </si>
  <si>
    <t xml:space="preserve">ＪＲＥ芝二丁目大門ビル</t>
  </si>
  <si>
    <t xml:space="preserve">構造S、鑑定直接還元利回り3.5%。延床面積は短信非掲載(賃貸可能面積を収録)、住所詳細は有報で補完予定</t>
  </si>
  <si>
    <t xml:space="preserve">JRE-025</t>
  </si>
  <si>
    <t xml:space="preserve">ＪＲＥコスモ金杉橋ビル</t>
  </si>
  <si>
    <t xml:space="preserve">JRE-026</t>
  </si>
  <si>
    <t xml:space="preserve">シーバンスＳ棟</t>
  </si>
  <si>
    <t xml:space="preserve">構造S、鑑定直接還元利回り3.3%。区分所有。ML事業収入の持分は301,220分の183,715(面積は同持分按分、テナント数・稼働率は事業対象部分全体)。延床面積は短信非掲載(賃貸可能面積を収録)、住所詳細は有報で補完予定</t>
  </si>
  <si>
    <t xml:space="preserve">JRE-027</t>
  </si>
  <si>
    <t xml:space="preserve">田町フロントビル</t>
  </si>
  <si>
    <t xml:space="preserve">構造S、鑑定直接還元利回り3.4%。取得価格は土地取得価格＋建物建築コスト。延床面積は短信非掲載(賃貸可能面積を収録)、住所詳細は有報で補完予定</t>
  </si>
  <si>
    <t xml:space="preserve">JRE-028</t>
  </si>
  <si>
    <t xml:space="preserve">新宿イーストサイドスクエア</t>
  </si>
  <si>
    <r>
      <rPr>
        <sz val="10"/>
        <color rgb="FF0000FF"/>
        <rFont val="Arial"/>
        <family val="0"/>
        <charset val="1"/>
      </rPr>
      <t xml:space="preserve">2026/3/13</t>
    </r>
    <r>
      <rPr>
        <sz val="10"/>
        <color rgb="FF0000FF"/>
        <rFont val="Noto Sans CJK SC"/>
        <family val="2"/>
      </rPr>
      <t xml:space="preserve">に共有持分</t>
    </r>
    <r>
      <rPr>
        <sz val="10"/>
        <color rgb="FF0000FF"/>
        <rFont val="Arial"/>
        <family val="0"/>
        <charset val="1"/>
      </rPr>
      <t xml:space="preserve">9%</t>
    </r>
    <r>
      <rPr>
        <sz val="10"/>
        <color rgb="FF0000FF"/>
        <rFont val="Noto Sans CJK SC"/>
        <family val="2"/>
      </rPr>
      <t xml:space="preserve">追加取得</t>
    </r>
    <r>
      <rPr>
        <sz val="10"/>
        <color rgb="FF0000FF"/>
        <rFont val="Arial"/>
        <family val="0"/>
        <charset val="1"/>
      </rPr>
      <t xml:space="preserve">(20,353</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持分</t>
    </r>
    <r>
      <rPr>
        <sz val="10"/>
        <color rgb="FF0000FF"/>
        <rFont val="Arial"/>
        <family val="0"/>
        <charset val="1"/>
      </rPr>
      <t xml:space="preserve">48.0%</t>
    </r>
  </si>
  <si>
    <t xml:space="preserve">JRE-029</t>
  </si>
  <si>
    <t xml:space="preserve">新宿フロントタワー</t>
  </si>
  <si>
    <t xml:space="preserve">構造RC・SRC・S、鑑定直接還元利回り3.3%。取得価格は土地取得価格＋建物建築コスト。延床面積は短信非掲載(賃貸可能面積を収録)、住所詳細は有報で補完予定</t>
  </si>
  <si>
    <t xml:space="preserve">JRE-030</t>
  </si>
  <si>
    <t xml:space="preserve">コモレ四谷</t>
  </si>
  <si>
    <t xml:space="preserve">期後2026/4/2に持分7.1%追加取得(15,540百万円)。前年取得分は公租公課0(取得原価算入)</t>
  </si>
  <si>
    <t xml:space="preserve">JRE-031</t>
  </si>
  <si>
    <t xml:space="preserve">ＪＲＥ西新宿テラス</t>
  </si>
  <si>
    <t xml:space="preserve">構造S、鑑定直接還元利回り3.4%。2026/3/27取得(期中約2ヶ月分の収益)。延床面積は短信非掲載(賃貸可能面積を収録)、住所詳細は有報で補完予定</t>
  </si>
  <si>
    <t xml:space="preserve">JRE-032</t>
  </si>
  <si>
    <t xml:space="preserve">東京オペラシティビル</t>
  </si>
  <si>
    <t xml:space="preserve">共同事業者の要望により費用内訳・NOI・NCFは非開示(収益・費用計・損益は開示)。付随して運営会社株式等を保有</t>
  </si>
  <si>
    <t xml:space="preserve">JRE-033</t>
  </si>
  <si>
    <t xml:space="preserve">フロントプレイス南新宿</t>
  </si>
  <si>
    <t xml:space="preserve">構造SRC・S、鑑定直接還元利回り3.9%。延床面積は短信非掲載(賃貸可能面積を収録)、住所詳細は有報で補完予定</t>
  </si>
  <si>
    <t xml:space="preserve">JRE-034</t>
  </si>
  <si>
    <t xml:space="preserve">リンクスクエア新宿</t>
  </si>
  <si>
    <t xml:space="preserve">構造SRC、鑑定直接還元利回り4.0%。延床面積は短信非掲載(賃貸可能面積を収録)、住所詳細は有報で補完予定</t>
  </si>
  <si>
    <t xml:space="preserve">JRE-035</t>
  </si>
  <si>
    <t xml:space="preserve">ＪＲＥ代々木一丁目ビル</t>
  </si>
  <si>
    <t xml:space="preserve">構造S・SRC、鑑定直接還元利回り4.3%。延床面積は短信非掲載(賃貸可能面積を収録)、住所詳細は有報で補完予定</t>
  </si>
  <si>
    <t xml:space="preserve">JRE-036</t>
  </si>
  <si>
    <t xml:space="preserve">ＪＲＥ神宮前テラス</t>
  </si>
  <si>
    <t xml:space="preserve">構造S・SRC、鑑定直接還元利回り3.5%。建物は3登記で構成(主要建物を記載)。延床面積は短信非掲載(賃貸可能面積を収録)、住所詳細は有報で補完予定</t>
  </si>
  <si>
    <t xml:space="preserve">JRE-037</t>
  </si>
  <si>
    <t xml:space="preserve">ＪＲＥ神宮前メディアスクエアビル</t>
  </si>
  <si>
    <t xml:space="preserve">JRE-038</t>
  </si>
  <si>
    <t xml:space="preserve">渋谷クロスタワー（底地）</t>
  </si>
  <si>
    <r>
      <rPr>
        <sz val="10"/>
        <color rgb="FF0000FF"/>
        <rFont val="Arial"/>
        <family val="0"/>
        <charset val="1"/>
      </rPr>
      <t xml:space="preserve">2018/1/18</t>
    </r>
    <r>
      <rPr>
        <sz val="10"/>
        <color rgb="FF0000FF"/>
        <rFont val="Noto Sans CJK SC"/>
        <family val="2"/>
      </rPr>
      <t xml:space="preserve">に建物を三菱地所へ譲渡し底地のみ保有</t>
    </r>
    <r>
      <rPr>
        <sz val="10"/>
        <color rgb="FF0000FF"/>
        <rFont val="Arial"/>
        <family val="0"/>
        <charset val="1"/>
      </rPr>
      <t xml:space="preserve">(</t>
    </r>
    <r>
      <rPr>
        <sz val="10"/>
        <color rgb="FF0000FF"/>
        <rFont val="Noto Sans CJK SC"/>
        <family val="2"/>
      </rPr>
      <t xml:space="preserve">土地</t>
    </r>
    <r>
      <rPr>
        <sz val="10"/>
        <color rgb="FF0000FF"/>
        <rFont val="Arial"/>
        <family val="0"/>
        <charset val="1"/>
      </rPr>
      <t xml:space="preserve">5,153</t>
    </r>
    <r>
      <rPr>
        <sz val="10"/>
        <color rgb="FF0000FF"/>
        <rFont val="Noto Sans CJK SC"/>
        <family val="2"/>
      </rPr>
      <t xml:space="preserve">㎡を同社に賃貸</t>
    </r>
    <r>
      <rPr>
        <sz val="10"/>
        <color rgb="FF0000FF"/>
        <rFont val="Arial"/>
        <family val="0"/>
        <charset val="1"/>
      </rPr>
      <t xml:space="preserve">)</t>
    </r>
    <r>
      <rPr>
        <sz val="10"/>
        <color rgb="FF0000FF"/>
        <rFont val="Noto Sans CJK SC"/>
        <family val="2"/>
      </rPr>
      <t xml:space="preserve">。テナント数・</t>
    </r>
    <r>
      <rPr>
        <sz val="10"/>
        <color rgb="FF0000FF"/>
        <rFont val="Arial"/>
        <family val="0"/>
        <charset val="1"/>
      </rPr>
      <t xml:space="preserve">NLA</t>
    </r>
    <r>
      <rPr>
        <sz val="10"/>
        <color rgb="FF0000FF"/>
        <rFont val="Noto Sans CJK SC"/>
        <family val="2"/>
      </rPr>
      <t xml:space="preserve">・入居率は該当なし</t>
    </r>
  </si>
  <si>
    <t xml:space="preserve">JRE-039</t>
  </si>
  <si>
    <t xml:space="preserve">恵比寿ネオナート</t>
  </si>
  <si>
    <t xml:space="preserve">構造S・SRC、鑑定直接還元利回り4.0%。全体の75%準共有持分(面積・価額は持分按分)。延床面積は短信非掲載(賃貸可能面積を収録)、住所詳細は有報で補完予定</t>
  </si>
  <si>
    <t xml:space="preserve">JRE-040</t>
  </si>
  <si>
    <t xml:space="preserve">ＴＩＸＴＯＷＥＲ ＵＥＮＯ</t>
  </si>
  <si>
    <t xml:space="preserve">JRE-041</t>
  </si>
  <si>
    <t xml:space="preserve">豊洲フォレシア</t>
  </si>
  <si>
    <t xml:space="preserve">構造SRC、鑑定直接還元利回り3.8%。延床面積は短信非掲載(賃貸可能面積を収録)、住所詳細は有報で補完予定</t>
  </si>
  <si>
    <t xml:space="preserve">JRE-042</t>
  </si>
  <si>
    <t xml:space="preserve">豊洲フロント</t>
  </si>
  <si>
    <t xml:space="preserve">構造S・SRC、鑑定直接還元利回り3.5%。延床面積は短信非掲載(賃貸可能面積を収録)、住所詳細は有報で補完予定</t>
  </si>
  <si>
    <t xml:space="preserve">JRE-043</t>
  </si>
  <si>
    <t xml:space="preserve">ＪＲＥ東五反田一丁目ビル</t>
  </si>
  <si>
    <r>
      <rPr>
        <sz val="11"/>
        <color theme="1"/>
        <rFont val="Calibri"/>
        <family val="2"/>
        <charset val="1"/>
      </rPr>
      <t xml:space="preserve">58</t>
    </r>
    <r>
      <rPr>
        <sz val="11"/>
        <color theme="1"/>
        <rFont val="Noto Sans CJK SC"/>
        <family val="2"/>
      </rPr>
      <t xml:space="preserve">物件（</t>
    </r>
    <r>
      <rPr>
        <sz val="11"/>
        <color theme="1"/>
        <rFont val="Calibri"/>
        <family val="2"/>
        <charset val="1"/>
      </rPr>
      <t xml:space="preserve">2026/5/31</t>
    </r>
    <r>
      <rPr>
        <sz val="11"/>
        <color theme="1"/>
        <rFont val="Noto Sans CJK SC"/>
        <family val="2"/>
      </rPr>
      <t xml:space="preserve">時点）</t>
    </r>
  </si>
  <si>
    <t xml:space="preserve">賃貸可能面積・テナント数は掲載表合計(期中譲渡2物件は面積欄なし)。鑑定合計628,000百万円。別途匿名組合出資持分(新宿マインズタワー1/7相当)3,746百万円</t>
  </si>
  <si>
    <t xml:space="preserve">JRE-044</t>
  </si>
  <si>
    <t xml:space="preserve">大崎フロントタワー</t>
  </si>
  <si>
    <t xml:space="preserve">区分所有権・共有(敷地権割合)</t>
  </si>
  <si>
    <t xml:space="preserve">事業用定期借地権(残存契約に基づく原状回復義務・資産除去債務計上)</t>
  </si>
  <si>
    <t xml:space="preserve">JRE-045</t>
  </si>
  <si>
    <t xml:space="preserve">ＪＲＥ大森駅東口ビル</t>
  </si>
  <si>
    <t xml:space="preserve">大田区</t>
  </si>
  <si>
    <r>
      <rPr>
        <sz val="11"/>
        <color theme="1"/>
        <rFont val="Calibri"/>
        <family val="2"/>
        <charset val="1"/>
      </rPr>
      <t xml:space="preserve">MHR</t>
    </r>
    <r>
      <rPr>
        <sz val="11"/>
        <color theme="1"/>
        <rFont val="Noto Sans CJK SC"/>
        <family val="2"/>
      </rPr>
      <t xml:space="preserve">物件番号</t>
    </r>
    <r>
      <rPr>
        <sz val="11"/>
        <color theme="1"/>
        <rFont val="Calibri"/>
        <family val="2"/>
        <charset val="1"/>
      </rPr>
      <t xml:space="preserve">O-1(</t>
    </r>
    <r>
      <rPr>
        <sz val="11"/>
        <color theme="1"/>
        <rFont val="Noto Sans CJK SC"/>
        <family val="2"/>
      </rPr>
      <t xml:space="preserve">プレミアムエリア</t>
    </r>
    <r>
      <rPr>
        <sz val="11"/>
        <color theme="1"/>
        <rFont val="Calibri"/>
        <family val="2"/>
        <charset val="1"/>
      </rPr>
      <t xml:space="preserve">=</t>
    </r>
    <r>
      <rPr>
        <sz val="11"/>
        <color theme="1"/>
        <rFont val="Noto Sans CJK SC"/>
        <family val="2"/>
      </rPr>
      <t xml:space="preserve">都心</t>
    </r>
    <r>
      <rPr>
        <sz val="11"/>
        <color theme="1"/>
        <rFont val="Calibri"/>
        <family val="2"/>
        <charset val="1"/>
      </rPr>
      <t xml:space="preserve">5</t>
    </r>
    <r>
      <rPr>
        <sz val="11"/>
        <color theme="1"/>
        <rFont val="Noto Sans CJK SC"/>
        <family val="2"/>
      </rPr>
      <t xml:space="preserve">区</t>
    </r>
    <r>
      <rPr>
        <sz val="11"/>
        <color theme="1"/>
        <rFont val="Calibri"/>
        <family val="2"/>
        <charset val="1"/>
      </rPr>
      <t xml:space="preserve">+</t>
    </r>
    <r>
      <rPr>
        <sz val="11"/>
        <color theme="1"/>
        <rFont val="Noto Sans CJK SC"/>
        <family val="2"/>
      </rPr>
      <t xml:space="preserve">周辺</t>
    </r>
    <r>
      <rPr>
        <sz val="11"/>
        <color theme="1"/>
        <rFont val="Calibri"/>
        <family val="2"/>
        <charset val="1"/>
      </rPr>
      <t xml:space="preserve">)</t>
    </r>
    <r>
      <rPr>
        <sz val="11"/>
        <color theme="1"/>
        <rFont val="Noto Sans CJK SC"/>
        <family val="2"/>
      </rPr>
      <t xml:space="preserve">。プレミアム物件。</t>
    </r>
    <r>
      <rPr>
        <sz val="11"/>
        <color theme="1"/>
        <rFont val="Calibri"/>
        <family val="2"/>
        <charset val="1"/>
      </rPr>
      <t xml:space="preserve">4</t>
    </r>
    <r>
      <rPr>
        <sz val="11"/>
        <color theme="1"/>
        <rFont val="Noto Sans CJK SC"/>
        <family val="2"/>
      </rPr>
      <t xml:space="preserve">・</t>
    </r>
    <r>
      <rPr>
        <sz val="11"/>
        <color theme="1"/>
        <rFont val="Calibri"/>
        <family val="2"/>
        <charset val="1"/>
      </rPr>
      <t xml:space="preserve">12</t>
    </r>
    <r>
      <rPr>
        <sz val="11"/>
        <color theme="1"/>
        <rFont val="Noto Sans CJK SC"/>
        <family val="2"/>
      </rPr>
      <t xml:space="preserve">・</t>
    </r>
    <r>
      <rPr>
        <sz val="11"/>
        <color theme="1"/>
        <rFont val="Calibri"/>
        <family val="2"/>
        <charset val="1"/>
      </rPr>
      <t xml:space="preserve">13</t>
    </r>
    <r>
      <rPr>
        <sz val="11"/>
        <color theme="1"/>
        <rFont val="Noto Sans CJK SC"/>
        <family val="2"/>
      </rPr>
      <t xml:space="preserve">・</t>
    </r>
    <r>
      <rPr>
        <sz val="11"/>
        <color theme="1"/>
        <rFont val="Calibri"/>
        <family val="2"/>
        <charset val="1"/>
      </rPr>
      <t xml:space="preserve">15</t>
    </r>
    <r>
      <rPr>
        <sz val="11"/>
        <color theme="1"/>
        <rFont val="Noto Sans CJK SC"/>
        <family val="2"/>
      </rPr>
      <t xml:space="preserve">・</t>
    </r>
    <r>
      <rPr>
        <sz val="11"/>
        <color theme="1"/>
        <rFont val="Calibri"/>
        <family val="2"/>
        <charset val="1"/>
      </rPr>
      <t xml:space="preserve">22</t>
    </r>
    <r>
      <rPr>
        <sz val="11"/>
        <color theme="1"/>
        <rFont val="Noto Sans CJK SC"/>
        <family val="2"/>
      </rPr>
      <t xml:space="preserve">〜</t>
    </r>
    <r>
      <rPr>
        <sz val="11"/>
        <color theme="1"/>
        <rFont val="Calibri"/>
        <family val="2"/>
        <charset val="1"/>
      </rPr>
      <t xml:space="preserve">25</t>
    </r>
    <r>
      <rPr>
        <sz val="11"/>
        <color theme="1"/>
        <rFont val="Noto Sans CJK SC"/>
        <family val="2"/>
      </rPr>
      <t xml:space="preserve">階・冷熱供給所部分等を保有。森ビルへの固定型マスターリース。構造</t>
    </r>
    <r>
      <rPr>
        <sz val="11"/>
        <color theme="1"/>
        <rFont val="Calibri"/>
        <family val="2"/>
        <charset val="1"/>
      </rPr>
      <t xml:space="preserve">RC</t>
    </r>
    <r>
      <rPr>
        <sz val="11"/>
        <color theme="1"/>
        <rFont val="Noto Sans CJK SC"/>
        <family val="2"/>
      </rPr>
      <t xml:space="preserve">・</t>
    </r>
    <r>
      <rPr>
        <sz val="11"/>
        <color theme="1"/>
        <rFont val="Calibri"/>
        <family val="2"/>
        <charset val="1"/>
      </rPr>
      <t xml:space="preserve">SRC</t>
    </r>
    <r>
      <rPr>
        <sz val="11"/>
        <color theme="1"/>
        <rFont val="Noto Sans CJK SC"/>
        <family val="2"/>
      </rPr>
      <t xml:space="preserve">・</t>
    </r>
    <r>
      <rPr>
        <sz val="11"/>
        <color theme="1"/>
        <rFont val="Calibri"/>
        <family val="2"/>
        <charset val="1"/>
      </rPr>
      <t xml:space="preserve">S</t>
    </r>
  </si>
  <si>
    <t xml:space="preserve">JRE-046</t>
  </si>
  <si>
    <t xml:space="preserve">ハーモニータワー</t>
  </si>
  <si>
    <t xml:space="preserve">中野区</t>
  </si>
  <si>
    <t xml:space="preserve">借地権・区分所有権(信託受益権準共有80%)</t>
  </si>
  <si>
    <r>
      <rPr>
        <sz val="11"/>
        <color theme="1"/>
        <rFont val="Calibri"/>
        <family val="2"/>
        <charset val="1"/>
      </rPr>
      <t xml:space="preserve">MHR</t>
    </r>
    <r>
      <rPr>
        <sz val="11"/>
        <color theme="1"/>
        <rFont val="Noto Sans CJK SC"/>
        <family val="2"/>
      </rPr>
      <t xml:space="preserve">物件番号</t>
    </r>
    <r>
      <rPr>
        <sz val="11"/>
        <color theme="1"/>
        <rFont val="Calibri"/>
        <family val="2"/>
        <charset val="1"/>
      </rPr>
      <t xml:space="preserve">O-4(</t>
    </r>
    <r>
      <rPr>
        <sz val="11"/>
        <color theme="1"/>
        <rFont val="Noto Sans CJK SC"/>
        <family val="2"/>
      </rPr>
      <t xml:space="preserve">プレミアムエリア</t>
    </r>
    <r>
      <rPr>
        <sz val="11"/>
        <color theme="1"/>
        <rFont val="Calibri"/>
        <family val="2"/>
        <charset val="1"/>
      </rPr>
      <t xml:space="preserve">=</t>
    </r>
    <r>
      <rPr>
        <sz val="11"/>
        <color theme="1"/>
        <rFont val="Noto Sans CJK SC"/>
        <family val="2"/>
      </rPr>
      <t xml:space="preserve">都心</t>
    </r>
    <r>
      <rPr>
        <sz val="11"/>
        <color theme="1"/>
        <rFont val="Calibri"/>
        <family val="2"/>
        <charset val="1"/>
      </rPr>
      <t xml:space="preserve">5</t>
    </r>
    <r>
      <rPr>
        <sz val="11"/>
        <color theme="1"/>
        <rFont val="Noto Sans CJK SC"/>
        <family val="2"/>
      </rPr>
      <t xml:space="preserve">区</t>
    </r>
    <r>
      <rPr>
        <sz val="11"/>
        <color theme="1"/>
        <rFont val="Calibri"/>
        <family val="2"/>
        <charset val="1"/>
      </rPr>
      <t xml:space="preserve">+</t>
    </r>
    <r>
      <rPr>
        <sz val="11"/>
        <color theme="1"/>
        <rFont val="Noto Sans CJK SC"/>
        <family val="2"/>
      </rPr>
      <t xml:space="preserve">周辺</t>
    </r>
    <r>
      <rPr>
        <sz val="11"/>
        <color theme="1"/>
        <rFont val="Calibri"/>
        <family val="2"/>
        <charset val="1"/>
      </rPr>
      <t xml:space="preserve">)</t>
    </r>
    <r>
      <rPr>
        <sz val="11"/>
        <color theme="1"/>
        <rFont val="Noto Sans CJK SC"/>
        <family val="2"/>
      </rPr>
      <t xml:space="preserve">。プレミアム物件。パススルー型マスターリース。面積・金額は持分</t>
    </r>
    <r>
      <rPr>
        <sz val="11"/>
        <color theme="1"/>
        <rFont val="Calibri"/>
        <family val="2"/>
        <charset val="1"/>
      </rPr>
      <t xml:space="preserve">80%</t>
    </r>
    <r>
      <rPr>
        <sz val="11"/>
        <color theme="1"/>
        <rFont val="Noto Sans CJK SC"/>
        <family val="2"/>
      </rPr>
      <t xml:space="preserve">考慮後。構造</t>
    </r>
    <r>
      <rPr>
        <sz val="11"/>
        <color theme="1"/>
        <rFont val="Calibri"/>
        <family val="2"/>
        <charset val="1"/>
      </rPr>
      <t xml:space="preserve">SRC</t>
    </r>
    <r>
      <rPr>
        <sz val="11"/>
        <color theme="1"/>
        <rFont val="Noto Sans CJK SC"/>
        <family val="2"/>
      </rPr>
      <t xml:space="preserve">・</t>
    </r>
    <r>
      <rPr>
        <sz val="11"/>
        <color theme="1"/>
        <rFont val="Calibri"/>
        <family val="2"/>
        <charset val="1"/>
      </rPr>
      <t xml:space="preserve">S</t>
    </r>
  </si>
  <si>
    <t xml:space="preserve">JRE-047</t>
  </si>
  <si>
    <t xml:space="preserve">ＪＲＥ池袋二丁目ビル</t>
  </si>
  <si>
    <t xml:space="preserve">区分所有権(事務所店舗区画65.9%・住宅区画67%配分)</t>
  </si>
  <si>
    <r>
      <rPr>
        <sz val="11"/>
        <color theme="1"/>
        <rFont val="Calibri"/>
        <family val="2"/>
        <charset val="1"/>
      </rPr>
      <t xml:space="preserve">MHR</t>
    </r>
    <r>
      <rPr>
        <sz val="11"/>
        <color theme="1"/>
        <rFont val="Noto Sans CJK SC"/>
        <family val="2"/>
      </rPr>
      <t xml:space="preserve">物件番号</t>
    </r>
    <r>
      <rPr>
        <sz val="11"/>
        <color theme="1"/>
        <rFont val="Calibri"/>
        <family val="2"/>
        <charset val="1"/>
      </rPr>
      <t xml:space="preserve">O-6(</t>
    </r>
    <r>
      <rPr>
        <sz val="11"/>
        <color theme="1"/>
        <rFont val="Noto Sans CJK SC"/>
        <family val="2"/>
      </rPr>
      <t xml:space="preserve">プレミアムエリア</t>
    </r>
    <r>
      <rPr>
        <sz val="11"/>
        <color theme="1"/>
        <rFont val="Calibri"/>
        <family val="2"/>
        <charset val="1"/>
      </rPr>
      <t xml:space="preserve">=</t>
    </r>
    <r>
      <rPr>
        <sz val="11"/>
        <color theme="1"/>
        <rFont val="Noto Sans CJK SC"/>
        <family val="2"/>
      </rPr>
      <t xml:space="preserve">都心</t>
    </r>
    <r>
      <rPr>
        <sz val="11"/>
        <color theme="1"/>
        <rFont val="Calibri"/>
        <family val="2"/>
        <charset val="1"/>
      </rPr>
      <t xml:space="preserve">5</t>
    </r>
    <r>
      <rPr>
        <sz val="11"/>
        <color theme="1"/>
        <rFont val="Noto Sans CJK SC"/>
        <family val="2"/>
      </rPr>
      <t xml:space="preserve">区</t>
    </r>
    <r>
      <rPr>
        <sz val="11"/>
        <color theme="1"/>
        <rFont val="Calibri"/>
        <family val="2"/>
        <charset val="1"/>
      </rPr>
      <t xml:space="preserve">+</t>
    </r>
    <r>
      <rPr>
        <sz val="11"/>
        <color theme="1"/>
        <rFont val="Noto Sans CJK SC"/>
        <family val="2"/>
      </rPr>
      <t xml:space="preserve">周辺</t>
    </r>
    <r>
      <rPr>
        <sz val="11"/>
        <color theme="1"/>
        <rFont val="Calibri"/>
        <family val="2"/>
        <charset val="1"/>
      </rPr>
      <t xml:space="preserve">)</t>
    </r>
    <r>
      <rPr>
        <sz val="11"/>
        <color theme="1"/>
        <rFont val="Noto Sans CJK SC"/>
        <family val="2"/>
      </rPr>
      <t xml:space="preserve">。プレミアム物件。事務所・店舗・住宅複合。パススルー型</t>
    </r>
    <r>
      <rPr>
        <sz val="11"/>
        <color theme="1"/>
        <rFont val="Calibri"/>
        <family val="2"/>
        <charset val="1"/>
      </rPr>
      <t xml:space="preserve">ML</t>
    </r>
    <r>
      <rPr>
        <sz val="11"/>
        <color theme="1"/>
        <rFont val="Noto Sans CJK SC"/>
        <family val="2"/>
      </rPr>
      <t xml:space="preserve">。構造</t>
    </r>
    <r>
      <rPr>
        <sz val="11"/>
        <color theme="1"/>
        <rFont val="Calibri"/>
        <family val="2"/>
        <charset val="1"/>
      </rPr>
      <t xml:space="preserve">S</t>
    </r>
    <r>
      <rPr>
        <sz val="11"/>
        <color theme="1"/>
        <rFont val="Noto Sans CJK SC"/>
        <family val="2"/>
      </rPr>
      <t xml:space="preserve">・</t>
    </r>
    <r>
      <rPr>
        <sz val="11"/>
        <color theme="1"/>
        <rFont val="Calibri"/>
        <family val="2"/>
        <charset val="1"/>
      </rPr>
      <t xml:space="preserve">SRC</t>
    </r>
    <r>
      <rPr>
        <sz val="11"/>
        <color theme="1"/>
        <rFont val="Noto Sans CJK SC"/>
        <family val="2"/>
      </rPr>
      <t xml:space="preserve">・</t>
    </r>
    <r>
      <rPr>
        <sz val="11"/>
        <color theme="1"/>
        <rFont val="Calibri"/>
        <family val="2"/>
        <charset val="1"/>
      </rPr>
      <t xml:space="preserve">RC</t>
    </r>
  </si>
  <si>
    <t xml:space="preserve">JRE-048</t>
  </si>
  <si>
    <t xml:space="preserve">ＪＲＥ南池袋ビル</t>
  </si>
  <si>
    <t xml:space="preserve">所有権・区分所有権の共有(信託受益権準共有74%)</t>
  </si>
  <si>
    <r>
      <rPr>
        <sz val="11"/>
        <color theme="1"/>
        <rFont val="Calibri"/>
        <family val="2"/>
        <charset val="1"/>
      </rPr>
      <t xml:space="preserve">MHR</t>
    </r>
    <r>
      <rPr>
        <sz val="11"/>
        <color theme="1"/>
        <rFont val="Noto Sans CJK SC"/>
        <family val="2"/>
      </rPr>
      <t xml:space="preserve">物件番号</t>
    </r>
    <r>
      <rPr>
        <sz val="11"/>
        <color theme="1"/>
        <rFont val="Calibri"/>
        <family val="2"/>
        <charset val="1"/>
      </rPr>
      <t xml:space="preserve">O-7(</t>
    </r>
    <r>
      <rPr>
        <sz val="11"/>
        <color theme="1"/>
        <rFont val="Noto Sans CJK SC"/>
        <family val="2"/>
      </rPr>
      <t xml:space="preserve">プレミアムエリア</t>
    </r>
    <r>
      <rPr>
        <sz val="11"/>
        <color theme="1"/>
        <rFont val="Calibri"/>
        <family val="2"/>
        <charset val="1"/>
      </rPr>
      <t xml:space="preserve">=</t>
    </r>
    <r>
      <rPr>
        <sz val="11"/>
        <color theme="1"/>
        <rFont val="Noto Sans CJK SC"/>
        <family val="2"/>
      </rPr>
      <t xml:space="preserve">都心</t>
    </r>
    <r>
      <rPr>
        <sz val="11"/>
        <color theme="1"/>
        <rFont val="Calibri"/>
        <family val="2"/>
        <charset val="1"/>
      </rPr>
      <t xml:space="preserve">5</t>
    </r>
    <r>
      <rPr>
        <sz val="11"/>
        <color theme="1"/>
        <rFont val="Noto Sans CJK SC"/>
        <family val="2"/>
      </rPr>
      <t xml:space="preserve">区</t>
    </r>
    <r>
      <rPr>
        <sz val="11"/>
        <color theme="1"/>
        <rFont val="Calibri"/>
        <family val="2"/>
        <charset val="1"/>
      </rPr>
      <t xml:space="preserve">+</t>
    </r>
    <r>
      <rPr>
        <sz val="11"/>
        <color theme="1"/>
        <rFont val="Noto Sans CJK SC"/>
        <family val="2"/>
      </rPr>
      <t xml:space="preserve">周辺</t>
    </r>
    <r>
      <rPr>
        <sz val="11"/>
        <color theme="1"/>
        <rFont val="Calibri"/>
        <family val="2"/>
        <charset val="1"/>
      </rPr>
      <t xml:space="preserve">)</t>
    </r>
    <r>
      <rPr>
        <sz val="11"/>
        <color theme="1"/>
        <rFont val="Noto Sans CJK SC"/>
        <family val="2"/>
      </rPr>
      <t xml:space="preserve">。プレミアム物件。</t>
    </r>
    <r>
      <rPr>
        <sz val="11"/>
        <color theme="1"/>
        <rFont val="Calibri"/>
        <family val="2"/>
        <charset val="1"/>
      </rPr>
      <t xml:space="preserve">MORI</t>
    </r>
    <r>
      <rPr>
        <sz val="11"/>
        <color theme="1"/>
        <rFont val="Noto Sans CJK SC"/>
        <family val="2"/>
      </rPr>
      <t xml:space="preserve">タワー</t>
    </r>
    <r>
      <rPr>
        <sz val="11"/>
        <color theme="1"/>
        <rFont val="Calibri"/>
        <family val="2"/>
        <charset val="1"/>
      </rPr>
      <t xml:space="preserve">(</t>
    </r>
    <r>
      <rPr>
        <sz val="11"/>
        <color theme="1"/>
        <rFont val="Noto Sans CJK SC"/>
        <family val="2"/>
      </rPr>
      <t xml:space="preserve">事務所</t>
    </r>
    <r>
      <rPr>
        <sz val="11"/>
        <color theme="1"/>
        <rFont val="Calibri"/>
        <family val="2"/>
        <charset val="1"/>
      </rPr>
      <t xml:space="preserve">S</t>
    </r>
    <r>
      <rPr>
        <sz val="11"/>
        <color theme="1"/>
        <rFont val="Noto Sans CJK SC"/>
        <family val="2"/>
      </rPr>
      <t xml:space="preserve">・</t>
    </r>
    <r>
      <rPr>
        <sz val="11"/>
        <color theme="1"/>
        <rFont val="Calibri"/>
        <family val="2"/>
        <charset val="1"/>
      </rPr>
      <t xml:space="preserve">SRC 42F/2001</t>
    </r>
    <r>
      <rPr>
        <sz val="11"/>
        <color theme="1"/>
        <rFont val="Noto Sans CJK SC"/>
        <family val="2"/>
      </rPr>
      <t xml:space="preserve">年</t>
    </r>
    <r>
      <rPr>
        <sz val="11"/>
        <color theme="1"/>
        <rFont val="Calibri"/>
        <family val="2"/>
        <charset val="1"/>
      </rPr>
      <t xml:space="preserve">7</t>
    </r>
    <r>
      <rPr>
        <sz val="11"/>
        <color theme="1"/>
        <rFont val="Noto Sans CJK SC"/>
        <family val="2"/>
      </rPr>
      <t xml:space="preserve">月</t>
    </r>
    <r>
      <rPr>
        <sz val="11"/>
        <color theme="1"/>
        <rFont val="Calibri"/>
        <family val="2"/>
        <charset val="1"/>
      </rPr>
      <t xml:space="preserve">)+</t>
    </r>
    <r>
      <rPr>
        <sz val="11"/>
        <color theme="1"/>
        <rFont val="Noto Sans CJK SC"/>
        <family val="2"/>
      </rPr>
      <t xml:space="preserve">フォレストタワー</t>
    </r>
    <r>
      <rPr>
        <sz val="11"/>
        <color theme="1"/>
        <rFont val="Calibri"/>
        <family val="2"/>
        <charset val="1"/>
      </rPr>
      <t xml:space="preserve">(</t>
    </r>
    <r>
      <rPr>
        <sz val="11"/>
        <color theme="1"/>
        <rFont val="Noto Sans CJK SC"/>
        <family val="2"/>
      </rPr>
      <t xml:space="preserve">住宅</t>
    </r>
    <r>
      <rPr>
        <sz val="11"/>
        <color theme="1"/>
        <rFont val="Calibri"/>
        <family val="2"/>
        <charset val="1"/>
      </rPr>
      <t xml:space="preserve">43F/2001</t>
    </r>
    <r>
      <rPr>
        <sz val="11"/>
        <color theme="1"/>
        <rFont val="Noto Sans CJK SC"/>
        <family val="2"/>
      </rPr>
      <t xml:space="preserve">年</t>
    </r>
    <r>
      <rPr>
        <sz val="11"/>
        <color theme="1"/>
        <rFont val="Calibri"/>
        <family val="2"/>
        <charset val="1"/>
      </rPr>
      <t xml:space="preserve">10</t>
    </r>
    <r>
      <rPr>
        <sz val="11"/>
        <color theme="1"/>
        <rFont val="Noto Sans CJK SC"/>
        <family val="2"/>
      </rPr>
      <t xml:space="preserve">月</t>
    </r>
    <r>
      <rPr>
        <sz val="11"/>
        <color theme="1"/>
        <rFont val="Calibri"/>
        <family val="2"/>
        <charset val="1"/>
      </rPr>
      <t xml:space="preserve">)+</t>
    </r>
    <r>
      <rPr>
        <sz val="11"/>
        <color theme="1"/>
        <rFont val="Noto Sans CJK SC"/>
        <family val="2"/>
      </rPr>
      <t xml:space="preserve">プラザ</t>
    </r>
    <r>
      <rPr>
        <sz val="11"/>
        <color theme="1"/>
        <rFont val="Calibri"/>
        <family val="2"/>
        <charset val="1"/>
      </rPr>
      <t xml:space="preserve">(</t>
    </r>
    <r>
      <rPr>
        <sz val="11"/>
        <color theme="1"/>
        <rFont val="Noto Sans CJK SC"/>
        <family val="2"/>
      </rPr>
      <t xml:space="preserve">店舗</t>
    </r>
    <r>
      <rPr>
        <sz val="11"/>
        <color theme="1"/>
        <rFont val="Calibri"/>
        <family val="2"/>
        <charset val="1"/>
      </rPr>
      <t xml:space="preserve">2F)</t>
    </r>
    <r>
      <rPr>
        <sz val="11"/>
        <color theme="1"/>
        <rFont val="Noto Sans CJK SC"/>
        <family val="2"/>
      </rPr>
      <t xml:space="preserve">の</t>
    </r>
    <r>
      <rPr>
        <sz val="11"/>
        <color theme="1"/>
        <rFont val="Calibri"/>
        <family val="2"/>
        <charset val="1"/>
      </rPr>
      <t xml:space="preserve">3</t>
    </r>
    <r>
      <rPr>
        <sz val="11"/>
        <color theme="1"/>
        <rFont val="Noto Sans CJK SC"/>
        <family val="2"/>
      </rPr>
      <t xml:space="preserve">棟。延床は</t>
    </r>
    <r>
      <rPr>
        <sz val="11"/>
        <color theme="1"/>
        <rFont val="Calibri"/>
        <family val="2"/>
        <charset val="1"/>
      </rPr>
      <t xml:space="preserve">3</t>
    </r>
    <r>
      <rPr>
        <sz val="11"/>
        <color theme="1"/>
        <rFont val="Noto Sans CJK SC"/>
        <family val="2"/>
      </rPr>
      <t xml:space="preserve">棟合算</t>
    </r>
    <r>
      <rPr>
        <sz val="11"/>
        <color theme="1"/>
        <rFont val="Calibri"/>
        <family val="2"/>
        <charset val="1"/>
      </rPr>
      <t xml:space="preserve">(85,266.30+60,815.71+2,083.60)</t>
    </r>
    <r>
      <rPr>
        <sz val="11"/>
        <color theme="1"/>
        <rFont val="Noto Sans CJK SC"/>
        <family val="2"/>
      </rPr>
      <t xml:space="preserve">。森ビルへの固定型</t>
    </r>
    <r>
      <rPr>
        <sz val="11"/>
        <color theme="1"/>
        <rFont val="Calibri"/>
        <family val="2"/>
        <charset val="1"/>
      </rPr>
      <t xml:space="preserve">ML</t>
    </r>
  </si>
  <si>
    <t xml:space="preserve">JRE-049</t>
  </si>
  <si>
    <t xml:space="preserve">八王子ファーストスクエア</t>
  </si>
  <si>
    <t xml:space="preserve">八王子市</t>
  </si>
  <si>
    <t xml:space="preserve">建物・敷地の共有持分25%</t>
  </si>
  <si>
    <r>
      <rPr>
        <sz val="11"/>
        <color theme="1"/>
        <rFont val="Calibri"/>
        <family val="2"/>
        <charset val="1"/>
      </rPr>
      <t xml:space="preserve">MHR</t>
    </r>
    <r>
      <rPr>
        <sz val="11"/>
        <color theme="1"/>
        <rFont val="Noto Sans CJK SC"/>
        <family val="2"/>
      </rPr>
      <t xml:space="preserve">物件番号</t>
    </r>
    <r>
      <rPr>
        <sz val="11"/>
        <color theme="1"/>
        <rFont val="Calibri"/>
        <family val="2"/>
        <charset val="1"/>
      </rPr>
      <t xml:space="preserve">O-8(</t>
    </r>
    <r>
      <rPr>
        <sz val="11"/>
        <color theme="1"/>
        <rFont val="Noto Sans CJK SC"/>
        <family val="2"/>
      </rPr>
      <t xml:space="preserve">プレミアムエリア</t>
    </r>
    <r>
      <rPr>
        <sz val="11"/>
        <color theme="1"/>
        <rFont val="Calibri"/>
        <family val="2"/>
        <charset val="1"/>
      </rPr>
      <t xml:space="preserve">=</t>
    </r>
    <r>
      <rPr>
        <sz val="11"/>
        <color theme="1"/>
        <rFont val="Noto Sans CJK SC"/>
        <family val="2"/>
      </rPr>
      <t xml:space="preserve">都心</t>
    </r>
    <r>
      <rPr>
        <sz val="11"/>
        <color theme="1"/>
        <rFont val="Calibri"/>
        <family val="2"/>
        <charset val="1"/>
      </rPr>
      <t xml:space="preserve">5</t>
    </r>
    <r>
      <rPr>
        <sz val="11"/>
        <color theme="1"/>
        <rFont val="Noto Sans CJK SC"/>
        <family val="2"/>
      </rPr>
      <t xml:space="preserve">区</t>
    </r>
    <r>
      <rPr>
        <sz val="11"/>
        <color theme="1"/>
        <rFont val="Calibri"/>
        <family val="2"/>
        <charset val="1"/>
      </rPr>
      <t xml:space="preserve">+</t>
    </r>
    <r>
      <rPr>
        <sz val="11"/>
        <color theme="1"/>
        <rFont val="Noto Sans CJK SC"/>
        <family val="2"/>
      </rPr>
      <t xml:space="preserve">周辺</t>
    </r>
    <r>
      <rPr>
        <sz val="11"/>
        <color theme="1"/>
        <rFont val="Calibri"/>
        <family val="2"/>
        <charset val="1"/>
      </rPr>
      <t xml:space="preserve">)</t>
    </r>
    <r>
      <rPr>
        <sz val="11"/>
        <color theme="1"/>
        <rFont val="Noto Sans CJK SC"/>
        <family val="2"/>
      </rPr>
      <t xml:space="preserve">。プレミアム物件。パススルー型</t>
    </r>
    <r>
      <rPr>
        <sz val="11"/>
        <color theme="1"/>
        <rFont val="Calibri"/>
        <family val="2"/>
        <charset val="1"/>
      </rPr>
      <t xml:space="preserve">ML</t>
    </r>
    <r>
      <rPr>
        <sz val="11"/>
        <color theme="1"/>
        <rFont val="Noto Sans CJK SC"/>
        <family val="2"/>
      </rPr>
      <t xml:space="preserve">。面積・金額は持分</t>
    </r>
    <r>
      <rPr>
        <sz val="11"/>
        <color theme="1"/>
        <rFont val="Calibri"/>
        <family val="2"/>
        <charset val="1"/>
      </rPr>
      <t xml:space="preserve">25%</t>
    </r>
    <r>
      <rPr>
        <sz val="11"/>
        <color theme="1"/>
        <rFont val="Noto Sans CJK SC"/>
        <family val="2"/>
      </rPr>
      <t xml:space="preserve">考慮後。構造</t>
    </r>
    <r>
      <rPr>
        <sz val="11"/>
        <color theme="1"/>
        <rFont val="Calibri"/>
        <family val="2"/>
        <charset val="1"/>
      </rPr>
      <t xml:space="preserve">S</t>
    </r>
    <r>
      <rPr>
        <sz val="11"/>
        <color theme="1"/>
        <rFont val="Noto Sans CJK SC"/>
        <family val="2"/>
      </rPr>
      <t xml:space="preserve">・</t>
    </r>
    <r>
      <rPr>
        <sz val="11"/>
        <color theme="1"/>
        <rFont val="Calibri"/>
        <family val="2"/>
        <charset val="1"/>
      </rPr>
      <t xml:space="preserve">SRC</t>
    </r>
    <r>
      <rPr>
        <sz val="11"/>
        <color theme="1"/>
        <rFont val="Noto Sans CJK SC"/>
        <family val="2"/>
      </rPr>
      <t xml:space="preserve">・</t>
    </r>
    <r>
      <rPr>
        <sz val="11"/>
        <color theme="1"/>
        <rFont val="Calibri"/>
        <family val="2"/>
        <charset val="1"/>
      </rPr>
      <t xml:space="preserve">RC</t>
    </r>
  </si>
  <si>
    <t xml:space="preserve">JRE-050</t>
  </si>
  <si>
    <t xml:space="preserve">ＪＲＥさいたま浦和ビル</t>
  </si>
  <si>
    <r>
      <rPr>
        <sz val="11"/>
        <color theme="1"/>
        <rFont val="Calibri"/>
        <family val="2"/>
        <charset val="1"/>
      </rPr>
      <t xml:space="preserve">28</t>
    </r>
    <r>
      <rPr>
        <sz val="11"/>
        <color theme="1"/>
        <rFont val="Noto Sans CJK SC"/>
        <family val="2"/>
      </rPr>
      <t xml:space="preserve">〜</t>
    </r>
    <r>
      <rPr>
        <sz val="11"/>
        <color theme="1"/>
        <rFont val="Calibri"/>
        <family val="2"/>
        <charset val="1"/>
      </rPr>
      <t xml:space="preserve">35</t>
    </r>
    <r>
      <rPr>
        <sz val="11"/>
        <color theme="1"/>
        <rFont val="Noto Sans CJK SC"/>
        <family val="2"/>
      </rPr>
      <t xml:space="preserve">階区分所有権の共有持分</t>
    </r>
    <r>
      <rPr>
        <sz val="11"/>
        <color theme="1"/>
        <rFont val="Calibri"/>
        <family val="2"/>
        <charset val="1"/>
      </rPr>
      <t xml:space="preserve">87.95%</t>
    </r>
    <r>
      <rPr>
        <sz val="11"/>
        <color theme="1"/>
        <rFont val="Noto Sans CJK SC"/>
        <family val="2"/>
      </rPr>
      <t xml:space="preserve">に係る信託受益権</t>
    </r>
    <r>
      <rPr>
        <sz val="11"/>
        <color theme="1"/>
        <rFont val="Calibri"/>
        <family val="2"/>
        <charset val="1"/>
      </rPr>
      <t xml:space="preserve">(</t>
    </r>
    <r>
      <rPr>
        <sz val="11"/>
        <color theme="1"/>
        <rFont val="Noto Sans CJK SC"/>
        <family val="2"/>
      </rPr>
      <t xml:space="preserve">準共有</t>
    </r>
    <r>
      <rPr>
        <sz val="11"/>
        <color theme="1"/>
        <rFont val="Calibri"/>
        <family val="2"/>
        <charset val="1"/>
      </rPr>
      <t xml:space="preserve">99.9%)</t>
    </r>
  </si>
  <si>
    <r>
      <rPr>
        <sz val="11"/>
        <color theme="1"/>
        <rFont val="Calibri"/>
        <family val="2"/>
        <charset val="1"/>
      </rPr>
      <t xml:space="preserve">MHR</t>
    </r>
    <r>
      <rPr>
        <sz val="11"/>
        <color theme="1"/>
        <rFont val="Noto Sans CJK SC"/>
        <family val="2"/>
      </rPr>
      <t xml:space="preserve">物件番号</t>
    </r>
    <r>
      <rPr>
        <sz val="11"/>
        <color theme="1"/>
        <rFont val="Calibri"/>
        <family val="2"/>
        <charset val="1"/>
      </rPr>
      <t xml:space="preserve">O-9(</t>
    </r>
    <r>
      <rPr>
        <sz val="11"/>
        <color theme="1"/>
        <rFont val="Noto Sans CJK SC"/>
        <family val="2"/>
      </rPr>
      <t xml:space="preserve">プレミアムエリア</t>
    </r>
    <r>
      <rPr>
        <sz val="11"/>
        <color theme="1"/>
        <rFont val="Calibri"/>
        <family val="2"/>
        <charset val="1"/>
      </rPr>
      <t xml:space="preserve">=</t>
    </r>
    <r>
      <rPr>
        <sz val="11"/>
        <color theme="1"/>
        <rFont val="Noto Sans CJK SC"/>
        <family val="2"/>
      </rPr>
      <t xml:space="preserve">都心</t>
    </r>
    <r>
      <rPr>
        <sz val="11"/>
        <color theme="1"/>
        <rFont val="Calibri"/>
        <family val="2"/>
        <charset val="1"/>
      </rPr>
      <t xml:space="preserve">5</t>
    </r>
    <r>
      <rPr>
        <sz val="11"/>
        <color theme="1"/>
        <rFont val="Noto Sans CJK SC"/>
        <family val="2"/>
      </rPr>
      <t xml:space="preserve">区</t>
    </r>
    <r>
      <rPr>
        <sz val="11"/>
        <color theme="1"/>
        <rFont val="Calibri"/>
        <family val="2"/>
        <charset val="1"/>
      </rPr>
      <t xml:space="preserve">+</t>
    </r>
    <r>
      <rPr>
        <sz val="11"/>
        <color theme="1"/>
        <rFont val="Noto Sans CJK SC"/>
        <family val="2"/>
      </rPr>
      <t xml:space="preserve">周辺</t>
    </r>
    <r>
      <rPr>
        <sz val="11"/>
        <color theme="1"/>
        <rFont val="Calibri"/>
        <family val="2"/>
        <charset val="1"/>
      </rPr>
      <t xml:space="preserve">)</t>
    </r>
    <r>
      <rPr>
        <sz val="11"/>
        <color theme="1"/>
        <rFont val="Noto Sans CJK SC"/>
        <family val="2"/>
      </rPr>
      <t xml:space="preserve">。プレミアム物件。</t>
    </r>
    <r>
      <rPr>
        <sz val="11"/>
        <color theme="1"/>
        <rFont val="Calibri"/>
        <family val="2"/>
        <charset val="1"/>
      </rPr>
      <t xml:space="preserve">2025</t>
    </r>
    <r>
      <rPr>
        <sz val="11"/>
        <color theme="1"/>
        <rFont val="Noto Sans CJK SC"/>
        <family val="2"/>
      </rPr>
      <t xml:space="preserve">年</t>
    </r>
    <r>
      <rPr>
        <sz val="11"/>
        <color theme="1"/>
        <rFont val="Calibri"/>
        <family val="2"/>
        <charset val="1"/>
      </rPr>
      <t xml:space="preserve">12</t>
    </r>
    <r>
      <rPr>
        <sz val="11"/>
        <color theme="1"/>
        <rFont val="Noto Sans CJK SC"/>
        <family val="2"/>
      </rPr>
      <t xml:space="preserve">月</t>
    </r>
    <r>
      <rPr>
        <sz val="11"/>
        <color theme="1"/>
        <rFont val="Calibri"/>
        <family val="2"/>
        <charset val="1"/>
      </rPr>
      <t xml:space="preserve">1</t>
    </r>
    <r>
      <rPr>
        <sz val="11"/>
        <color theme="1"/>
        <rFont val="Noto Sans CJK SC"/>
        <family val="2"/>
      </rPr>
      <t xml:space="preserve">日に準共有持分</t>
    </r>
    <r>
      <rPr>
        <sz val="11"/>
        <color theme="1"/>
        <rFont val="Calibri"/>
        <family val="2"/>
        <charset val="1"/>
      </rPr>
      <t xml:space="preserve">11.9%</t>
    </r>
    <r>
      <rPr>
        <sz val="11"/>
        <color theme="1"/>
        <rFont val="Noto Sans CJK SC"/>
        <family val="2"/>
      </rPr>
      <t xml:space="preserve">を追加取得</t>
    </r>
    <r>
      <rPr>
        <sz val="11"/>
        <color theme="1"/>
        <rFont val="Calibri"/>
        <family val="2"/>
        <charset val="1"/>
      </rPr>
      <t xml:space="preserve">(9,669</t>
    </r>
    <r>
      <rPr>
        <sz val="11"/>
        <color theme="1"/>
        <rFont val="Noto Sans CJK SC"/>
        <family val="2"/>
      </rPr>
      <t xml:space="preserve">百万円・森ビルより</t>
    </r>
    <r>
      <rPr>
        <sz val="11"/>
        <color theme="1"/>
        <rFont val="Calibri"/>
        <family val="2"/>
        <charset val="1"/>
      </rPr>
      <t xml:space="preserve">)</t>
    </r>
    <r>
      <rPr>
        <sz val="11"/>
        <color theme="1"/>
        <rFont val="Noto Sans CJK SC"/>
        <family val="2"/>
      </rPr>
      <t xml:space="preserve">。森ビルへの固定型</t>
    </r>
    <r>
      <rPr>
        <sz val="11"/>
        <color theme="1"/>
        <rFont val="Calibri"/>
        <family val="2"/>
        <charset val="1"/>
      </rPr>
      <t xml:space="preserve">ML</t>
    </r>
    <r>
      <rPr>
        <sz val="11"/>
        <color theme="1"/>
        <rFont val="Noto Sans CJK SC"/>
        <family val="2"/>
      </rPr>
      <t xml:space="preserve">。構造</t>
    </r>
    <r>
      <rPr>
        <sz val="11"/>
        <color theme="1"/>
        <rFont val="Calibri"/>
        <family val="2"/>
        <charset val="1"/>
      </rPr>
      <t xml:space="preserve">S</t>
    </r>
    <r>
      <rPr>
        <sz val="11"/>
        <color theme="1"/>
        <rFont val="Noto Sans CJK SC"/>
        <family val="2"/>
      </rPr>
      <t xml:space="preserve">・</t>
    </r>
    <r>
      <rPr>
        <sz val="11"/>
        <color theme="1"/>
        <rFont val="Calibri"/>
        <family val="2"/>
        <charset val="1"/>
      </rPr>
      <t xml:space="preserve">SRC</t>
    </r>
  </si>
  <si>
    <t xml:space="preserve">JRE-051</t>
  </si>
  <si>
    <t xml:space="preserve">ＭＭパークビル</t>
  </si>
  <si>
    <r>
      <rPr>
        <sz val="11"/>
        <color theme="1"/>
        <rFont val="Calibri"/>
        <family val="2"/>
        <charset val="1"/>
      </rPr>
      <t xml:space="preserve">3</t>
    </r>
    <r>
      <rPr>
        <sz val="11"/>
        <color theme="1"/>
        <rFont val="Noto Sans CJK SC"/>
        <family val="2"/>
      </rPr>
      <t xml:space="preserve">・</t>
    </r>
    <r>
      <rPr>
        <sz val="11"/>
        <color theme="1"/>
        <rFont val="Calibri"/>
        <family val="2"/>
        <charset val="1"/>
      </rPr>
      <t xml:space="preserve">4</t>
    </r>
    <r>
      <rPr>
        <sz val="11"/>
        <color theme="1"/>
        <rFont val="Noto Sans CJK SC"/>
        <family val="2"/>
      </rPr>
      <t xml:space="preserve">・</t>
    </r>
    <r>
      <rPr>
        <sz val="11"/>
        <color theme="1"/>
        <rFont val="Calibri"/>
        <family val="2"/>
        <charset val="1"/>
      </rPr>
      <t xml:space="preserve">5(</t>
    </r>
    <r>
      <rPr>
        <sz val="11"/>
        <color theme="1"/>
        <rFont val="Noto Sans CJK SC"/>
        <family val="2"/>
      </rPr>
      <t xml:space="preserve">一部</t>
    </r>
    <r>
      <rPr>
        <sz val="11"/>
        <color theme="1"/>
        <rFont val="Calibri"/>
        <family val="2"/>
        <charset val="1"/>
      </rPr>
      <t xml:space="preserve">)</t>
    </r>
    <r>
      <rPr>
        <sz val="11"/>
        <color theme="1"/>
        <rFont val="Noto Sans CJK SC"/>
        <family val="2"/>
      </rPr>
      <t xml:space="preserve">・</t>
    </r>
    <r>
      <rPr>
        <sz val="11"/>
        <color theme="1"/>
        <rFont val="Calibri"/>
        <family val="2"/>
        <charset val="1"/>
      </rPr>
      <t xml:space="preserve">14</t>
    </r>
    <r>
      <rPr>
        <sz val="11"/>
        <color theme="1"/>
        <rFont val="Noto Sans CJK SC"/>
        <family val="2"/>
      </rPr>
      <t xml:space="preserve">〜</t>
    </r>
    <r>
      <rPr>
        <sz val="11"/>
        <color theme="1"/>
        <rFont val="Calibri"/>
        <family val="2"/>
        <charset val="1"/>
      </rPr>
      <t xml:space="preserve">18</t>
    </r>
    <r>
      <rPr>
        <sz val="11"/>
        <color theme="1"/>
        <rFont val="Noto Sans CJK SC"/>
        <family val="2"/>
      </rPr>
      <t xml:space="preserve">・</t>
    </r>
    <r>
      <rPr>
        <sz val="11"/>
        <color theme="1"/>
        <rFont val="Calibri"/>
        <family val="2"/>
        <charset val="1"/>
      </rPr>
      <t xml:space="preserve">22</t>
    </r>
    <r>
      <rPr>
        <sz val="11"/>
        <color theme="1"/>
        <rFont val="Noto Sans CJK SC"/>
        <family val="2"/>
      </rPr>
      <t xml:space="preserve">〜</t>
    </r>
    <r>
      <rPr>
        <sz val="11"/>
        <color theme="1"/>
        <rFont val="Calibri"/>
        <family val="2"/>
        <charset val="1"/>
      </rPr>
      <t xml:space="preserve">24</t>
    </r>
    <r>
      <rPr>
        <sz val="11"/>
        <color theme="1"/>
        <rFont val="Noto Sans CJK SC"/>
        <family val="2"/>
      </rPr>
      <t xml:space="preserve">階区分所有権</t>
    </r>
    <r>
      <rPr>
        <sz val="11"/>
        <color theme="1"/>
        <rFont val="Calibri"/>
        <family val="2"/>
        <charset val="1"/>
      </rPr>
      <t xml:space="preserve">(</t>
    </r>
    <r>
      <rPr>
        <sz val="11"/>
        <color theme="1"/>
        <rFont val="Noto Sans CJK SC"/>
        <family val="2"/>
      </rPr>
      <t xml:space="preserve">信託受益権準共有</t>
    </r>
    <r>
      <rPr>
        <sz val="11"/>
        <color theme="1"/>
        <rFont val="Calibri"/>
        <family val="2"/>
        <charset val="1"/>
      </rPr>
      <t xml:space="preserve">100%)</t>
    </r>
  </si>
  <si>
    <r>
      <rPr>
        <sz val="11"/>
        <color theme="1"/>
        <rFont val="Calibri"/>
        <family val="2"/>
        <charset val="1"/>
      </rPr>
      <t xml:space="preserve">MHR</t>
    </r>
    <r>
      <rPr>
        <sz val="11"/>
        <color theme="1"/>
        <rFont val="Noto Sans CJK SC"/>
        <family val="2"/>
      </rPr>
      <t xml:space="preserve">物件番号</t>
    </r>
    <r>
      <rPr>
        <sz val="11"/>
        <color theme="1"/>
        <rFont val="Calibri"/>
        <family val="2"/>
        <charset val="1"/>
      </rPr>
      <t xml:space="preserve">O-10(</t>
    </r>
    <r>
      <rPr>
        <sz val="11"/>
        <color theme="1"/>
        <rFont val="Noto Sans CJK SC"/>
        <family val="2"/>
      </rPr>
      <t xml:space="preserve">プレミアムエリア</t>
    </r>
    <r>
      <rPr>
        <sz val="11"/>
        <color theme="1"/>
        <rFont val="Calibri"/>
        <family val="2"/>
        <charset val="1"/>
      </rPr>
      <t xml:space="preserve">=</t>
    </r>
    <r>
      <rPr>
        <sz val="11"/>
        <color theme="1"/>
        <rFont val="Noto Sans CJK SC"/>
        <family val="2"/>
      </rPr>
      <t xml:space="preserve">都心</t>
    </r>
    <r>
      <rPr>
        <sz val="11"/>
        <color theme="1"/>
        <rFont val="Calibri"/>
        <family val="2"/>
        <charset val="1"/>
      </rPr>
      <t xml:space="preserve">5</t>
    </r>
    <r>
      <rPr>
        <sz val="11"/>
        <color theme="1"/>
        <rFont val="Noto Sans CJK SC"/>
        <family val="2"/>
      </rPr>
      <t xml:space="preserve">区</t>
    </r>
    <r>
      <rPr>
        <sz val="11"/>
        <color theme="1"/>
        <rFont val="Calibri"/>
        <family val="2"/>
        <charset val="1"/>
      </rPr>
      <t xml:space="preserve">+</t>
    </r>
    <r>
      <rPr>
        <sz val="11"/>
        <color theme="1"/>
        <rFont val="Noto Sans CJK SC"/>
        <family val="2"/>
      </rPr>
      <t xml:space="preserve">周辺</t>
    </r>
    <r>
      <rPr>
        <sz val="11"/>
        <color theme="1"/>
        <rFont val="Calibri"/>
        <family val="2"/>
        <charset val="1"/>
      </rPr>
      <t xml:space="preserve">)</t>
    </r>
    <r>
      <rPr>
        <sz val="11"/>
        <color theme="1"/>
        <rFont val="Noto Sans CJK SC"/>
        <family val="2"/>
      </rPr>
      <t xml:space="preserve">。プレミアム物件。パススルー型</t>
    </r>
    <r>
      <rPr>
        <sz val="11"/>
        <color theme="1"/>
        <rFont val="Calibri"/>
        <family val="2"/>
        <charset val="1"/>
      </rPr>
      <t xml:space="preserve">ML</t>
    </r>
    <r>
      <rPr>
        <sz val="11"/>
        <color theme="1"/>
        <rFont val="Noto Sans CJK SC"/>
        <family val="2"/>
      </rPr>
      <t xml:space="preserve">。構造</t>
    </r>
    <r>
      <rPr>
        <sz val="11"/>
        <color theme="1"/>
        <rFont val="Calibri"/>
        <family val="2"/>
        <charset val="1"/>
      </rPr>
      <t xml:space="preserve">S</t>
    </r>
    <r>
      <rPr>
        <sz val="11"/>
        <color theme="1"/>
        <rFont val="Noto Sans CJK SC"/>
        <family val="2"/>
      </rPr>
      <t xml:space="preserve">・</t>
    </r>
    <r>
      <rPr>
        <sz val="11"/>
        <color theme="1"/>
        <rFont val="Calibri"/>
        <family val="2"/>
        <charset val="1"/>
      </rPr>
      <t xml:space="preserve">SRC</t>
    </r>
    <r>
      <rPr>
        <sz val="11"/>
        <color theme="1"/>
        <rFont val="Noto Sans CJK SC"/>
        <family val="2"/>
      </rPr>
      <t xml:space="preserve">・</t>
    </r>
    <r>
      <rPr>
        <sz val="11"/>
        <color theme="1"/>
        <rFont val="Calibri"/>
        <family val="2"/>
        <charset val="1"/>
      </rPr>
      <t xml:space="preserve">RC</t>
    </r>
  </si>
  <si>
    <t xml:space="preserve">JRE-052</t>
  </si>
  <si>
    <t xml:space="preserve">クイーンズタワーＡ</t>
  </si>
  <si>
    <t xml:space="preserve">区分所有権(全90戸中42戸)</t>
  </si>
  <si>
    <r>
      <rPr>
        <sz val="11"/>
        <color theme="1"/>
        <rFont val="Calibri"/>
        <family val="2"/>
        <charset val="1"/>
      </rPr>
      <t xml:space="preserve">MHR</t>
    </r>
    <r>
      <rPr>
        <sz val="11"/>
        <color theme="1"/>
        <rFont val="Noto Sans CJK SC"/>
        <family val="2"/>
      </rPr>
      <t xml:space="preserve">物件番号</t>
    </r>
    <r>
      <rPr>
        <sz val="11"/>
        <color theme="1"/>
        <rFont val="Calibri"/>
        <family val="2"/>
        <charset val="1"/>
      </rPr>
      <t xml:space="preserve">R-3(</t>
    </r>
    <r>
      <rPr>
        <sz val="11"/>
        <color theme="1"/>
        <rFont val="Noto Sans CJK SC"/>
        <family val="2"/>
      </rPr>
      <t xml:space="preserve">プレミアムエリア</t>
    </r>
    <r>
      <rPr>
        <sz val="11"/>
        <color theme="1"/>
        <rFont val="Calibri"/>
        <family val="2"/>
        <charset val="1"/>
      </rPr>
      <t xml:space="preserve">=</t>
    </r>
    <r>
      <rPr>
        <sz val="11"/>
        <color theme="1"/>
        <rFont val="Noto Sans CJK SC"/>
        <family val="2"/>
      </rPr>
      <t xml:space="preserve">都心</t>
    </r>
    <r>
      <rPr>
        <sz val="11"/>
        <color theme="1"/>
        <rFont val="Calibri"/>
        <family val="2"/>
        <charset val="1"/>
      </rPr>
      <t xml:space="preserve">5</t>
    </r>
    <r>
      <rPr>
        <sz val="11"/>
        <color theme="1"/>
        <rFont val="Noto Sans CJK SC"/>
        <family val="2"/>
      </rPr>
      <t xml:space="preserve">区</t>
    </r>
    <r>
      <rPr>
        <sz val="11"/>
        <color theme="1"/>
        <rFont val="Calibri"/>
        <family val="2"/>
        <charset val="1"/>
      </rPr>
      <t xml:space="preserve">+</t>
    </r>
    <r>
      <rPr>
        <sz val="11"/>
        <color theme="1"/>
        <rFont val="Noto Sans CJK SC"/>
        <family val="2"/>
      </rPr>
      <t xml:space="preserve">周辺</t>
    </r>
    <r>
      <rPr>
        <sz val="11"/>
        <color theme="1"/>
        <rFont val="Calibri"/>
        <family val="2"/>
        <charset val="1"/>
      </rPr>
      <t xml:space="preserve">)</t>
    </r>
    <r>
      <rPr>
        <sz val="11"/>
        <color theme="1"/>
        <rFont val="Noto Sans CJK SC"/>
        <family val="2"/>
      </rPr>
      <t xml:space="preserve">。プレミアム物件</t>
    </r>
    <r>
      <rPr>
        <sz val="11"/>
        <color theme="1"/>
        <rFont val="Calibri"/>
        <family val="2"/>
        <charset val="1"/>
      </rPr>
      <t xml:space="preserve">(</t>
    </r>
    <r>
      <rPr>
        <sz val="11"/>
        <color theme="1"/>
        <rFont val="Noto Sans CJK SC"/>
        <family val="2"/>
      </rPr>
      <t xml:space="preserve">住宅</t>
    </r>
    <r>
      <rPr>
        <sz val="11"/>
        <color theme="1"/>
        <rFont val="Calibri"/>
        <family val="2"/>
        <charset val="1"/>
      </rPr>
      <t xml:space="preserve">)</t>
    </r>
    <r>
      <rPr>
        <sz val="11"/>
        <color theme="1"/>
        <rFont val="Noto Sans CJK SC"/>
        <family val="2"/>
      </rPr>
      <t xml:space="preserve">。六本木ビュータワーと登記上一棟・敷地共通。パススルー型</t>
    </r>
    <r>
      <rPr>
        <sz val="11"/>
        <color theme="1"/>
        <rFont val="Calibri"/>
        <family val="2"/>
        <charset val="1"/>
      </rPr>
      <t xml:space="preserve">ML</t>
    </r>
    <r>
      <rPr>
        <sz val="11"/>
        <color theme="1"/>
        <rFont val="Noto Sans CJK SC"/>
        <family val="2"/>
      </rPr>
      <t xml:space="preserve">。構造</t>
    </r>
    <r>
      <rPr>
        <sz val="11"/>
        <color theme="1"/>
        <rFont val="Calibri"/>
        <family val="2"/>
        <charset val="1"/>
      </rPr>
      <t xml:space="preserve">RC</t>
    </r>
  </si>
  <si>
    <t xml:space="preserve">JRE-053</t>
  </si>
  <si>
    <t xml:space="preserve">武蔵小杉ＳＴＭビル</t>
  </si>
  <si>
    <t xml:space="preserve">区分所有権(全202戸中92戸)</t>
  </si>
  <si>
    <r>
      <rPr>
        <sz val="11"/>
        <color theme="1"/>
        <rFont val="Calibri"/>
        <family val="2"/>
        <charset val="1"/>
      </rPr>
      <t xml:space="preserve">MHR</t>
    </r>
    <r>
      <rPr>
        <sz val="11"/>
        <color theme="1"/>
        <rFont val="Noto Sans CJK SC"/>
        <family val="2"/>
      </rPr>
      <t xml:space="preserve">物件番号</t>
    </r>
    <r>
      <rPr>
        <sz val="11"/>
        <color theme="1"/>
        <rFont val="Calibri"/>
        <family val="2"/>
        <charset val="1"/>
      </rPr>
      <t xml:space="preserve">R-4(</t>
    </r>
    <r>
      <rPr>
        <sz val="11"/>
        <color theme="1"/>
        <rFont val="Noto Sans CJK SC"/>
        <family val="2"/>
      </rPr>
      <t xml:space="preserve">プレミアムエリア</t>
    </r>
    <r>
      <rPr>
        <sz val="11"/>
        <color theme="1"/>
        <rFont val="Calibri"/>
        <family val="2"/>
        <charset val="1"/>
      </rPr>
      <t xml:space="preserve">=</t>
    </r>
    <r>
      <rPr>
        <sz val="11"/>
        <color theme="1"/>
        <rFont val="Noto Sans CJK SC"/>
        <family val="2"/>
      </rPr>
      <t xml:space="preserve">都心</t>
    </r>
    <r>
      <rPr>
        <sz val="11"/>
        <color theme="1"/>
        <rFont val="Calibri"/>
        <family val="2"/>
        <charset val="1"/>
      </rPr>
      <t xml:space="preserve">5</t>
    </r>
    <r>
      <rPr>
        <sz val="11"/>
        <color theme="1"/>
        <rFont val="Noto Sans CJK SC"/>
        <family val="2"/>
      </rPr>
      <t xml:space="preserve">区</t>
    </r>
    <r>
      <rPr>
        <sz val="11"/>
        <color theme="1"/>
        <rFont val="Calibri"/>
        <family val="2"/>
        <charset val="1"/>
      </rPr>
      <t xml:space="preserve">+</t>
    </r>
    <r>
      <rPr>
        <sz val="11"/>
        <color theme="1"/>
        <rFont val="Noto Sans CJK SC"/>
        <family val="2"/>
      </rPr>
      <t xml:space="preserve">周辺</t>
    </r>
    <r>
      <rPr>
        <sz val="11"/>
        <color theme="1"/>
        <rFont val="Calibri"/>
        <family val="2"/>
        <charset val="1"/>
      </rPr>
      <t xml:space="preserve">)</t>
    </r>
    <r>
      <rPr>
        <sz val="11"/>
        <color theme="1"/>
        <rFont val="Noto Sans CJK SC"/>
        <family val="2"/>
      </rPr>
      <t xml:space="preserve">。住宅。六本木ファーストプラザと登記上一棟。敷地・延床は両物件共通の全体値。パススルー型</t>
    </r>
    <r>
      <rPr>
        <sz val="11"/>
        <color theme="1"/>
        <rFont val="Calibri"/>
        <family val="2"/>
        <charset val="1"/>
      </rPr>
      <t xml:space="preserve">ML</t>
    </r>
    <r>
      <rPr>
        <sz val="11"/>
        <color theme="1"/>
        <rFont val="Noto Sans CJK SC"/>
        <family val="2"/>
      </rPr>
      <t xml:space="preserve">。構造</t>
    </r>
    <r>
      <rPr>
        <sz val="11"/>
        <color theme="1"/>
        <rFont val="Calibri"/>
        <family val="2"/>
        <charset val="1"/>
      </rPr>
      <t xml:space="preserve">RC</t>
    </r>
  </si>
  <si>
    <t xml:space="preserve">JRE-054</t>
  </si>
  <si>
    <t xml:space="preserve">サッポロアーチビル</t>
  </si>
  <si>
    <t xml:space="preserve">土地所有権(信託受益権準共有44%)</t>
  </si>
  <si>
    <r>
      <rPr>
        <sz val="10"/>
        <color rgb="FF0000FF"/>
        <rFont val="Arial"/>
        <family val="0"/>
        <charset val="1"/>
      </rPr>
      <t xml:space="preserve">2026/3/25</t>
    </r>
    <r>
      <rPr>
        <sz val="10"/>
        <color rgb="FF0000FF"/>
        <rFont val="Noto Sans CJK SC"/>
        <family val="2"/>
      </rPr>
      <t xml:space="preserve">取得</t>
    </r>
    <r>
      <rPr>
        <sz val="10"/>
        <color rgb="FF0000FF"/>
        <rFont val="Arial"/>
        <family val="0"/>
        <charset val="1"/>
      </rPr>
      <t xml:space="preserve">(8,175</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のため当期運用</t>
    </r>
    <r>
      <rPr>
        <sz val="10"/>
        <color rgb="FF0000FF"/>
        <rFont val="Arial"/>
        <family val="0"/>
        <charset val="1"/>
      </rPr>
      <t xml:space="preserve">7</t>
    </r>
    <r>
      <rPr>
        <sz val="10"/>
        <color rgb="FF0000FF"/>
        <rFont val="Noto Sans CJK SC"/>
        <family val="2"/>
      </rPr>
      <t xml:space="preserve">日・収益は僅少。稼働</t>
    </r>
    <r>
      <rPr>
        <sz val="10"/>
        <color rgb="FF0000FF"/>
        <rFont val="Arial"/>
        <family val="0"/>
        <charset val="1"/>
      </rPr>
      <t xml:space="preserve">66.0%</t>
    </r>
  </si>
  <si>
    <t xml:space="preserve">JRE-055</t>
  </si>
  <si>
    <t xml:space="preserve">８・３スクエア北ビル</t>
  </si>
  <si>
    <r>
      <rPr>
        <sz val="11"/>
        <color theme="1"/>
        <rFont val="Calibri"/>
        <family val="2"/>
        <charset val="1"/>
      </rPr>
      <t xml:space="preserve">11</t>
    </r>
    <r>
      <rPr>
        <sz val="11"/>
        <color theme="1"/>
        <rFont val="Noto Sans CJK SC"/>
        <family val="2"/>
      </rPr>
      <t xml:space="preserve">物件（</t>
    </r>
    <r>
      <rPr>
        <sz val="11"/>
        <color theme="1"/>
        <rFont val="Calibri"/>
        <family val="2"/>
        <charset val="1"/>
      </rPr>
      <t xml:space="preserve">2026/1/31</t>
    </r>
    <r>
      <rPr>
        <sz val="11"/>
        <color theme="1"/>
        <rFont val="Noto Sans CJK SC"/>
        <family val="2"/>
      </rPr>
      <t xml:space="preserve">時点）</t>
    </r>
  </si>
  <si>
    <t xml:space="preserve">全物件が東京都心5区+文京区・渋谷区の森ビル開発物件。取得価格加重平均築年数23.7年。鑑定合計506,000百万円</t>
  </si>
  <si>
    <t xml:space="preserve">JRE-056</t>
  </si>
  <si>
    <t xml:space="preserve">The Link Sapporo</t>
  </si>
  <si>
    <r>
      <rPr>
        <sz val="10"/>
        <color rgb="FF0000FF"/>
        <rFont val="Arial"/>
        <family val="0"/>
        <charset val="1"/>
      </rPr>
      <t xml:space="preserve">2025/10/17</t>
    </r>
    <r>
      <rPr>
        <sz val="10"/>
        <color rgb="FF0000FF"/>
        <rFont val="Noto Sans CJK SC"/>
        <family val="2"/>
      </rPr>
      <t xml:space="preserve">取得</t>
    </r>
    <r>
      <rPr>
        <sz val="10"/>
        <color rgb="FF0000FF"/>
        <rFont val="Arial"/>
        <family val="0"/>
        <charset val="1"/>
      </rPr>
      <t xml:space="preserve">(21,340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。取得年のため当期公租公課は</t>
    </r>
    <r>
      <rPr>
        <sz val="10"/>
        <color rgb="FF0000FF"/>
        <rFont val="Arial"/>
        <family val="0"/>
        <charset val="1"/>
      </rPr>
      <t xml:space="preserve">0(</t>
    </r>
    <r>
      <rPr>
        <sz val="10"/>
        <color rgb="FF0000FF"/>
        <rFont val="Noto Sans CJK SC"/>
        <family val="2"/>
      </rPr>
      <t xml:space="preserve">取得原価算入</t>
    </r>
    <r>
      <rPr>
        <sz val="10"/>
        <color rgb="FF0000FF"/>
        <rFont val="Arial"/>
        <family val="0"/>
        <charset val="1"/>
      </rPr>
      <t xml:space="preserve">)</t>
    </r>
  </si>
  <si>
    <t xml:space="preserve">JRE-057</t>
  </si>
  <si>
    <t xml:space="preserve">定禅寺パークビル</t>
  </si>
  <si>
    <t xml:space="preserve">宮城県</t>
  </si>
  <si>
    <t xml:space="preserve">仙台市</t>
  </si>
  <si>
    <t xml:space="preserve">JRE-058</t>
  </si>
  <si>
    <t xml:space="preserve">ＪＲＥ東二番丁スクエア</t>
  </si>
  <si>
    <t xml:space="preserve">JRE-059</t>
  </si>
  <si>
    <t xml:space="preserve">ＪＲＥ仙台本町ホンマビル</t>
  </si>
  <si>
    <t xml:space="preserve">JRE-060</t>
  </si>
  <si>
    <t xml:space="preserve">ＡＥＲ</t>
  </si>
  <si>
    <t xml:space="preserve">JRE-061</t>
  </si>
  <si>
    <t xml:space="preserve">大同生命新潟ビル</t>
  </si>
  <si>
    <t xml:space="preserve">新潟県</t>
  </si>
  <si>
    <t xml:space="preserve">新潟市</t>
  </si>
  <si>
    <t xml:space="preserve">期後2026/5/20に1,650百万円で譲渡予定(譲渡益40百万円想定)</t>
  </si>
  <si>
    <t xml:space="preserve">JRE-062</t>
  </si>
  <si>
    <t xml:space="preserve">金沢パークビル</t>
  </si>
  <si>
    <t xml:space="preserve">石川県</t>
  </si>
  <si>
    <t xml:space="preserve">金沢市</t>
  </si>
  <si>
    <t xml:space="preserve">JRE-063</t>
  </si>
  <si>
    <t xml:space="preserve">ＪＲＥ金沢上堤町ビル</t>
  </si>
  <si>
    <t xml:space="preserve">JRE-064</t>
  </si>
  <si>
    <t xml:space="preserve">錦パークビル</t>
  </si>
  <si>
    <t xml:space="preserve">住宅部分(NLA954㎡・入居68.7%)は本表数値に含まず</t>
  </si>
  <si>
    <t xml:space="preserve">JRE-065</t>
  </si>
  <si>
    <t xml:space="preserve">ＪＲＥ名古屋広小路プレイス</t>
  </si>
  <si>
    <t xml:space="preserve">JRE-066</t>
  </si>
  <si>
    <t xml:space="preserve">名古屋広小路ビルヂング</t>
  </si>
  <si>
    <t xml:space="preserve">JRE-067</t>
  </si>
  <si>
    <t xml:space="preserve">ＪＲＥ四条烏丸センタービル</t>
  </si>
  <si>
    <t xml:space="preserve">京都府</t>
  </si>
  <si>
    <t xml:space="preserve">京都市</t>
  </si>
  <si>
    <t xml:space="preserve">JRE-068</t>
  </si>
  <si>
    <t xml:space="preserve">グランフロント大阪（北館）</t>
  </si>
  <si>
    <t xml:space="preserve">共同事業者の要望により収益・費用(内訳含む)非開示</t>
  </si>
  <si>
    <t xml:space="preserve">JRE-069</t>
  </si>
  <si>
    <t xml:space="preserve">グランフロント大阪（うめきた広場・南館）</t>
  </si>
  <si>
    <t xml:space="preserve">JRE-070</t>
  </si>
  <si>
    <t xml:space="preserve">ＪＲＥ梅田スクエアビル</t>
  </si>
  <si>
    <t xml:space="preserve">JRE-071</t>
  </si>
  <si>
    <t xml:space="preserve">ＪＲＥ堺筋本町ビル</t>
  </si>
  <si>
    <t xml:space="preserve">JRE-072</t>
  </si>
  <si>
    <t xml:space="preserve">ＪＲＥ堺筋本町スクエア</t>
  </si>
  <si>
    <t xml:space="preserve">JRE-073</t>
  </si>
  <si>
    <t xml:space="preserve">ＪＲＥ御堂筋ダイワビル</t>
  </si>
  <si>
    <t xml:space="preserve">JRE-074</t>
  </si>
  <si>
    <t xml:space="preserve">ＪＲＥ尼崎フロントビル</t>
  </si>
  <si>
    <t xml:space="preserve">兵庫県</t>
  </si>
  <si>
    <t xml:space="preserve">尼崎市</t>
  </si>
  <si>
    <t xml:space="preserve">JRE-075</t>
  </si>
  <si>
    <t xml:space="preserve">リットシティビル</t>
  </si>
  <si>
    <t xml:space="preserve">岡山県</t>
  </si>
  <si>
    <t xml:space="preserve">岡山市</t>
  </si>
  <si>
    <t xml:space="preserve">JRE-076</t>
  </si>
  <si>
    <t xml:space="preserve">ＮＨＫ広島放送センタービル</t>
  </si>
  <si>
    <t xml:space="preserve">JRE-077</t>
  </si>
  <si>
    <t xml:space="preserve">ＪＲＥ天神三丁目ビル</t>
  </si>
  <si>
    <t xml:space="preserve">JRE-078</t>
  </si>
  <si>
    <t xml:space="preserve">ＪＲＥ天神クリスタルビル</t>
  </si>
  <si>
    <r>
      <rPr>
        <sz val="10"/>
        <color rgb="FF0000FF"/>
        <rFont val="Arial"/>
        <family val="0"/>
        <charset val="1"/>
      </rPr>
      <t xml:space="preserve">2026/3/6</t>
    </r>
    <r>
      <rPr>
        <sz val="10"/>
        <color rgb="FF0000FF"/>
        <rFont val="Noto Sans CJK SC"/>
        <family val="2"/>
      </rPr>
      <t xml:space="preserve">に準共有持分</t>
    </r>
    <r>
      <rPr>
        <sz val="10"/>
        <color rgb="FF0000FF"/>
        <rFont val="Arial"/>
        <family val="0"/>
        <charset val="1"/>
      </rPr>
      <t xml:space="preserve">50%</t>
    </r>
    <r>
      <rPr>
        <sz val="10"/>
        <color rgb="FF0000FF"/>
        <rFont val="Noto Sans CJK SC"/>
        <family val="2"/>
      </rPr>
      <t xml:space="preserve">譲渡</t>
    </r>
    <r>
      <rPr>
        <sz val="10"/>
        <color rgb="FF0000FF"/>
        <rFont val="Arial"/>
        <family val="0"/>
        <charset val="1"/>
      </rPr>
      <t xml:space="preserve">(</t>
    </r>
    <r>
      <rPr>
        <sz val="10"/>
        <color rgb="FF0000FF"/>
        <rFont val="Noto Sans CJK SC"/>
        <family val="2"/>
      </rPr>
      <t xml:space="preserve">売却益</t>
    </r>
    <r>
      <rPr>
        <sz val="10"/>
        <color rgb="FF0000FF"/>
        <rFont val="Arial"/>
        <family val="0"/>
        <charset val="1"/>
      </rPr>
      <t xml:space="preserve">1,680,644</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、期末保有は残</t>
    </r>
    <r>
      <rPr>
        <sz val="10"/>
        <color rgb="FF0000FF"/>
        <rFont val="Arial"/>
        <family val="0"/>
        <charset val="1"/>
      </rPr>
      <t xml:space="preserve">50%</t>
    </r>
    <r>
      <rPr>
        <sz val="10"/>
        <color rgb="FF0000FF"/>
        <rFont val="Noto Sans CJK SC"/>
        <family val="2"/>
      </rPr>
      <t xml:space="preserve">。</t>
    </r>
    <r>
      <rPr>
        <sz val="10"/>
        <color rgb="FF0000FF"/>
        <rFont val="Arial"/>
        <family val="0"/>
        <charset val="1"/>
      </rPr>
      <t xml:space="preserve">2026/4/1</t>
    </r>
    <r>
      <rPr>
        <sz val="10"/>
        <color rgb="FF0000FF"/>
        <rFont val="Noto Sans CJK SC"/>
        <family val="2"/>
      </rPr>
      <t xml:space="preserve">に残</t>
    </r>
    <r>
      <rPr>
        <sz val="10"/>
        <color rgb="FF0000FF"/>
        <rFont val="Arial"/>
        <family val="0"/>
        <charset val="1"/>
      </rPr>
      <t xml:space="preserve">50%</t>
    </r>
    <r>
      <rPr>
        <sz val="10"/>
        <color rgb="FF0000FF"/>
        <rFont val="Noto Sans CJK SC"/>
        <family val="2"/>
      </rPr>
      <t xml:space="preserve">も譲渡済</t>
    </r>
  </si>
  <si>
    <t xml:space="preserve">JRE-079</t>
  </si>
  <si>
    <t xml:space="preserve">日之出天神ビルディング</t>
  </si>
  <si>
    <t xml:space="preserve">GOR-ALL</t>
  </si>
  <si>
    <t xml:space="preserve">【GORポートフォリオ全体】</t>
  </si>
  <si>
    <r>
      <rPr>
        <sz val="10"/>
        <color rgb="FF0000FF"/>
        <rFont val="Arial"/>
        <family val="0"/>
        <charset val="1"/>
      </rPr>
      <t xml:space="preserve">16</t>
    </r>
    <r>
      <rPr>
        <sz val="10"/>
        <color rgb="FF0000FF"/>
        <rFont val="Noto Sans CJK SC"/>
        <family val="2"/>
      </rPr>
      <t xml:space="preserve">物件（</t>
    </r>
    <r>
      <rPr>
        <sz val="10"/>
        <color rgb="FF0000FF"/>
        <rFont val="Arial"/>
        <family val="0"/>
        <charset val="1"/>
      </rPr>
      <t xml:space="preserve">2026/3/31</t>
    </r>
    <r>
      <rPr>
        <sz val="10"/>
        <color rgb="FF0000FF"/>
        <rFont val="Noto Sans CJK SC"/>
        <family val="2"/>
      </rPr>
      <t xml:space="preserve">時点）</t>
    </r>
  </si>
  <si>
    <r>
      <rPr>
        <sz val="10"/>
        <color rgb="FF0000FF"/>
        <rFont val="Arial"/>
        <family val="0"/>
        <charset val="1"/>
      </rPr>
      <t xml:space="preserve">GOR 2026</t>
    </r>
    <r>
      <rPr>
        <sz val="10"/>
        <color rgb="FF0000FF"/>
        <rFont val="Noto Sans CJK SC"/>
        <family val="2"/>
      </rPr>
      <t xml:space="preserve">年</t>
    </r>
    <r>
      <rPr>
        <sz val="10"/>
        <color rgb="FF0000FF"/>
        <rFont val="Arial"/>
        <family val="0"/>
        <charset val="1"/>
      </rPr>
      <t xml:space="preserve">3</t>
    </r>
    <r>
      <rPr>
        <sz val="10"/>
        <color rgb="FF0000FF"/>
        <rFont val="Noto Sans CJK SC"/>
        <family val="2"/>
      </rPr>
      <t xml:space="preserve">月期決算短信</t>
    </r>
    <r>
      <rPr>
        <sz val="10"/>
        <color rgb="FF0000FF"/>
        <rFont val="Arial"/>
        <family val="0"/>
        <charset val="1"/>
      </rPr>
      <t xml:space="preserve">(2026/5/21</t>
    </r>
    <r>
      <rPr>
        <sz val="10"/>
        <color rgb="FF0000FF"/>
        <rFont val="Noto Sans CJK SC"/>
        <family val="2"/>
      </rPr>
      <t xml:space="preserve">公表</t>
    </r>
    <r>
      <rPr>
        <sz val="10"/>
        <color rgb="FF0000FF"/>
        <rFont val="Arial"/>
        <family val="0"/>
        <charset val="1"/>
      </rPr>
      <t xml:space="preserve">)</t>
    </r>
  </si>
  <si>
    <t xml:space="preserve">取得価格・帳簿・鑑定・稼働率は2026/3/31時点16物件計。PML1.9%は横浜除きICON込み16物件ベース</t>
  </si>
  <si>
    <t xml:space="preserve">GOR-01</t>
  </si>
  <si>
    <t xml:space="preserve">平河町森タワー</t>
  </si>
  <si>
    <r>
      <rPr>
        <sz val="10"/>
        <color rgb="FF0000FF"/>
        <rFont val="Arial"/>
        <family val="0"/>
        <charset val="1"/>
      </rPr>
      <t xml:space="preserve">GOR 2026</t>
    </r>
    <r>
      <rPr>
        <sz val="10"/>
        <color rgb="FF0000FF"/>
        <rFont val="Noto Sans CJK SC"/>
        <family val="2"/>
      </rPr>
      <t xml:space="preserve">年</t>
    </r>
    <r>
      <rPr>
        <sz val="10"/>
        <color rgb="FF0000FF"/>
        <rFont val="Arial"/>
        <family val="0"/>
        <charset val="1"/>
      </rPr>
      <t xml:space="preserve">3</t>
    </r>
    <r>
      <rPr>
        <sz val="10"/>
        <color rgb="FF0000FF"/>
        <rFont val="Noto Sans CJK SC"/>
        <family val="2"/>
      </rPr>
      <t xml:space="preserve">月期決算短信</t>
    </r>
    <r>
      <rPr>
        <sz val="10"/>
        <color rgb="FF0000FF"/>
        <rFont val="Arial"/>
        <family val="0"/>
        <charset val="1"/>
      </rPr>
      <t xml:space="preserve">(2026/5/21</t>
    </r>
    <r>
      <rPr>
        <sz val="10"/>
        <color rgb="FF0000FF"/>
        <rFont val="Noto Sans CJK SC"/>
        <family val="2"/>
      </rPr>
      <t xml:space="preserve">公表</t>
    </r>
    <r>
      <rPr>
        <sz val="10"/>
        <color rgb="FF0000FF"/>
        <rFont val="Arial"/>
        <family val="0"/>
        <charset val="1"/>
      </rPr>
      <t xml:space="preserve">) / GOR</t>
    </r>
    <r>
      <rPr>
        <sz val="10"/>
        <color rgb="FF0000FF"/>
        <rFont val="Noto Sans CJK SC"/>
        <family val="2"/>
      </rPr>
      <t xml:space="preserve">公式サイト ポートフォリオ一覧</t>
    </r>
    <r>
      <rPr>
        <sz val="10"/>
        <color rgb="FF0000FF"/>
        <rFont val="Arial"/>
        <family val="0"/>
        <charset val="1"/>
      </rPr>
      <t xml:space="preserve">(2026/4/24</t>
    </r>
    <r>
      <rPr>
        <sz val="10"/>
        <color rgb="FF0000FF"/>
        <rFont val="Noto Sans CJK SC"/>
        <family val="2"/>
      </rPr>
      <t xml:space="preserve">現在</t>
    </r>
    <r>
      <rPr>
        <sz val="10"/>
        <color rgb="FF0000FF"/>
        <rFont val="Arial"/>
        <family val="0"/>
        <charset val="1"/>
      </rPr>
      <t xml:space="preserve">)</t>
    </r>
  </si>
  <si>
    <t xml:space="preserve">パススルー型ML（森ビル）</t>
  </si>
  <si>
    <t xml:space="preserve">GOR-02</t>
  </si>
  <si>
    <t xml:space="preserve">楽天クリムゾンハウス青山</t>
  </si>
  <si>
    <t xml:space="preserve">GOR-03</t>
  </si>
  <si>
    <t xml:space="preserve">アークヒルズ 仙石山森タワー</t>
  </si>
  <si>
    <t xml:space="preserve">共同運用区画・パススルー型ML</t>
  </si>
  <si>
    <t xml:space="preserve">GOR-04</t>
  </si>
  <si>
    <t xml:space="preserve">グローバル・ワン上野</t>
  </si>
  <si>
    <t xml:space="preserve">GOR-05</t>
  </si>
  <si>
    <t xml:space="preserve">豊洲プライムスクエア</t>
  </si>
  <si>
    <t xml:space="preserve">GOR-06</t>
  </si>
  <si>
    <t xml:space="preserve">横浜プラザビル</t>
  </si>
  <si>
    <t xml:space="preserve">横浜市神奈川区</t>
  </si>
  <si>
    <r>
      <rPr>
        <sz val="10"/>
        <color rgb="FF0000FF"/>
        <rFont val="Arial"/>
        <family val="0"/>
        <charset val="1"/>
      </rPr>
      <t xml:space="preserve">6</t>
    </r>
    <r>
      <rPr>
        <sz val="10"/>
        <color rgb="FF0000FF"/>
        <rFont val="Noto Sans CJK SC"/>
        <family val="2"/>
      </rPr>
      <t xml:space="preserve">期分割譲渡中</t>
    </r>
    <r>
      <rPr>
        <sz val="10"/>
        <color rgb="FF0000FF"/>
        <rFont val="Arial"/>
        <family val="0"/>
        <charset val="1"/>
      </rPr>
      <t xml:space="preserve">(2025/4</t>
    </r>
    <r>
      <rPr>
        <sz val="10"/>
        <color rgb="FF0000FF"/>
        <rFont val="Noto Sans CJK SC"/>
        <family val="2"/>
      </rPr>
      <t xml:space="preserve">〜</t>
    </r>
    <r>
      <rPr>
        <sz val="10"/>
        <color rgb="FF0000FF"/>
        <rFont val="Arial"/>
        <family val="0"/>
        <charset val="1"/>
      </rPr>
      <t xml:space="preserve">2027/10)</t>
    </r>
    <r>
      <rPr>
        <sz val="10"/>
        <color rgb="FF0000FF"/>
        <rFont val="Noto Sans CJK SC"/>
        <family val="2"/>
      </rPr>
      <t xml:space="preserve">。</t>
    </r>
    <r>
      <rPr>
        <sz val="10"/>
        <color rgb="FF0000FF"/>
        <rFont val="Arial"/>
        <family val="0"/>
        <charset val="1"/>
      </rPr>
      <t xml:space="preserve">2026/4/24</t>
    </r>
    <r>
      <rPr>
        <sz val="10"/>
        <color rgb="FF0000FF"/>
        <rFont val="Noto Sans CJK SC"/>
        <family val="2"/>
      </rPr>
      <t xml:space="preserve">に</t>
    </r>
    <r>
      <rPr>
        <sz val="10"/>
        <color rgb="FF0000FF"/>
        <rFont val="Arial"/>
        <family val="0"/>
        <charset val="1"/>
      </rPr>
      <t xml:space="preserve">15%</t>
    </r>
    <r>
      <rPr>
        <sz val="10"/>
        <color rgb="FF0000FF"/>
        <rFont val="Noto Sans CJK SC"/>
        <family val="2"/>
      </rPr>
      <t xml:space="preserve">譲渡し</t>
    </r>
    <r>
      <rPr>
        <sz val="10"/>
        <color rgb="FF0000FF"/>
        <rFont val="Arial"/>
        <family val="0"/>
        <charset val="1"/>
      </rPr>
      <t xml:space="preserve">45%</t>
    </r>
    <r>
      <rPr>
        <sz val="10"/>
        <color rgb="FF0000FF"/>
        <rFont val="Noto Sans CJK SC"/>
        <family val="2"/>
      </rPr>
      <t xml:space="preserve">へ</t>
    </r>
  </si>
  <si>
    <t xml:space="preserve">GOR-07</t>
  </si>
  <si>
    <t xml:space="preserve">明治安田生命さいたま新都心ビル</t>
  </si>
  <si>
    <t xml:space="preserve">さいたま市中央区</t>
  </si>
  <si>
    <t xml:space="preserve">GOR-08</t>
  </si>
  <si>
    <t xml:space="preserve">GRAND CENTRAL CHIBA</t>
  </si>
  <si>
    <t xml:space="preserve">千葉市中央区</t>
  </si>
  <si>
    <r>
      <rPr>
        <sz val="10"/>
        <color rgb="FF0000FF"/>
        <rFont val="Arial"/>
        <family val="0"/>
        <charset val="1"/>
      </rPr>
      <t xml:space="preserve">2026/3/30</t>
    </r>
    <r>
      <rPr>
        <sz val="10"/>
        <color rgb="FF0000FF"/>
        <rFont val="Noto Sans CJK SC"/>
        <family val="2"/>
      </rPr>
      <t xml:space="preserve">取得（期中</t>
    </r>
    <r>
      <rPr>
        <sz val="10"/>
        <color rgb="FF0000FF"/>
        <rFont val="Arial"/>
        <family val="0"/>
        <charset val="1"/>
      </rPr>
      <t xml:space="preserve">2</t>
    </r>
    <r>
      <rPr>
        <sz val="10"/>
        <color rgb="FF0000FF"/>
        <rFont val="Noto Sans CJK SC"/>
        <family val="2"/>
      </rPr>
      <t xml:space="preserve">日間のみ収益計上）</t>
    </r>
  </si>
  <si>
    <t xml:space="preserve">GOR-09</t>
  </si>
  <si>
    <t xml:space="preserve">グローバル・ワン名古屋伏見</t>
  </si>
  <si>
    <t xml:space="preserve">名古屋市中区</t>
  </si>
  <si>
    <r>
      <rPr>
        <sz val="10"/>
        <color rgb="FF0000FF"/>
        <rFont val="Arial"/>
        <family val="0"/>
        <charset val="1"/>
      </rPr>
      <t xml:space="preserve">1</t>
    </r>
    <r>
      <rPr>
        <sz val="10"/>
        <color rgb="FF0000FF"/>
        <rFont val="Noto Sans CJK SC"/>
        <family val="2"/>
      </rPr>
      <t xml:space="preserve">テナント</t>
    </r>
  </si>
  <si>
    <t xml:space="preserve">GOR-10</t>
  </si>
  <si>
    <t xml:space="preserve">土佐堀ダイビル</t>
  </si>
  <si>
    <t xml:space="preserve">大阪市西区</t>
  </si>
  <si>
    <t xml:space="preserve">GOR-11</t>
  </si>
  <si>
    <t xml:space="preserve">ルーシッドスクエア新大阪</t>
  </si>
  <si>
    <t xml:space="preserve">大阪市東淀川区</t>
  </si>
  <si>
    <r>
      <rPr>
        <sz val="10"/>
        <color rgb="FF0000FF"/>
        <rFont val="Arial"/>
        <family val="0"/>
        <charset val="1"/>
      </rPr>
      <t xml:space="preserve">2025/12/5</t>
    </r>
    <r>
      <rPr>
        <sz val="10"/>
        <color rgb="FF0000FF"/>
        <rFont val="Noto Sans CJK SC"/>
        <family val="2"/>
      </rPr>
      <t xml:space="preserve">取得（期中約</t>
    </r>
    <r>
      <rPr>
        <sz val="10"/>
        <color rgb="FF0000FF"/>
        <rFont val="Arial"/>
        <family val="0"/>
        <charset val="1"/>
      </rPr>
      <t xml:space="preserve">4</t>
    </r>
    <r>
      <rPr>
        <sz val="10"/>
        <color rgb="FF0000FF"/>
        <rFont val="Noto Sans CJK SC"/>
        <family val="2"/>
      </rPr>
      <t xml:space="preserve">ヶ月）</t>
    </r>
  </si>
  <si>
    <t xml:space="preserve">GOR-12</t>
  </si>
  <si>
    <t xml:space="preserve">新ダイビル</t>
  </si>
  <si>
    <t xml:space="preserve">大阪市北区</t>
  </si>
  <si>
    <t xml:space="preserve">GOR-13</t>
  </si>
  <si>
    <t xml:space="preserve">明治安田生命大阪梅田ビル</t>
  </si>
  <si>
    <r>
      <rPr>
        <sz val="10"/>
        <color rgb="FF0000FF"/>
        <rFont val="Arial"/>
        <family val="0"/>
        <charset val="1"/>
      </rPr>
      <t xml:space="preserve">6</t>
    </r>
    <r>
      <rPr>
        <sz val="10"/>
        <color rgb="FF0000FF"/>
        <rFont val="Noto Sans CJK SC"/>
        <family val="2"/>
      </rPr>
      <t xml:space="preserve">期分割取得中</t>
    </r>
    <r>
      <rPr>
        <sz val="10"/>
        <color rgb="FF0000FF"/>
        <rFont val="Arial"/>
        <family val="0"/>
        <charset val="1"/>
      </rPr>
      <t xml:space="preserve">(</t>
    </r>
    <r>
      <rPr>
        <sz val="10"/>
        <color rgb="FF0000FF"/>
        <rFont val="Noto Sans CJK SC"/>
        <family val="2"/>
      </rPr>
      <t xml:space="preserve">最終</t>
    </r>
    <r>
      <rPr>
        <sz val="10"/>
        <color rgb="FF0000FF"/>
        <rFont val="Arial"/>
        <family val="0"/>
        <charset val="1"/>
      </rPr>
      <t xml:space="preserve">70%)</t>
    </r>
    <r>
      <rPr>
        <sz val="10"/>
        <color rgb="FF0000FF"/>
        <rFont val="Noto Sans CJK SC"/>
        <family val="2"/>
      </rPr>
      <t xml:space="preserve">。</t>
    </r>
    <r>
      <rPr>
        <sz val="10"/>
        <color rgb="FF0000FF"/>
        <rFont val="Arial"/>
        <family val="0"/>
        <charset val="1"/>
      </rPr>
      <t xml:space="preserve">2026/4/24</t>
    </r>
    <r>
      <rPr>
        <sz val="10"/>
        <color rgb="FF0000FF"/>
        <rFont val="Noto Sans CJK SC"/>
        <family val="2"/>
      </rPr>
      <t xml:space="preserve">に</t>
    </r>
    <r>
      <rPr>
        <sz val="10"/>
        <color rgb="FF0000FF"/>
        <rFont val="Arial"/>
        <family val="0"/>
        <charset val="1"/>
      </rPr>
      <t xml:space="preserve">15%</t>
    </r>
    <r>
      <rPr>
        <sz val="10"/>
        <color rgb="FF0000FF"/>
        <rFont val="Noto Sans CJK SC"/>
        <family val="2"/>
      </rPr>
      <t xml:space="preserve">追加取得</t>
    </r>
  </si>
  <si>
    <t xml:space="preserve">GOR-14</t>
  </si>
  <si>
    <t xml:space="preserve">明治安田生命大阪御堂筋ビル</t>
  </si>
  <si>
    <t xml:space="preserve">大阪市中央区</t>
  </si>
  <si>
    <t xml:space="preserve">GOR-15</t>
  </si>
  <si>
    <t xml:space="preserve">福岡Kスクエア</t>
  </si>
  <si>
    <t xml:space="preserve">福岡市博多区</t>
  </si>
  <si>
    <r>
      <rPr>
        <sz val="10"/>
        <color rgb="FF0000FF"/>
        <rFont val="Arial"/>
        <family val="0"/>
        <charset val="1"/>
      </rPr>
      <t xml:space="preserve">2025/11/7</t>
    </r>
    <r>
      <rPr>
        <sz val="10"/>
        <color rgb="FF0000FF"/>
        <rFont val="Noto Sans CJK SC"/>
        <family val="2"/>
      </rPr>
      <t xml:space="preserve">取得（期中約</t>
    </r>
    <r>
      <rPr>
        <sz val="10"/>
        <color rgb="FF0000FF"/>
        <rFont val="Arial"/>
        <family val="0"/>
        <charset val="1"/>
      </rPr>
      <t xml:space="preserve">4.8</t>
    </r>
    <r>
      <rPr>
        <sz val="10"/>
        <color rgb="FF0000FF"/>
        <rFont val="Noto Sans CJK SC"/>
        <family val="2"/>
      </rPr>
      <t xml:space="preserve">ヶ月）</t>
    </r>
  </si>
  <si>
    <t xml:space="preserve">GOR-16</t>
  </si>
  <si>
    <t xml:space="preserve">THE PEAK SAPPORO</t>
  </si>
  <si>
    <t xml:space="preserve">札幌市北区</t>
  </si>
  <si>
    <t xml:space="preserve">パススルー型ML（三菱地所PM）</t>
  </si>
  <si>
    <t xml:space="preserve">GOR-17</t>
  </si>
  <si>
    <t xml:space="preserve">アルカセントラル</t>
  </si>
  <si>
    <t xml:space="preserve">墨田区</t>
  </si>
  <si>
    <r>
      <rPr>
        <sz val="10"/>
        <color rgb="FF0000FF"/>
        <rFont val="Arial"/>
        <family val="0"/>
        <charset val="1"/>
      </rPr>
      <t xml:space="preserve">2025/10/10</t>
    </r>
    <r>
      <rPr>
        <sz val="10"/>
        <color rgb="FF0000FF"/>
        <rFont val="Noto Sans CJK SC"/>
        <family val="2"/>
      </rPr>
      <t xml:space="preserve">に残余</t>
    </r>
    <r>
      <rPr>
        <sz val="10"/>
        <color rgb="FF0000FF"/>
        <rFont val="Arial"/>
        <family val="0"/>
        <charset val="1"/>
      </rPr>
      <t xml:space="preserve">30%</t>
    </r>
    <r>
      <rPr>
        <sz val="10"/>
        <color rgb="FF0000FF"/>
        <rFont val="Noto Sans CJK SC"/>
        <family val="2"/>
      </rPr>
      <t xml:space="preserve">を譲渡し保有終了（期中</t>
    </r>
    <r>
      <rPr>
        <sz val="10"/>
        <color rgb="FF0000FF"/>
        <rFont val="Arial"/>
        <family val="0"/>
        <charset val="1"/>
      </rPr>
      <t xml:space="preserve">10</t>
    </r>
    <r>
      <rPr>
        <sz val="10"/>
        <color rgb="FF0000FF"/>
        <rFont val="Noto Sans CJK SC"/>
        <family val="2"/>
      </rPr>
      <t xml:space="preserve">日間）。</t>
    </r>
    <r>
      <rPr>
        <sz val="10"/>
        <color rgb="FF0000FF"/>
        <rFont val="Arial"/>
        <family val="0"/>
        <charset val="1"/>
      </rPr>
      <t xml:space="preserve">3</t>
    </r>
    <r>
      <rPr>
        <sz val="10"/>
        <color rgb="FF0000FF"/>
        <rFont val="Noto Sans CJK SC"/>
        <family val="2"/>
      </rPr>
      <t xml:space="preserve">期分割譲渡・総額</t>
    </r>
    <r>
      <rPr>
        <sz val="10"/>
        <color rgb="FF0000FF"/>
        <rFont val="Arial"/>
        <family val="0"/>
        <charset val="1"/>
      </rPr>
      <t xml:space="preserve">18,500</t>
    </r>
    <r>
      <rPr>
        <sz val="10"/>
        <color rgb="FF0000FF"/>
        <rFont val="Noto Sans CJK SC"/>
        <family val="2"/>
      </rPr>
      <t xml:space="preserve">百万円</t>
    </r>
  </si>
  <si>
    <t xml:space="preserve">GOR-18</t>
  </si>
  <si>
    <t xml:space="preserve">ICON PLACE SHIBAKOEN</t>
  </si>
  <si>
    <t xml:space="preserve">第46期(2026/4/23)取得のため期末値なし。事務所・住宅・駐車場</t>
  </si>
  <si>
    <t xml:space="preserve">DOI-ALL</t>
  </si>
  <si>
    <t xml:space="preserve">【DOIポートフォリオ全体】</t>
  </si>
  <si>
    <r>
      <rPr>
        <sz val="10"/>
        <color rgb="FF0000FF"/>
        <rFont val="Arial"/>
        <family val="0"/>
        <charset val="1"/>
      </rPr>
      <t xml:space="preserve">58</t>
    </r>
    <r>
      <rPr>
        <sz val="10"/>
        <color rgb="FF0000FF"/>
        <rFont val="Noto Sans CJK SC"/>
        <family val="2"/>
      </rPr>
      <t xml:space="preserve">物件（</t>
    </r>
    <r>
      <rPr>
        <sz val="10"/>
        <color rgb="FF0000FF"/>
        <rFont val="Arial"/>
        <family val="0"/>
        <charset val="1"/>
      </rPr>
      <t xml:space="preserve">2026/5/31</t>
    </r>
    <r>
      <rPr>
        <sz val="10"/>
        <color rgb="FF0000FF"/>
        <rFont val="Noto Sans CJK SC"/>
        <family val="2"/>
      </rPr>
      <t xml:space="preserve">時点）</t>
    </r>
  </si>
  <si>
    <r>
      <rPr>
        <sz val="10"/>
        <color rgb="FF0000FF"/>
        <rFont val="Arial"/>
        <family val="0"/>
        <charset val="1"/>
      </rPr>
      <t xml:space="preserve">DOI 2026</t>
    </r>
    <r>
      <rPr>
        <sz val="10"/>
        <color rgb="FF0000FF"/>
        <rFont val="Noto Sans CJK SC"/>
        <family val="2"/>
      </rPr>
      <t xml:space="preserve">年</t>
    </r>
    <r>
      <rPr>
        <sz val="10"/>
        <color rgb="FF0000FF"/>
        <rFont val="Arial"/>
        <family val="0"/>
        <charset val="1"/>
      </rPr>
      <t xml:space="preserve">5</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41</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(2026/7/17</t>
    </r>
    <r>
      <rPr>
        <sz val="10"/>
        <color rgb="FF0000FF"/>
        <rFont val="Noto Sans CJK SC"/>
        <family val="2"/>
      </rPr>
      <t xml:space="preserve">公表</t>
    </r>
    <r>
      <rPr>
        <sz val="10"/>
        <color rgb="FF0000FF"/>
        <rFont val="Arial"/>
        <family val="0"/>
        <charset val="1"/>
      </rPr>
      <t xml:space="preserve">)</t>
    </r>
  </si>
  <si>
    <t xml:space="preserve">DOI-01</t>
  </si>
  <si>
    <t xml:space="preserve">Ｄａｉｗａ銀座ビル</t>
  </si>
  <si>
    <t xml:space="preserve">構造SRC、鑑定直接還元利回り3.6%。延床面積は短信非掲載(賃貸可能面積を収録)、住所詳細は有報で補完予定</t>
  </si>
  <si>
    <t xml:space="preserve">DOI-02</t>
  </si>
  <si>
    <t xml:space="preserve">Ｄａｉｗａ銀座アネックス</t>
  </si>
  <si>
    <t xml:space="preserve">DOI-03</t>
  </si>
  <si>
    <t xml:space="preserve">Ｄａｉｗａ芝浦ビル</t>
  </si>
  <si>
    <t xml:space="preserve">構造SRC、鑑定直接還元利回り3.7%。延床面積は短信非掲載(賃貸可能面積を収録)、住所詳細は有報で補完予定</t>
  </si>
  <si>
    <t xml:space="preserve">DOI-04</t>
  </si>
  <si>
    <t xml:space="preserve">Ｄａｉｗａ猿楽町ビル</t>
  </si>
  <si>
    <t xml:space="preserve">構造SRC。2025/10決定の2期分割譲渡。準共有持分50%を2025/11期・残り50%を2026/5/29譲渡(各2,550百万円、当期売却益857百万円)。延床面積は短信非掲載(賃貸可能面積を収録)、住所詳細は有報で補完予定</t>
  </si>
  <si>
    <t xml:space="preserve">DOI-05</t>
  </si>
  <si>
    <t xml:space="preserve">ＤａｉｗａＡ浜松町ビル</t>
  </si>
  <si>
    <t xml:space="preserve">構造SRC、鑑定直接還元利回り3.5%。持分に係る数値。延床面積は短信非掲載(賃貸可能面積を収録)、住所詳細は有報で補完予定</t>
  </si>
  <si>
    <t xml:space="preserve">DOI-06</t>
  </si>
  <si>
    <t xml:space="preserve">Ｄａｉｗａ神宮前ビル</t>
  </si>
  <si>
    <t xml:space="preserve">構造RC、鑑定直接還元利回り3.5%。延床面積は短信非掲載(賃貸可能面積を収録)、住所詳細は有報で補完予定</t>
  </si>
  <si>
    <t xml:space="preserve">DOI-07</t>
  </si>
  <si>
    <t xml:space="preserve">Ｄａｉｗａ芝大門ビル</t>
  </si>
  <si>
    <t xml:space="preserve">構造SRC・RC、鑑定直接還元利回り3.4%。延床面積は短信非掲載(賃貸可能面積を収録)、住所詳細は有報で補完予定</t>
  </si>
  <si>
    <t xml:space="preserve">DOI-08</t>
  </si>
  <si>
    <t xml:space="preserve">Ｄａｉｗａ三崎町ビル</t>
  </si>
  <si>
    <t xml:space="preserve">構造S、鑑定直接還元利回り3.7%。延床面積は短信非掲載(賃貸可能面積を収録)、住所詳細は有報で補完予定</t>
  </si>
  <si>
    <t xml:space="preserve">DOI-09</t>
  </si>
  <si>
    <t xml:space="preserve">Ｄａｉｗａ築地駅前ビル</t>
  </si>
  <si>
    <t xml:space="preserve">構造SRC、鑑定直接還元利回り3.9%。延床面積は短信非掲載(賃貸可能面積を収録)、住所詳細は有報で補完予定</t>
  </si>
  <si>
    <t xml:space="preserve">DOI-10</t>
  </si>
  <si>
    <t xml:space="preserve">Ｄａｉｗａ築地ビル</t>
  </si>
  <si>
    <t xml:space="preserve">DOI-11</t>
  </si>
  <si>
    <t xml:space="preserve">Ｄａｉｗａ日本橋堀留町ビル</t>
  </si>
  <si>
    <t xml:space="preserve">DOI-12</t>
  </si>
  <si>
    <t xml:space="preserve">Ｄａｉｗａ麻布台ビル</t>
  </si>
  <si>
    <t xml:space="preserve">構造SRC。2026/3/27譲渡(2,240百万円、売却益634百万円)。延床面積は短信非掲載(賃貸可能面積を収録)、住所詳細は有報で補完予定</t>
  </si>
  <si>
    <t xml:space="preserve">DOI-13</t>
  </si>
  <si>
    <t xml:space="preserve">新宿マインズタワー</t>
  </si>
  <si>
    <t xml:space="preserve">構造S・SRC、鑑定直接還元利回り2.8%。全体の7分の3共有持分(面積・価額は持分按分、直接還元価格は一棟全体)。所在は渋谷区代々木。別途一棟の7分の1相当の匿名組合出資持分(合同会社新宿マインズタワー)3,746百万円を保有。延床面積は短信非掲載(賃貸可能面積を収録)、住所詳細は有報で補完予定</t>
  </si>
  <si>
    <t xml:space="preserve">DOI-14</t>
  </si>
  <si>
    <t xml:space="preserve">Ｄａｉｗａ小伝馬町ビル</t>
  </si>
  <si>
    <t xml:space="preserve">DOI-15</t>
  </si>
  <si>
    <t xml:space="preserve">Ｄａｉｗａ西新橋ビル</t>
  </si>
  <si>
    <t xml:space="preserve">構造SRC、鑑定直接還元利回り3.3%。延床面積は短信非掲載(賃貸可能面積を収録)、住所詳細は有報で補完予定</t>
  </si>
  <si>
    <t xml:space="preserve">DOI-16</t>
  </si>
  <si>
    <t xml:space="preserve">大和茅場町ビル</t>
  </si>
  <si>
    <t xml:space="preserve">構造S・SRC、鑑定直接還元利回り3.1%。延床面積は短信非掲載(賃貸可能面積を収録)、住所詳細は有報で補完予定</t>
  </si>
  <si>
    <t xml:space="preserve">DOI-17</t>
  </si>
  <si>
    <t xml:space="preserve">Ｄａｉｗａ神保町３丁目ビル</t>
  </si>
  <si>
    <t xml:space="preserve">DOI-18</t>
  </si>
  <si>
    <t xml:space="preserve">Ｅ・スペースタワー</t>
  </si>
  <si>
    <t xml:space="preserve">構造S・SRC、鑑定直接還元利回り2.8%。延床面積は短信非掲載(賃貸可能面積を収録)、住所詳細は有報で補完予定</t>
  </si>
  <si>
    <t xml:space="preserve">DOI-19</t>
  </si>
  <si>
    <t xml:space="preserve">Ｄａｉｗａ日本橋本石町ビル</t>
  </si>
  <si>
    <t xml:space="preserve">DOI-20</t>
  </si>
  <si>
    <t xml:space="preserve">新四ｃｕｒｕｍｕビル</t>
  </si>
  <si>
    <t xml:space="preserve">DOI-21</t>
  </si>
  <si>
    <t xml:space="preserve">Ｄａｉｗａ赤坂ビル</t>
  </si>
  <si>
    <t xml:space="preserve">構造SRC、鑑定直接還元利回り3.0%。延床面積は短信非掲載(賃貸可能面積を収録)、住所詳細は有報で補完予定</t>
  </si>
  <si>
    <t xml:space="preserve">DOI-22</t>
  </si>
  <si>
    <t xml:space="preserve">Ｄａｉｗａ渋谷宮益坂ビル</t>
  </si>
  <si>
    <t xml:space="preserve">DOI-23</t>
  </si>
  <si>
    <t xml:space="preserve">Ｄａｉｗａ麻布テラス</t>
  </si>
  <si>
    <t xml:space="preserve">DOI-24</t>
  </si>
  <si>
    <t xml:space="preserve">Ｄａｉｗａ恵比寿４丁目ビル</t>
  </si>
  <si>
    <t xml:space="preserve">DOI-25</t>
  </si>
  <si>
    <t xml:space="preserve">ラクアス東新宿</t>
  </si>
  <si>
    <t xml:space="preserve">DOI-26</t>
  </si>
  <si>
    <t xml:space="preserve">Ｄａｉｗａ青山ビル</t>
  </si>
  <si>
    <t xml:space="preserve">DOI-27</t>
  </si>
  <si>
    <t xml:space="preserve">Ｄａｉｗａ渋谷神泉ビル</t>
  </si>
  <si>
    <r>
      <rPr>
        <sz val="11"/>
        <color theme="1"/>
        <rFont val="Calibri"/>
        <family val="2"/>
        <charset val="1"/>
      </rPr>
      <t xml:space="preserve">70</t>
    </r>
    <r>
      <rPr>
        <sz val="11"/>
        <color theme="1"/>
        <rFont val="Noto Sans CJK SC"/>
        <family val="2"/>
      </rPr>
      <t xml:space="preserve">物件（</t>
    </r>
    <r>
      <rPr>
        <sz val="11"/>
        <color theme="1"/>
        <rFont val="Calibri"/>
        <family val="2"/>
        <charset val="1"/>
      </rPr>
      <t xml:space="preserve">2025/12/31</t>
    </r>
    <r>
      <rPr>
        <sz val="11"/>
        <color theme="1"/>
        <rFont val="Noto Sans CJK SC"/>
        <family val="2"/>
      </rPr>
      <t xml:space="preserve">時点）</t>
    </r>
  </si>
  <si>
    <t xml:space="preserve">DOI-28</t>
  </si>
  <si>
    <t xml:space="preserve">Ｄａｉｗａ渋谷スクエア</t>
  </si>
  <si>
    <t xml:space="preserve">DOI-29</t>
  </si>
  <si>
    <t xml:space="preserve">Ｄａｉｗａリバーゲート</t>
  </si>
  <si>
    <t xml:space="preserve">DOI-30</t>
  </si>
  <si>
    <t xml:space="preserve">Ｄａｉｗａ八丁堀駅前ビル</t>
  </si>
  <si>
    <t xml:space="preserve">DOI-31</t>
  </si>
  <si>
    <t xml:space="preserve">Ｄａｉｗａ八丁堀駅前ビル西館</t>
  </si>
  <si>
    <t xml:space="preserve">DOI-32</t>
  </si>
  <si>
    <t xml:space="preserve">Ｄａｉｗａ西新宿ビル</t>
  </si>
  <si>
    <t xml:space="preserve">DOI-33</t>
  </si>
  <si>
    <t xml:space="preserve">キリン日本橋ビル</t>
  </si>
  <si>
    <t xml:space="preserve">DOI-34</t>
  </si>
  <si>
    <t xml:space="preserve">Ｄａｉｗａ東日本橋ビル</t>
  </si>
  <si>
    <t xml:space="preserve">DOI-35</t>
  </si>
  <si>
    <t xml:space="preserve">Ｄａｉｗａ代官山ビル</t>
  </si>
  <si>
    <t xml:space="preserve">DOI-36</t>
  </si>
  <si>
    <t xml:space="preserve">Ｄａｉｗａ新宿ウエストビル</t>
  </si>
  <si>
    <t xml:space="preserve">構造RC、鑑定直接還元利回り3.6%。延床面積は短信非掲載(賃貸可能面積を収録)、住所詳細は有報で補完予定</t>
  </si>
  <si>
    <t xml:space="preserve">DOI-37</t>
  </si>
  <si>
    <t xml:space="preserve">Ｄａｉｗａ神田美倉町ビル</t>
  </si>
  <si>
    <t xml:space="preserve">DOI-38</t>
  </si>
  <si>
    <t xml:space="preserve">Ｄａｉｗａ神田イーストビル</t>
  </si>
  <si>
    <t xml:space="preserve">DOI-39</t>
  </si>
  <si>
    <t xml:space="preserve">Ｄａｉｗａ神田須田町ビル</t>
  </si>
  <si>
    <t xml:space="preserve">DOI-40</t>
  </si>
  <si>
    <t xml:space="preserve">Ｄａｉｗａ笹塚タワー</t>
  </si>
  <si>
    <t xml:space="preserve">DOI-41</t>
  </si>
  <si>
    <t xml:space="preserve">Ｄａｉｗａ笹塚ビル</t>
  </si>
  <si>
    <t xml:space="preserve">DOI-42</t>
  </si>
  <si>
    <t xml:space="preserve">Ｄａｉｗａ晴海ビル</t>
  </si>
  <si>
    <t xml:space="preserve">DOI-43</t>
  </si>
  <si>
    <t xml:space="preserve">Ｄａｉｗａ三田２丁目ビル</t>
  </si>
  <si>
    <t xml:space="preserve">DOI-44</t>
  </si>
  <si>
    <t xml:space="preserve">日本橋セントラルスクエア</t>
  </si>
  <si>
    <t xml:space="preserve">DOI-45</t>
  </si>
  <si>
    <t xml:space="preserve">Ｄａｉｗａ日本橋馬喰町ビル</t>
  </si>
  <si>
    <t xml:space="preserve">底地</t>
  </si>
  <si>
    <t xml:space="preserve">DOI-46</t>
  </si>
  <si>
    <t xml:space="preserve">Ｄａｉｗａ神田橋ビル</t>
  </si>
  <si>
    <t xml:space="preserve">DOI-47</t>
  </si>
  <si>
    <t xml:space="preserve">Ｄａｉｗａ秋葉原ビル</t>
  </si>
  <si>
    <t xml:space="preserve">DOI-48</t>
  </si>
  <si>
    <t xml:space="preserve">Ｄａｉｗａ日本橋馬喰町Ⅱ</t>
  </si>
  <si>
    <t xml:space="preserve">構造S・RC、鑑定直接還元利回り3.4%。持分に係る数値。延床面積は短信非掲載(賃貸可能面積を収録)、住所詳細は有報で補完予定</t>
  </si>
  <si>
    <t xml:space="preserve">DOI-49</t>
  </si>
  <si>
    <t xml:space="preserve">浜松町ＰＲＥＸ</t>
  </si>
  <si>
    <t xml:space="preserve">DOI-50</t>
  </si>
  <si>
    <t xml:space="preserve">プライム千駄ヶ谷ビル</t>
  </si>
  <si>
    <t xml:space="preserve">構造S、鑑定直接還元利回り3.3%。2026/3/31取得(期中約2ヶ月分の収益)。延床面積は短信非掲載(賃貸可能面積を収録)、住所詳細は有報で補完予定</t>
  </si>
  <si>
    <t xml:space="preserve">DOI-51</t>
  </si>
  <si>
    <t xml:space="preserve">Ｄａｉｗａ東池袋ビル</t>
  </si>
  <si>
    <t xml:space="preserve">DOI-52</t>
  </si>
  <si>
    <t xml:space="preserve">Ｄａｉｗａ品川Ｎｏｒｔｈビル</t>
  </si>
  <si>
    <t xml:space="preserve">DOI-53</t>
  </si>
  <si>
    <t xml:space="preserve">Ｄａｉｗａ上大岡ビル</t>
  </si>
  <si>
    <t xml:space="preserve">DOI-54</t>
  </si>
  <si>
    <t xml:space="preserve">Ｄａｉｗａ荻窪タワー</t>
  </si>
  <si>
    <t xml:space="preserve">杉並区</t>
  </si>
  <si>
    <t xml:space="preserve">DOI-55</t>
  </si>
  <si>
    <t xml:space="preserve">Ｄａｉｗａ目黒スクエア</t>
  </si>
  <si>
    <t xml:space="preserve">DOI-56</t>
  </si>
  <si>
    <t xml:space="preserve">Ｄａｉｗａ荻窪ビル</t>
  </si>
  <si>
    <t xml:space="preserve">DOI-57</t>
  </si>
  <si>
    <t xml:space="preserve">コンカード横浜</t>
  </si>
  <si>
    <t xml:space="preserve">DOI-58</t>
  </si>
  <si>
    <t xml:space="preserve">Ｄａｉｗａ品川御殿山ビル</t>
  </si>
  <si>
    <t xml:space="preserve">DOI-59</t>
  </si>
  <si>
    <t xml:space="preserve">Ｄａｉｗａ中野坂上ビル</t>
  </si>
  <si>
    <t xml:space="preserve">DOI-60</t>
  </si>
  <si>
    <t xml:space="preserve">Ｄａｉｗａ北浜ビル</t>
  </si>
  <si>
    <t xml:space="preserve">ICG-ALL</t>
  </si>
  <si>
    <t xml:space="preserve">【ICGポートフォリオ全体】</t>
  </si>
  <si>
    <r>
      <rPr>
        <sz val="10"/>
        <color rgb="FF0000FF"/>
        <rFont val="Arial"/>
        <family val="0"/>
        <charset val="1"/>
      </rPr>
      <t xml:space="preserve">87</t>
    </r>
    <r>
      <rPr>
        <sz val="10"/>
        <color rgb="FF0000FF"/>
        <rFont val="Noto Sans CJK SC"/>
        <family val="2"/>
      </rPr>
      <t xml:space="preserve">物件（</t>
    </r>
    <r>
      <rPr>
        <sz val="10"/>
        <color rgb="FF0000FF"/>
        <rFont val="Arial"/>
        <family val="0"/>
        <charset val="1"/>
      </rPr>
      <t xml:space="preserve">2026/4/30</t>
    </r>
    <r>
      <rPr>
        <sz val="10"/>
        <color rgb="FF0000FF"/>
        <rFont val="Noto Sans CJK SC"/>
        <family val="2"/>
      </rPr>
      <t xml:space="preserve">時点）</t>
    </r>
  </si>
  <si>
    <r>
      <rPr>
        <sz val="10"/>
        <color rgb="FF0000FF"/>
        <rFont val="Arial"/>
        <family val="0"/>
        <charset val="1"/>
      </rPr>
      <t xml:space="preserve">ICG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41</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(2026/6/17</t>
    </r>
    <r>
      <rPr>
        <sz val="10"/>
        <color rgb="FF0000FF"/>
        <rFont val="Noto Sans CJK SC"/>
        <family val="2"/>
      </rPr>
      <t xml:space="preserve">公表</t>
    </r>
    <r>
      <rPr>
        <sz val="10"/>
        <color rgb="FF0000FF"/>
        <rFont val="Arial"/>
        <family val="0"/>
        <charset val="1"/>
      </rPr>
      <t xml:space="preserve">)</t>
    </r>
  </si>
  <si>
    <t xml:space="preserve">いちごグループスポンサーの中規模オフィス特化型(「心築」による価値向上戦略)。取得価格合計222,508百万円(本文記載・物件別は非開示のため個別行は空欄)。帳簿221,060,926千円(賃貸等不動産注記の円単位期末残高、建仮除く)、期末鑑定評価288,790百万円(物件別表の合計)。【原資料の切捨て表示に関する注記】物件別帳簿価額(百万円未満切捨て)の87物件合算は221,018百万円と合計より42百万円小(地域別-21/-10/-6/-3百万円の切捨て累積)。物件別収入合算も一括欄比-42千円(同)。賃貸等不動産注記の期末時価293,920百万円と鑑定合計288,790百万円の差5,130百万円は、期後譲渡4物件(半蔵門/西池袋/九段/人形町)を注記側で譲渡予定価格(計14,220百万円)に置換しているため(鑑定計9,090百万円との差、検証一致)。期末稼働97.3%。契約更改で平均+12.3%・テナント入替で平均+23.7%の賃料増額を実現(当期)。当期入替: いちご・みらい信金ビル譲渡(2025/11/10・1,750百万円・売却益519,979千円)、いちご立川公園通りビル・いちご船橋ビル取得。期後: 2026/7/17付で4物件を住友商事へ一括譲渡(計14,220百万円・売却益計約5,866百万円を第42期計上見込)。自己投資口を継続取得・消却(当期10,262口・999,991千円)</t>
  </si>
  <si>
    <t xml:space="preserve">ICG-01</t>
  </si>
  <si>
    <t xml:space="preserve">いちご西参道ビル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</si>
  <si>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O-02</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</si>
  <si>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ICG-02</t>
  </si>
  <si>
    <t xml:space="preserve">いちご三田ビル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</si>
  <si>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O-03</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</si>
  <si>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ICG-03</t>
  </si>
  <si>
    <t xml:space="preserve">いちご南平台ビル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</si>
  <si>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O-04</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</si>
  <si>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ICG-04</t>
  </si>
  <si>
    <t xml:space="preserve">いちご半蔵門ビル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</si>
  <si>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O-05</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2026/6/10</t>
    </r>
    <r>
      <rPr>
        <sz val="10"/>
        <color rgb="FF0000FF"/>
        <rFont val="Noto Sans CJK SC"/>
        <family val="2"/>
      </rPr>
      <t xml:space="preserve">付売買契約により</t>
    </r>
    <r>
      <rPr>
        <sz val="10"/>
        <color rgb="FF0000FF"/>
        <rFont val="Arial"/>
        <family val="0"/>
        <charset val="1"/>
      </rPr>
      <t xml:space="preserve">2026/7/17</t>
    </r>
    <r>
      <rPr>
        <sz val="10"/>
        <color rgb="FF0000FF"/>
        <rFont val="Noto Sans CJK SC"/>
        <family val="2"/>
      </rPr>
      <t xml:space="preserve">付で住友商事へ譲渡</t>
    </r>
    <r>
      <rPr>
        <sz val="10"/>
        <color rgb="FF0000FF"/>
        <rFont val="Arial"/>
        <family val="0"/>
        <charset val="1"/>
      </rPr>
      <t xml:space="preserve">(</t>
    </r>
    <r>
      <rPr>
        <sz val="10"/>
        <color rgb="FF0000FF"/>
        <rFont val="Noto Sans CJK SC"/>
        <family val="2"/>
      </rPr>
      <t xml:space="preserve">譲渡予定価格</t>
    </r>
    <r>
      <rPr>
        <sz val="10"/>
        <color rgb="FF0000FF"/>
        <rFont val="Arial"/>
        <family val="0"/>
        <charset val="1"/>
      </rPr>
      <t xml:space="preserve">4,210</t>
    </r>
    <r>
      <rPr>
        <sz val="10"/>
        <color rgb="FF0000FF"/>
        <rFont val="Noto Sans CJK SC"/>
        <family val="2"/>
      </rPr>
      <t xml:space="preserve">百万円・第</t>
    </r>
    <r>
      <rPr>
        <sz val="10"/>
        <color rgb="FF0000FF"/>
        <rFont val="Arial"/>
        <family val="0"/>
        <charset val="1"/>
      </rPr>
      <t xml:space="preserve">42</t>
    </r>
    <r>
      <rPr>
        <sz val="10"/>
        <color rgb="FF0000FF"/>
        <rFont val="Noto Sans CJK SC"/>
        <family val="2"/>
      </rPr>
      <t xml:space="preserve">期に売却益約</t>
    </r>
    <r>
      <rPr>
        <sz val="10"/>
        <color rgb="FF0000FF"/>
        <rFont val="Arial"/>
        <family val="0"/>
        <charset val="1"/>
      </rPr>
      <t xml:space="preserve">2,171,075</t>
    </r>
    <r>
      <rPr>
        <sz val="10"/>
        <color rgb="FF0000FF"/>
        <rFont val="Noto Sans CJK SC"/>
        <family val="2"/>
      </rPr>
      <t xml:space="preserve">千円計上見込</t>
    </r>
    <r>
      <rPr>
        <sz val="10"/>
        <color rgb="FF0000FF"/>
        <rFont val="Arial"/>
        <family val="0"/>
        <charset val="1"/>
      </rPr>
      <t xml:space="preserve">)</t>
    </r>
    <r>
      <rPr>
        <sz val="10"/>
        <color rgb="FF0000FF"/>
        <rFont val="Noto Sans CJK SC"/>
        <family val="2"/>
      </rPr>
      <t xml:space="preserve">。</t>
    </r>
  </si>
  <si>
    <t xml:space="preserve">ICG-05</t>
  </si>
  <si>
    <t xml:space="preserve">いちご聖坂ビル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</si>
  <si>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O-06</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</si>
  <si>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ICG-06</t>
  </si>
  <si>
    <t xml:space="preserve">いちご渋谷神山町ビル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</si>
  <si>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O-07</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</si>
  <si>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ICG-07</t>
  </si>
  <si>
    <t xml:space="preserve">いちご芝公園ビル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</si>
  <si>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O-09</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</si>
  <si>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ICG-08</t>
  </si>
  <si>
    <t xml:space="preserve">いちご恵比寿西ビル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</si>
  <si>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O-10</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</si>
  <si>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ICG-09</t>
  </si>
  <si>
    <t xml:space="preserve">いちご銀座６１２ビル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</si>
  <si>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O-11</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</si>
  <si>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ICG-10</t>
  </si>
  <si>
    <t xml:space="preserve">いちご内神田ビル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</si>
  <si>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O-12</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</si>
  <si>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ICG-11</t>
  </si>
  <si>
    <t xml:space="preserve">いちご神保町ビル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</si>
  <si>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O-16</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</si>
  <si>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ICG-12</t>
  </si>
  <si>
    <t xml:space="preserve">いちご箱崎ビル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</si>
  <si>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O-17</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</si>
  <si>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ICG-13</t>
  </si>
  <si>
    <t xml:space="preserve">いちご五反田ビル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</si>
  <si>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O-20</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</si>
  <si>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ICG-14</t>
  </si>
  <si>
    <t xml:space="preserve">いちご新横浜ビル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</si>
  <si>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O-21</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</si>
  <si>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ICG-15</t>
  </si>
  <si>
    <t xml:space="preserve">いちご南池袋ビル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</si>
  <si>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O-22</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</si>
  <si>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ICG-16</t>
  </si>
  <si>
    <t xml:space="preserve">いちご中野ノースビル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</si>
  <si>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O-23</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</si>
  <si>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ICG-17</t>
  </si>
  <si>
    <t xml:space="preserve">いちご永代ビル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</si>
  <si>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O-24</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</si>
  <si>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ICG-18</t>
  </si>
  <si>
    <t xml:space="preserve">いちご池尻ビル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</si>
  <si>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O-26</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</si>
  <si>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ICG-19</t>
  </si>
  <si>
    <t xml:space="preserve">いちご西池袋ビル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</si>
  <si>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O-27</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2026/7/17</t>
    </r>
    <r>
      <rPr>
        <sz val="10"/>
        <color rgb="FF0000FF"/>
        <rFont val="Noto Sans CJK SC"/>
        <family val="2"/>
      </rPr>
      <t xml:space="preserve">付で住友商事へ譲渡</t>
    </r>
    <r>
      <rPr>
        <sz val="10"/>
        <color rgb="FF0000FF"/>
        <rFont val="Arial"/>
        <family val="0"/>
        <charset val="1"/>
      </rPr>
      <t xml:space="preserve">(</t>
    </r>
    <r>
      <rPr>
        <sz val="10"/>
        <color rgb="FF0000FF"/>
        <rFont val="Noto Sans CJK SC"/>
        <family val="2"/>
      </rPr>
      <t xml:space="preserve">譲渡予定価格</t>
    </r>
    <r>
      <rPr>
        <sz val="10"/>
        <color rgb="FF0000FF"/>
        <rFont val="Arial"/>
        <family val="0"/>
        <charset val="1"/>
      </rPr>
      <t xml:space="preserve">1,160</t>
    </r>
    <r>
      <rPr>
        <sz val="10"/>
        <color rgb="FF0000FF"/>
        <rFont val="Noto Sans CJK SC"/>
        <family val="2"/>
      </rPr>
      <t xml:space="preserve">百万円・売却益約</t>
    </r>
    <r>
      <rPr>
        <sz val="10"/>
        <color rgb="FF0000FF"/>
        <rFont val="Arial"/>
        <family val="0"/>
        <charset val="1"/>
      </rPr>
      <t xml:space="preserve">470,469</t>
    </r>
    <r>
      <rPr>
        <sz val="10"/>
        <color rgb="FF0000FF"/>
        <rFont val="Noto Sans CJK SC"/>
        <family val="2"/>
      </rPr>
      <t xml:space="preserve">千円見込</t>
    </r>
    <r>
      <rPr>
        <sz val="10"/>
        <color rgb="FF0000FF"/>
        <rFont val="Arial"/>
        <family val="0"/>
        <charset val="1"/>
      </rPr>
      <t xml:space="preserve">)</t>
    </r>
    <r>
      <rPr>
        <sz val="10"/>
        <color rgb="FF0000FF"/>
        <rFont val="Noto Sans CJK SC"/>
        <family val="2"/>
      </rPr>
      <t xml:space="preserve">。</t>
    </r>
  </si>
  <si>
    <t xml:space="preserve">ICG-20</t>
  </si>
  <si>
    <t xml:space="preserve">いちご西五反田ビル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</si>
  <si>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O-28</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</si>
  <si>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ICG-21</t>
  </si>
  <si>
    <t xml:space="preserve">いちご吉祥寺ビル</t>
  </si>
  <si>
    <t xml:space="preserve">武蔵野市</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</si>
  <si>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O-29</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</si>
  <si>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ICG-22</t>
  </si>
  <si>
    <t xml:space="preserve">いちご栄ビル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</si>
  <si>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O-34</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t>
    </r>
    <r>
      <rPr>
        <sz val="10"/>
        <color rgb="FF0000FF"/>
        <rFont val="Arial"/>
        <family val="0"/>
        <charset val="1"/>
      </rPr>
      <t xml:space="preserve">4</t>
    </r>
    <r>
      <rPr>
        <sz val="10"/>
        <color rgb="FF0000FF"/>
        <rFont val="Noto Sans CJK SC"/>
        <family val="2"/>
      </rPr>
      <t xml:space="preserve">大都市」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</si>
  <si>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ICG-23</t>
  </si>
  <si>
    <t xml:space="preserve">いちご丸の内ビル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</si>
  <si>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O-37</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t>
    </r>
    <r>
      <rPr>
        <sz val="10"/>
        <color rgb="FF0000FF"/>
        <rFont val="Arial"/>
        <family val="0"/>
        <charset val="1"/>
      </rPr>
      <t xml:space="preserve">4</t>
    </r>
    <r>
      <rPr>
        <sz val="10"/>
        <color rgb="FF0000FF"/>
        <rFont val="Noto Sans CJK SC"/>
        <family val="2"/>
      </rPr>
      <t xml:space="preserve">大都市」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</si>
  <si>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ICG-24</t>
  </si>
  <si>
    <t xml:space="preserve">いちご・みらい信金ビル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</si>
  <si>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O-39</t>
    </r>
    <r>
      <rPr>
        <sz val="10"/>
        <color rgb="FF0000FF"/>
        <rFont val="Noto Sans CJK SC"/>
        <family val="2"/>
      </rPr>
      <t xml:space="preserve">。</t>
    </r>
    <r>
      <rPr>
        <sz val="10"/>
        <color rgb="FF0000FF"/>
        <rFont val="Arial"/>
        <family val="0"/>
        <charset val="1"/>
      </rPr>
      <t xml:space="preserve">2025/11/10</t>
    </r>
    <r>
      <rPr>
        <sz val="10"/>
        <color rgb="FF0000FF"/>
        <rFont val="Noto Sans CJK SC"/>
        <family val="2"/>
      </rPr>
      <t xml:space="preserve">付で譲渡</t>
    </r>
    <r>
      <rPr>
        <sz val="10"/>
        <color rgb="FF0000FF"/>
        <rFont val="Arial"/>
        <family val="0"/>
        <charset val="1"/>
      </rPr>
      <t xml:space="preserve">(</t>
    </r>
    <r>
      <rPr>
        <sz val="10"/>
        <color rgb="FF0000FF"/>
        <rFont val="Noto Sans CJK SC"/>
        <family val="2"/>
      </rPr>
      <t xml:space="preserve">譲渡価格</t>
    </r>
    <r>
      <rPr>
        <sz val="10"/>
        <color rgb="FF0000FF"/>
        <rFont val="Arial"/>
        <family val="0"/>
        <charset val="1"/>
      </rPr>
      <t xml:space="preserve">1,750</t>
    </r>
    <r>
      <rPr>
        <sz val="10"/>
        <color rgb="FF0000FF"/>
        <rFont val="Noto Sans CJK SC"/>
        <family val="2"/>
      </rPr>
      <t xml:space="preserve">百万円・当期売却益</t>
    </r>
    <r>
      <rPr>
        <sz val="10"/>
        <color rgb="FF0000FF"/>
        <rFont val="Arial"/>
        <family val="0"/>
        <charset val="1"/>
      </rPr>
      <t xml:space="preserve">519,979</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。期末保有</t>
    </r>
    <r>
      <rPr>
        <sz val="10"/>
        <color rgb="FF0000FF"/>
        <rFont val="Arial"/>
        <family val="0"/>
        <charset val="1"/>
      </rPr>
      <t xml:space="preserve">87</t>
    </r>
    <r>
      <rPr>
        <sz val="10"/>
        <color rgb="FF0000FF"/>
        <rFont val="Noto Sans CJK SC"/>
        <family val="2"/>
      </rPr>
      <t xml:space="preserve">物件に含まれず、所在地等の基本情報は当期末保有物件表の対象外のため未収録</t>
    </r>
  </si>
  <si>
    <t xml:space="preserve">ICG-25</t>
  </si>
  <si>
    <t xml:space="preserve">いちご高松ビル</t>
  </si>
  <si>
    <t xml:space="preserve">香川県</t>
  </si>
  <si>
    <t xml:space="preserve">高松市</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</si>
  <si>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O-42</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独自区分「その他主要都市」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</si>
  <si>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ICG-26</t>
  </si>
  <si>
    <t xml:space="preserve">いちご神田錦町ビル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</si>
  <si>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O-46</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</si>
  <si>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ICG-27</t>
  </si>
  <si>
    <t xml:space="preserve">いちご秋葉原ノースビル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</si>
  <si>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O-47</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</si>
  <si>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ICG-28</t>
  </si>
  <si>
    <t xml:space="preserve">いちご堺筋本町ビル</t>
  </si>
  <si>
    <t xml:space="preserve">準共有持分9.5%</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</si>
  <si>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O-48</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t>
    </r>
    <r>
      <rPr>
        <sz val="10"/>
        <color rgb="FF0000FF"/>
        <rFont val="Arial"/>
        <family val="0"/>
        <charset val="1"/>
      </rPr>
      <t xml:space="preserve">4</t>
    </r>
    <r>
      <rPr>
        <sz val="10"/>
        <color rgb="FF0000FF"/>
        <rFont val="Noto Sans CJK SC"/>
        <family val="2"/>
      </rPr>
      <t xml:space="preserve">大都市」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</si>
  <si>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ICG-29</t>
  </si>
  <si>
    <t xml:space="preserve">いちご神田小川町ビル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</si>
  <si>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O-49</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</si>
  <si>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ICG-30</t>
  </si>
  <si>
    <t xml:space="preserve">いちご八丁堀ビル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</si>
  <si>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O-50</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</si>
  <si>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ICG-31</t>
  </si>
  <si>
    <t xml:space="preserve">いちご恵比寿グリーングラス</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</si>
  <si>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O-51</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</si>
  <si>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ICG-32</t>
  </si>
  <si>
    <t xml:space="preserve">いちご大森ビル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</si>
  <si>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O-52</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</si>
  <si>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ICG-33</t>
  </si>
  <si>
    <t xml:space="preserve">いちご高田馬場ビル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</si>
  <si>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O-53</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</si>
  <si>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ICG-34</t>
  </si>
  <si>
    <t xml:space="preserve">いちご大宮ビル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</si>
  <si>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O-54</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</si>
  <si>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ICG-35</t>
  </si>
  <si>
    <t xml:space="preserve">いちご相模原ビル</t>
  </si>
  <si>
    <t xml:space="preserve">相模原市</t>
  </si>
  <si>
    <r>
      <rPr>
        <sz val="11"/>
        <color theme="1"/>
        <rFont val="Calibri"/>
        <family val="2"/>
        <charset val="1"/>
      </rPr>
      <t xml:space="preserve">67</t>
    </r>
    <r>
      <rPr>
        <sz val="11"/>
        <color theme="1"/>
        <rFont val="Noto Sans CJK SC"/>
        <family val="2"/>
      </rPr>
      <t xml:space="preserve">物件（</t>
    </r>
    <r>
      <rPr>
        <sz val="11"/>
        <color theme="1"/>
        <rFont val="Calibri"/>
        <family val="2"/>
        <charset val="1"/>
      </rPr>
      <t xml:space="preserve">2025/12/31</t>
    </r>
    <r>
      <rPr>
        <sz val="11"/>
        <color theme="1"/>
        <rFont val="Noto Sans CJK SC"/>
        <family val="2"/>
      </rPr>
      <t xml:space="preserve">時点）</t>
    </r>
  </si>
  <si>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O-55</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</si>
  <si>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ICG-36</t>
  </si>
  <si>
    <t xml:space="preserve">いちご仙台イーストビル</t>
  </si>
  <si>
    <t xml:space="preserve">区分所有権</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</si>
  <si>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O-57</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独自区分「その他主要都市」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</si>
  <si>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ICG-37</t>
  </si>
  <si>
    <t xml:space="preserve">いちご熊本ビル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</si>
  <si>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O-58</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独自区分「その他主要都市」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</si>
  <si>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ICG-38</t>
  </si>
  <si>
    <t xml:space="preserve">いちご神宮前ビル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</si>
  <si>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O-59</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</si>
  <si>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ICG-39</t>
  </si>
  <si>
    <t xml:space="preserve">いちご渋谷道玄坂ビル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</si>
  <si>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O-60</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</si>
  <si>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ICG-40</t>
  </si>
  <si>
    <t xml:space="preserve">いちご広尾ビル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</si>
  <si>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O-61</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</si>
  <si>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ICG-41</t>
  </si>
  <si>
    <t xml:space="preserve">いちご笹塚ビル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</si>
  <si>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O-62</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</si>
  <si>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ICG-42</t>
  </si>
  <si>
    <t xml:space="preserve">いちご日本橋イーストビル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</si>
  <si>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O-63</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</si>
  <si>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ICG-43</t>
  </si>
  <si>
    <t xml:space="preserve">いちご桜橋ビル</t>
  </si>
  <si>
    <t xml:space="preserve">区分所有権(一棟全て)</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</si>
  <si>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O-64</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</si>
  <si>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ICG-44</t>
  </si>
  <si>
    <t xml:space="preserve">いちご新川ビル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</si>
  <si>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O-65</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</si>
  <si>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ICG-45</t>
  </si>
  <si>
    <t xml:space="preserve">いちご九段ビル</t>
  </si>
  <si>
    <t xml:space="preserve">区分所有権の共有40%</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</si>
  <si>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O-66</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2026/7/17</t>
    </r>
    <r>
      <rPr>
        <sz val="10"/>
        <color rgb="FF0000FF"/>
        <rFont val="Noto Sans CJK SC"/>
        <family val="2"/>
      </rPr>
      <t xml:space="preserve">付で住友商事へ譲渡</t>
    </r>
    <r>
      <rPr>
        <sz val="10"/>
        <color rgb="FF0000FF"/>
        <rFont val="Arial"/>
        <family val="0"/>
        <charset val="1"/>
      </rPr>
      <t xml:space="preserve">(</t>
    </r>
    <r>
      <rPr>
        <sz val="10"/>
        <color rgb="FF0000FF"/>
        <rFont val="Noto Sans CJK SC"/>
        <family val="2"/>
      </rPr>
      <t xml:space="preserve">譲渡予定価格</t>
    </r>
    <r>
      <rPr>
        <sz val="10"/>
        <color rgb="FF0000FF"/>
        <rFont val="Arial"/>
        <family val="0"/>
        <charset val="1"/>
      </rPr>
      <t xml:space="preserve">6,200</t>
    </r>
    <r>
      <rPr>
        <sz val="10"/>
        <color rgb="FF0000FF"/>
        <rFont val="Noto Sans CJK SC"/>
        <family val="2"/>
      </rPr>
      <t xml:space="preserve">百万円・売却益約</t>
    </r>
    <r>
      <rPr>
        <sz val="10"/>
        <color rgb="FF0000FF"/>
        <rFont val="Arial"/>
        <family val="0"/>
        <charset val="1"/>
      </rPr>
      <t xml:space="preserve">2,330,426</t>
    </r>
    <r>
      <rPr>
        <sz val="10"/>
        <color rgb="FF0000FF"/>
        <rFont val="Noto Sans CJK SC"/>
        <family val="2"/>
      </rPr>
      <t xml:space="preserve">千円見込</t>
    </r>
    <r>
      <rPr>
        <sz val="10"/>
        <color rgb="FF0000FF"/>
        <rFont val="Arial"/>
        <family val="0"/>
        <charset val="1"/>
      </rPr>
      <t xml:space="preserve">)</t>
    </r>
    <r>
      <rPr>
        <sz val="10"/>
        <color rgb="FF0000FF"/>
        <rFont val="Noto Sans CJK SC"/>
        <family val="2"/>
      </rPr>
      <t xml:space="preserve">。</t>
    </r>
  </si>
  <si>
    <t xml:space="preserve">ICG-46</t>
  </si>
  <si>
    <t xml:space="preserve">いちご東五反田ビル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</si>
  <si>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O-67</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</si>
  <si>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ICG-47</t>
  </si>
  <si>
    <t xml:space="preserve">アクシオール三田</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</si>
  <si>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O-68</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</si>
  <si>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ICG-48</t>
  </si>
  <si>
    <t xml:space="preserve">いちご東池袋ビル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</si>
  <si>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O-69</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</si>
  <si>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ICG-49</t>
  </si>
  <si>
    <t xml:space="preserve">郡山ビッグアイ（オフィス区画）</t>
  </si>
  <si>
    <t xml:space="preserve">福島県</t>
  </si>
  <si>
    <t xml:space="preserve">郡山市</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</si>
  <si>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O-70</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独自区分「その他主要都市」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</si>
  <si>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ICG-50</t>
  </si>
  <si>
    <t xml:space="preserve">いちご川崎ビル</t>
  </si>
  <si>
    <t xml:space="preserve">区分所有権及び共有</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</si>
  <si>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O-71</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</si>
  <si>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ICG-51</t>
  </si>
  <si>
    <t xml:space="preserve">いちご渋谷イーストビル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</si>
  <si>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O-72</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</si>
  <si>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ICG-52</t>
  </si>
  <si>
    <t xml:space="preserve">いちご人形町ビル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</si>
  <si>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O-73</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2026/7/17</t>
    </r>
    <r>
      <rPr>
        <sz val="10"/>
        <color rgb="FF0000FF"/>
        <rFont val="Noto Sans CJK SC"/>
        <family val="2"/>
      </rPr>
      <t xml:space="preserve">付で住友商事へ譲渡</t>
    </r>
    <r>
      <rPr>
        <sz val="10"/>
        <color rgb="FF0000FF"/>
        <rFont val="Arial"/>
        <family val="0"/>
        <charset val="1"/>
      </rPr>
      <t xml:space="preserve">(</t>
    </r>
    <r>
      <rPr>
        <sz val="10"/>
        <color rgb="FF0000FF"/>
        <rFont val="Noto Sans CJK SC"/>
        <family val="2"/>
      </rPr>
      <t xml:space="preserve">譲渡予定価格</t>
    </r>
    <r>
      <rPr>
        <sz val="10"/>
        <color rgb="FF0000FF"/>
        <rFont val="Arial"/>
        <family val="0"/>
        <charset val="1"/>
      </rPr>
      <t xml:space="preserve">2,650</t>
    </r>
    <r>
      <rPr>
        <sz val="10"/>
        <color rgb="FF0000FF"/>
        <rFont val="Noto Sans CJK SC"/>
        <family val="2"/>
      </rPr>
      <t xml:space="preserve">百万円・売却益約</t>
    </r>
    <r>
      <rPr>
        <sz val="10"/>
        <color rgb="FF0000FF"/>
        <rFont val="Arial"/>
        <family val="0"/>
        <charset val="1"/>
      </rPr>
      <t xml:space="preserve">894,478</t>
    </r>
    <r>
      <rPr>
        <sz val="10"/>
        <color rgb="FF0000FF"/>
        <rFont val="Noto Sans CJK SC"/>
        <family val="2"/>
      </rPr>
      <t xml:space="preserve">千円見込</t>
    </r>
    <r>
      <rPr>
        <sz val="10"/>
        <color rgb="FF0000FF"/>
        <rFont val="Arial"/>
        <family val="0"/>
        <charset val="1"/>
      </rPr>
      <t xml:space="preserve">)</t>
    </r>
    <r>
      <rPr>
        <sz val="10"/>
        <color rgb="FF0000FF"/>
        <rFont val="Noto Sans CJK SC"/>
        <family val="2"/>
      </rPr>
      <t xml:space="preserve">。</t>
    </r>
  </si>
  <si>
    <t xml:space="preserve">ICG-53</t>
  </si>
  <si>
    <t xml:space="preserve">いちご博多ビル</t>
  </si>
  <si>
    <t xml:space="preserve">区分所有権95.1%</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</si>
  <si>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O-75</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t>
    </r>
    <r>
      <rPr>
        <sz val="10"/>
        <color rgb="FF0000FF"/>
        <rFont val="Arial"/>
        <family val="0"/>
        <charset val="1"/>
      </rPr>
      <t xml:space="preserve">4</t>
    </r>
    <r>
      <rPr>
        <sz val="10"/>
        <color rgb="FF0000FF"/>
        <rFont val="Noto Sans CJK SC"/>
        <family val="2"/>
      </rPr>
      <t xml:space="preserve">大都市」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</si>
  <si>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ICG-54</t>
  </si>
  <si>
    <t xml:space="preserve">いちご錦ファーストビル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</si>
  <si>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O-76</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t>
    </r>
    <r>
      <rPr>
        <sz val="10"/>
        <color rgb="FF0000FF"/>
        <rFont val="Arial"/>
        <family val="0"/>
        <charset val="1"/>
      </rPr>
      <t xml:space="preserve">4</t>
    </r>
    <r>
      <rPr>
        <sz val="10"/>
        <color rgb="FF0000FF"/>
        <rFont val="Noto Sans CJK SC"/>
        <family val="2"/>
      </rPr>
      <t xml:space="preserve">大都市」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</si>
  <si>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ICG-55</t>
  </si>
  <si>
    <t xml:space="preserve">いちご池袋イーストビル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</si>
  <si>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O-78</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</si>
  <si>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ICG-56</t>
  </si>
  <si>
    <t xml:space="preserve">いちご元麻布ビル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</si>
  <si>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O-79</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</si>
  <si>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ICG-57</t>
  </si>
  <si>
    <t xml:space="preserve">いちご大塚ビル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</si>
  <si>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O-80</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</si>
  <si>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ICG-58</t>
  </si>
  <si>
    <t xml:space="preserve">いちご名古屋ビル</t>
  </si>
  <si>
    <t xml:space="preserve">区分所有権97.1%の信託受益権準共有持分47.5%</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</si>
  <si>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O-81</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t>
    </r>
    <r>
      <rPr>
        <sz val="10"/>
        <color rgb="FF0000FF"/>
        <rFont val="Arial"/>
        <family val="0"/>
        <charset val="1"/>
      </rPr>
      <t xml:space="preserve">4</t>
    </r>
    <r>
      <rPr>
        <sz val="10"/>
        <color rgb="FF0000FF"/>
        <rFont val="Noto Sans CJK SC"/>
        <family val="2"/>
      </rPr>
      <t xml:space="preserve">大都市」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</si>
  <si>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ICG-59</t>
  </si>
  <si>
    <t xml:space="preserve">いちご伏見ビル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</si>
  <si>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O-82</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t>
    </r>
    <r>
      <rPr>
        <sz val="10"/>
        <color rgb="FF0000FF"/>
        <rFont val="Arial"/>
        <family val="0"/>
        <charset val="1"/>
      </rPr>
      <t xml:space="preserve">4</t>
    </r>
    <r>
      <rPr>
        <sz val="10"/>
        <color rgb="FF0000FF"/>
        <rFont val="Noto Sans CJK SC"/>
        <family val="2"/>
      </rPr>
      <t xml:space="preserve">大都市」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</si>
  <si>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ICG-60</t>
  </si>
  <si>
    <t xml:space="preserve">いちご錦ビル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</si>
  <si>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O-83</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t>
    </r>
    <r>
      <rPr>
        <sz val="10"/>
        <color rgb="FF0000FF"/>
        <rFont val="Arial"/>
        <family val="0"/>
        <charset val="1"/>
      </rPr>
      <t xml:space="preserve">4</t>
    </r>
    <r>
      <rPr>
        <sz val="10"/>
        <color rgb="FF0000FF"/>
        <rFont val="Noto Sans CJK SC"/>
        <family val="2"/>
      </rPr>
      <t xml:space="preserve">大都市」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</si>
  <si>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ICG-61</t>
  </si>
  <si>
    <t xml:space="preserve">いちご南森町ビル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</si>
  <si>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O-84</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t>
    </r>
    <r>
      <rPr>
        <sz val="10"/>
        <color rgb="FF0000FF"/>
        <rFont val="Arial"/>
        <family val="0"/>
        <charset val="1"/>
      </rPr>
      <t xml:space="preserve">4</t>
    </r>
    <r>
      <rPr>
        <sz val="10"/>
        <color rgb="FF0000FF"/>
        <rFont val="Noto Sans CJK SC"/>
        <family val="2"/>
      </rPr>
      <t xml:space="preserve">大都市」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</si>
  <si>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ICG-62</t>
  </si>
  <si>
    <t xml:space="preserve">いちご渋谷宇田川町ビル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</si>
  <si>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O-85</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</si>
  <si>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ICG-63</t>
  </si>
  <si>
    <t xml:space="preserve">ウィン五反田ビル</t>
  </si>
  <si>
    <t xml:space="preserve">区分所有権の共有(街区別)</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</si>
  <si>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O-86</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</si>
  <si>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ICG-64</t>
  </si>
  <si>
    <t xml:space="preserve">いちご本郷ビル</t>
  </si>
  <si>
    <t xml:space="preserve">文京区</t>
  </si>
  <si>
    <r>
      <rPr>
        <sz val="11"/>
        <color theme="1"/>
        <rFont val="Calibri"/>
        <family val="2"/>
        <charset val="1"/>
      </rPr>
      <t xml:space="preserve">28</t>
    </r>
    <r>
      <rPr>
        <sz val="11"/>
        <color theme="1"/>
        <rFont val="Noto Sans CJK SC"/>
        <family val="2"/>
      </rPr>
      <t xml:space="preserve">物件（</t>
    </r>
    <r>
      <rPr>
        <sz val="11"/>
        <color theme="1"/>
        <rFont val="Calibri"/>
        <family val="2"/>
        <charset val="1"/>
      </rPr>
      <t xml:space="preserve">2026/1/31</t>
    </r>
    <r>
      <rPr>
        <sz val="11"/>
        <color theme="1"/>
        <rFont val="Noto Sans CJK SC"/>
        <family val="2"/>
      </rPr>
      <t xml:space="preserve">時点）</t>
    </r>
  </si>
  <si>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O-87</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</si>
  <si>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ICG-65</t>
  </si>
  <si>
    <t xml:space="preserve">大井町センタービル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</si>
  <si>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O-88</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</si>
  <si>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ICG-66</t>
  </si>
  <si>
    <t xml:space="preserve">ウィン第2五反田ビル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</si>
  <si>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O-89</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</si>
  <si>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ICG-67</t>
  </si>
  <si>
    <t xml:space="preserve">ＭＩＦビル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</si>
  <si>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O-90</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</si>
  <si>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ICG-68</t>
  </si>
  <si>
    <t xml:space="preserve">いちご内本町ビル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</si>
  <si>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O-91</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t>
    </r>
    <r>
      <rPr>
        <sz val="10"/>
        <color rgb="FF0000FF"/>
        <rFont val="Arial"/>
        <family val="0"/>
        <charset val="1"/>
      </rPr>
      <t xml:space="preserve">4</t>
    </r>
    <r>
      <rPr>
        <sz val="10"/>
        <color rgb="FF0000FF"/>
        <rFont val="Noto Sans CJK SC"/>
        <family val="2"/>
      </rPr>
      <t xml:space="preserve">大都市」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。鑑定評価額が帳簿価額を下回る。</t>
    </r>
  </si>
  <si>
    <t xml:space="preserve">ICG-69</t>
  </si>
  <si>
    <t xml:space="preserve">いちご南大塚ビル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</si>
  <si>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O-92</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</si>
  <si>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ICG-70</t>
  </si>
  <si>
    <t xml:space="preserve">いちご乃木坂ビル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</si>
  <si>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O-93</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</si>
  <si>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ICG-71</t>
  </si>
  <si>
    <t xml:space="preserve">いちご博多イーストビル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</si>
  <si>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O-94</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t>
    </r>
    <r>
      <rPr>
        <sz val="10"/>
        <color rgb="FF0000FF"/>
        <rFont val="Arial"/>
        <family val="0"/>
        <charset val="1"/>
      </rPr>
      <t xml:space="preserve">4</t>
    </r>
    <r>
      <rPr>
        <sz val="10"/>
        <color rgb="FF0000FF"/>
        <rFont val="Noto Sans CJK SC"/>
        <family val="2"/>
      </rPr>
      <t xml:space="preserve">大都市」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</si>
  <si>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ICG-72</t>
  </si>
  <si>
    <t xml:space="preserve">いちご中目黒ビル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</si>
  <si>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O-95</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。鑑定評価額が帳簿価額を下回る。</t>
    </r>
  </si>
  <si>
    <t xml:space="preserve">ICG-73</t>
  </si>
  <si>
    <t xml:space="preserve">いちご立川ビル</t>
  </si>
  <si>
    <t xml:space="preserve">立川市</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</si>
  <si>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O-96</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</si>
  <si>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ICG-74</t>
  </si>
  <si>
    <t xml:space="preserve">いちご東池袋三丁目ビル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</si>
  <si>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O-97</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。鑑定評価額が帳簿価額を下回る。</t>
    </r>
  </si>
  <si>
    <t xml:space="preserve">ICG-75</t>
  </si>
  <si>
    <t xml:space="preserve">いちご丸の内サウスビル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</si>
  <si>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O-98</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t>
    </r>
    <r>
      <rPr>
        <sz val="10"/>
        <color rgb="FF0000FF"/>
        <rFont val="Arial"/>
        <family val="0"/>
        <charset val="1"/>
      </rPr>
      <t xml:space="preserve">4</t>
    </r>
    <r>
      <rPr>
        <sz val="10"/>
        <color rgb="FF0000FF"/>
        <rFont val="Noto Sans CJK SC"/>
        <family val="2"/>
      </rPr>
      <t xml:space="preserve">大都市」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</si>
  <si>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ICG-76</t>
  </si>
  <si>
    <t xml:space="preserve">いちご博多駅東ビル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</si>
  <si>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O-99</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t>
    </r>
    <r>
      <rPr>
        <sz val="10"/>
        <color rgb="FF0000FF"/>
        <rFont val="Arial"/>
        <family val="0"/>
        <charset val="1"/>
      </rPr>
      <t xml:space="preserve">4</t>
    </r>
    <r>
      <rPr>
        <sz val="10"/>
        <color rgb="FF0000FF"/>
        <rFont val="Noto Sans CJK SC"/>
        <family val="2"/>
      </rPr>
      <t xml:space="preserve">大都市」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</si>
  <si>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ICG-77</t>
  </si>
  <si>
    <t xml:space="preserve">いちご博多駅東三丁目ビル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</si>
  <si>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O-100</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t>
    </r>
    <r>
      <rPr>
        <sz val="10"/>
        <color rgb="FF0000FF"/>
        <rFont val="Arial"/>
        <family val="0"/>
        <charset val="1"/>
      </rPr>
      <t xml:space="preserve">4</t>
    </r>
    <r>
      <rPr>
        <sz val="10"/>
        <color rgb="FF0000FF"/>
        <rFont val="Noto Sans CJK SC"/>
        <family val="2"/>
      </rPr>
      <t xml:space="preserve">大都市」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</si>
  <si>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ICG-78</t>
  </si>
  <si>
    <t xml:space="preserve">いちご錦糸町サウスビル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</si>
  <si>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O-101</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</si>
  <si>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ICG-79</t>
  </si>
  <si>
    <t xml:space="preserve">いちご秋葉原イーストビル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</si>
  <si>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O-102</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</si>
  <si>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ICG-80</t>
  </si>
  <si>
    <t xml:space="preserve">いちご博多明治通りビル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</si>
  <si>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O-103</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t>
    </r>
    <r>
      <rPr>
        <sz val="10"/>
        <color rgb="FF0000FF"/>
        <rFont val="Arial"/>
        <family val="0"/>
        <charset val="1"/>
      </rPr>
      <t xml:space="preserve">4</t>
    </r>
    <r>
      <rPr>
        <sz val="10"/>
        <color rgb="FF0000FF"/>
        <rFont val="Noto Sans CJK SC"/>
        <family val="2"/>
      </rPr>
      <t xml:space="preserve">大都市」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</si>
  <si>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ICG-81</t>
  </si>
  <si>
    <t xml:space="preserve">いちご博多祇園ビル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</si>
  <si>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O-104</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t>
    </r>
    <r>
      <rPr>
        <sz val="10"/>
        <color rgb="FF0000FF"/>
        <rFont val="Arial"/>
        <family val="0"/>
        <charset val="1"/>
      </rPr>
      <t xml:space="preserve">4</t>
    </r>
    <r>
      <rPr>
        <sz val="10"/>
        <color rgb="FF0000FF"/>
        <rFont val="Noto Sans CJK SC"/>
        <family val="2"/>
      </rPr>
      <t xml:space="preserve">大都市」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</si>
  <si>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ICG-82</t>
  </si>
  <si>
    <t xml:space="preserve">いちご天神ノースビル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</si>
  <si>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O-105</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t>
    </r>
    <r>
      <rPr>
        <sz val="10"/>
        <color rgb="FF0000FF"/>
        <rFont val="Arial"/>
        <family val="0"/>
        <charset val="1"/>
      </rPr>
      <t xml:space="preserve">4</t>
    </r>
    <r>
      <rPr>
        <sz val="10"/>
        <color rgb="FF0000FF"/>
        <rFont val="Noto Sans CJK SC"/>
        <family val="2"/>
      </rPr>
      <t xml:space="preserve">大都市」</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。鑑定評価額が帳簿価額を下回る。</t>
    </r>
  </si>
  <si>
    <t xml:space="preserve">ICG-83</t>
  </si>
  <si>
    <t xml:space="preserve">いちご五反田ウエストビル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</si>
  <si>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O-106</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</si>
  <si>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ICG-84</t>
  </si>
  <si>
    <t xml:space="preserve">いちご大手町ノースビル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</si>
  <si>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O-107</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</si>
  <si>
    <t xml:space="preserve">ICG-85</t>
  </si>
  <si>
    <t xml:space="preserve">いちご立川公園通りビル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</si>
  <si>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O-108</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2025</t>
    </r>
    <r>
      <rPr>
        <sz val="10"/>
        <color rgb="FF0000FF"/>
        <rFont val="Noto Sans CJK SC"/>
        <family val="2"/>
      </rPr>
      <t xml:space="preserve">年</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41</t>
    </r>
    <r>
      <rPr>
        <sz val="10"/>
        <color rgb="FF0000FF"/>
        <rFont val="Noto Sans CJK SC"/>
        <family val="2"/>
      </rPr>
      <t xml:space="preserve">期中</t>
    </r>
    <r>
      <rPr>
        <sz val="10"/>
        <color rgb="FF0000FF"/>
        <rFont val="Arial"/>
        <family val="0"/>
        <charset val="1"/>
      </rPr>
      <t xml:space="preserve">)</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資産運用会社ソーシング</t>
    </r>
    <r>
      <rPr>
        <sz val="10"/>
        <color rgb="FF0000FF"/>
        <rFont val="Arial"/>
        <family val="0"/>
        <charset val="1"/>
      </rPr>
      <t xml:space="preserve">)</t>
    </r>
    <r>
      <rPr>
        <sz val="10"/>
        <color rgb="FF0000FF"/>
        <rFont val="Noto Sans CJK SC"/>
        <family val="2"/>
      </rPr>
      <t xml:space="preserve">。</t>
    </r>
  </si>
  <si>
    <t xml:space="preserve">ICG-86</t>
  </si>
  <si>
    <t xml:space="preserve">いちご船橋ビル</t>
  </si>
  <si>
    <t xml:space="preserve">船橋市</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</si>
  <si>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O-109</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2026/2</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スポンサーパイプライン</t>
    </r>
    <r>
      <rPr>
        <sz val="10"/>
        <color rgb="FF0000FF"/>
        <rFont val="Arial"/>
        <family val="0"/>
        <charset val="1"/>
      </rPr>
      <t xml:space="preserve">)</t>
    </r>
    <r>
      <rPr>
        <sz val="10"/>
        <color rgb="FF0000FF"/>
        <rFont val="Noto Sans CJK SC"/>
        <family val="2"/>
      </rPr>
      <t xml:space="preserve">。取得直後のため当期収入は期間按分。</t>
    </r>
  </si>
  <si>
    <t xml:space="preserve">ICG-87</t>
  </si>
  <si>
    <t xml:space="preserve">いちご渋谷文化村通りビル</t>
  </si>
  <si>
    <t xml:space="preserve">商業施設等</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</si>
  <si>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Z-10</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独自区分「都心</t>
    </r>
    <r>
      <rPr>
        <sz val="10"/>
        <color rgb="FF0000FF"/>
        <rFont val="Arial"/>
        <family val="0"/>
        <charset val="1"/>
      </rPr>
      <t xml:space="preserve">6</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用途区分「その他」。</t>
    </r>
  </si>
  <si>
    <t xml:space="preserve">ICG-88</t>
  </si>
  <si>
    <t xml:space="preserve">いちご蒲田ビル</t>
  </si>
  <si>
    <r>
      <rPr>
        <sz val="10"/>
        <color rgb="FF0000FF"/>
        <rFont val="Arial"/>
        <family val="0"/>
        <charset val="1"/>
      </rPr>
      <t xml:space="preserve">ICG</t>
    </r>
    <r>
      <rPr>
        <sz val="10"/>
        <color rgb="FF0000FF"/>
        <rFont val="Noto Sans CJK SC"/>
        <family val="2"/>
      </rPr>
      <t xml:space="preserve">物件番号</t>
    </r>
    <r>
      <rPr>
        <sz val="10"/>
        <color rgb="FF0000FF"/>
        <rFont val="Arial"/>
        <family val="0"/>
        <charset val="1"/>
      </rPr>
      <t xml:space="preserve">Z-14</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独自区分「その他首都圏」</t>
    </r>
    <r>
      <rPr>
        <sz val="10"/>
        <color rgb="FF0000FF"/>
        <rFont val="Arial"/>
        <family val="0"/>
        <charset val="1"/>
      </rPr>
      <t xml:space="preserve">(</t>
    </r>
    <r>
      <rPr>
        <sz val="10"/>
        <color rgb="FF0000FF"/>
        <rFont val="Noto Sans CJK SC"/>
        <family val="2"/>
      </rPr>
      <t xml:space="preserve">品川区は都心</t>
    </r>
    <r>
      <rPr>
        <sz val="10"/>
        <color rgb="FF0000FF"/>
        <rFont val="Arial"/>
        <family val="0"/>
        <charset val="1"/>
      </rPr>
      <t xml:space="preserve">6</t>
    </r>
    <r>
      <rPr>
        <sz val="10"/>
        <color rgb="FF0000FF"/>
        <rFont val="Noto Sans CJK SC"/>
        <family val="2"/>
      </rPr>
      <t xml:space="preserve">区扱い</t>
    </r>
    <r>
      <rPr>
        <sz val="10"/>
        <color rgb="FF0000FF"/>
        <rFont val="Arial"/>
        <family val="0"/>
        <charset val="1"/>
      </rPr>
      <t xml:space="preserve">)</t>
    </r>
    <r>
      <rPr>
        <sz val="10"/>
        <color rgb="FF0000FF"/>
        <rFont val="Noto Sans CJK SC"/>
        <family val="2"/>
      </rPr>
      <t xml:space="preserve">。物件別の取得価格・竣工年月・面積</t>
    </r>
    <r>
      <rPr>
        <sz val="10"/>
        <color rgb="FF0000FF"/>
        <rFont val="Arial"/>
        <family val="0"/>
        <charset val="1"/>
      </rPr>
      <t xml:space="preserve">(</t>
    </r>
    <r>
      <rPr>
        <sz val="10"/>
        <color rgb="FF0000FF"/>
        <rFont val="Noto Sans CJK SC"/>
        <family val="2"/>
      </rPr>
      <t xml:space="preserve">延床</t>
    </r>
    <r>
      <rPr>
        <sz val="10"/>
        <color rgb="FF0000FF"/>
        <rFont val="Arial"/>
        <family val="0"/>
        <charset val="1"/>
      </rPr>
      <t xml:space="preserve">)</t>
    </r>
    <r>
      <rPr>
        <sz val="10"/>
        <color rgb="FF0000FF"/>
        <rFont val="Noto Sans CJK SC"/>
        <family val="2"/>
      </rPr>
      <t xml:space="preserve">・費用は非開示</t>
    </r>
    <r>
      <rPr>
        <sz val="10"/>
        <color rgb="FF0000FF"/>
        <rFont val="Arial"/>
        <family val="0"/>
        <charset val="1"/>
      </rPr>
      <t xml:space="preserve">(</t>
    </r>
    <r>
      <rPr>
        <sz val="10"/>
        <color rgb="FF0000FF"/>
        <rFont val="Noto Sans CJK SC"/>
        <family val="2"/>
      </rPr>
      <t xml:space="preserve">賃貸可能面積・帳簿・鑑定評価額を開示</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ICG</t>
    </r>
    <r>
      <rPr>
        <sz val="10"/>
        <color rgb="FF0000FF"/>
        <rFont val="Noto Sans CJK SC"/>
        <family val="2"/>
      </rPr>
      <t xml:space="preserve">用途区分「その他」。鑑定評価額が帳簿価額を下回る。</t>
    </r>
  </si>
  <si>
    <t xml:space="preserve">JEI-ALL</t>
  </si>
  <si>
    <t xml:space="preserve">【JEIポートフォリオ全体】</t>
  </si>
  <si>
    <r>
      <rPr>
        <sz val="10"/>
        <color rgb="FF0000FF"/>
        <rFont val="Arial"/>
        <family val="0"/>
        <charset val="1"/>
      </rPr>
      <t xml:space="preserve">33</t>
    </r>
    <r>
      <rPr>
        <sz val="10"/>
        <color rgb="FF0000FF"/>
        <rFont val="Noto Sans CJK SC"/>
        <family val="2"/>
      </rPr>
      <t xml:space="preserve">物件（</t>
    </r>
    <r>
      <rPr>
        <sz val="10"/>
        <color rgb="FF0000FF"/>
        <rFont val="Arial"/>
        <family val="0"/>
        <charset val="1"/>
      </rPr>
      <t xml:space="preserve">2025/12/31</t>
    </r>
    <r>
      <rPr>
        <sz val="10"/>
        <color rgb="FF0000FF"/>
        <rFont val="Noto Sans CJK SC"/>
        <family val="2"/>
      </rPr>
      <t xml:space="preserve">時点）</t>
    </r>
  </si>
  <si>
    <r>
      <rPr>
        <sz val="10"/>
        <color rgb="FF0000FF"/>
        <rFont val="Arial"/>
        <family val="0"/>
        <charset val="1"/>
      </rPr>
      <t xml:space="preserve">JEI 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39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(2026/2/20</t>
    </r>
    <r>
      <rPr>
        <sz val="10"/>
        <color rgb="FF0000FF"/>
        <rFont val="Noto Sans CJK SC"/>
        <family val="2"/>
      </rPr>
      <t xml:space="preserve">公表</t>
    </r>
    <r>
      <rPr>
        <sz val="10"/>
        <color rgb="FF0000FF"/>
        <rFont val="Arial"/>
        <family val="0"/>
        <charset val="1"/>
      </rPr>
      <t xml:space="preserve">)</t>
    </r>
  </si>
  <si>
    <t xml:space="preserve">取得価格・帳簿・鑑定は33物件計。鑑定合計は直接還元価格ベース351,603百万円</t>
  </si>
  <si>
    <t xml:space="preserve">JEI-01</t>
  </si>
  <si>
    <t xml:space="preserve">大森ベルポートD館</t>
  </si>
  <si>
    <r>
      <rPr>
        <sz val="10"/>
        <color rgb="FF0000FF"/>
        <rFont val="Arial"/>
        <family val="0"/>
        <charset val="1"/>
      </rPr>
      <t xml:space="preserve">JEI</t>
    </r>
    <r>
      <rPr>
        <sz val="10"/>
        <color rgb="FF0000FF"/>
        <rFont val="Noto Sans CJK SC"/>
        <family val="2"/>
      </rPr>
      <t xml:space="preserve">物件番号Ⅰ</t>
    </r>
    <r>
      <rPr>
        <sz val="10"/>
        <color rgb="FF0000FF"/>
        <rFont val="Arial"/>
        <family val="0"/>
        <charset val="1"/>
      </rPr>
      <t xml:space="preserve">-1</t>
    </r>
    <r>
      <rPr>
        <sz val="10"/>
        <color rgb="FF0000FF"/>
        <rFont val="Noto Sans CJK SC"/>
        <family val="2"/>
      </rPr>
      <t xml:space="preserve">。延床面積・竣工年月等の建物概要は短信非掲載のため有報で補完予定</t>
    </r>
  </si>
  <si>
    <t xml:space="preserve">JEI-02</t>
  </si>
  <si>
    <t xml:space="preserve">芝二丁目ビルディング</t>
  </si>
  <si>
    <r>
      <rPr>
        <sz val="10"/>
        <color rgb="FF0000FF"/>
        <rFont val="Arial"/>
        <family val="0"/>
        <charset val="1"/>
      </rPr>
      <t xml:space="preserve">JEI</t>
    </r>
    <r>
      <rPr>
        <sz val="10"/>
        <color rgb="FF0000FF"/>
        <rFont val="Noto Sans CJK SC"/>
        <family val="2"/>
      </rPr>
      <t xml:space="preserve">物件番号Ⅰ</t>
    </r>
    <r>
      <rPr>
        <sz val="10"/>
        <color rgb="FF0000FF"/>
        <rFont val="Arial"/>
        <family val="0"/>
        <charset val="1"/>
      </rPr>
      <t xml:space="preserve">-2</t>
    </r>
    <r>
      <rPr>
        <sz val="10"/>
        <color rgb="FF0000FF"/>
        <rFont val="Noto Sans CJK SC"/>
        <family val="2"/>
      </rPr>
      <t xml:space="preserve">。事務所棟＋住宅棟。延床面積・竣工年月等の建物概要は短信非掲載のため有報で補完予定</t>
    </r>
  </si>
  <si>
    <t xml:space="preserve">JEI-03</t>
  </si>
  <si>
    <r>
      <rPr>
        <sz val="10"/>
        <color rgb="FF0000FF"/>
        <rFont val="Arial"/>
        <family val="0"/>
        <charset val="1"/>
      </rPr>
      <t xml:space="preserve">JEI</t>
    </r>
    <r>
      <rPr>
        <sz val="10"/>
        <color rgb="FF0000FF"/>
        <rFont val="Noto Sans CJK SC"/>
        <family val="2"/>
      </rPr>
      <t xml:space="preserve">浜松町ビル</t>
    </r>
  </si>
  <si>
    <r>
      <rPr>
        <sz val="10"/>
        <color rgb="FF0000FF"/>
        <rFont val="Arial"/>
        <family val="0"/>
        <charset val="1"/>
      </rPr>
      <t xml:space="preserve">JEI</t>
    </r>
    <r>
      <rPr>
        <sz val="10"/>
        <color rgb="FF0000FF"/>
        <rFont val="Noto Sans CJK SC"/>
        <family val="2"/>
      </rPr>
      <t xml:space="preserve">物件番号Ⅰ</t>
    </r>
    <r>
      <rPr>
        <sz val="10"/>
        <color rgb="FF0000FF"/>
        <rFont val="Arial"/>
        <family val="0"/>
        <charset val="1"/>
      </rPr>
      <t xml:space="preserve">-3</t>
    </r>
    <r>
      <rPr>
        <sz val="10"/>
        <color rgb="FF0000FF"/>
        <rFont val="Noto Sans CJK SC"/>
        <family val="2"/>
      </rPr>
      <t xml:space="preserve">。</t>
    </r>
    <r>
      <rPr>
        <sz val="10"/>
        <color rgb="FF0000FF"/>
        <rFont val="Arial"/>
        <family val="0"/>
        <charset val="1"/>
      </rPr>
      <t xml:space="preserve">2026/1/16</t>
    </r>
    <r>
      <rPr>
        <sz val="10"/>
        <color rgb="FF0000FF"/>
        <rFont val="Noto Sans CJK SC"/>
        <family val="2"/>
      </rPr>
      <t xml:space="preserve">に準共有持分</t>
    </r>
    <r>
      <rPr>
        <sz val="10"/>
        <color rgb="FF0000FF"/>
        <rFont val="Arial"/>
        <family val="0"/>
        <charset val="1"/>
      </rPr>
      <t xml:space="preserve">55%</t>
    </r>
    <r>
      <rPr>
        <sz val="10"/>
        <color rgb="FF0000FF"/>
        <rFont val="Noto Sans CJK SC"/>
        <family val="2"/>
      </rPr>
      <t xml:space="preserve">全てを譲渡済（第</t>
    </r>
    <r>
      <rPr>
        <sz val="10"/>
        <color rgb="FF0000FF"/>
        <rFont val="Arial"/>
        <family val="0"/>
        <charset val="1"/>
      </rPr>
      <t xml:space="preserve">40</t>
    </r>
    <r>
      <rPr>
        <sz val="10"/>
        <color rgb="FF0000FF"/>
        <rFont val="Noto Sans CJK SC"/>
        <family val="2"/>
      </rPr>
      <t xml:space="preserve">期）。期末算定価額は譲渡価格。延床面積・竣工年月等の建物概要は短信非掲載のため有報で補完予定</t>
    </r>
  </si>
  <si>
    <t xml:space="preserve">JEI-04</t>
  </si>
  <si>
    <t xml:space="preserve">赤坂インターシティ</t>
  </si>
  <si>
    <r>
      <rPr>
        <sz val="10"/>
        <color rgb="FF0000FF"/>
        <rFont val="Arial"/>
        <family val="0"/>
        <charset val="1"/>
      </rPr>
      <t xml:space="preserve">JEI</t>
    </r>
    <r>
      <rPr>
        <sz val="10"/>
        <color rgb="FF0000FF"/>
        <rFont val="Noto Sans CJK SC"/>
        <family val="2"/>
      </rPr>
      <t xml:space="preserve">物件番号Ⅰ</t>
    </r>
    <r>
      <rPr>
        <sz val="10"/>
        <color rgb="FF0000FF"/>
        <rFont val="Arial"/>
        <family val="0"/>
        <charset val="1"/>
      </rPr>
      <t xml:space="preserve">-8</t>
    </r>
    <r>
      <rPr>
        <sz val="10"/>
        <color rgb="FF0000FF"/>
        <rFont val="Noto Sans CJK SC"/>
        <family val="2"/>
      </rPr>
      <t xml:space="preserve">。延床面積・竣工年月等の建物概要は短信非掲載のため有報で補完予定</t>
    </r>
  </si>
  <si>
    <t xml:space="preserve">JEI-05</t>
  </si>
  <si>
    <t xml:space="preserve">台場ガーデンシティビル</t>
  </si>
  <si>
    <r>
      <rPr>
        <sz val="10"/>
        <color rgb="FF0000FF"/>
        <rFont val="Arial"/>
        <family val="0"/>
        <charset val="1"/>
      </rPr>
      <t xml:space="preserve">JEI</t>
    </r>
    <r>
      <rPr>
        <sz val="10"/>
        <color rgb="FF0000FF"/>
        <rFont val="Noto Sans CJK SC"/>
        <family val="2"/>
      </rPr>
      <t xml:space="preserve">物件番号Ⅰ</t>
    </r>
    <r>
      <rPr>
        <sz val="10"/>
        <color rgb="FF0000FF"/>
        <rFont val="Arial"/>
        <family val="0"/>
        <charset val="1"/>
      </rPr>
      <t xml:space="preserve">-10</t>
    </r>
    <r>
      <rPr>
        <sz val="10"/>
        <color rgb="FF0000FF"/>
        <rFont val="Noto Sans CJK SC"/>
        <family val="2"/>
      </rPr>
      <t xml:space="preserve">。延床面積・竣工年月等の建物概要は短信非掲載のため有報で補完予定</t>
    </r>
  </si>
  <si>
    <t xml:space="preserve">JEI-06</t>
  </si>
  <si>
    <t xml:space="preserve">浜離宮インターシティ</t>
  </si>
  <si>
    <r>
      <rPr>
        <sz val="10"/>
        <color rgb="FF0000FF"/>
        <rFont val="Arial"/>
        <family val="0"/>
        <charset val="1"/>
      </rPr>
      <t xml:space="preserve">JEI</t>
    </r>
    <r>
      <rPr>
        <sz val="10"/>
        <color rgb="FF0000FF"/>
        <rFont val="Noto Sans CJK SC"/>
        <family val="2"/>
      </rPr>
      <t xml:space="preserve">物件番号Ⅰ</t>
    </r>
    <r>
      <rPr>
        <sz val="10"/>
        <color rgb="FF0000FF"/>
        <rFont val="Arial"/>
        <family val="0"/>
        <charset val="1"/>
      </rPr>
      <t xml:space="preserve">-12</t>
    </r>
    <r>
      <rPr>
        <sz val="10"/>
        <color rgb="FF0000FF"/>
        <rFont val="Noto Sans CJK SC"/>
        <family val="2"/>
      </rPr>
      <t xml:space="preserve">。延床面積・竣工年月等の建物概要は短信非掲載のため有報で補完予定</t>
    </r>
  </si>
  <si>
    <t xml:space="preserve">JEI-07</t>
  </si>
  <si>
    <t xml:space="preserve">興和西新橋ビル</t>
  </si>
  <si>
    <r>
      <rPr>
        <sz val="10"/>
        <color rgb="FF0000FF"/>
        <rFont val="Arial"/>
        <family val="0"/>
        <charset val="1"/>
      </rPr>
      <t xml:space="preserve">JEI</t>
    </r>
    <r>
      <rPr>
        <sz val="10"/>
        <color rgb="FF0000FF"/>
        <rFont val="Noto Sans CJK SC"/>
        <family val="2"/>
      </rPr>
      <t xml:space="preserve">物件番号Ⅰ</t>
    </r>
    <r>
      <rPr>
        <sz val="10"/>
        <color rgb="FF0000FF"/>
        <rFont val="Arial"/>
        <family val="0"/>
        <charset val="1"/>
      </rPr>
      <t xml:space="preserve">-14</t>
    </r>
    <r>
      <rPr>
        <sz val="10"/>
        <color rgb="FF0000FF"/>
        <rFont val="Noto Sans CJK SC"/>
        <family val="2"/>
      </rPr>
      <t xml:space="preserve">。延床面積・竣工年月等の建物概要は短信非掲載のため有報で補完予定</t>
    </r>
  </si>
  <si>
    <t xml:space="preserve">JEI-08</t>
  </si>
  <si>
    <t xml:space="preserve">マンサード代官山</t>
  </si>
  <si>
    <r>
      <rPr>
        <sz val="10"/>
        <color rgb="FF0000FF"/>
        <rFont val="Arial"/>
        <family val="0"/>
        <charset val="1"/>
      </rPr>
      <t xml:space="preserve">JEI</t>
    </r>
    <r>
      <rPr>
        <sz val="10"/>
        <color rgb="FF0000FF"/>
        <rFont val="Noto Sans CJK SC"/>
        <family val="2"/>
      </rPr>
      <t xml:space="preserve">物件番号Ⅰ</t>
    </r>
    <r>
      <rPr>
        <sz val="10"/>
        <color rgb="FF0000FF"/>
        <rFont val="Arial"/>
        <family val="0"/>
        <charset val="1"/>
      </rPr>
      <t xml:space="preserve">-15</t>
    </r>
    <r>
      <rPr>
        <sz val="10"/>
        <color rgb="FF0000FF"/>
        <rFont val="Noto Sans CJK SC"/>
        <family val="2"/>
      </rPr>
      <t xml:space="preserve">。延床面積・竣工年月等の建物概要は短信非掲載のため有報で補完予定</t>
    </r>
  </si>
  <si>
    <t xml:space="preserve">JEI-09</t>
  </si>
  <si>
    <t xml:space="preserve">赤坂インターシティAIR</t>
  </si>
  <si>
    <r>
      <rPr>
        <sz val="10"/>
        <color rgb="FF0000FF"/>
        <rFont val="Arial"/>
        <family val="0"/>
        <charset val="1"/>
      </rPr>
      <t xml:space="preserve">JEI</t>
    </r>
    <r>
      <rPr>
        <sz val="10"/>
        <color rgb="FF0000FF"/>
        <rFont val="Noto Sans CJK SC"/>
        <family val="2"/>
      </rPr>
      <t xml:space="preserve">物件番号Ⅰ</t>
    </r>
    <r>
      <rPr>
        <sz val="10"/>
        <color rgb="FF0000FF"/>
        <rFont val="Arial"/>
        <family val="0"/>
        <charset val="1"/>
      </rPr>
      <t xml:space="preserve">-16</t>
    </r>
    <r>
      <rPr>
        <sz val="10"/>
        <color rgb="FF0000FF"/>
        <rFont val="Noto Sans CJK SC"/>
        <family val="2"/>
      </rPr>
      <t xml:space="preserve">。</t>
    </r>
    <r>
      <rPr>
        <sz val="10"/>
        <color rgb="FF0000FF"/>
        <rFont val="Arial"/>
        <family val="0"/>
        <charset val="1"/>
      </rPr>
      <t xml:space="preserve">2026/3/19</t>
    </r>
    <r>
      <rPr>
        <sz val="10"/>
        <color rgb="FF0000FF"/>
        <rFont val="Noto Sans CJK SC"/>
        <family val="2"/>
      </rPr>
      <t xml:space="preserve">に持分追加取得予定（第</t>
    </r>
    <r>
      <rPr>
        <sz val="10"/>
        <color rgb="FF0000FF"/>
        <rFont val="Arial"/>
        <family val="0"/>
        <charset val="1"/>
      </rPr>
      <t xml:space="preserve">40</t>
    </r>
    <r>
      <rPr>
        <sz val="10"/>
        <color rgb="FF0000FF"/>
        <rFont val="Noto Sans CJK SC"/>
        <family val="2"/>
      </rPr>
      <t xml:space="preserve">期）。延床面積・竣工年月等の建物概要は短信非掲載のため有報で補完予定</t>
    </r>
  </si>
  <si>
    <t xml:space="preserve">JEI-10</t>
  </si>
  <si>
    <r>
      <rPr>
        <sz val="10"/>
        <color rgb="FF0000FF"/>
        <rFont val="Arial"/>
        <family val="0"/>
        <charset val="1"/>
      </rPr>
      <t xml:space="preserve">BIZCORE</t>
    </r>
    <r>
      <rPr>
        <sz val="10"/>
        <color rgb="FF0000FF"/>
        <rFont val="Noto Sans CJK SC"/>
        <family val="2"/>
      </rPr>
      <t xml:space="preserve">赤坂見附</t>
    </r>
  </si>
  <si>
    <r>
      <rPr>
        <sz val="10"/>
        <color rgb="FF0000FF"/>
        <rFont val="Arial"/>
        <family val="0"/>
        <charset val="1"/>
      </rPr>
      <t xml:space="preserve">JEI</t>
    </r>
    <r>
      <rPr>
        <sz val="10"/>
        <color rgb="FF0000FF"/>
        <rFont val="Noto Sans CJK SC"/>
        <family val="2"/>
      </rPr>
      <t xml:space="preserve">物件番号Ⅰ</t>
    </r>
    <r>
      <rPr>
        <sz val="10"/>
        <color rgb="FF0000FF"/>
        <rFont val="Arial"/>
        <family val="0"/>
        <charset val="1"/>
      </rPr>
      <t xml:space="preserve">-17</t>
    </r>
    <r>
      <rPr>
        <sz val="10"/>
        <color rgb="FF0000FF"/>
        <rFont val="Noto Sans CJK SC"/>
        <family val="2"/>
      </rPr>
      <t xml:space="preserve">。</t>
    </r>
    <r>
      <rPr>
        <sz val="10"/>
        <color rgb="FF0000FF"/>
        <rFont val="Arial"/>
        <family val="0"/>
        <charset val="1"/>
      </rPr>
      <t xml:space="preserve">2026/7/3</t>
    </r>
    <r>
      <rPr>
        <sz val="10"/>
        <color rgb="FF0000FF"/>
        <rFont val="Noto Sans CJK SC"/>
        <family val="2"/>
      </rPr>
      <t xml:space="preserve">譲渡予定（</t>
    </r>
    <r>
      <rPr>
        <sz val="10"/>
        <color rgb="FF0000FF"/>
        <rFont val="Arial"/>
        <family val="0"/>
        <charset val="1"/>
      </rPr>
      <t xml:space="preserve">6,450</t>
    </r>
    <r>
      <rPr>
        <sz val="10"/>
        <color rgb="FF0000FF"/>
        <rFont val="Noto Sans CJK SC"/>
        <family val="2"/>
      </rPr>
      <t xml:space="preserve">百万円）。期末算定価額は譲渡価格。延床面積・竣工年月等の建物概要は短信非掲載のため有報で補完予定</t>
    </r>
  </si>
  <si>
    <t xml:space="preserve">JEI-11</t>
  </si>
  <si>
    <r>
      <rPr>
        <sz val="10"/>
        <color rgb="FF0000FF"/>
        <rFont val="Arial"/>
        <family val="0"/>
        <charset val="1"/>
      </rPr>
      <t xml:space="preserve">BIZCORE</t>
    </r>
    <r>
      <rPr>
        <sz val="10"/>
        <color rgb="FF0000FF"/>
        <rFont val="Noto Sans CJK SC"/>
        <family val="2"/>
      </rPr>
      <t xml:space="preserve">神保町</t>
    </r>
  </si>
  <si>
    <r>
      <rPr>
        <sz val="10"/>
        <color rgb="FF0000FF"/>
        <rFont val="Arial"/>
        <family val="0"/>
        <charset val="1"/>
      </rPr>
      <t xml:space="preserve">JEI</t>
    </r>
    <r>
      <rPr>
        <sz val="10"/>
        <color rgb="FF0000FF"/>
        <rFont val="Noto Sans CJK SC"/>
        <family val="2"/>
      </rPr>
      <t xml:space="preserve">物件番号Ⅰ</t>
    </r>
    <r>
      <rPr>
        <sz val="10"/>
        <color rgb="FF0000FF"/>
        <rFont val="Arial"/>
        <family val="0"/>
        <charset val="1"/>
      </rPr>
      <t xml:space="preserve">-18</t>
    </r>
    <r>
      <rPr>
        <sz val="10"/>
        <color rgb="FF0000FF"/>
        <rFont val="Noto Sans CJK SC"/>
        <family val="2"/>
      </rPr>
      <t xml:space="preserve">。一元運用区画のため稼働率と収益は必ずしも相関せず。</t>
    </r>
    <r>
      <rPr>
        <sz val="10"/>
        <color rgb="FF0000FF"/>
        <rFont val="Arial"/>
        <family val="0"/>
        <charset val="1"/>
      </rPr>
      <t xml:space="preserve">2025/9</t>
    </r>
    <r>
      <rPr>
        <sz val="10"/>
        <color rgb="FF0000FF"/>
        <rFont val="Noto Sans CJK SC"/>
        <family val="2"/>
      </rPr>
      <t xml:space="preserve">持分追加取得。延床面積・竣工年月等の建物概要は短信非掲載のため有報で補完予定</t>
    </r>
  </si>
  <si>
    <t xml:space="preserve">JEI-12</t>
  </si>
  <si>
    <r>
      <rPr>
        <sz val="10"/>
        <color rgb="FF0000FF"/>
        <rFont val="Arial"/>
        <family val="0"/>
        <charset val="1"/>
      </rPr>
      <t xml:space="preserve">BIZCORE</t>
    </r>
    <r>
      <rPr>
        <sz val="10"/>
        <color rgb="FF0000FF"/>
        <rFont val="Noto Sans CJK SC"/>
        <family val="2"/>
      </rPr>
      <t xml:space="preserve">渋谷</t>
    </r>
  </si>
  <si>
    <r>
      <rPr>
        <sz val="10"/>
        <color rgb="FF0000FF"/>
        <rFont val="Arial"/>
        <family val="0"/>
        <charset val="1"/>
      </rPr>
      <t xml:space="preserve">JEI</t>
    </r>
    <r>
      <rPr>
        <sz val="10"/>
        <color rgb="FF0000FF"/>
        <rFont val="Noto Sans CJK SC"/>
        <family val="2"/>
      </rPr>
      <t xml:space="preserve">物件番号Ⅰ</t>
    </r>
    <r>
      <rPr>
        <sz val="10"/>
        <color rgb="FF0000FF"/>
        <rFont val="Arial"/>
        <family val="0"/>
        <charset val="1"/>
      </rPr>
      <t xml:space="preserve">-19</t>
    </r>
    <r>
      <rPr>
        <sz val="10"/>
        <color rgb="FF0000FF"/>
        <rFont val="Noto Sans CJK SC"/>
        <family val="2"/>
      </rPr>
      <t xml:space="preserve">。延床面積・竣工年月等の建物概要は短信非掲載のため有報で補完予定</t>
    </r>
  </si>
  <si>
    <t xml:space="preserve">JEI-13</t>
  </si>
  <si>
    <r>
      <rPr>
        <sz val="10"/>
        <color rgb="FF0000FF"/>
        <rFont val="Arial"/>
        <family val="0"/>
        <charset val="1"/>
      </rPr>
      <t xml:space="preserve">BIZCORE</t>
    </r>
    <r>
      <rPr>
        <sz val="10"/>
        <color rgb="FF0000FF"/>
        <rFont val="Noto Sans CJK SC"/>
        <family val="2"/>
      </rPr>
      <t xml:space="preserve">築地</t>
    </r>
  </si>
  <si>
    <r>
      <rPr>
        <sz val="10"/>
        <color rgb="FF0000FF"/>
        <rFont val="Arial"/>
        <family val="0"/>
        <charset val="1"/>
      </rPr>
      <t xml:space="preserve">JEI</t>
    </r>
    <r>
      <rPr>
        <sz val="10"/>
        <color rgb="FF0000FF"/>
        <rFont val="Noto Sans CJK SC"/>
        <family val="2"/>
      </rPr>
      <t xml:space="preserve">物件番号Ⅰ</t>
    </r>
    <r>
      <rPr>
        <sz val="10"/>
        <color rgb="FF0000FF"/>
        <rFont val="Arial"/>
        <family val="0"/>
        <charset val="1"/>
      </rPr>
      <t xml:space="preserve">-20</t>
    </r>
    <r>
      <rPr>
        <sz val="10"/>
        <color rgb="FF0000FF"/>
        <rFont val="Noto Sans CJK SC"/>
        <family val="2"/>
      </rPr>
      <t xml:space="preserve">。延床面積・竣工年月等の建物概要は短信非掲載のため有報で補完予定</t>
    </r>
  </si>
  <si>
    <t xml:space="preserve">JEI-14</t>
  </si>
  <si>
    <t xml:space="preserve">大崎ブライトタワー・大崎ブライトプラザ</t>
  </si>
  <si>
    <r>
      <rPr>
        <sz val="10"/>
        <color rgb="FF0000FF"/>
        <rFont val="Arial"/>
        <family val="0"/>
        <charset val="1"/>
      </rPr>
      <t xml:space="preserve">JEI</t>
    </r>
    <r>
      <rPr>
        <sz val="10"/>
        <color rgb="FF0000FF"/>
        <rFont val="Noto Sans CJK SC"/>
        <family val="2"/>
      </rPr>
      <t xml:space="preserve">物件番号Ⅰ</t>
    </r>
    <r>
      <rPr>
        <sz val="10"/>
        <color rgb="FF0000FF"/>
        <rFont val="Arial"/>
        <family val="0"/>
        <charset val="1"/>
      </rPr>
      <t xml:space="preserve">-21</t>
    </r>
    <r>
      <rPr>
        <sz val="10"/>
        <color rgb="FF0000FF"/>
        <rFont val="Noto Sans CJK SC"/>
        <family val="2"/>
      </rPr>
      <t xml:space="preserve">。</t>
    </r>
    <r>
      <rPr>
        <sz val="10"/>
        <color rgb="FF0000FF"/>
        <rFont val="Arial"/>
        <family val="0"/>
        <charset val="1"/>
      </rPr>
      <t xml:space="preserve">3</t>
    </r>
    <r>
      <rPr>
        <sz val="10"/>
        <color rgb="FF0000FF"/>
        <rFont val="Noto Sans CJK SC"/>
        <family val="2"/>
      </rPr>
      <t xml:space="preserve">区画構成・一元運用区画あり。延床面積・竣工年月等の建物概要は短信非掲載のため有報で補完予定</t>
    </r>
  </si>
  <si>
    <t xml:space="preserve">JEI-15</t>
  </si>
  <si>
    <t xml:space="preserve">アークヒルズフロントタワー</t>
  </si>
  <si>
    <r>
      <rPr>
        <sz val="10"/>
        <color rgb="FF0000FF"/>
        <rFont val="Arial"/>
        <family val="0"/>
        <charset val="1"/>
      </rPr>
      <t xml:space="preserve">JEI</t>
    </r>
    <r>
      <rPr>
        <sz val="10"/>
        <color rgb="FF0000FF"/>
        <rFont val="Noto Sans CJK SC"/>
        <family val="2"/>
      </rPr>
      <t xml:space="preserve">物件番号Ⅰ</t>
    </r>
    <r>
      <rPr>
        <sz val="10"/>
        <color rgb="FF0000FF"/>
        <rFont val="Arial"/>
        <family val="0"/>
        <charset val="1"/>
      </rPr>
      <t xml:space="preserve">-22</t>
    </r>
    <r>
      <rPr>
        <sz val="10"/>
        <color rgb="FF0000FF"/>
        <rFont val="Noto Sans CJK SC"/>
        <family val="2"/>
      </rPr>
      <t xml:space="preserve">。</t>
    </r>
    <r>
      <rPr>
        <sz val="10"/>
        <color rgb="FF0000FF"/>
        <rFont val="Arial"/>
        <family val="0"/>
        <charset val="1"/>
      </rPr>
      <t xml:space="preserve">2025</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月取得。延床面積・竣工年月等の建物概要は短信非掲載のため有報で補完予定</t>
    </r>
  </si>
  <si>
    <t xml:space="preserve">JEI-16</t>
  </si>
  <si>
    <r>
      <rPr>
        <sz val="10"/>
        <color rgb="FF0000FF"/>
        <rFont val="Arial"/>
        <family val="0"/>
        <charset val="1"/>
      </rPr>
      <t xml:space="preserve">NHK</t>
    </r>
    <r>
      <rPr>
        <sz val="10"/>
        <color rgb="FF0000FF"/>
        <rFont val="Noto Sans CJK SC"/>
        <family val="2"/>
      </rPr>
      <t xml:space="preserve">名古屋放送センタービル</t>
    </r>
  </si>
  <si>
    <r>
      <rPr>
        <sz val="10"/>
        <color rgb="FF0000FF"/>
        <rFont val="Arial"/>
        <family val="0"/>
        <charset val="1"/>
      </rPr>
      <t xml:space="preserve">JEI</t>
    </r>
    <r>
      <rPr>
        <sz val="10"/>
        <color rgb="FF0000FF"/>
        <rFont val="Noto Sans CJK SC"/>
        <family val="2"/>
      </rPr>
      <t xml:space="preserve">物件番号Ⅱ</t>
    </r>
    <r>
      <rPr>
        <sz val="10"/>
        <color rgb="FF0000FF"/>
        <rFont val="Arial"/>
        <family val="0"/>
        <charset val="1"/>
      </rPr>
      <t xml:space="preserve">-1</t>
    </r>
    <r>
      <rPr>
        <sz val="10"/>
        <color rgb="FF0000FF"/>
        <rFont val="Noto Sans CJK SC"/>
        <family val="2"/>
      </rPr>
      <t xml:space="preserve">。延床面積・竣工年月等の建物概要は短信非掲載のため有報で補完予定</t>
    </r>
  </si>
  <si>
    <t xml:space="preserve">JEI-17</t>
  </si>
  <si>
    <r>
      <rPr>
        <sz val="10"/>
        <color rgb="FF0000FF"/>
        <rFont val="Arial"/>
        <family val="0"/>
        <charset val="1"/>
      </rPr>
      <t xml:space="preserve">JEI</t>
    </r>
    <r>
      <rPr>
        <sz val="10"/>
        <color rgb="FF0000FF"/>
        <rFont val="Noto Sans CJK SC"/>
        <family val="2"/>
      </rPr>
      <t xml:space="preserve">物件番号Ⅱ</t>
    </r>
    <r>
      <rPr>
        <sz val="10"/>
        <color rgb="FF0000FF"/>
        <rFont val="Arial"/>
        <family val="0"/>
        <charset val="1"/>
      </rPr>
      <t xml:space="preserve">-4</t>
    </r>
    <r>
      <rPr>
        <sz val="10"/>
        <color rgb="FF0000FF"/>
        <rFont val="Noto Sans CJK SC"/>
        <family val="2"/>
      </rPr>
      <t xml:space="preserve">。延床面積・竣工年月等の建物概要は短信非掲載のため有報で補完予定</t>
    </r>
  </si>
  <si>
    <t xml:space="preserve">JEI-18</t>
  </si>
  <si>
    <r>
      <rPr>
        <sz val="10"/>
        <color rgb="FF0000FF"/>
        <rFont val="Arial"/>
        <family val="0"/>
        <charset val="1"/>
      </rPr>
      <t xml:space="preserve">JEI</t>
    </r>
    <r>
      <rPr>
        <sz val="10"/>
        <color rgb="FF0000FF"/>
        <rFont val="Noto Sans CJK SC"/>
        <family val="2"/>
      </rPr>
      <t xml:space="preserve">物件番号Ⅱ</t>
    </r>
    <r>
      <rPr>
        <sz val="10"/>
        <color rgb="FF0000FF"/>
        <rFont val="Arial"/>
        <family val="0"/>
        <charset val="1"/>
      </rPr>
      <t xml:space="preserve">-5</t>
    </r>
    <r>
      <rPr>
        <sz val="10"/>
        <color rgb="FF0000FF"/>
        <rFont val="Noto Sans CJK SC"/>
        <family val="2"/>
      </rPr>
      <t xml:space="preserve">。</t>
    </r>
    <r>
      <rPr>
        <sz val="10"/>
        <color rgb="FF0000FF"/>
        <rFont val="Arial"/>
        <family val="0"/>
        <charset val="1"/>
      </rPr>
      <t xml:space="preserve">KMO</t>
    </r>
    <r>
      <rPr>
        <sz val="10"/>
        <color rgb="FF0000FF"/>
        <rFont val="Noto Sans CJK SC"/>
        <family val="2"/>
      </rPr>
      <t xml:space="preserve">株式・ナレッジキャピタル基金返還請求権を付随保有。延床面積・竣工年月等の建物概要は短信非掲載のため有報で補完予定</t>
    </r>
  </si>
  <si>
    <t xml:space="preserve">JEI-19</t>
  </si>
  <si>
    <t xml:space="preserve">武蔵小杉タワープレイス</t>
  </si>
  <si>
    <r>
      <rPr>
        <sz val="10"/>
        <color rgb="FF0000FF"/>
        <rFont val="Arial"/>
        <family val="0"/>
        <charset val="1"/>
      </rPr>
      <t xml:space="preserve">JEI</t>
    </r>
    <r>
      <rPr>
        <sz val="10"/>
        <color rgb="FF0000FF"/>
        <rFont val="Noto Sans CJK SC"/>
        <family val="2"/>
      </rPr>
      <t xml:space="preserve">物件番号Ⅲ</t>
    </r>
    <r>
      <rPr>
        <sz val="10"/>
        <color rgb="FF0000FF"/>
        <rFont val="Arial"/>
        <family val="0"/>
        <charset val="1"/>
      </rPr>
      <t xml:space="preserve">-1</t>
    </r>
    <r>
      <rPr>
        <sz val="10"/>
        <color rgb="FF0000FF"/>
        <rFont val="Noto Sans CJK SC"/>
        <family val="2"/>
      </rPr>
      <t xml:space="preserve">。延床面積・竣工年月等の建物概要は短信非掲載のため有報で補完予定</t>
    </r>
  </si>
  <si>
    <t xml:space="preserve">JEI-20</t>
  </si>
  <si>
    <t xml:space="preserve">川崎日進町ビルディング</t>
  </si>
  <si>
    <r>
      <rPr>
        <sz val="10"/>
        <color rgb="FF0000FF"/>
        <rFont val="Arial"/>
        <family val="0"/>
        <charset val="1"/>
      </rPr>
      <t xml:space="preserve">JEI</t>
    </r>
    <r>
      <rPr>
        <sz val="10"/>
        <color rgb="FF0000FF"/>
        <rFont val="Noto Sans CJK SC"/>
        <family val="2"/>
      </rPr>
      <t xml:space="preserve">物件番号Ⅲ</t>
    </r>
    <r>
      <rPr>
        <sz val="10"/>
        <color rgb="FF0000FF"/>
        <rFont val="Arial"/>
        <family val="0"/>
        <charset val="1"/>
      </rPr>
      <t xml:space="preserve">-5</t>
    </r>
    <r>
      <rPr>
        <sz val="10"/>
        <color rgb="FF0000FF"/>
        <rFont val="Noto Sans CJK SC"/>
        <family val="2"/>
      </rPr>
      <t xml:space="preserve">。延床面積・竣工年月等の建物概要は短信非掲載のため有報で補完予定</t>
    </r>
  </si>
  <si>
    <t xml:space="preserve">JEI-21</t>
  </si>
  <si>
    <r>
      <rPr>
        <sz val="10"/>
        <color rgb="FF0000FF"/>
        <rFont val="Arial"/>
        <family val="0"/>
        <charset val="1"/>
      </rPr>
      <t xml:space="preserve">JEI</t>
    </r>
    <r>
      <rPr>
        <sz val="10"/>
        <color rgb="FF0000FF"/>
        <rFont val="Noto Sans CJK SC"/>
        <family val="2"/>
      </rPr>
      <t xml:space="preserve">両国ビル</t>
    </r>
  </si>
  <si>
    <r>
      <rPr>
        <sz val="10"/>
        <color rgb="FF0000FF"/>
        <rFont val="Arial"/>
        <family val="0"/>
        <charset val="1"/>
      </rPr>
      <t xml:space="preserve">JEI</t>
    </r>
    <r>
      <rPr>
        <sz val="10"/>
        <color rgb="FF0000FF"/>
        <rFont val="Noto Sans CJK SC"/>
        <family val="2"/>
      </rPr>
      <t xml:space="preserve">物件番号Ⅲ</t>
    </r>
    <r>
      <rPr>
        <sz val="10"/>
        <color rgb="FF0000FF"/>
        <rFont val="Arial"/>
        <family val="0"/>
        <charset val="1"/>
      </rPr>
      <t xml:space="preserve">-7</t>
    </r>
    <r>
      <rPr>
        <sz val="10"/>
        <color rgb="FF0000FF"/>
        <rFont val="Noto Sans CJK SC"/>
        <family val="2"/>
      </rPr>
      <t xml:space="preserve">。延床面積・竣工年月等の建物概要は短信非掲載のため有報で補完予定</t>
    </r>
  </si>
  <si>
    <t xml:space="preserve">JEI-22</t>
  </si>
  <si>
    <t xml:space="preserve">コアシティ立川</t>
  </si>
  <si>
    <r>
      <rPr>
        <sz val="10"/>
        <color rgb="FF0000FF"/>
        <rFont val="Arial"/>
        <family val="0"/>
        <charset val="1"/>
      </rPr>
      <t xml:space="preserve">JEI</t>
    </r>
    <r>
      <rPr>
        <sz val="10"/>
        <color rgb="FF0000FF"/>
        <rFont val="Noto Sans CJK SC"/>
        <family val="2"/>
      </rPr>
      <t xml:space="preserve">物件番号Ⅲ</t>
    </r>
    <r>
      <rPr>
        <sz val="10"/>
        <color rgb="FF0000FF"/>
        <rFont val="Arial"/>
        <family val="0"/>
        <charset val="1"/>
      </rPr>
      <t xml:space="preserve">-11</t>
    </r>
    <r>
      <rPr>
        <sz val="10"/>
        <color rgb="FF0000FF"/>
        <rFont val="Noto Sans CJK SC"/>
        <family val="2"/>
      </rPr>
      <t xml:space="preserve">。延床面積・竣工年月等の建物概要は短信非掲載のため有報で補完予定</t>
    </r>
  </si>
  <si>
    <t xml:space="preserve">JEI-23</t>
  </si>
  <si>
    <t xml:space="preserve">日石横浜ビル</t>
  </si>
  <si>
    <r>
      <rPr>
        <sz val="10"/>
        <color rgb="FF0000FF"/>
        <rFont val="Arial"/>
        <family val="0"/>
        <charset val="1"/>
      </rPr>
      <t xml:space="preserve">JEI</t>
    </r>
    <r>
      <rPr>
        <sz val="10"/>
        <color rgb="FF0000FF"/>
        <rFont val="Noto Sans CJK SC"/>
        <family val="2"/>
      </rPr>
      <t xml:space="preserve">物件番号Ⅲ</t>
    </r>
    <r>
      <rPr>
        <sz val="10"/>
        <color rgb="FF0000FF"/>
        <rFont val="Arial"/>
        <family val="0"/>
        <charset val="1"/>
      </rPr>
      <t xml:space="preserve">-12</t>
    </r>
    <r>
      <rPr>
        <sz val="10"/>
        <color rgb="FF0000FF"/>
        <rFont val="Noto Sans CJK SC"/>
        <family val="2"/>
      </rPr>
      <t xml:space="preserve">。主要な不動産等（賃貸事業収益の</t>
    </r>
    <r>
      <rPr>
        <sz val="10"/>
        <color rgb="FF0000FF"/>
        <rFont val="Arial"/>
        <family val="0"/>
        <charset val="1"/>
      </rPr>
      <t xml:space="preserve">10%</t>
    </r>
    <r>
      <rPr>
        <sz val="10"/>
        <color rgb="FF0000FF"/>
        <rFont val="Noto Sans CJK SC"/>
        <family val="2"/>
      </rPr>
      <t xml:space="preserve">以上）。延床面積・竣工年月等の建物概要は短信非掲載のため有報で補完予定</t>
    </r>
  </si>
  <si>
    <t xml:space="preserve">JEI-24</t>
  </si>
  <si>
    <t xml:space="preserve">横浜弁天通第一生命ビルディング</t>
  </si>
  <si>
    <r>
      <rPr>
        <sz val="10"/>
        <color rgb="FF0000FF"/>
        <rFont val="Arial"/>
        <family val="0"/>
        <charset val="1"/>
      </rPr>
      <t xml:space="preserve">JEI</t>
    </r>
    <r>
      <rPr>
        <sz val="10"/>
        <color rgb="FF0000FF"/>
        <rFont val="Noto Sans CJK SC"/>
        <family val="2"/>
      </rPr>
      <t xml:space="preserve">物件番号Ⅲ</t>
    </r>
    <r>
      <rPr>
        <sz val="10"/>
        <color rgb="FF0000FF"/>
        <rFont val="Arial"/>
        <family val="0"/>
        <charset val="1"/>
      </rPr>
      <t xml:space="preserve">-13</t>
    </r>
    <r>
      <rPr>
        <sz val="10"/>
        <color rgb="FF0000FF"/>
        <rFont val="Noto Sans CJK SC"/>
        <family val="2"/>
      </rPr>
      <t xml:space="preserve">。延床面積・竣工年月等の建物概要は短信非掲載のため有報で補完予定</t>
    </r>
  </si>
  <si>
    <t xml:space="preserve">JEI-25</t>
  </si>
  <si>
    <t xml:space="preserve">新横浜アリーナ通りビル</t>
  </si>
  <si>
    <r>
      <rPr>
        <sz val="10"/>
        <color rgb="FF0000FF"/>
        <rFont val="Arial"/>
        <family val="0"/>
        <charset val="1"/>
      </rPr>
      <t xml:space="preserve">JEI</t>
    </r>
    <r>
      <rPr>
        <sz val="10"/>
        <color rgb="FF0000FF"/>
        <rFont val="Noto Sans CJK SC"/>
        <family val="2"/>
      </rPr>
      <t xml:space="preserve">物件番号Ⅲ</t>
    </r>
    <r>
      <rPr>
        <sz val="10"/>
        <color rgb="FF0000FF"/>
        <rFont val="Arial"/>
        <family val="0"/>
        <charset val="1"/>
      </rPr>
      <t xml:space="preserve">-14</t>
    </r>
    <r>
      <rPr>
        <sz val="10"/>
        <color rgb="FF0000FF"/>
        <rFont val="Noto Sans CJK SC"/>
        <family val="2"/>
      </rPr>
      <t xml:space="preserve">。延床面積・竣工年月等の建物概要は短信非掲載のため有報で補完予定</t>
    </r>
  </si>
  <si>
    <t xml:space="preserve">JEI-26</t>
  </si>
  <si>
    <t xml:space="preserve">浦和SHビル</t>
  </si>
  <si>
    <r>
      <rPr>
        <sz val="10"/>
        <color rgb="FF0000FF"/>
        <rFont val="Arial"/>
        <family val="0"/>
        <charset val="1"/>
      </rPr>
      <t xml:space="preserve">JEI</t>
    </r>
    <r>
      <rPr>
        <sz val="10"/>
        <color rgb="FF0000FF"/>
        <rFont val="Noto Sans CJK SC"/>
        <family val="2"/>
      </rPr>
      <t xml:space="preserve">物件番号Ⅲ</t>
    </r>
    <r>
      <rPr>
        <sz val="10"/>
        <color rgb="FF0000FF"/>
        <rFont val="Arial"/>
        <family val="0"/>
        <charset val="1"/>
      </rPr>
      <t xml:space="preserve">-15</t>
    </r>
    <r>
      <rPr>
        <sz val="10"/>
        <color rgb="FF0000FF"/>
        <rFont val="Noto Sans CJK SC"/>
        <family val="2"/>
      </rPr>
      <t xml:space="preserve">。</t>
    </r>
    <r>
      <rPr>
        <sz val="10"/>
        <color rgb="FF0000FF"/>
        <rFont val="Arial"/>
        <family val="0"/>
        <charset val="1"/>
      </rPr>
      <t xml:space="preserve">2025/10</t>
    </r>
    <r>
      <rPr>
        <sz val="10"/>
        <color rgb="FF0000FF"/>
        <rFont val="Noto Sans CJK SC"/>
        <family val="2"/>
      </rPr>
      <t xml:space="preserve">取得。延床面積・竣工年月等の建物概要は短信非掲載のため有報で補完予定</t>
    </r>
  </si>
  <si>
    <t xml:space="preserve">JEI-27</t>
  </si>
  <si>
    <r>
      <rPr>
        <sz val="10"/>
        <color rgb="FF0000FF"/>
        <rFont val="Arial"/>
        <family val="0"/>
        <charset val="1"/>
      </rPr>
      <t xml:space="preserve">JEI</t>
    </r>
    <r>
      <rPr>
        <sz val="10"/>
        <color rgb="FF0000FF"/>
        <rFont val="Noto Sans CJK SC"/>
        <family val="2"/>
      </rPr>
      <t xml:space="preserve">広島八丁堀ビル</t>
    </r>
  </si>
  <si>
    <r>
      <rPr>
        <sz val="10"/>
        <color rgb="FF0000FF"/>
        <rFont val="Arial"/>
        <family val="0"/>
        <charset val="1"/>
      </rPr>
      <t xml:space="preserve">JEI</t>
    </r>
    <r>
      <rPr>
        <sz val="10"/>
        <color rgb="FF0000FF"/>
        <rFont val="Noto Sans CJK SC"/>
        <family val="2"/>
      </rPr>
      <t xml:space="preserve">物件番号Ⅳ</t>
    </r>
    <r>
      <rPr>
        <sz val="10"/>
        <color rgb="FF0000FF"/>
        <rFont val="Arial"/>
        <family val="0"/>
        <charset val="1"/>
      </rPr>
      <t xml:space="preserve">-3</t>
    </r>
    <r>
      <rPr>
        <sz val="10"/>
        <color rgb="FF0000FF"/>
        <rFont val="Noto Sans CJK SC"/>
        <family val="2"/>
      </rPr>
      <t xml:space="preserve">。延床面積・竣工年月等の建物概要は短信非掲載のため有報で補完予定</t>
    </r>
  </si>
  <si>
    <t xml:space="preserve">JEI-28</t>
  </si>
  <si>
    <r>
      <rPr>
        <sz val="10"/>
        <color rgb="FF0000FF"/>
        <rFont val="Arial"/>
        <family val="0"/>
        <charset val="1"/>
      </rPr>
      <t xml:space="preserve">SE</t>
    </r>
    <r>
      <rPr>
        <sz val="10"/>
        <color rgb="FF0000FF"/>
        <rFont val="Noto Sans CJK SC"/>
        <family val="2"/>
      </rPr>
      <t xml:space="preserve">札幌ビル</t>
    </r>
  </si>
  <si>
    <r>
      <rPr>
        <sz val="10"/>
        <color rgb="FF0000FF"/>
        <rFont val="Arial"/>
        <family val="0"/>
        <charset val="1"/>
      </rPr>
      <t xml:space="preserve">JEI</t>
    </r>
    <r>
      <rPr>
        <sz val="10"/>
        <color rgb="FF0000FF"/>
        <rFont val="Noto Sans CJK SC"/>
        <family val="2"/>
      </rPr>
      <t xml:space="preserve">物件番号Ⅳ</t>
    </r>
    <r>
      <rPr>
        <sz val="10"/>
        <color rgb="FF0000FF"/>
        <rFont val="Arial"/>
        <family val="0"/>
        <charset val="1"/>
      </rPr>
      <t xml:space="preserve">-4</t>
    </r>
    <r>
      <rPr>
        <sz val="10"/>
        <color rgb="FF0000FF"/>
        <rFont val="Noto Sans CJK SC"/>
        <family val="2"/>
      </rPr>
      <t xml:space="preserve">。延床面積・竣工年月等の建物概要は短信非掲載のため有報で補完予定</t>
    </r>
  </si>
  <si>
    <t xml:space="preserve">JEI-29</t>
  </si>
  <si>
    <t xml:space="preserve">青葉通プラザ</t>
  </si>
  <si>
    <r>
      <rPr>
        <sz val="10"/>
        <color rgb="FF0000FF"/>
        <rFont val="Arial"/>
        <family val="0"/>
        <charset val="1"/>
      </rPr>
      <t xml:space="preserve">JEI</t>
    </r>
    <r>
      <rPr>
        <sz val="10"/>
        <color rgb="FF0000FF"/>
        <rFont val="Noto Sans CJK SC"/>
        <family val="2"/>
      </rPr>
      <t xml:space="preserve">物件番号Ⅳ</t>
    </r>
    <r>
      <rPr>
        <sz val="10"/>
        <color rgb="FF0000FF"/>
        <rFont val="Arial"/>
        <family val="0"/>
        <charset val="1"/>
      </rPr>
      <t xml:space="preserve">-5</t>
    </r>
    <r>
      <rPr>
        <sz val="10"/>
        <color rgb="FF0000FF"/>
        <rFont val="Noto Sans CJK SC"/>
        <family val="2"/>
      </rPr>
      <t xml:space="preserve">。</t>
    </r>
    <r>
      <rPr>
        <sz val="10"/>
        <color rgb="FF0000FF"/>
        <rFont val="Arial"/>
        <family val="0"/>
        <charset val="1"/>
      </rPr>
      <t xml:space="preserve">PML</t>
    </r>
    <r>
      <rPr>
        <sz val="10"/>
        <color rgb="FF0000FF"/>
        <rFont val="Noto Sans CJK SC"/>
        <family val="2"/>
      </rPr>
      <t xml:space="preserve">は</t>
    </r>
    <r>
      <rPr>
        <sz val="10"/>
        <color rgb="FF0000FF"/>
        <rFont val="Arial"/>
        <family val="0"/>
        <charset val="1"/>
      </rPr>
      <t xml:space="preserve">0.1%</t>
    </r>
    <r>
      <rPr>
        <sz val="10"/>
        <color rgb="FF0000FF"/>
        <rFont val="Noto Sans CJK SC"/>
        <family val="2"/>
      </rPr>
      <t xml:space="preserve">未満。延床面積・竣工年月等の建物概要は短信非掲載のため有報で補完予定</t>
    </r>
  </si>
  <si>
    <t xml:space="preserve">JEI-30</t>
  </si>
  <si>
    <t xml:space="preserve">大和南森町ビル</t>
  </si>
  <si>
    <r>
      <rPr>
        <sz val="10"/>
        <color rgb="FF0000FF"/>
        <rFont val="Arial"/>
        <family val="0"/>
        <charset val="1"/>
      </rPr>
      <t xml:space="preserve">JEI</t>
    </r>
    <r>
      <rPr>
        <sz val="10"/>
        <color rgb="FF0000FF"/>
        <rFont val="Noto Sans CJK SC"/>
        <family val="2"/>
      </rPr>
      <t xml:space="preserve">物件番号Ⅳ</t>
    </r>
    <r>
      <rPr>
        <sz val="10"/>
        <color rgb="FF0000FF"/>
        <rFont val="Arial"/>
        <family val="0"/>
        <charset val="1"/>
      </rPr>
      <t xml:space="preserve">-6</t>
    </r>
    <r>
      <rPr>
        <sz val="10"/>
        <color rgb="FF0000FF"/>
        <rFont val="Noto Sans CJK SC"/>
        <family val="2"/>
      </rPr>
      <t xml:space="preserve">。延床面積・竣工年月等の建物概要は短信非掲載のため有報で補完予定</t>
    </r>
  </si>
  <si>
    <t xml:space="preserve">JEI-31</t>
  </si>
  <si>
    <r>
      <rPr>
        <sz val="10"/>
        <color rgb="FF0000FF"/>
        <rFont val="Arial"/>
        <family val="0"/>
        <charset val="1"/>
      </rPr>
      <t xml:space="preserve">JEI</t>
    </r>
    <r>
      <rPr>
        <sz val="10"/>
        <color rgb="FF0000FF"/>
        <rFont val="Noto Sans CJK SC"/>
        <family val="2"/>
      </rPr>
      <t xml:space="preserve">那覇ビル</t>
    </r>
  </si>
  <si>
    <t xml:space="preserve">沖縄県</t>
  </si>
  <si>
    <t xml:space="preserve">那覇市</t>
  </si>
  <si>
    <r>
      <rPr>
        <sz val="10"/>
        <color rgb="FF0000FF"/>
        <rFont val="Arial"/>
        <family val="0"/>
        <charset val="1"/>
      </rPr>
      <t xml:space="preserve">JEI</t>
    </r>
    <r>
      <rPr>
        <sz val="10"/>
        <color rgb="FF0000FF"/>
        <rFont val="Noto Sans CJK SC"/>
        <family val="2"/>
      </rPr>
      <t xml:space="preserve">物件番号Ⅳ</t>
    </r>
    <r>
      <rPr>
        <sz val="10"/>
        <color rgb="FF0000FF"/>
        <rFont val="Arial"/>
        <family val="0"/>
        <charset val="1"/>
      </rPr>
      <t xml:space="preserve">-7</t>
    </r>
    <r>
      <rPr>
        <sz val="10"/>
        <color rgb="FF0000FF"/>
        <rFont val="Noto Sans CJK SC"/>
        <family val="2"/>
      </rPr>
      <t xml:space="preserve">。延床面積・竣工年月等の建物概要は短信非掲載のため有報で補完予定</t>
    </r>
  </si>
  <si>
    <t xml:space="preserve">JEI-32</t>
  </si>
  <si>
    <t xml:space="preserve">広島第一生命OSビルディング</t>
  </si>
  <si>
    <r>
      <rPr>
        <sz val="10"/>
        <color rgb="FF0000FF"/>
        <rFont val="Arial"/>
        <family val="0"/>
        <charset val="1"/>
      </rPr>
      <t xml:space="preserve">JEI</t>
    </r>
    <r>
      <rPr>
        <sz val="10"/>
        <color rgb="FF0000FF"/>
        <rFont val="Noto Sans CJK SC"/>
        <family val="2"/>
      </rPr>
      <t xml:space="preserve">物件番号Ⅳ</t>
    </r>
    <r>
      <rPr>
        <sz val="10"/>
        <color rgb="FF0000FF"/>
        <rFont val="Arial"/>
        <family val="0"/>
        <charset val="1"/>
      </rPr>
      <t xml:space="preserve">-8</t>
    </r>
    <r>
      <rPr>
        <sz val="10"/>
        <color rgb="FF0000FF"/>
        <rFont val="Noto Sans CJK SC"/>
        <family val="2"/>
      </rPr>
      <t xml:space="preserve">。延床面積・竣工年月等の建物概要は短信非掲載のため有報で補完予定</t>
    </r>
  </si>
  <si>
    <t xml:space="preserve">JEI-33</t>
  </si>
  <si>
    <t xml:space="preserve">札幌大手町ビル</t>
  </si>
  <si>
    <r>
      <rPr>
        <sz val="10"/>
        <color rgb="FF0000FF"/>
        <rFont val="Arial"/>
        <family val="0"/>
        <charset val="1"/>
      </rPr>
      <t xml:space="preserve">JEI</t>
    </r>
    <r>
      <rPr>
        <sz val="10"/>
        <color rgb="FF0000FF"/>
        <rFont val="Noto Sans CJK SC"/>
        <family val="2"/>
      </rPr>
      <t xml:space="preserve">物件番号Ⅳ</t>
    </r>
    <r>
      <rPr>
        <sz val="10"/>
        <color rgb="FF0000FF"/>
        <rFont val="Arial"/>
        <family val="0"/>
        <charset val="1"/>
      </rPr>
      <t xml:space="preserve">-10</t>
    </r>
    <r>
      <rPr>
        <sz val="10"/>
        <color rgb="FF0000FF"/>
        <rFont val="Noto Sans CJK SC"/>
        <family val="2"/>
      </rPr>
      <t xml:space="preserve">。延床面積・竣工年月等の建物概要は短信非掲載のため有報で補完予定</t>
    </r>
  </si>
  <si>
    <t xml:space="preserve">JEI-34</t>
  </si>
  <si>
    <t xml:space="preserve">仙信ビル</t>
  </si>
  <si>
    <r>
      <rPr>
        <sz val="10"/>
        <color rgb="FF0000FF"/>
        <rFont val="Arial"/>
        <family val="0"/>
        <charset val="1"/>
      </rPr>
      <t xml:space="preserve">JEI</t>
    </r>
    <r>
      <rPr>
        <sz val="10"/>
        <color rgb="FF0000FF"/>
        <rFont val="Noto Sans CJK SC"/>
        <family val="2"/>
      </rPr>
      <t xml:space="preserve">物件番号Ⅳ</t>
    </r>
    <r>
      <rPr>
        <sz val="10"/>
        <color rgb="FF0000FF"/>
        <rFont val="Arial"/>
        <family val="0"/>
        <charset val="1"/>
      </rPr>
      <t xml:space="preserve">-9</t>
    </r>
    <r>
      <rPr>
        <sz val="10"/>
        <color rgb="FF0000FF"/>
        <rFont val="Noto Sans CJK SC"/>
        <family val="2"/>
      </rPr>
      <t xml:space="preserve">。</t>
    </r>
    <r>
      <rPr>
        <sz val="10"/>
        <color rgb="FF0000FF"/>
        <rFont val="Arial"/>
        <family val="0"/>
        <charset val="1"/>
      </rPr>
      <t xml:space="preserve">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月売却（売却損</t>
    </r>
    <r>
      <rPr>
        <sz val="10"/>
        <color rgb="FF0000FF"/>
        <rFont val="Arial"/>
        <family val="0"/>
        <charset val="1"/>
      </rPr>
      <t xml:space="preserve">49</t>
    </r>
    <r>
      <rPr>
        <sz val="10"/>
        <color rgb="FF0000FF"/>
        <rFont val="Noto Sans CJK SC"/>
        <family val="2"/>
      </rPr>
      <t xml:space="preserve">百万円計上）。老朽化・低稼働のため入替。延床面積・竣工年月等の建物概要は短信非掲載のため有報で補完予定</t>
    </r>
  </si>
  <si>
    <t xml:space="preserve">MHR-ALL</t>
  </si>
  <si>
    <t xml:space="preserve">【MHRポートフォリオ全体】</t>
  </si>
  <si>
    <t xml:space="preserve">オフィス中心(住宅・商業底地含む)</t>
  </si>
  <si>
    <r>
      <rPr>
        <sz val="10"/>
        <color rgb="FF0000FF"/>
        <rFont val="Arial"/>
        <family val="0"/>
        <charset val="1"/>
      </rPr>
      <t xml:space="preserve">11</t>
    </r>
    <r>
      <rPr>
        <sz val="10"/>
        <color rgb="FF0000FF"/>
        <rFont val="Noto Sans CJK SC"/>
        <family val="2"/>
      </rPr>
      <t xml:space="preserve">物件（</t>
    </r>
    <r>
      <rPr>
        <sz val="10"/>
        <color rgb="FF0000FF"/>
        <rFont val="Arial"/>
        <family val="0"/>
        <charset val="1"/>
      </rPr>
      <t xml:space="preserve">2026/1/31</t>
    </r>
    <r>
      <rPr>
        <sz val="10"/>
        <color rgb="FF0000FF"/>
        <rFont val="Noto Sans CJK SC"/>
        <family val="2"/>
      </rPr>
      <t xml:space="preserve">時点）</t>
    </r>
  </si>
  <si>
    <r>
      <rPr>
        <sz val="10"/>
        <color rgb="FF0000FF"/>
        <rFont val="Arial"/>
        <family val="0"/>
        <charset val="1"/>
      </rPr>
      <t xml:space="preserve">MHR 2026</t>
    </r>
    <r>
      <rPr>
        <sz val="10"/>
        <color rgb="FF0000FF"/>
        <rFont val="Noto Sans CJK SC"/>
        <family val="2"/>
      </rPr>
      <t xml:space="preserve">年</t>
    </r>
    <r>
      <rPr>
        <sz val="10"/>
        <color rgb="FF0000FF"/>
        <rFont val="Arial"/>
        <family val="0"/>
        <charset val="1"/>
      </rPr>
      <t xml:space="preserve">1</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39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(2026/3/17</t>
    </r>
    <r>
      <rPr>
        <sz val="10"/>
        <color rgb="FF0000FF"/>
        <rFont val="Noto Sans CJK SC"/>
        <family val="2"/>
      </rPr>
      <t xml:space="preserve">公表</t>
    </r>
    <r>
      <rPr>
        <sz val="10"/>
        <color rgb="FF0000FF"/>
        <rFont val="Arial"/>
        <family val="0"/>
        <charset val="1"/>
      </rPr>
      <t xml:space="preserve">)</t>
    </r>
  </si>
  <si>
    <t xml:space="preserve">MHR-01</t>
  </si>
  <si>
    <t xml:space="preserve">六本木ヒルズ森タワー</t>
  </si>
  <si>
    <r>
      <rPr>
        <sz val="10"/>
        <color rgb="FF0000FF"/>
        <rFont val="Arial"/>
        <family val="0"/>
        <charset val="1"/>
      </rPr>
      <t xml:space="preserve">MHR</t>
    </r>
    <r>
      <rPr>
        <sz val="10"/>
        <color rgb="FF0000FF"/>
        <rFont val="Noto Sans CJK SC"/>
        <family val="2"/>
      </rPr>
      <t xml:space="preserve">物件番号</t>
    </r>
    <r>
      <rPr>
        <sz val="10"/>
        <color rgb="FF0000FF"/>
        <rFont val="Arial"/>
        <family val="0"/>
        <charset val="1"/>
      </rPr>
      <t xml:space="preserve">O-0(</t>
    </r>
    <r>
      <rPr>
        <sz val="10"/>
        <color rgb="FF0000FF"/>
        <rFont val="Noto Sans CJK SC"/>
        <family val="2"/>
      </rPr>
      <t xml:space="preserve">プレミアムエリア</t>
    </r>
    <r>
      <rPr>
        <sz val="10"/>
        <color rgb="FF0000FF"/>
        <rFont val="Arial"/>
        <family val="0"/>
        <charset val="1"/>
      </rPr>
      <t xml:space="preserve">=</t>
    </r>
    <r>
      <rPr>
        <sz val="10"/>
        <color rgb="FF0000FF"/>
        <rFont val="Noto Sans CJK SC"/>
        <family val="2"/>
      </rPr>
      <t xml:space="preserve">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周辺</t>
    </r>
    <r>
      <rPr>
        <sz val="10"/>
        <color rgb="FF0000FF"/>
        <rFont val="Arial"/>
        <family val="0"/>
        <charset val="1"/>
      </rPr>
      <t xml:space="preserve">)</t>
    </r>
    <r>
      <rPr>
        <sz val="10"/>
        <color rgb="FF0000FF"/>
        <rFont val="Noto Sans CJK SC"/>
        <family val="2"/>
      </rPr>
      <t xml:space="preserve">。プレミアム物件。</t>
    </r>
    <r>
      <rPr>
        <sz val="10"/>
        <color rgb="FF0000FF"/>
        <rFont val="Arial"/>
        <family val="0"/>
        <charset val="1"/>
      </rPr>
      <t xml:space="preserve">19</t>
    </r>
    <r>
      <rPr>
        <sz val="10"/>
        <color rgb="FF0000FF"/>
        <rFont val="Noto Sans CJK SC"/>
        <family val="2"/>
      </rPr>
      <t xml:space="preserve">・</t>
    </r>
    <r>
      <rPr>
        <sz val="10"/>
        <color rgb="FF0000FF"/>
        <rFont val="Arial"/>
        <family val="0"/>
        <charset val="1"/>
      </rPr>
      <t xml:space="preserve">20</t>
    </r>
    <r>
      <rPr>
        <sz val="10"/>
        <color rgb="FF0000FF"/>
        <rFont val="Noto Sans CJK SC"/>
        <family val="2"/>
      </rPr>
      <t xml:space="preserve">・</t>
    </r>
    <r>
      <rPr>
        <sz val="10"/>
        <color rgb="FF0000FF"/>
        <rFont val="Arial"/>
        <family val="0"/>
        <charset val="1"/>
      </rPr>
      <t xml:space="preserve">22</t>
    </r>
    <r>
      <rPr>
        <sz val="10"/>
        <color rgb="FF0000FF"/>
        <rFont val="Noto Sans CJK SC"/>
        <family val="2"/>
      </rPr>
      <t xml:space="preserve">〜</t>
    </r>
    <r>
      <rPr>
        <sz val="10"/>
        <color rgb="FF0000FF"/>
        <rFont val="Arial"/>
        <family val="0"/>
        <charset val="1"/>
      </rPr>
      <t xml:space="preserve">29</t>
    </r>
    <r>
      <rPr>
        <sz val="10"/>
        <color rgb="FF0000FF"/>
        <rFont val="Noto Sans CJK SC"/>
        <family val="2"/>
      </rPr>
      <t xml:space="preserve">階部分等を保有。森ビルへの固定型マスターリース</t>
    </r>
    <r>
      <rPr>
        <sz val="10"/>
        <color rgb="FF0000FF"/>
        <rFont val="Arial"/>
        <family val="0"/>
        <charset val="1"/>
      </rPr>
      <t xml:space="preserve">(</t>
    </r>
    <r>
      <rPr>
        <sz val="10"/>
        <color rgb="FF0000FF"/>
        <rFont val="Noto Sans CJK SC"/>
        <family val="2"/>
      </rPr>
      <t xml:space="preserve">テナント数</t>
    </r>
    <r>
      <rPr>
        <sz val="10"/>
        <color rgb="FF0000FF"/>
        <rFont val="Arial"/>
        <family val="0"/>
        <charset val="1"/>
      </rPr>
      <t xml:space="preserve">1</t>
    </r>
    <r>
      <rPr>
        <sz val="10"/>
        <color rgb="FF0000FF"/>
        <rFont val="Noto Sans CJK SC"/>
        <family val="2"/>
      </rPr>
      <t xml:space="preserve">は</t>
    </r>
    <r>
      <rPr>
        <sz val="10"/>
        <color rgb="FF0000FF"/>
        <rFont val="Arial"/>
        <family val="0"/>
        <charset val="1"/>
      </rPr>
      <t xml:space="preserve">ML)</t>
    </r>
    <r>
      <rPr>
        <sz val="10"/>
        <color rgb="FF0000FF"/>
        <rFont val="Noto Sans CJK SC"/>
        <family val="2"/>
      </rPr>
      <t xml:space="preserve">。構造</t>
    </r>
    <r>
      <rPr>
        <sz val="10"/>
        <color rgb="FF0000FF"/>
        <rFont val="Arial"/>
        <family val="0"/>
        <charset val="1"/>
      </rPr>
      <t xml:space="preserve">S</t>
    </r>
    <r>
      <rPr>
        <sz val="10"/>
        <color rgb="FF0000FF"/>
        <rFont val="Noto Sans CJK SC"/>
        <family val="2"/>
      </rPr>
      <t xml:space="preserve">・</t>
    </r>
    <r>
      <rPr>
        <sz val="10"/>
        <color rgb="FF0000FF"/>
        <rFont val="Arial"/>
        <family val="0"/>
        <charset val="1"/>
      </rPr>
      <t xml:space="preserve">SRC</t>
    </r>
  </si>
  <si>
    <t xml:space="preserve">MHR-02</t>
  </si>
  <si>
    <t xml:space="preserve">アーク森ビル</t>
  </si>
  <si>
    <r>
      <rPr>
        <sz val="10"/>
        <color rgb="FF0000FF"/>
        <rFont val="Arial"/>
        <family val="0"/>
        <charset val="1"/>
      </rPr>
      <t xml:space="preserve">MHR</t>
    </r>
    <r>
      <rPr>
        <sz val="10"/>
        <color rgb="FF0000FF"/>
        <rFont val="Noto Sans CJK SC"/>
        <family val="2"/>
      </rPr>
      <t xml:space="preserve">物件番号</t>
    </r>
    <r>
      <rPr>
        <sz val="10"/>
        <color rgb="FF0000FF"/>
        <rFont val="Arial"/>
        <family val="0"/>
        <charset val="1"/>
      </rPr>
      <t xml:space="preserve">O-1(</t>
    </r>
    <r>
      <rPr>
        <sz val="10"/>
        <color rgb="FF0000FF"/>
        <rFont val="Noto Sans CJK SC"/>
        <family val="2"/>
      </rPr>
      <t xml:space="preserve">プレミアムエリア</t>
    </r>
    <r>
      <rPr>
        <sz val="10"/>
        <color rgb="FF0000FF"/>
        <rFont val="Arial"/>
        <family val="0"/>
        <charset val="1"/>
      </rPr>
      <t xml:space="preserve">=</t>
    </r>
    <r>
      <rPr>
        <sz val="10"/>
        <color rgb="FF0000FF"/>
        <rFont val="Noto Sans CJK SC"/>
        <family val="2"/>
      </rPr>
      <t xml:space="preserve">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周辺</t>
    </r>
    <r>
      <rPr>
        <sz val="10"/>
        <color rgb="FF0000FF"/>
        <rFont val="Arial"/>
        <family val="0"/>
        <charset val="1"/>
      </rPr>
      <t xml:space="preserve">)</t>
    </r>
    <r>
      <rPr>
        <sz val="10"/>
        <color rgb="FF0000FF"/>
        <rFont val="Noto Sans CJK SC"/>
        <family val="2"/>
      </rPr>
      <t xml:space="preserve">。プレミアム物件。</t>
    </r>
    <r>
      <rPr>
        <sz val="10"/>
        <color rgb="FF0000FF"/>
        <rFont val="Arial"/>
        <family val="0"/>
        <charset val="1"/>
      </rPr>
      <t xml:space="preserve">4</t>
    </r>
    <r>
      <rPr>
        <sz val="10"/>
        <color rgb="FF0000FF"/>
        <rFont val="Noto Sans CJK SC"/>
        <family val="2"/>
      </rPr>
      <t xml:space="preserve">・</t>
    </r>
    <r>
      <rPr>
        <sz val="10"/>
        <color rgb="FF0000FF"/>
        <rFont val="Arial"/>
        <family val="0"/>
        <charset val="1"/>
      </rPr>
      <t xml:space="preserve">12</t>
    </r>
    <r>
      <rPr>
        <sz val="10"/>
        <color rgb="FF0000FF"/>
        <rFont val="Noto Sans CJK SC"/>
        <family val="2"/>
      </rPr>
      <t xml:space="preserve">・</t>
    </r>
    <r>
      <rPr>
        <sz val="10"/>
        <color rgb="FF0000FF"/>
        <rFont val="Arial"/>
        <family val="0"/>
        <charset val="1"/>
      </rPr>
      <t xml:space="preserve">13</t>
    </r>
    <r>
      <rPr>
        <sz val="10"/>
        <color rgb="FF0000FF"/>
        <rFont val="Noto Sans CJK SC"/>
        <family val="2"/>
      </rPr>
      <t xml:space="preserve">・</t>
    </r>
    <r>
      <rPr>
        <sz val="10"/>
        <color rgb="FF0000FF"/>
        <rFont val="Arial"/>
        <family val="0"/>
        <charset val="1"/>
      </rPr>
      <t xml:space="preserve">15</t>
    </r>
    <r>
      <rPr>
        <sz val="10"/>
        <color rgb="FF0000FF"/>
        <rFont val="Noto Sans CJK SC"/>
        <family val="2"/>
      </rPr>
      <t xml:space="preserve">・</t>
    </r>
    <r>
      <rPr>
        <sz val="10"/>
        <color rgb="FF0000FF"/>
        <rFont val="Arial"/>
        <family val="0"/>
        <charset val="1"/>
      </rPr>
      <t xml:space="preserve">22</t>
    </r>
    <r>
      <rPr>
        <sz val="10"/>
        <color rgb="FF0000FF"/>
        <rFont val="Noto Sans CJK SC"/>
        <family val="2"/>
      </rPr>
      <t xml:space="preserve">〜</t>
    </r>
    <r>
      <rPr>
        <sz val="10"/>
        <color rgb="FF0000FF"/>
        <rFont val="Arial"/>
        <family val="0"/>
        <charset val="1"/>
      </rPr>
      <t xml:space="preserve">25</t>
    </r>
    <r>
      <rPr>
        <sz val="10"/>
        <color rgb="FF0000FF"/>
        <rFont val="Noto Sans CJK SC"/>
        <family val="2"/>
      </rPr>
      <t xml:space="preserve">階・冷熱供給所部分等を保有。森ビルへの固定型マスターリース。構造</t>
    </r>
    <r>
      <rPr>
        <sz val="10"/>
        <color rgb="FF0000FF"/>
        <rFont val="Arial"/>
        <family val="0"/>
        <charset val="1"/>
      </rPr>
      <t xml:space="preserve">RC</t>
    </r>
    <r>
      <rPr>
        <sz val="10"/>
        <color rgb="FF0000FF"/>
        <rFont val="Noto Sans CJK SC"/>
        <family val="2"/>
      </rPr>
      <t xml:space="preserve">・</t>
    </r>
    <r>
      <rPr>
        <sz val="10"/>
        <color rgb="FF0000FF"/>
        <rFont val="Arial"/>
        <family val="0"/>
        <charset val="1"/>
      </rPr>
      <t xml:space="preserve">SRC</t>
    </r>
    <r>
      <rPr>
        <sz val="10"/>
        <color rgb="FF0000FF"/>
        <rFont val="Noto Sans CJK SC"/>
        <family val="2"/>
      </rPr>
      <t xml:space="preserve">・</t>
    </r>
    <r>
      <rPr>
        <sz val="10"/>
        <color rgb="FF0000FF"/>
        <rFont val="Arial"/>
        <family val="0"/>
        <charset val="1"/>
      </rPr>
      <t xml:space="preserve">S</t>
    </r>
  </si>
  <si>
    <t xml:space="preserve">MHR-03</t>
  </si>
  <si>
    <t xml:space="preserve">後楽森ビル</t>
  </si>
  <si>
    <r>
      <rPr>
        <sz val="10"/>
        <color rgb="FF0000FF"/>
        <rFont val="Arial"/>
        <family val="0"/>
        <charset val="1"/>
      </rPr>
      <t xml:space="preserve">MHR</t>
    </r>
    <r>
      <rPr>
        <sz val="10"/>
        <color rgb="FF0000FF"/>
        <rFont val="Noto Sans CJK SC"/>
        <family val="2"/>
      </rPr>
      <t xml:space="preserve">物件番号</t>
    </r>
    <r>
      <rPr>
        <sz val="10"/>
        <color rgb="FF0000FF"/>
        <rFont val="Arial"/>
        <family val="0"/>
        <charset val="1"/>
      </rPr>
      <t xml:space="preserve">O-4(</t>
    </r>
    <r>
      <rPr>
        <sz val="10"/>
        <color rgb="FF0000FF"/>
        <rFont val="Noto Sans CJK SC"/>
        <family val="2"/>
      </rPr>
      <t xml:space="preserve">プレミアムエリア</t>
    </r>
    <r>
      <rPr>
        <sz val="10"/>
        <color rgb="FF0000FF"/>
        <rFont val="Arial"/>
        <family val="0"/>
        <charset val="1"/>
      </rPr>
      <t xml:space="preserve">=</t>
    </r>
    <r>
      <rPr>
        <sz val="10"/>
        <color rgb="FF0000FF"/>
        <rFont val="Noto Sans CJK SC"/>
        <family val="2"/>
      </rPr>
      <t xml:space="preserve">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周辺</t>
    </r>
    <r>
      <rPr>
        <sz val="10"/>
        <color rgb="FF0000FF"/>
        <rFont val="Arial"/>
        <family val="0"/>
        <charset val="1"/>
      </rPr>
      <t xml:space="preserve">)</t>
    </r>
    <r>
      <rPr>
        <sz val="10"/>
        <color rgb="FF0000FF"/>
        <rFont val="Noto Sans CJK SC"/>
        <family val="2"/>
      </rPr>
      <t xml:space="preserve">。プレミアム物件。パススルー型マスターリース。面積・金額は持分</t>
    </r>
    <r>
      <rPr>
        <sz val="10"/>
        <color rgb="FF0000FF"/>
        <rFont val="Arial"/>
        <family val="0"/>
        <charset val="1"/>
      </rPr>
      <t xml:space="preserve">80%</t>
    </r>
    <r>
      <rPr>
        <sz val="10"/>
        <color rgb="FF0000FF"/>
        <rFont val="Noto Sans CJK SC"/>
        <family val="2"/>
      </rPr>
      <t xml:space="preserve">考慮後。構造</t>
    </r>
    <r>
      <rPr>
        <sz val="10"/>
        <color rgb="FF0000FF"/>
        <rFont val="Arial"/>
        <family val="0"/>
        <charset val="1"/>
      </rPr>
      <t xml:space="preserve">SRC</t>
    </r>
    <r>
      <rPr>
        <sz val="10"/>
        <color rgb="FF0000FF"/>
        <rFont val="Noto Sans CJK SC"/>
        <family val="2"/>
      </rPr>
      <t xml:space="preserve">・</t>
    </r>
    <r>
      <rPr>
        <sz val="10"/>
        <color rgb="FF0000FF"/>
        <rFont val="Arial"/>
        <family val="0"/>
        <charset val="1"/>
      </rPr>
      <t xml:space="preserve">S</t>
    </r>
  </si>
  <si>
    <t xml:space="preserve">MHR-04</t>
  </si>
  <si>
    <t xml:space="preserve">赤坂溜池タワー</t>
  </si>
  <si>
    <r>
      <rPr>
        <sz val="10"/>
        <color rgb="FF0000FF"/>
        <rFont val="Arial"/>
        <family val="0"/>
        <charset val="1"/>
      </rPr>
      <t xml:space="preserve">MHR</t>
    </r>
    <r>
      <rPr>
        <sz val="10"/>
        <color rgb="FF0000FF"/>
        <rFont val="Noto Sans CJK SC"/>
        <family val="2"/>
      </rPr>
      <t xml:space="preserve">物件番号</t>
    </r>
    <r>
      <rPr>
        <sz val="10"/>
        <color rgb="FF0000FF"/>
        <rFont val="Arial"/>
        <family val="0"/>
        <charset val="1"/>
      </rPr>
      <t xml:space="preserve">O-6(</t>
    </r>
    <r>
      <rPr>
        <sz val="10"/>
        <color rgb="FF0000FF"/>
        <rFont val="Noto Sans CJK SC"/>
        <family val="2"/>
      </rPr>
      <t xml:space="preserve">プレミアムエリア</t>
    </r>
    <r>
      <rPr>
        <sz val="10"/>
        <color rgb="FF0000FF"/>
        <rFont val="Arial"/>
        <family val="0"/>
        <charset val="1"/>
      </rPr>
      <t xml:space="preserve">=</t>
    </r>
    <r>
      <rPr>
        <sz val="10"/>
        <color rgb="FF0000FF"/>
        <rFont val="Noto Sans CJK SC"/>
        <family val="2"/>
      </rPr>
      <t xml:space="preserve">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周辺</t>
    </r>
    <r>
      <rPr>
        <sz val="10"/>
        <color rgb="FF0000FF"/>
        <rFont val="Arial"/>
        <family val="0"/>
        <charset val="1"/>
      </rPr>
      <t xml:space="preserve">)</t>
    </r>
    <r>
      <rPr>
        <sz val="10"/>
        <color rgb="FF0000FF"/>
        <rFont val="Noto Sans CJK SC"/>
        <family val="2"/>
      </rPr>
      <t xml:space="preserve">。プレミアム物件。事務所・店舗・住宅複合。パススルー型</t>
    </r>
    <r>
      <rPr>
        <sz val="10"/>
        <color rgb="FF0000FF"/>
        <rFont val="Arial"/>
        <family val="0"/>
        <charset val="1"/>
      </rPr>
      <t xml:space="preserve">ML</t>
    </r>
    <r>
      <rPr>
        <sz val="10"/>
        <color rgb="FF0000FF"/>
        <rFont val="Noto Sans CJK SC"/>
        <family val="2"/>
      </rPr>
      <t xml:space="preserve">。構造</t>
    </r>
    <r>
      <rPr>
        <sz val="10"/>
        <color rgb="FF0000FF"/>
        <rFont val="Arial"/>
        <family val="0"/>
        <charset val="1"/>
      </rPr>
      <t xml:space="preserve">S</t>
    </r>
    <r>
      <rPr>
        <sz val="10"/>
        <color rgb="FF0000FF"/>
        <rFont val="Noto Sans CJK SC"/>
        <family val="2"/>
      </rPr>
      <t xml:space="preserve">・</t>
    </r>
    <r>
      <rPr>
        <sz val="10"/>
        <color rgb="FF0000FF"/>
        <rFont val="Arial"/>
        <family val="0"/>
        <charset val="1"/>
      </rPr>
      <t xml:space="preserve">SRC</t>
    </r>
    <r>
      <rPr>
        <sz val="10"/>
        <color rgb="FF0000FF"/>
        <rFont val="Noto Sans CJK SC"/>
        <family val="2"/>
      </rPr>
      <t xml:space="preserve">・</t>
    </r>
    <r>
      <rPr>
        <sz val="10"/>
        <color rgb="FF0000FF"/>
        <rFont val="Arial"/>
        <family val="0"/>
        <charset val="1"/>
      </rPr>
      <t xml:space="preserve">RC</t>
    </r>
  </si>
  <si>
    <t xml:space="preserve">MHR-05</t>
  </si>
  <si>
    <t xml:space="preserve">愛宕グリーンヒルズ</t>
  </si>
  <si>
    <r>
      <rPr>
        <sz val="10"/>
        <color rgb="FF0000FF"/>
        <rFont val="Arial"/>
        <family val="0"/>
        <charset val="1"/>
      </rPr>
      <t xml:space="preserve">MHR</t>
    </r>
    <r>
      <rPr>
        <sz val="10"/>
        <color rgb="FF0000FF"/>
        <rFont val="Noto Sans CJK SC"/>
        <family val="2"/>
      </rPr>
      <t xml:space="preserve">物件番号</t>
    </r>
    <r>
      <rPr>
        <sz val="10"/>
        <color rgb="FF0000FF"/>
        <rFont val="Arial"/>
        <family val="0"/>
        <charset val="1"/>
      </rPr>
      <t xml:space="preserve">O-7(</t>
    </r>
    <r>
      <rPr>
        <sz val="10"/>
        <color rgb="FF0000FF"/>
        <rFont val="Noto Sans CJK SC"/>
        <family val="2"/>
      </rPr>
      <t xml:space="preserve">プレミアムエリア</t>
    </r>
    <r>
      <rPr>
        <sz val="10"/>
        <color rgb="FF0000FF"/>
        <rFont val="Arial"/>
        <family val="0"/>
        <charset val="1"/>
      </rPr>
      <t xml:space="preserve">=</t>
    </r>
    <r>
      <rPr>
        <sz val="10"/>
        <color rgb="FF0000FF"/>
        <rFont val="Noto Sans CJK SC"/>
        <family val="2"/>
      </rPr>
      <t xml:space="preserve">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周辺</t>
    </r>
    <r>
      <rPr>
        <sz val="10"/>
        <color rgb="FF0000FF"/>
        <rFont val="Arial"/>
        <family val="0"/>
        <charset val="1"/>
      </rPr>
      <t xml:space="preserve">)</t>
    </r>
    <r>
      <rPr>
        <sz val="10"/>
        <color rgb="FF0000FF"/>
        <rFont val="Noto Sans CJK SC"/>
        <family val="2"/>
      </rPr>
      <t xml:space="preserve">。プレミアム物件。</t>
    </r>
    <r>
      <rPr>
        <sz val="10"/>
        <color rgb="FF0000FF"/>
        <rFont val="Arial"/>
        <family val="0"/>
        <charset val="1"/>
      </rPr>
      <t xml:space="preserve">MORI</t>
    </r>
    <r>
      <rPr>
        <sz val="10"/>
        <color rgb="FF0000FF"/>
        <rFont val="Noto Sans CJK SC"/>
        <family val="2"/>
      </rPr>
      <t xml:space="preserve">タワー</t>
    </r>
    <r>
      <rPr>
        <sz val="10"/>
        <color rgb="FF0000FF"/>
        <rFont val="Arial"/>
        <family val="0"/>
        <charset val="1"/>
      </rPr>
      <t xml:space="preserve">(</t>
    </r>
    <r>
      <rPr>
        <sz val="10"/>
        <color rgb="FF0000FF"/>
        <rFont val="Noto Sans CJK SC"/>
        <family val="2"/>
      </rPr>
      <t xml:space="preserve">事務所</t>
    </r>
    <r>
      <rPr>
        <sz val="10"/>
        <color rgb="FF0000FF"/>
        <rFont val="Arial"/>
        <family val="0"/>
        <charset val="1"/>
      </rPr>
      <t xml:space="preserve">S</t>
    </r>
    <r>
      <rPr>
        <sz val="10"/>
        <color rgb="FF0000FF"/>
        <rFont val="Noto Sans CJK SC"/>
        <family val="2"/>
      </rPr>
      <t xml:space="preserve">・</t>
    </r>
    <r>
      <rPr>
        <sz val="10"/>
        <color rgb="FF0000FF"/>
        <rFont val="Arial"/>
        <family val="0"/>
        <charset val="1"/>
      </rPr>
      <t xml:space="preserve">SRC 42F/2001</t>
    </r>
    <r>
      <rPr>
        <sz val="10"/>
        <color rgb="FF0000FF"/>
        <rFont val="Noto Sans CJK SC"/>
        <family val="2"/>
      </rPr>
      <t xml:space="preserve">年</t>
    </r>
    <r>
      <rPr>
        <sz val="10"/>
        <color rgb="FF0000FF"/>
        <rFont val="Arial"/>
        <family val="0"/>
        <charset val="1"/>
      </rPr>
      <t xml:space="preserve">7</t>
    </r>
    <r>
      <rPr>
        <sz val="10"/>
        <color rgb="FF0000FF"/>
        <rFont val="Noto Sans CJK SC"/>
        <family val="2"/>
      </rPr>
      <t xml:space="preserve">月</t>
    </r>
    <r>
      <rPr>
        <sz val="10"/>
        <color rgb="FF0000FF"/>
        <rFont val="Arial"/>
        <family val="0"/>
        <charset val="1"/>
      </rPr>
      <t xml:space="preserve">)+</t>
    </r>
    <r>
      <rPr>
        <sz val="10"/>
        <color rgb="FF0000FF"/>
        <rFont val="Noto Sans CJK SC"/>
        <family val="2"/>
      </rPr>
      <t xml:space="preserve">フォレストタワー</t>
    </r>
    <r>
      <rPr>
        <sz val="10"/>
        <color rgb="FF0000FF"/>
        <rFont val="Arial"/>
        <family val="0"/>
        <charset val="1"/>
      </rPr>
      <t xml:space="preserve">(</t>
    </r>
    <r>
      <rPr>
        <sz val="10"/>
        <color rgb="FF0000FF"/>
        <rFont val="Noto Sans CJK SC"/>
        <family val="2"/>
      </rPr>
      <t xml:space="preserve">住宅</t>
    </r>
    <r>
      <rPr>
        <sz val="10"/>
        <color rgb="FF0000FF"/>
        <rFont val="Arial"/>
        <family val="0"/>
        <charset val="1"/>
      </rPr>
      <t xml:space="preserve">43F/2001</t>
    </r>
    <r>
      <rPr>
        <sz val="10"/>
        <color rgb="FF0000FF"/>
        <rFont val="Noto Sans CJK SC"/>
        <family val="2"/>
      </rPr>
      <t xml:space="preserve">年</t>
    </r>
    <r>
      <rPr>
        <sz val="10"/>
        <color rgb="FF0000FF"/>
        <rFont val="Arial"/>
        <family val="0"/>
        <charset val="1"/>
      </rPr>
      <t xml:space="preserve">10</t>
    </r>
    <r>
      <rPr>
        <sz val="10"/>
        <color rgb="FF0000FF"/>
        <rFont val="Noto Sans CJK SC"/>
        <family val="2"/>
      </rPr>
      <t xml:space="preserve">月</t>
    </r>
    <r>
      <rPr>
        <sz val="10"/>
        <color rgb="FF0000FF"/>
        <rFont val="Arial"/>
        <family val="0"/>
        <charset val="1"/>
      </rPr>
      <t xml:space="preserve">)+</t>
    </r>
    <r>
      <rPr>
        <sz val="10"/>
        <color rgb="FF0000FF"/>
        <rFont val="Noto Sans CJK SC"/>
        <family val="2"/>
      </rPr>
      <t xml:space="preserve">プラザ</t>
    </r>
    <r>
      <rPr>
        <sz val="10"/>
        <color rgb="FF0000FF"/>
        <rFont val="Arial"/>
        <family val="0"/>
        <charset val="1"/>
      </rPr>
      <t xml:space="preserve">(</t>
    </r>
    <r>
      <rPr>
        <sz val="10"/>
        <color rgb="FF0000FF"/>
        <rFont val="Noto Sans CJK SC"/>
        <family val="2"/>
      </rPr>
      <t xml:space="preserve">店舗</t>
    </r>
    <r>
      <rPr>
        <sz val="10"/>
        <color rgb="FF0000FF"/>
        <rFont val="Arial"/>
        <family val="0"/>
        <charset val="1"/>
      </rPr>
      <t xml:space="preserve">2F)</t>
    </r>
    <r>
      <rPr>
        <sz val="10"/>
        <color rgb="FF0000FF"/>
        <rFont val="Noto Sans CJK SC"/>
        <family val="2"/>
      </rPr>
      <t xml:space="preserve">の</t>
    </r>
    <r>
      <rPr>
        <sz val="10"/>
        <color rgb="FF0000FF"/>
        <rFont val="Arial"/>
        <family val="0"/>
        <charset val="1"/>
      </rPr>
      <t xml:space="preserve">3</t>
    </r>
    <r>
      <rPr>
        <sz val="10"/>
        <color rgb="FF0000FF"/>
        <rFont val="Noto Sans CJK SC"/>
        <family val="2"/>
      </rPr>
      <t xml:space="preserve">棟。延床は</t>
    </r>
    <r>
      <rPr>
        <sz val="10"/>
        <color rgb="FF0000FF"/>
        <rFont val="Arial"/>
        <family val="0"/>
        <charset val="1"/>
      </rPr>
      <t xml:space="preserve">3</t>
    </r>
    <r>
      <rPr>
        <sz val="10"/>
        <color rgb="FF0000FF"/>
        <rFont val="Noto Sans CJK SC"/>
        <family val="2"/>
      </rPr>
      <t xml:space="preserve">棟合算</t>
    </r>
    <r>
      <rPr>
        <sz val="10"/>
        <color rgb="FF0000FF"/>
        <rFont val="Arial"/>
        <family val="0"/>
        <charset val="1"/>
      </rPr>
      <t xml:space="preserve">(85,266.30+60,815.71+2,083.60)</t>
    </r>
    <r>
      <rPr>
        <sz val="10"/>
        <color rgb="FF0000FF"/>
        <rFont val="Noto Sans CJK SC"/>
        <family val="2"/>
      </rPr>
      <t xml:space="preserve">。森ビルへの固定型</t>
    </r>
    <r>
      <rPr>
        <sz val="10"/>
        <color rgb="FF0000FF"/>
        <rFont val="Arial"/>
        <family val="0"/>
        <charset val="1"/>
      </rPr>
      <t xml:space="preserve">ML</t>
    </r>
  </si>
  <si>
    <t xml:space="preserve">MHR-06</t>
  </si>
  <si>
    <t xml:space="preserve">アークヒルズ サウスタワー</t>
  </si>
  <si>
    <r>
      <rPr>
        <sz val="10"/>
        <color rgb="FF0000FF"/>
        <rFont val="Arial"/>
        <family val="0"/>
        <charset val="1"/>
      </rPr>
      <t xml:space="preserve">MHR</t>
    </r>
    <r>
      <rPr>
        <sz val="10"/>
        <color rgb="FF0000FF"/>
        <rFont val="Noto Sans CJK SC"/>
        <family val="2"/>
      </rPr>
      <t xml:space="preserve">物件番号</t>
    </r>
    <r>
      <rPr>
        <sz val="10"/>
        <color rgb="FF0000FF"/>
        <rFont val="Arial"/>
        <family val="0"/>
        <charset val="1"/>
      </rPr>
      <t xml:space="preserve">O-8(</t>
    </r>
    <r>
      <rPr>
        <sz val="10"/>
        <color rgb="FF0000FF"/>
        <rFont val="Noto Sans CJK SC"/>
        <family val="2"/>
      </rPr>
      <t xml:space="preserve">プレミアムエリア</t>
    </r>
    <r>
      <rPr>
        <sz val="10"/>
        <color rgb="FF0000FF"/>
        <rFont val="Arial"/>
        <family val="0"/>
        <charset val="1"/>
      </rPr>
      <t xml:space="preserve">=</t>
    </r>
    <r>
      <rPr>
        <sz val="10"/>
        <color rgb="FF0000FF"/>
        <rFont val="Noto Sans CJK SC"/>
        <family val="2"/>
      </rPr>
      <t xml:space="preserve">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周辺</t>
    </r>
    <r>
      <rPr>
        <sz val="10"/>
        <color rgb="FF0000FF"/>
        <rFont val="Arial"/>
        <family val="0"/>
        <charset val="1"/>
      </rPr>
      <t xml:space="preserve">)</t>
    </r>
    <r>
      <rPr>
        <sz val="10"/>
        <color rgb="FF0000FF"/>
        <rFont val="Noto Sans CJK SC"/>
        <family val="2"/>
      </rPr>
      <t xml:space="preserve">。プレミアム物件。パススルー型</t>
    </r>
    <r>
      <rPr>
        <sz val="10"/>
        <color rgb="FF0000FF"/>
        <rFont val="Arial"/>
        <family val="0"/>
        <charset val="1"/>
      </rPr>
      <t xml:space="preserve">ML</t>
    </r>
    <r>
      <rPr>
        <sz val="10"/>
        <color rgb="FF0000FF"/>
        <rFont val="Noto Sans CJK SC"/>
        <family val="2"/>
      </rPr>
      <t xml:space="preserve">。面積・金額は持分</t>
    </r>
    <r>
      <rPr>
        <sz val="10"/>
        <color rgb="FF0000FF"/>
        <rFont val="Arial"/>
        <family val="0"/>
        <charset val="1"/>
      </rPr>
      <t xml:space="preserve">25%</t>
    </r>
    <r>
      <rPr>
        <sz val="10"/>
        <color rgb="FF0000FF"/>
        <rFont val="Noto Sans CJK SC"/>
        <family val="2"/>
      </rPr>
      <t xml:space="preserve">考慮後。構造</t>
    </r>
    <r>
      <rPr>
        <sz val="10"/>
        <color rgb="FF0000FF"/>
        <rFont val="Arial"/>
        <family val="0"/>
        <charset val="1"/>
      </rPr>
      <t xml:space="preserve">S</t>
    </r>
    <r>
      <rPr>
        <sz val="10"/>
        <color rgb="FF0000FF"/>
        <rFont val="Noto Sans CJK SC"/>
        <family val="2"/>
      </rPr>
      <t xml:space="preserve">・</t>
    </r>
    <r>
      <rPr>
        <sz val="10"/>
        <color rgb="FF0000FF"/>
        <rFont val="Arial"/>
        <family val="0"/>
        <charset val="1"/>
      </rPr>
      <t xml:space="preserve">SRC</t>
    </r>
    <r>
      <rPr>
        <sz val="10"/>
        <color rgb="FF0000FF"/>
        <rFont val="Noto Sans CJK SC"/>
        <family val="2"/>
      </rPr>
      <t xml:space="preserve">・</t>
    </r>
    <r>
      <rPr>
        <sz val="10"/>
        <color rgb="FF0000FF"/>
        <rFont val="Arial"/>
        <family val="0"/>
        <charset val="1"/>
      </rPr>
      <t xml:space="preserve">RC</t>
    </r>
  </si>
  <si>
    <t xml:space="preserve">MHR-07</t>
  </si>
  <si>
    <t xml:space="preserve">虎ノ門ヒルズ 森タワー</t>
  </si>
  <si>
    <r>
      <rPr>
        <sz val="10"/>
        <color rgb="FF0000FF"/>
        <rFont val="Arial"/>
        <family val="0"/>
        <charset val="1"/>
      </rPr>
      <t xml:space="preserve">28</t>
    </r>
    <r>
      <rPr>
        <sz val="10"/>
        <color rgb="FF0000FF"/>
        <rFont val="Noto Sans CJK SC"/>
        <family val="2"/>
      </rPr>
      <t xml:space="preserve">〜</t>
    </r>
    <r>
      <rPr>
        <sz val="10"/>
        <color rgb="FF0000FF"/>
        <rFont val="Arial"/>
        <family val="0"/>
        <charset val="1"/>
      </rPr>
      <t xml:space="preserve">35</t>
    </r>
    <r>
      <rPr>
        <sz val="10"/>
        <color rgb="FF0000FF"/>
        <rFont val="Noto Sans CJK SC"/>
        <family val="2"/>
      </rPr>
      <t xml:space="preserve">階区分所有権の共有持分</t>
    </r>
    <r>
      <rPr>
        <sz val="10"/>
        <color rgb="FF0000FF"/>
        <rFont val="Arial"/>
        <family val="0"/>
        <charset val="1"/>
      </rPr>
      <t xml:space="preserve">87.95%</t>
    </r>
    <r>
      <rPr>
        <sz val="10"/>
        <color rgb="FF0000FF"/>
        <rFont val="Noto Sans CJK SC"/>
        <family val="2"/>
      </rPr>
      <t xml:space="preserve">に係る信託受益権</t>
    </r>
    <r>
      <rPr>
        <sz val="10"/>
        <color rgb="FF0000FF"/>
        <rFont val="Arial"/>
        <family val="0"/>
        <charset val="1"/>
      </rPr>
      <t xml:space="preserve">(</t>
    </r>
    <r>
      <rPr>
        <sz val="10"/>
        <color rgb="FF0000FF"/>
        <rFont val="Noto Sans CJK SC"/>
        <family val="2"/>
      </rPr>
      <t xml:space="preserve">準共有</t>
    </r>
    <r>
      <rPr>
        <sz val="10"/>
        <color rgb="FF0000FF"/>
        <rFont val="Arial"/>
        <family val="0"/>
        <charset val="1"/>
      </rPr>
      <t xml:space="preserve">99.9%)</t>
    </r>
  </si>
  <si>
    <r>
      <rPr>
        <sz val="10"/>
        <color rgb="FF0000FF"/>
        <rFont val="Arial"/>
        <family val="0"/>
        <charset val="1"/>
      </rPr>
      <t xml:space="preserve">MHR</t>
    </r>
    <r>
      <rPr>
        <sz val="10"/>
        <color rgb="FF0000FF"/>
        <rFont val="Noto Sans CJK SC"/>
        <family val="2"/>
      </rPr>
      <t xml:space="preserve">物件番号</t>
    </r>
    <r>
      <rPr>
        <sz val="10"/>
        <color rgb="FF0000FF"/>
        <rFont val="Arial"/>
        <family val="0"/>
        <charset val="1"/>
      </rPr>
      <t xml:space="preserve">O-9(</t>
    </r>
    <r>
      <rPr>
        <sz val="10"/>
        <color rgb="FF0000FF"/>
        <rFont val="Noto Sans CJK SC"/>
        <family val="2"/>
      </rPr>
      <t xml:space="preserve">プレミアムエリア</t>
    </r>
    <r>
      <rPr>
        <sz val="10"/>
        <color rgb="FF0000FF"/>
        <rFont val="Arial"/>
        <family val="0"/>
        <charset val="1"/>
      </rPr>
      <t xml:space="preserve">=</t>
    </r>
    <r>
      <rPr>
        <sz val="10"/>
        <color rgb="FF0000FF"/>
        <rFont val="Noto Sans CJK SC"/>
        <family val="2"/>
      </rPr>
      <t xml:space="preserve">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周辺</t>
    </r>
    <r>
      <rPr>
        <sz val="10"/>
        <color rgb="FF0000FF"/>
        <rFont val="Arial"/>
        <family val="0"/>
        <charset val="1"/>
      </rPr>
      <t xml:space="preserve">)</t>
    </r>
    <r>
      <rPr>
        <sz val="10"/>
        <color rgb="FF0000FF"/>
        <rFont val="Noto Sans CJK SC"/>
        <family val="2"/>
      </rPr>
      <t xml:space="preserve">。プレミアム物件。</t>
    </r>
    <r>
      <rPr>
        <sz val="10"/>
        <color rgb="FF0000FF"/>
        <rFont val="Arial"/>
        <family val="0"/>
        <charset val="1"/>
      </rPr>
      <t xml:space="preserve">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t>
    </r>
    <r>
      <rPr>
        <sz val="10"/>
        <color rgb="FF0000FF"/>
        <rFont val="Arial"/>
        <family val="0"/>
        <charset val="1"/>
      </rPr>
      <t xml:space="preserve">1</t>
    </r>
    <r>
      <rPr>
        <sz val="10"/>
        <color rgb="FF0000FF"/>
        <rFont val="Noto Sans CJK SC"/>
        <family val="2"/>
      </rPr>
      <t xml:space="preserve">日に準共有持分</t>
    </r>
    <r>
      <rPr>
        <sz val="10"/>
        <color rgb="FF0000FF"/>
        <rFont val="Arial"/>
        <family val="0"/>
        <charset val="1"/>
      </rPr>
      <t xml:space="preserve">11.9%</t>
    </r>
    <r>
      <rPr>
        <sz val="10"/>
        <color rgb="FF0000FF"/>
        <rFont val="Noto Sans CJK SC"/>
        <family val="2"/>
      </rPr>
      <t xml:space="preserve">を追加取得</t>
    </r>
    <r>
      <rPr>
        <sz val="10"/>
        <color rgb="FF0000FF"/>
        <rFont val="Arial"/>
        <family val="0"/>
        <charset val="1"/>
      </rPr>
      <t xml:space="preserve">(9,669</t>
    </r>
    <r>
      <rPr>
        <sz val="10"/>
        <color rgb="FF0000FF"/>
        <rFont val="Noto Sans CJK SC"/>
        <family val="2"/>
      </rPr>
      <t xml:space="preserve">百万円・森ビルより</t>
    </r>
    <r>
      <rPr>
        <sz val="10"/>
        <color rgb="FF0000FF"/>
        <rFont val="Arial"/>
        <family val="0"/>
        <charset val="1"/>
      </rPr>
      <t xml:space="preserve">)</t>
    </r>
    <r>
      <rPr>
        <sz val="10"/>
        <color rgb="FF0000FF"/>
        <rFont val="Noto Sans CJK SC"/>
        <family val="2"/>
      </rPr>
      <t xml:space="preserve">。森ビルへの固定型</t>
    </r>
    <r>
      <rPr>
        <sz val="10"/>
        <color rgb="FF0000FF"/>
        <rFont val="Arial"/>
        <family val="0"/>
        <charset val="1"/>
      </rPr>
      <t xml:space="preserve">ML</t>
    </r>
    <r>
      <rPr>
        <sz val="10"/>
        <color rgb="FF0000FF"/>
        <rFont val="Noto Sans CJK SC"/>
        <family val="2"/>
      </rPr>
      <t xml:space="preserve">。構造</t>
    </r>
    <r>
      <rPr>
        <sz val="10"/>
        <color rgb="FF0000FF"/>
        <rFont val="Arial"/>
        <family val="0"/>
        <charset val="1"/>
      </rPr>
      <t xml:space="preserve">S</t>
    </r>
    <r>
      <rPr>
        <sz val="10"/>
        <color rgb="FF0000FF"/>
        <rFont val="Noto Sans CJK SC"/>
        <family val="2"/>
      </rPr>
      <t xml:space="preserve">・</t>
    </r>
    <r>
      <rPr>
        <sz val="10"/>
        <color rgb="FF0000FF"/>
        <rFont val="Arial"/>
        <family val="0"/>
        <charset val="1"/>
      </rPr>
      <t xml:space="preserve">SRC</t>
    </r>
  </si>
  <si>
    <t xml:space="preserve">MHR-08</t>
  </si>
  <si>
    <t xml:space="preserve">オランダヒルズ森タワー</t>
  </si>
  <si>
    <r>
      <rPr>
        <sz val="10"/>
        <color rgb="FF0000FF"/>
        <rFont val="Arial"/>
        <family val="0"/>
        <charset val="1"/>
      </rPr>
      <t xml:space="preserve">3</t>
    </r>
    <r>
      <rPr>
        <sz val="10"/>
        <color rgb="FF0000FF"/>
        <rFont val="Noto Sans CJK SC"/>
        <family val="2"/>
      </rPr>
      <t xml:space="preserve">・</t>
    </r>
    <r>
      <rPr>
        <sz val="10"/>
        <color rgb="FF0000FF"/>
        <rFont val="Arial"/>
        <family val="0"/>
        <charset val="1"/>
      </rPr>
      <t xml:space="preserve">4</t>
    </r>
    <r>
      <rPr>
        <sz val="10"/>
        <color rgb="FF0000FF"/>
        <rFont val="Noto Sans CJK SC"/>
        <family val="2"/>
      </rPr>
      <t xml:space="preserve">・</t>
    </r>
    <r>
      <rPr>
        <sz val="10"/>
        <color rgb="FF0000FF"/>
        <rFont val="Arial"/>
        <family val="0"/>
        <charset val="1"/>
      </rPr>
      <t xml:space="preserve">5(</t>
    </r>
    <r>
      <rPr>
        <sz val="10"/>
        <color rgb="FF0000FF"/>
        <rFont val="Noto Sans CJK SC"/>
        <family val="2"/>
      </rPr>
      <t xml:space="preserve">一部</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14</t>
    </r>
    <r>
      <rPr>
        <sz val="10"/>
        <color rgb="FF0000FF"/>
        <rFont val="Noto Sans CJK SC"/>
        <family val="2"/>
      </rPr>
      <t xml:space="preserve">〜</t>
    </r>
    <r>
      <rPr>
        <sz val="10"/>
        <color rgb="FF0000FF"/>
        <rFont val="Arial"/>
        <family val="0"/>
        <charset val="1"/>
      </rPr>
      <t xml:space="preserve">18</t>
    </r>
    <r>
      <rPr>
        <sz val="10"/>
        <color rgb="FF0000FF"/>
        <rFont val="Noto Sans CJK SC"/>
        <family val="2"/>
      </rPr>
      <t xml:space="preserve">・</t>
    </r>
    <r>
      <rPr>
        <sz val="10"/>
        <color rgb="FF0000FF"/>
        <rFont val="Arial"/>
        <family val="0"/>
        <charset val="1"/>
      </rPr>
      <t xml:space="preserve">22</t>
    </r>
    <r>
      <rPr>
        <sz val="10"/>
        <color rgb="FF0000FF"/>
        <rFont val="Noto Sans CJK SC"/>
        <family val="2"/>
      </rPr>
      <t xml:space="preserve">〜</t>
    </r>
    <r>
      <rPr>
        <sz val="10"/>
        <color rgb="FF0000FF"/>
        <rFont val="Arial"/>
        <family val="0"/>
        <charset val="1"/>
      </rPr>
      <t xml:space="preserve">24</t>
    </r>
    <r>
      <rPr>
        <sz val="10"/>
        <color rgb="FF0000FF"/>
        <rFont val="Noto Sans CJK SC"/>
        <family val="2"/>
      </rPr>
      <t xml:space="preserve">階区分所有権</t>
    </r>
    <r>
      <rPr>
        <sz val="10"/>
        <color rgb="FF0000FF"/>
        <rFont val="Arial"/>
        <family val="0"/>
        <charset val="1"/>
      </rPr>
      <t xml:space="preserve">(</t>
    </r>
    <r>
      <rPr>
        <sz val="10"/>
        <color rgb="FF0000FF"/>
        <rFont val="Noto Sans CJK SC"/>
        <family val="2"/>
      </rPr>
      <t xml:space="preserve">信託受益権準共有</t>
    </r>
    <r>
      <rPr>
        <sz val="10"/>
        <color rgb="FF0000FF"/>
        <rFont val="Arial"/>
        <family val="0"/>
        <charset val="1"/>
      </rPr>
      <t xml:space="preserve">100%)</t>
    </r>
  </si>
  <si>
    <r>
      <rPr>
        <sz val="10"/>
        <color rgb="FF0000FF"/>
        <rFont val="Arial"/>
        <family val="0"/>
        <charset val="1"/>
      </rPr>
      <t xml:space="preserve">MHR</t>
    </r>
    <r>
      <rPr>
        <sz val="10"/>
        <color rgb="FF0000FF"/>
        <rFont val="Noto Sans CJK SC"/>
        <family val="2"/>
      </rPr>
      <t xml:space="preserve">物件番号</t>
    </r>
    <r>
      <rPr>
        <sz val="10"/>
        <color rgb="FF0000FF"/>
        <rFont val="Arial"/>
        <family val="0"/>
        <charset val="1"/>
      </rPr>
      <t xml:space="preserve">O-10(</t>
    </r>
    <r>
      <rPr>
        <sz val="10"/>
        <color rgb="FF0000FF"/>
        <rFont val="Noto Sans CJK SC"/>
        <family val="2"/>
      </rPr>
      <t xml:space="preserve">プレミアムエリア</t>
    </r>
    <r>
      <rPr>
        <sz val="10"/>
        <color rgb="FF0000FF"/>
        <rFont val="Arial"/>
        <family val="0"/>
        <charset val="1"/>
      </rPr>
      <t xml:space="preserve">=</t>
    </r>
    <r>
      <rPr>
        <sz val="10"/>
        <color rgb="FF0000FF"/>
        <rFont val="Noto Sans CJK SC"/>
        <family val="2"/>
      </rPr>
      <t xml:space="preserve">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周辺</t>
    </r>
    <r>
      <rPr>
        <sz val="10"/>
        <color rgb="FF0000FF"/>
        <rFont val="Arial"/>
        <family val="0"/>
        <charset val="1"/>
      </rPr>
      <t xml:space="preserve">)</t>
    </r>
    <r>
      <rPr>
        <sz val="10"/>
        <color rgb="FF0000FF"/>
        <rFont val="Noto Sans CJK SC"/>
        <family val="2"/>
      </rPr>
      <t xml:space="preserve">。プレミアム物件。パススルー型</t>
    </r>
    <r>
      <rPr>
        <sz val="10"/>
        <color rgb="FF0000FF"/>
        <rFont val="Arial"/>
        <family val="0"/>
        <charset val="1"/>
      </rPr>
      <t xml:space="preserve">ML</t>
    </r>
    <r>
      <rPr>
        <sz val="10"/>
        <color rgb="FF0000FF"/>
        <rFont val="Noto Sans CJK SC"/>
        <family val="2"/>
      </rPr>
      <t xml:space="preserve">。構造</t>
    </r>
    <r>
      <rPr>
        <sz val="10"/>
        <color rgb="FF0000FF"/>
        <rFont val="Arial"/>
        <family val="0"/>
        <charset val="1"/>
      </rPr>
      <t xml:space="preserve">S</t>
    </r>
    <r>
      <rPr>
        <sz val="10"/>
        <color rgb="FF0000FF"/>
        <rFont val="Noto Sans CJK SC"/>
        <family val="2"/>
      </rPr>
      <t xml:space="preserve">・</t>
    </r>
    <r>
      <rPr>
        <sz val="10"/>
        <color rgb="FF0000FF"/>
        <rFont val="Arial"/>
        <family val="0"/>
        <charset val="1"/>
      </rPr>
      <t xml:space="preserve">SRC</t>
    </r>
    <r>
      <rPr>
        <sz val="10"/>
        <color rgb="FF0000FF"/>
        <rFont val="Noto Sans CJK SC"/>
        <family val="2"/>
      </rPr>
      <t xml:space="preserve">・</t>
    </r>
    <r>
      <rPr>
        <sz val="10"/>
        <color rgb="FF0000FF"/>
        <rFont val="Arial"/>
        <family val="0"/>
        <charset val="1"/>
      </rPr>
      <t xml:space="preserve">RC</t>
    </r>
  </si>
  <si>
    <t xml:space="preserve">MHR-09</t>
  </si>
  <si>
    <t xml:space="preserve">六本木ファーストプラザ</t>
  </si>
  <si>
    <t xml:space="preserve">住宅</t>
  </si>
  <si>
    <r>
      <rPr>
        <sz val="10"/>
        <color rgb="FF0000FF"/>
        <rFont val="Arial"/>
        <family val="0"/>
        <charset val="1"/>
      </rPr>
      <t xml:space="preserve">MHR</t>
    </r>
    <r>
      <rPr>
        <sz val="10"/>
        <color rgb="FF0000FF"/>
        <rFont val="Noto Sans CJK SC"/>
        <family val="2"/>
      </rPr>
      <t xml:space="preserve">物件番号</t>
    </r>
    <r>
      <rPr>
        <sz val="10"/>
        <color rgb="FF0000FF"/>
        <rFont val="Arial"/>
        <family val="0"/>
        <charset val="1"/>
      </rPr>
      <t xml:space="preserve">R-3(</t>
    </r>
    <r>
      <rPr>
        <sz val="10"/>
        <color rgb="FF0000FF"/>
        <rFont val="Noto Sans CJK SC"/>
        <family val="2"/>
      </rPr>
      <t xml:space="preserve">プレミアムエリア</t>
    </r>
    <r>
      <rPr>
        <sz val="10"/>
        <color rgb="FF0000FF"/>
        <rFont val="Arial"/>
        <family val="0"/>
        <charset val="1"/>
      </rPr>
      <t xml:space="preserve">=</t>
    </r>
    <r>
      <rPr>
        <sz val="10"/>
        <color rgb="FF0000FF"/>
        <rFont val="Noto Sans CJK SC"/>
        <family val="2"/>
      </rPr>
      <t xml:space="preserve">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周辺</t>
    </r>
    <r>
      <rPr>
        <sz val="10"/>
        <color rgb="FF0000FF"/>
        <rFont val="Arial"/>
        <family val="0"/>
        <charset val="1"/>
      </rPr>
      <t xml:space="preserve">)</t>
    </r>
    <r>
      <rPr>
        <sz val="10"/>
        <color rgb="FF0000FF"/>
        <rFont val="Noto Sans CJK SC"/>
        <family val="2"/>
      </rPr>
      <t xml:space="preserve">。プレミアム物件</t>
    </r>
    <r>
      <rPr>
        <sz val="10"/>
        <color rgb="FF0000FF"/>
        <rFont val="Arial"/>
        <family val="0"/>
        <charset val="1"/>
      </rPr>
      <t xml:space="preserve">(</t>
    </r>
    <r>
      <rPr>
        <sz val="10"/>
        <color rgb="FF0000FF"/>
        <rFont val="Noto Sans CJK SC"/>
        <family val="2"/>
      </rPr>
      <t xml:space="preserve">住宅</t>
    </r>
    <r>
      <rPr>
        <sz val="10"/>
        <color rgb="FF0000FF"/>
        <rFont val="Arial"/>
        <family val="0"/>
        <charset val="1"/>
      </rPr>
      <t xml:space="preserve">)</t>
    </r>
    <r>
      <rPr>
        <sz val="10"/>
        <color rgb="FF0000FF"/>
        <rFont val="Noto Sans CJK SC"/>
        <family val="2"/>
      </rPr>
      <t xml:space="preserve">。六本木ビュータワーと登記上一棟・敷地共通。パススルー型</t>
    </r>
    <r>
      <rPr>
        <sz val="10"/>
        <color rgb="FF0000FF"/>
        <rFont val="Arial"/>
        <family val="0"/>
        <charset val="1"/>
      </rPr>
      <t xml:space="preserve">ML</t>
    </r>
    <r>
      <rPr>
        <sz val="10"/>
        <color rgb="FF0000FF"/>
        <rFont val="Noto Sans CJK SC"/>
        <family val="2"/>
      </rPr>
      <t xml:space="preserve">。構造</t>
    </r>
    <r>
      <rPr>
        <sz val="10"/>
        <color rgb="FF0000FF"/>
        <rFont val="Arial"/>
        <family val="0"/>
        <charset val="1"/>
      </rPr>
      <t xml:space="preserve">RC</t>
    </r>
  </si>
  <si>
    <t xml:space="preserve">MHR-10</t>
  </si>
  <si>
    <t xml:space="preserve">六本木ビュータワー</t>
  </si>
  <si>
    <r>
      <rPr>
        <sz val="10"/>
        <color rgb="FF0000FF"/>
        <rFont val="Arial"/>
        <family val="0"/>
        <charset val="1"/>
      </rPr>
      <t xml:space="preserve">MHR</t>
    </r>
    <r>
      <rPr>
        <sz val="10"/>
        <color rgb="FF0000FF"/>
        <rFont val="Noto Sans CJK SC"/>
        <family val="2"/>
      </rPr>
      <t xml:space="preserve">物件番号</t>
    </r>
    <r>
      <rPr>
        <sz val="10"/>
        <color rgb="FF0000FF"/>
        <rFont val="Arial"/>
        <family val="0"/>
        <charset val="1"/>
      </rPr>
      <t xml:space="preserve">R-4(</t>
    </r>
    <r>
      <rPr>
        <sz val="10"/>
        <color rgb="FF0000FF"/>
        <rFont val="Noto Sans CJK SC"/>
        <family val="2"/>
      </rPr>
      <t xml:space="preserve">プレミアムエリア</t>
    </r>
    <r>
      <rPr>
        <sz val="10"/>
        <color rgb="FF0000FF"/>
        <rFont val="Arial"/>
        <family val="0"/>
        <charset val="1"/>
      </rPr>
      <t xml:space="preserve">=</t>
    </r>
    <r>
      <rPr>
        <sz val="10"/>
        <color rgb="FF0000FF"/>
        <rFont val="Noto Sans CJK SC"/>
        <family val="2"/>
      </rPr>
      <t xml:space="preserve">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周辺</t>
    </r>
    <r>
      <rPr>
        <sz val="10"/>
        <color rgb="FF0000FF"/>
        <rFont val="Arial"/>
        <family val="0"/>
        <charset val="1"/>
      </rPr>
      <t xml:space="preserve">)</t>
    </r>
    <r>
      <rPr>
        <sz val="10"/>
        <color rgb="FF0000FF"/>
        <rFont val="Noto Sans CJK SC"/>
        <family val="2"/>
      </rPr>
      <t xml:space="preserve">。住宅。六本木ファーストプラザと登記上一棟。敷地・延床は両物件共通の全体値。パススルー型</t>
    </r>
    <r>
      <rPr>
        <sz val="10"/>
        <color rgb="FF0000FF"/>
        <rFont val="Arial"/>
        <family val="0"/>
        <charset val="1"/>
      </rPr>
      <t xml:space="preserve">ML</t>
    </r>
    <r>
      <rPr>
        <sz val="10"/>
        <color rgb="FF0000FF"/>
        <rFont val="Noto Sans CJK SC"/>
        <family val="2"/>
      </rPr>
      <t xml:space="preserve">。構造</t>
    </r>
    <r>
      <rPr>
        <sz val="10"/>
        <color rgb="FF0000FF"/>
        <rFont val="Arial"/>
        <family val="0"/>
        <charset val="1"/>
      </rPr>
      <t xml:space="preserve">RC</t>
    </r>
  </si>
  <si>
    <t xml:space="preserve">MHR-11</t>
  </si>
  <si>
    <t xml:space="preserve">ラフォーレ原宿（底地）</t>
  </si>
  <si>
    <t xml:space="preserve">商業施設等（底地）</t>
  </si>
  <si>
    <r>
      <rPr>
        <sz val="10"/>
        <color rgb="FF0000FF"/>
        <rFont val="Arial"/>
        <family val="0"/>
        <charset val="1"/>
      </rPr>
      <t xml:space="preserve">MHR</t>
    </r>
    <r>
      <rPr>
        <sz val="10"/>
        <color rgb="FF0000FF"/>
        <rFont val="Noto Sans CJK SC"/>
        <family val="2"/>
      </rPr>
      <t xml:space="preserve">物件番号</t>
    </r>
    <r>
      <rPr>
        <sz val="10"/>
        <color rgb="FF0000FF"/>
        <rFont val="Arial"/>
        <family val="0"/>
        <charset val="1"/>
      </rPr>
      <t xml:space="preserve">S-1(</t>
    </r>
    <r>
      <rPr>
        <sz val="10"/>
        <color rgb="FF0000FF"/>
        <rFont val="Noto Sans CJK SC"/>
        <family val="2"/>
      </rPr>
      <t xml:space="preserve">プレミアムエリア</t>
    </r>
    <r>
      <rPr>
        <sz val="10"/>
        <color rgb="FF0000FF"/>
        <rFont val="Arial"/>
        <family val="0"/>
        <charset val="1"/>
      </rPr>
      <t xml:space="preserve">=</t>
    </r>
    <r>
      <rPr>
        <sz val="10"/>
        <color rgb="FF0000FF"/>
        <rFont val="Noto Sans CJK SC"/>
        <family val="2"/>
      </rPr>
      <t xml:space="preserve">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周辺</t>
    </r>
    <r>
      <rPr>
        <sz val="10"/>
        <color rgb="FF0000FF"/>
        <rFont val="Arial"/>
        <family val="0"/>
        <charset val="1"/>
      </rPr>
      <t xml:space="preserve">)</t>
    </r>
    <r>
      <rPr>
        <sz val="10"/>
        <color rgb="FF0000FF"/>
        <rFont val="Noto Sans CJK SC"/>
        <family val="2"/>
      </rPr>
      <t xml:space="preserve">。商業底地</t>
    </r>
    <r>
      <rPr>
        <sz val="10"/>
        <color rgb="FF0000FF"/>
        <rFont val="Arial"/>
        <family val="0"/>
        <charset val="1"/>
      </rPr>
      <t xml:space="preserve">(</t>
    </r>
    <r>
      <rPr>
        <sz val="10"/>
        <color rgb="FF0000FF"/>
        <rFont val="Noto Sans CJK SC"/>
        <family val="2"/>
      </rPr>
      <t xml:space="preserve">事業用定期借地・借地人</t>
    </r>
    <r>
      <rPr>
        <sz val="10"/>
        <color rgb="FF0000FF"/>
        <rFont val="Arial"/>
        <family val="0"/>
        <charset val="1"/>
      </rPr>
      <t xml:space="preserve">:</t>
    </r>
    <r>
      <rPr>
        <sz val="10"/>
        <color rgb="FF0000FF"/>
        <rFont val="Noto Sans CJK SC"/>
        <family val="2"/>
      </rPr>
      <t xml:space="preserve">森ビル流通システム、年間賃料</t>
    </r>
    <r>
      <rPr>
        <sz val="10"/>
        <color rgb="FF0000FF"/>
        <rFont val="Arial"/>
        <family val="0"/>
        <charset val="1"/>
      </rPr>
      <t xml:space="preserve">145.4</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持分</t>
    </r>
    <r>
      <rPr>
        <sz val="10"/>
        <color rgb="FF0000FF"/>
        <rFont val="Arial"/>
        <family val="0"/>
        <charset val="1"/>
      </rPr>
      <t xml:space="preserve">)</t>
    </r>
    <r>
      <rPr>
        <sz val="10"/>
        <color rgb="FF0000FF"/>
        <rFont val="Noto Sans CJK SC"/>
        <family val="2"/>
      </rPr>
      <t xml:space="preserve">。建物なしのため竣工・</t>
    </r>
    <r>
      <rPr>
        <sz val="10"/>
        <color rgb="FF0000FF"/>
        <rFont val="Arial"/>
        <family val="0"/>
        <charset val="1"/>
      </rPr>
      <t xml:space="preserve">PML</t>
    </r>
    <r>
      <rPr>
        <sz val="10"/>
        <color rgb="FF0000FF"/>
        <rFont val="Noto Sans CJK SC"/>
        <family val="2"/>
      </rPr>
      <t xml:space="preserve">なし。</t>
    </r>
    <r>
      <rPr>
        <sz val="10"/>
        <color rgb="FF0000FF"/>
        <rFont val="Arial"/>
        <family val="0"/>
        <charset val="1"/>
      </rPr>
      <t xml:space="preserve">2026/7/1</t>
    </r>
    <r>
      <rPr>
        <sz val="10"/>
        <color rgb="FF0000FF"/>
        <rFont val="Noto Sans CJK SC"/>
        <family val="2"/>
      </rPr>
      <t xml:space="preserve">及び</t>
    </r>
    <r>
      <rPr>
        <sz val="10"/>
        <color rgb="FF0000FF"/>
        <rFont val="Arial"/>
        <family val="0"/>
        <charset val="1"/>
      </rPr>
      <t xml:space="preserve">12/1</t>
    </r>
    <r>
      <rPr>
        <sz val="10"/>
        <color rgb="FF0000FF"/>
        <rFont val="Noto Sans CJK SC"/>
        <family val="2"/>
      </rPr>
      <t xml:space="preserve">に各準共有持分</t>
    </r>
    <r>
      <rPr>
        <sz val="10"/>
        <color rgb="FF0000FF"/>
        <rFont val="Arial"/>
        <family val="0"/>
        <charset val="1"/>
      </rPr>
      <t xml:space="preserve">5%</t>
    </r>
    <r>
      <rPr>
        <sz val="10"/>
        <color rgb="FF0000FF"/>
        <rFont val="Noto Sans CJK SC"/>
        <family val="2"/>
      </rPr>
      <t xml:space="preserve">を森ビルへ追加譲渡予定</t>
    </r>
    <r>
      <rPr>
        <sz val="10"/>
        <color rgb="FF0000FF"/>
        <rFont val="Arial"/>
        <family val="0"/>
        <charset val="1"/>
      </rPr>
      <t xml:space="preserve">(</t>
    </r>
    <r>
      <rPr>
        <sz val="10"/>
        <color rgb="FF0000FF"/>
        <rFont val="Noto Sans CJK SC"/>
        <family val="2"/>
      </rPr>
      <t xml:space="preserve">各</t>
    </r>
    <r>
      <rPr>
        <sz val="10"/>
        <color rgb="FF0000FF"/>
        <rFont val="Arial"/>
        <family val="0"/>
        <charset val="1"/>
      </rPr>
      <t xml:space="preserve">2,365</t>
    </r>
    <r>
      <rPr>
        <sz val="10"/>
        <color rgb="FF0000FF"/>
        <rFont val="Noto Sans CJK SC"/>
        <family val="2"/>
      </rPr>
      <t xml:space="preserve">百万円、残存</t>
    </r>
    <r>
      <rPr>
        <sz val="10"/>
        <color rgb="FF0000FF"/>
        <rFont val="Arial"/>
        <family val="0"/>
        <charset val="1"/>
      </rPr>
      <t xml:space="preserve">34%)</t>
    </r>
  </si>
  <si>
    <t xml:space="preserve">JPR-ALL</t>
  </si>
  <si>
    <t xml:space="preserve">【JPRポートフォリオ全体】</t>
  </si>
  <si>
    <t xml:space="preserve">オフィス・商業複合</t>
  </si>
  <si>
    <r>
      <rPr>
        <sz val="10"/>
        <color rgb="FF0000FF"/>
        <rFont val="Arial"/>
        <family val="0"/>
        <charset val="1"/>
      </rPr>
      <t xml:space="preserve">67</t>
    </r>
    <r>
      <rPr>
        <sz val="10"/>
        <color rgb="FF0000FF"/>
        <rFont val="Noto Sans CJK SC"/>
        <family val="2"/>
      </rPr>
      <t xml:space="preserve">物件（</t>
    </r>
    <r>
      <rPr>
        <sz val="10"/>
        <color rgb="FF0000FF"/>
        <rFont val="Arial"/>
        <family val="0"/>
        <charset val="1"/>
      </rPr>
      <t xml:space="preserve">2025/12/31</t>
    </r>
    <r>
      <rPr>
        <sz val="10"/>
        <color rgb="FF0000FF"/>
        <rFont val="Noto Sans CJK SC"/>
        <family val="2"/>
      </rPr>
      <t xml:space="preserve">時点）</t>
    </r>
  </si>
  <si>
    <r>
      <rPr>
        <sz val="10"/>
        <color rgb="FF0000FF"/>
        <rFont val="Arial"/>
        <family val="0"/>
        <charset val="1"/>
      </rPr>
      <t xml:space="preserve">JPR 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48</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(2026/2/16</t>
    </r>
    <r>
      <rPr>
        <sz val="10"/>
        <color rgb="FF0000FF"/>
        <rFont val="Noto Sans CJK SC"/>
        <family val="2"/>
      </rPr>
      <t xml:space="preserve">公表・</t>
    </r>
    <r>
      <rPr>
        <sz val="10"/>
        <color rgb="FF0000FF"/>
        <rFont val="Arial"/>
        <family val="0"/>
        <charset val="1"/>
      </rPr>
      <t xml:space="preserve">2026/3/10</t>
    </r>
    <r>
      <rPr>
        <sz val="10"/>
        <color rgb="FF0000FF"/>
        <rFont val="Noto Sans CJK SC"/>
        <family val="2"/>
      </rPr>
      <t xml:space="preserve">一部訂正</t>
    </r>
    <r>
      <rPr>
        <sz val="10"/>
        <color rgb="FF0000FF"/>
        <rFont val="Arial"/>
        <family val="0"/>
        <charset val="1"/>
      </rPr>
      <t xml:space="preserve">=</t>
    </r>
    <r>
      <rPr>
        <sz val="10"/>
        <color rgb="FF0000FF"/>
        <rFont val="Noto Sans CJK SC"/>
        <family val="2"/>
      </rPr>
      <t xml:space="preserve">予想増減率表記と工事期間のみで実績数値に影響なし</t>
    </r>
    <r>
      <rPr>
        <sz val="10"/>
        <color rgb="FF0000FF"/>
        <rFont val="Arial"/>
        <family val="0"/>
        <charset val="1"/>
      </rPr>
      <t xml:space="preserve">)</t>
    </r>
  </si>
  <si>
    <t xml:space="preserve">東京建物スポンサーのオフィス・都市型商業複合型(ホテル2物件含む)。本行は短信合計欄の値: 取得556,828百万円・期末鑑定671,024百万円(賃貸等不動産注記の期末時価671,024,000千円と一致)・帳簿530,874,042千円(法人一括、物件別非開示)。【原資料の切捨て表示に関する注記】取得価格は各物件を百万円未満切捨て表示し合計欄は端数込み合算後に切捨て(短信明記)のため、67物件表示値の合算(556,827百万円)は総計欄より1百万円小(東京周辺部小計も-1、中野セントラルパークイースト等の分割取得端数由来。都心・地方小計と鑑定は全欄完全一致)。期末稼働99.2%(前期末比+0.4pt)。当期入替: HDC神戸譲渡(7,240百万円)・JPR横浜日本大通65%譲渡、グランフロント大阪2件追加取得(計17,200百万円)・FUNDES蒲田(8,010百万円)・ホテルグレイスリー浅草(6,700百万円)取得。期後: 南麻布ビル(5,100百万円・2026/1/9)・JPR横浜日本大通残35%(1,550百万円・2026/1/23)譲渡→2026/7/31現在65物件・5,521億円。2025/7/1付投資口1:4分割・2025/12公募増資(計104億円)</t>
  </si>
  <si>
    <t xml:space="preserve">JPR-01</t>
  </si>
  <si>
    <t xml:space="preserve">兼松ビル</t>
  </si>
  <si>
    <r>
      <rPr>
        <sz val="10"/>
        <color rgb="FF0000FF"/>
        <rFont val="Arial"/>
        <family val="0"/>
        <charset val="1"/>
      </rPr>
      <t xml:space="preserve">JPR</t>
    </r>
    <r>
      <rPr>
        <sz val="10"/>
        <color rgb="FF0000FF"/>
        <rFont val="Noto Sans CJK SC"/>
        <family val="2"/>
      </rPr>
      <t xml:space="preserve">独自区分「東京都心」。物件別の帳簿価額・費用は非開示。</t>
    </r>
    <r>
      <rPr>
        <sz val="10"/>
        <color rgb="FF0000FF"/>
        <rFont val="Arial"/>
        <family val="0"/>
        <charset val="1"/>
      </rPr>
      <t xml:space="preserve">2001/12</t>
    </r>
    <r>
      <rPr>
        <sz val="10"/>
        <color rgb="FF0000FF"/>
        <rFont val="Noto Sans CJK SC"/>
        <family val="2"/>
      </rPr>
      <t xml:space="preserve">取得</t>
    </r>
  </si>
  <si>
    <t xml:space="preserve">JPR-02</t>
  </si>
  <si>
    <t xml:space="preserve">兼松ビル別館</t>
  </si>
  <si>
    <r>
      <rPr>
        <sz val="10"/>
        <color rgb="FF0000FF"/>
        <rFont val="Arial"/>
        <family val="0"/>
        <charset val="1"/>
      </rPr>
      <t xml:space="preserve">JPR</t>
    </r>
    <r>
      <rPr>
        <sz val="10"/>
        <color rgb="FF0000FF"/>
        <rFont val="Noto Sans CJK SC"/>
        <family val="2"/>
      </rPr>
      <t xml:space="preserve">独自区分「東京都心」。物件別の帳簿価額・費用は非開示。</t>
    </r>
  </si>
  <si>
    <t xml:space="preserve">JPR-03</t>
  </si>
  <si>
    <t xml:space="preserve">ＪＰＲ人形町ビル</t>
  </si>
  <si>
    <t xml:space="preserve">JPR-04</t>
  </si>
  <si>
    <t xml:space="preserve">新麹町ビル</t>
  </si>
  <si>
    <r>
      <rPr>
        <sz val="10"/>
        <color rgb="FF0000FF"/>
        <rFont val="Arial"/>
        <family val="0"/>
        <charset val="1"/>
      </rPr>
      <t xml:space="preserve">JPR</t>
    </r>
    <r>
      <rPr>
        <sz val="10"/>
        <color rgb="FF0000FF"/>
        <rFont val="Noto Sans CJK SC"/>
        <family val="2"/>
      </rPr>
      <t xml:space="preserve">独自区分「東京都心」。物件別の帳簿価額・費用は非開示。</t>
    </r>
    <r>
      <rPr>
        <sz val="10"/>
        <color rgb="FF0000FF"/>
        <rFont val="Arial"/>
        <family val="0"/>
        <charset val="1"/>
      </rPr>
      <t xml:space="preserve">2001/11</t>
    </r>
    <r>
      <rPr>
        <sz val="10"/>
        <color rgb="FF0000FF"/>
        <rFont val="Noto Sans CJK SC"/>
        <family val="2"/>
      </rPr>
      <t xml:space="preserve">・</t>
    </r>
    <r>
      <rPr>
        <sz val="10"/>
        <color rgb="FF0000FF"/>
        <rFont val="Arial"/>
        <family val="0"/>
        <charset val="1"/>
      </rPr>
      <t xml:space="preserve">2002/11</t>
    </r>
    <r>
      <rPr>
        <sz val="10"/>
        <color rgb="FF0000FF"/>
        <rFont val="Noto Sans CJK SC"/>
        <family val="2"/>
      </rPr>
      <t xml:space="preserve">・</t>
    </r>
    <r>
      <rPr>
        <sz val="10"/>
        <color rgb="FF0000FF"/>
        <rFont val="Arial"/>
        <family val="0"/>
        <charset val="1"/>
      </rPr>
      <t xml:space="preserve">2004/11</t>
    </r>
    <r>
      <rPr>
        <sz val="10"/>
        <color rgb="FF0000FF"/>
        <rFont val="Noto Sans CJK SC"/>
        <family val="2"/>
      </rPr>
      <t xml:space="preserve">の</t>
    </r>
    <r>
      <rPr>
        <sz val="10"/>
        <color rgb="FF0000FF"/>
        <rFont val="Arial"/>
        <family val="0"/>
        <charset val="1"/>
      </rPr>
      <t xml:space="preserve">3</t>
    </r>
    <r>
      <rPr>
        <sz val="10"/>
        <color rgb="FF0000FF"/>
        <rFont val="Noto Sans CJK SC"/>
        <family val="2"/>
      </rPr>
      <t xml:space="preserve">回取得合計</t>
    </r>
    <r>
      <rPr>
        <sz val="10"/>
        <color rgb="FF0000FF"/>
        <rFont val="Arial"/>
        <family val="0"/>
        <charset val="1"/>
      </rPr>
      <t xml:space="preserve">(1,670+550+200)</t>
    </r>
  </si>
  <si>
    <t xml:space="preserve">JPR-05</t>
  </si>
  <si>
    <t xml:space="preserve">ＭＳ芝浦ビル</t>
  </si>
  <si>
    <r>
      <rPr>
        <sz val="10"/>
        <color rgb="FF0000FF"/>
        <rFont val="Arial"/>
        <family val="0"/>
        <charset val="1"/>
      </rPr>
      <t xml:space="preserve">JPR</t>
    </r>
    <r>
      <rPr>
        <sz val="10"/>
        <color rgb="FF0000FF"/>
        <rFont val="Noto Sans CJK SC"/>
        <family val="2"/>
      </rPr>
      <t xml:space="preserve">独自区分「東京都心」。物件別の帳簿価額・費用は非開示。敷地面積は一体開発のトリニティ芝浦敷地を含む</t>
    </r>
  </si>
  <si>
    <t xml:space="preserve">JPR-06</t>
  </si>
  <si>
    <t xml:space="preserve">ＪＰＲ市ヶ谷ビル</t>
  </si>
  <si>
    <t xml:space="preserve">JPR-07</t>
  </si>
  <si>
    <t xml:space="preserve">オーバルコート大崎マークウエスト</t>
  </si>
  <si>
    <r>
      <rPr>
        <sz val="10"/>
        <color rgb="FF0000FF"/>
        <rFont val="Arial"/>
        <family val="0"/>
        <charset val="1"/>
      </rPr>
      <t xml:space="preserve">JPR</t>
    </r>
    <r>
      <rPr>
        <sz val="10"/>
        <color rgb="FF0000FF"/>
        <rFont val="Noto Sans CJK SC"/>
        <family val="2"/>
      </rPr>
      <t xml:space="preserve">独自区分「東京都心」。物件別の帳簿価額・費用は非開示。</t>
    </r>
    <r>
      <rPr>
        <sz val="10"/>
        <color rgb="FF0000FF"/>
        <rFont val="Arial"/>
        <family val="0"/>
        <charset val="1"/>
      </rPr>
      <t xml:space="preserve">JPR</t>
    </r>
    <r>
      <rPr>
        <sz val="10"/>
        <color rgb="FF0000FF"/>
        <rFont val="Noto Sans CJK SC"/>
        <family val="2"/>
      </rPr>
      <t xml:space="preserve">独自区分では品川区は「東京都心」</t>
    </r>
    <r>
      <rPr>
        <sz val="10"/>
        <color rgb="FF0000FF"/>
        <rFont val="Arial"/>
        <family val="0"/>
        <charset val="1"/>
      </rPr>
      <t xml:space="preserve">(</t>
    </r>
    <r>
      <rPr>
        <sz val="10"/>
        <color rgb="FF0000FF"/>
        <rFont val="Noto Sans CJK SC"/>
        <family val="2"/>
      </rPr>
      <t xml:space="preserve">共通区分ではその他東京</t>
    </r>
    <r>
      <rPr>
        <sz val="10"/>
        <color rgb="FF0000FF"/>
        <rFont val="Arial"/>
        <family val="0"/>
        <charset val="1"/>
      </rPr>
      <t xml:space="preserve">23</t>
    </r>
    <r>
      <rPr>
        <sz val="10"/>
        <color rgb="FF0000FF"/>
        <rFont val="Noto Sans CJK SC"/>
        <family val="2"/>
      </rPr>
      <t xml:space="preserve">区</t>
    </r>
    <r>
      <rPr>
        <sz val="10"/>
        <color rgb="FF0000FF"/>
        <rFont val="Arial"/>
        <family val="0"/>
        <charset val="1"/>
      </rPr>
      <t xml:space="preserve">)</t>
    </r>
    <r>
      <rPr>
        <sz val="10"/>
        <color rgb="FF0000FF"/>
        <rFont val="Noto Sans CJK SC"/>
        <family val="2"/>
      </rPr>
      <t xml:space="preserve">。一棟賃貸</t>
    </r>
  </si>
  <si>
    <t xml:space="preserve">JPR-08</t>
  </si>
  <si>
    <t xml:space="preserve">新宿スクエアタワー</t>
  </si>
  <si>
    <r>
      <rPr>
        <sz val="10"/>
        <color rgb="FF0000FF"/>
        <rFont val="Arial"/>
        <family val="0"/>
        <charset val="1"/>
      </rPr>
      <t xml:space="preserve">JPR</t>
    </r>
    <r>
      <rPr>
        <sz val="10"/>
        <color rgb="FF0000FF"/>
        <rFont val="Noto Sans CJK SC"/>
        <family val="2"/>
      </rPr>
      <t xml:space="preserve">独自区分「東京都心」。物件別の帳簿価額・費用は非開示。</t>
    </r>
    <r>
      <rPr>
        <sz val="10"/>
        <color rgb="FF0000FF"/>
        <rFont val="Arial"/>
        <family val="0"/>
        <charset val="1"/>
      </rPr>
      <t xml:space="preserve">2004</t>
    </r>
    <r>
      <rPr>
        <sz val="10"/>
        <color rgb="FF0000FF"/>
        <rFont val="Noto Sans CJK SC"/>
        <family val="2"/>
      </rPr>
      <t xml:space="preserve">〜</t>
    </r>
    <r>
      <rPr>
        <sz val="10"/>
        <color rgb="FF0000FF"/>
        <rFont val="Arial"/>
        <family val="0"/>
        <charset val="1"/>
      </rPr>
      <t xml:space="preserve">2015</t>
    </r>
    <r>
      <rPr>
        <sz val="10"/>
        <color rgb="FF0000FF"/>
        <rFont val="Noto Sans CJK SC"/>
        <family val="2"/>
      </rPr>
      <t xml:space="preserve">年の</t>
    </r>
    <r>
      <rPr>
        <sz val="10"/>
        <color rgb="FF0000FF"/>
        <rFont val="Arial"/>
        <family val="0"/>
        <charset val="1"/>
      </rPr>
      <t xml:space="preserve">4</t>
    </r>
    <r>
      <rPr>
        <sz val="10"/>
        <color rgb="FF0000FF"/>
        <rFont val="Noto Sans CJK SC"/>
        <family val="2"/>
      </rPr>
      <t xml:space="preserve">回取得合計</t>
    </r>
    <r>
      <rPr>
        <sz val="10"/>
        <color rgb="FF0000FF"/>
        <rFont val="Arial"/>
        <family val="0"/>
        <charset val="1"/>
      </rPr>
      <t xml:space="preserve">(10,000+180+4,000+786)</t>
    </r>
    <r>
      <rPr>
        <sz val="10"/>
        <color rgb="FF0000FF"/>
        <rFont val="Noto Sans CJK SC"/>
        <family val="2"/>
      </rPr>
      <t xml:space="preserve">。敷地・延床は再開発全体。一部サブリース</t>
    </r>
    <r>
      <rPr>
        <sz val="10"/>
        <color rgb="FF0000FF"/>
        <rFont val="Arial"/>
        <family val="0"/>
        <charset val="1"/>
      </rPr>
      <t xml:space="preserve">(</t>
    </r>
    <r>
      <rPr>
        <sz val="10"/>
        <color rgb="FF0000FF"/>
        <rFont val="Noto Sans CJK SC"/>
        <family val="2"/>
      </rPr>
      <t xml:space="preserve">変動</t>
    </r>
    <r>
      <rPr>
        <sz val="10"/>
        <color rgb="FF0000FF"/>
        <rFont val="Arial"/>
        <family val="0"/>
        <charset val="1"/>
      </rPr>
      <t xml:space="preserve">)</t>
    </r>
  </si>
  <si>
    <t xml:space="preserve">JPR-09</t>
  </si>
  <si>
    <t xml:space="preserve">ビッグス新宿ビル</t>
  </si>
  <si>
    <r>
      <rPr>
        <sz val="10"/>
        <color rgb="FF0000FF"/>
        <rFont val="Arial"/>
        <family val="0"/>
        <charset val="1"/>
      </rPr>
      <t xml:space="preserve">JPR</t>
    </r>
    <r>
      <rPr>
        <sz val="10"/>
        <color rgb="FF0000FF"/>
        <rFont val="Noto Sans CJK SC"/>
        <family val="2"/>
      </rPr>
      <t xml:space="preserve">独自区分「東京都心」。物件別の帳簿価額・費用は非開示。</t>
    </r>
    <r>
      <rPr>
        <sz val="10"/>
        <color rgb="FF0000FF"/>
        <rFont val="Arial"/>
        <family val="0"/>
        <charset val="1"/>
      </rPr>
      <t xml:space="preserve">2004</t>
    </r>
    <r>
      <rPr>
        <sz val="10"/>
        <color rgb="FF0000FF"/>
        <rFont val="Noto Sans CJK SC"/>
        <family val="2"/>
      </rPr>
      <t xml:space="preserve">・</t>
    </r>
    <r>
      <rPr>
        <sz val="10"/>
        <color rgb="FF0000FF"/>
        <rFont val="Arial"/>
        <family val="0"/>
        <charset val="1"/>
      </rPr>
      <t xml:space="preserve">2005</t>
    </r>
    <r>
      <rPr>
        <sz val="10"/>
        <color rgb="FF0000FF"/>
        <rFont val="Noto Sans CJK SC"/>
        <family val="2"/>
      </rPr>
      <t xml:space="preserve">・</t>
    </r>
    <r>
      <rPr>
        <sz val="10"/>
        <color rgb="FF0000FF"/>
        <rFont val="Arial"/>
        <family val="0"/>
        <charset val="1"/>
      </rPr>
      <t xml:space="preserve">2010</t>
    </r>
    <r>
      <rPr>
        <sz val="10"/>
        <color rgb="FF0000FF"/>
        <rFont val="Noto Sans CJK SC"/>
        <family val="2"/>
      </rPr>
      <t xml:space="preserve">年の</t>
    </r>
    <r>
      <rPr>
        <sz val="10"/>
        <color rgb="FF0000FF"/>
        <rFont val="Arial"/>
        <family val="0"/>
        <charset val="1"/>
      </rPr>
      <t xml:space="preserve">3</t>
    </r>
    <r>
      <rPr>
        <sz val="10"/>
        <color rgb="FF0000FF"/>
        <rFont val="Noto Sans CJK SC"/>
        <family val="2"/>
      </rPr>
      <t xml:space="preserve">回取得合計</t>
    </r>
    <r>
      <rPr>
        <sz val="10"/>
        <color rgb="FF0000FF"/>
        <rFont val="Arial"/>
        <family val="0"/>
        <charset val="1"/>
      </rPr>
      <t xml:space="preserve">(2,900+8,921+3,300)</t>
    </r>
  </si>
  <si>
    <t xml:space="preserve">JPR-10</t>
  </si>
  <si>
    <t xml:space="preserve">アクロス新川ビル・アネックス</t>
  </si>
  <si>
    <t xml:space="preserve">JPR-11</t>
  </si>
  <si>
    <t xml:space="preserve">新宿センタービル</t>
  </si>
  <si>
    <r>
      <rPr>
        <sz val="10"/>
        <color rgb="FF0000FF"/>
        <rFont val="Arial"/>
        <family val="0"/>
        <charset val="1"/>
      </rPr>
      <t xml:space="preserve">JPR</t>
    </r>
    <r>
      <rPr>
        <sz val="10"/>
        <color rgb="FF0000FF"/>
        <rFont val="Noto Sans CJK SC"/>
        <family val="2"/>
      </rPr>
      <t xml:space="preserve">独自区分「東京都心」。物件別の帳簿価額・費用は非開示。</t>
    </r>
    <r>
      <rPr>
        <sz val="10"/>
        <color rgb="FF0000FF"/>
        <rFont val="Arial"/>
        <family val="0"/>
        <charset val="1"/>
      </rPr>
      <t xml:space="preserve">2008/3</t>
    </r>
    <r>
      <rPr>
        <sz val="10"/>
        <color rgb="FF0000FF"/>
        <rFont val="Noto Sans CJK SC"/>
        <family val="2"/>
      </rPr>
      <t xml:space="preserve">・</t>
    </r>
    <r>
      <rPr>
        <sz val="10"/>
        <color rgb="FF0000FF"/>
        <rFont val="Arial"/>
        <family val="0"/>
        <charset val="1"/>
      </rPr>
      <t xml:space="preserve">2022/12</t>
    </r>
    <r>
      <rPr>
        <sz val="10"/>
        <color rgb="FF0000FF"/>
        <rFont val="Noto Sans CJK SC"/>
        <family val="2"/>
      </rPr>
      <t xml:space="preserve">の取得合計</t>
    </r>
    <r>
      <rPr>
        <sz val="10"/>
        <color rgb="FF0000FF"/>
        <rFont val="Arial"/>
        <family val="0"/>
        <charset val="1"/>
      </rPr>
      <t xml:space="preserve">(21,000+3,320)</t>
    </r>
    <r>
      <rPr>
        <sz val="10"/>
        <color rgb="FF0000FF"/>
        <rFont val="Noto Sans CJK SC"/>
        <family val="2"/>
      </rPr>
      <t xml:space="preserve">。区分所有。一部サブリース</t>
    </r>
    <r>
      <rPr>
        <sz val="10"/>
        <color rgb="FF0000FF"/>
        <rFont val="Arial"/>
        <family val="0"/>
        <charset val="1"/>
      </rPr>
      <t xml:space="preserve">(</t>
    </r>
    <r>
      <rPr>
        <sz val="10"/>
        <color rgb="FF0000FF"/>
        <rFont val="Noto Sans CJK SC"/>
        <family val="2"/>
      </rPr>
      <t xml:space="preserve">変動</t>
    </r>
    <r>
      <rPr>
        <sz val="10"/>
        <color rgb="FF0000FF"/>
        <rFont val="Arial"/>
        <family val="0"/>
        <charset val="1"/>
      </rPr>
      <t xml:space="preserve">)</t>
    </r>
  </si>
  <si>
    <t xml:space="preserve">JPR-12</t>
  </si>
  <si>
    <t xml:space="preserve">南麻布ビル</t>
  </si>
  <si>
    <r>
      <rPr>
        <sz val="10"/>
        <color rgb="FF0000FF"/>
        <rFont val="Arial"/>
        <family val="0"/>
        <charset val="1"/>
      </rPr>
      <t xml:space="preserve">JPR</t>
    </r>
    <r>
      <rPr>
        <sz val="10"/>
        <color rgb="FF0000FF"/>
        <rFont val="Noto Sans CJK SC"/>
        <family val="2"/>
      </rPr>
      <t xml:space="preserve">独自区分「東京都心」。物件別の帳簿価額・費用は非開示。</t>
    </r>
    <r>
      <rPr>
        <sz val="10"/>
        <color rgb="FF0000FF"/>
        <rFont val="Arial"/>
        <family val="0"/>
        <charset val="1"/>
      </rPr>
      <t xml:space="preserve">2026/1/9</t>
    </r>
    <r>
      <rPr>
        <sz val="10"/>
        <color rgb="FF0000FF"/>
        <rFont val="Noto Sans CJK SC"/>
        <family val="2"/>
      </rPr>
      <t xml:space="preserve">付で東京建物へ譲渡</t>
    </r>
    <r>
      <rPr>
        <sz val="10"/>
        <color rgb="FF0000FF"/>
        <rFont val="Arial"/>
        <family val="0"/>
        <charset val="1"/>
      </rPr>
      <t xml:space="preserve">(</t>
    </r>
    <r>
      <rPr>
        <sz val="10"/>
        <color rgb="FF0000FF"/>
        <rFont val="Noto Sans CJK SC"/>
        <family val="2"/>
      </rPr>
      <t xml:space="preserve">譲渡価格</t>
    </r>
    <r>
      <rPr>
        <sz val="10"/>
        <color rgb="FF0000FF"/>
        <rFont val="Arial"/>
        <family val="0"/>
        <charset val="1"/>
      </rPr>
      <t xml:space="preserve">5,100</t>
    </r>
    <r>
      <rPr>
        <sz val="10"/>
        <color rgb="FF0000FF"/>
        <rFont val="Noto Sans CJK SC"/>
        <family val="2"/>
      </rPr>
      <t xml:space="preserve">百万円・売却益約</t>
    </r>
    <r>
      <rPr>
        <sz val="10"/>
        <color rgb="FF0000FF"/>
        <rFont val="Arial"/>
        <family val="0"/>
        <charset val="1"/>
      </rPr>
      <t xml:space="preserve">1,201</t>
    </r>
    <r>
      <rPr>
        <sz val="10"/>
        <color rgb="FF0000FF"/>
        <rFont val="Noto Sans CJK SC"/>
        <family val="2"/>
      </rPr>
      <t xml:space="preserve">百万円を第</t>
    </r>
    <r>
      <rPr>
        <sz val="10"/>
        <color rgb="FF0000FF"/>
        <rFont val="Arial"/>
        <family val="0"/>
        <charset val="1"/>
      </rPr>
      <t xml:space="preserve">49</t>
    </r>
    <r>
      <rPr>
        <sz val="10"/>
        <color rgb="FF0000FF"/>
        <rFont val="Noto Sans CJK SC"/>
        <family val="2"/>
      </rPr>
      <t xml:space="preserve">期計上予定</t>
    </r>
    <r>
      <rPr>
        <sz val="10"/>
        <color rgb="FF0000FF"/>
        <rFont val="Arial"/>
        <family val="0"/>
        <charset val="1"/>
      </rPr>
      <t xml:space="preserve">)</t>
    </r>
  </si>
  <si>
    <t xml:space="preserve">JPR-13</t>
  </si>
  <si>
    <t xml:space="preserve">品川キャナルビル</t>
  </si>
  <si>
    <r>
      <rPr>
        <sz val="10"/>
        <color rgb="FF0000FF"/>
        <rFont val="Arial"/>
        <family val="0"/>
        <charset val="1"/>
      </rPr>
      <t xml:space="preserve">JPR</t>
    </r>
    <r>
      <rPr>
        <sz val="10"/>
        <color rgb="FF0000FF"/>
        <rFont val="Noto Sans CJK SC"/>
        <family val="2"/>
      </rPr>
      <t xml:space="preserve">独自区分「東京都心」。物件別の帳簿価額・費用は非開示。</t>
    </r>
    <r>
      <rPr>
        <sz val="10"/>
        <color rgb="FF0000FF"/>
        <rFont val="Arial"/>
        <family val="0"/>
        <charset val="1"/>
      </rPr>
      <t xml:space="preserve">2008/12</t>
    </r>
    <r>
      <rPr>
        <sz val="10"/>
        <color rgb="FF0000FF"/>
        <rFont val="Noto Sans CJK SC"/>
        <family val="2"/>
      </rPr>
      <t xml:space="preserve">・</t>
    </r>
    <r>
      <rPr>
        <sz val="10"/>
        <color rgb="FF0000FF"/>
        <rFont val="Arial"/>
        <family val="0"/>
        <charset val="1"/>
      </rPr>
      <t xml:space="preserve">2019/3</t>
    </r>
    <r>
      <rPr>
        <sz val="10"/>
        <color rgb="FF0000FF"/>
        <rFont val="Noto Sans CJK SC"/>
        <family val="2"/>
      </rPr>
      <t xml:space="preserve">の取得合計</t>
    </r>
    <r>
      <rPr>
        <sz val="10"/>
        <color rgb="FF0000FF"/>
        <rFont val="Arial"/>
        <family val="0"/>
        <charset val="1"/>
      </rPr>
      <t xml:space="preserve">(1,870+171)</t>
    </r>
  </si>
  <si>
    <t xml:space="preserve">JPR-14</t>
  </si>
  <si>
    <t xml:space="preserve">六番町ビル</t>
  </si>
  <si>
    <t xml:space="preserve">JPR-15</t>
  </si>
  <si>
    <t xml:space="preserve">ＪＰＲ原宿ビル</t>
  </si>
  <si>
    <t xml:space="preserve">JPR-16</t>
  </si>
  <si>
    <t xml:space="preserve">ＪＰＲ日本橋堀留ビル</t>
  </si>
  <si>
    <t xml:space="preserve">JPR-17</t>
  </si>
  <si>
    <r>
      <rPr>
        <sz val="11"/>
        <color theme="1"/>
        <rFont val="Calibri"/>
        <family val="2"/>
        <charset val="1"/>
      </rPr>
      <t xml:space="preserve">87</t>
    </r>
    <r>
      <rPr>
        <sz val="11"/>
        <color theme="1"/>
        <rFont val="Noto Sans CJK SC"/>
        <family val="2"/>
      </rPr>
      <t xml:space="preserve">物件（</t>
    </r>
    <r>
      <rPr>
        <sz val="11"/>
        <color theme="1"/>
        <rFont val="Calibri"/>
        <family val="2"/>
        <charset val="1"/>
      </rPr>
      <t xml:space="preserve">2026/4/30</t>
    </r>
    <r>
      <rPr>
        <sz val="11"/>
        <color theme="1"/>
        <rFont val="Noto Sans CJK SC"/>
        <family val="2"/>
      </rPr>
      <t xml:space="preserve">時点）</t>
    </r>
  </si>
  <si>
    <t xml:space="preserve">JPR-18</t>
  </si>
  <si>
    <t xml:space="preserve">大手町タワー（底地）</t>
  </si>
  <si>
    <r>
      <rPr>
        <sz val="10"/>
        <color rgb="FF0000FF"/>
        <rFont val="Arial"/>
        <family val="0"/>
        <charset val="1"/>
      </rPr>
      <t xml:space="preserve">JPR</t>
    </r>
    <r>
      <rPr>
        <sz val="10"/>
        <color rgb="FF0000FF"/>
        <rFont val="Noto Sans CJK SC"/>
        <family val="2"/>
      </rPr>
      <t xml:space="preserve">独自区分「東京都心」。物件別の帳簿価額・費用は非開示。建物は含まず土地のみ保有。収入は地代</t>
    </r>
    <r>
      <rPr>
        <sz val="10"/>
        <color rgb="FF0000FF"/>
        <rFont val="Arial"/>
        <family val="0"/>
        <charset val="1"/>
      </rPr>
      <t xml:space="preserve">1,839</t>
    </r>
    <r>
      <rPr>
        <sz val="10"/>
        <color rgb="FF0000FF"/>
        <rFont val="Noto Sans CJK SC"/>
        <family val="2"/>
      </rPr>
      <t xml:space="preserve">百万円。鑑定</t>
    </r>
    <r>
      <rPr>
        <sz val="10"/>
        <color rgb="FF0000FF"/>
        <rFont val="Arial"/>
        <family val="0"/>
        <charset val="1"/>
      </rPr>
      <t xml:space="preserve">59,800</t>
    </r>
    <r>
      <rPr>
        <sz val="10"/>
        <color rgb="FF0000FF"/>
        <rFont val="Noto Sans CJK SC"/>
        <family val="2"/>
      </rPr>
      <t xml:space="preserve">百万円は取得価格</t>
    </r>
    <r>
      <rPr>
        <sz val="10"/>
        <color rgb="FF0000FF"/>
        <rFont val="Arial"/>
        <family val="0"/>
        <charset val="1"/>
      </rPr>
      <t xml:space="preserve">36,000</t>
    </r>
    <r>
      <rPr>
        <sz val="10"/>
        <color rgb="FF0000FF"/>
        <rFont val="Noto Sans CJK SC"/>
        <family val="2"/>
      </rPr>
      <t xml:space="preserve">百万円の</t>
    </r>
    <r>
      <rPr>
        <sz val="10"/>
        <color rgb="FF0000FF"/>
        <rFont val="Arial"/>
        <family val="0"/>
        <charset val="1"/>
      </rPr>
      <t xml:space="preserve">1.66</t>
    </r>
    <r>
      <rPr>
        <sz val="10"/>
        <color rgb="FF0000FF"/>
        <rFont val="Noto Sans CJK SC"/>
        <family val="2"/>
      </rPr>
      <t xml:space="preserve">倍。主要借地人</t>
    </r>
    <r>
      <rPr>
        <sz val="10"/>
        <color rgb="FF0000FF"/>
        <rFont val="Arial"/>
        <family val="0"/>
        <charset val="1"/>
      </rPr>
      <t xml:space="preserve">:</t>
    </r>
    <r>
      <rPr>
        <sz val="10"/>
        <color rgb="FF0000FF"/>
        <rFont val="Noto Sans CJK SC"/>
        <family val="2"/>
      </rPr>
      <t xml:space="preserve">有限会社東京プライムステージ</t>
    </r>
  </si>
  <si>
    <t xml:space="preserve">JPR-19</t>
  </si>
  <si>
    <t xml:space="preserve">サイエンスプラザ・四番町プラザ</t>
  </si>
  <si>
    <r>
      <rPr>
        <sz val="10"/>
        <color rgb="FF0000FF"/>
        <rFont val="Arial"/>
        <family val="0"/>
        <charset val="1"/>
      </rPr>
      <t xml:space="preserve">JPR</t>
    </r>
    <r>
      <rPr>
        <sz val="10"/>
        <color rgb="FF0000FF"/>
        <rFont val="Noto Sans CJK SC"/>
        <family val="2"/>
      </rPr>
      <t xml:space="preserve">独自区分「東京都心」。物件別の帳簿価額・費用は非開示。住居部分は一部サブリース</t>
    </r>
    <r>
      <rPr>
        <sz val="10"/>
        <color rgb="FF0000FF"/>
        <rFont val="Arial"/>
        <family val="0"/>
        <charset val="1"/>
      </rPr>
      <t xml:space="preserve">(</t>
    </r>
    <r>
      <rPr>
        <sz val="10"/>
        <color rgb="FF0000FF"/>
        <rFont val="Noto Sans CJK SC"/>
        <family val="2"/>
      </rPr>
      <t xml:space="preserve">変動</t>
    </r>
    <r>
      <rPr>
        <sz val="10"/>
        <color rgb="FF0000FF"/>
        <rFont val="Arial"/>
        <family val="0"/>
        <charset val="1"/>
      </rPr>
      <t xml:space="preserve">)</t>
    </r>
  </si>
  <si>
    <t xml:space="preserve">JPR-20</t>
  </si>
  <si>
    <t xml:space="preserve">芝大門センタービル</t>
  </si>
  <si>
    <r>
      <rPr>
        <sz val="10"/>
        <color rgb="FF0000FF"/>
        <rFont val="Arial"/>
        <family val="0"/>
        <charset val="1"/>
      </rPr>
      <t xml:space="preserve">JPR</t>
    </r>
    <r>
      <rPr>
        <sz val="10"/>
        <color rgb="FF0000FF"/>
        <rFont val="Noto Sans CJK SC"/>
        <family val="2"/>
      </rPr>
      <t xml:space="preserve">独自区分「東京都心」。物件別の帳簿価額・費用は非開示。</t>
    </r>
    <r>
      <rPr>
        <sz val="10"/>
        <color rgb="FF0000FF"/>
        <rFont val="Arial"/>
        <family val="0"/>
        <charset val="1"/>
      </rPr>
      <t xml:space="preserve">2013/12</t>
    </r>
    <r>
      <rPr>
        <sz val="10"/>
        <color rgb="FF0000FF"/>
        <rFont val="Noto Sans CJK SC"/>
        <family val="2"/>
      </rPr>
      <t xml:space="preserve">・</t>
    </r>
    <r>
      <rPr>
        <sz val="10"/>
        <color rgb="FF0000FF"/>
        <rFont val="Arial"/>
        <family val="0"/>
        <charset val="1"/>
      </rPr>
      <t xml:space="preserve">2014/7</t>
    </r>
    <r>
      <rPr>
        <sz val="10"/>
        <color rgb="FF0000FF"/>
        <rFont val="Noto Sans CJK SC"/>
        <family val="2"/>
      </rPr>
      <t xml:space="preserve">の取得合計</t>
    </r>
    <r>
      <rPr>
        <sz val="10"/>
        <color rgb="FF0000FF"/>
        <rFont val="Arial"/>
        <family val="0"/>
        <charset val="1"/>
      </rPr>
      <t xml:space="preserve">(3,413+800)</t>
    </r>
  </si>
  <si>
    <t xml:space="preserve">JPR-21</t>
  </si>
  <si>
    <t xml:space="preserve">東京スクエアガーデン</t>
  </si>
  <si>
    <r>
      <rPr>
        <sz val="10"/>
        <color rgb="FF0000FF"/>
        <rFont val="Arial"/>
        <family val="0"/>
        <charset val="1"/>
      </rPr>
      <t xml:space="preserve">JPR</t>
    </r>
    <r>
      <rPr>
        <sz val="10"/>
        <color rgb="FF0000FF"/>
        <rFont val="Noto Sans CJK SC"/>
        <family val="2"/>
      </rPr>
      <t xml:space="preserve">独自区分「東京都心」。物件別の帳簿価額・費用は非開示。</t>
    </r>
    <r>
      <rPr>
        <sz val="10"/>
        <color rgb="FF0000FF"/>
        <rFont val="Arial"/>
        <family val="0"/>
        <charset val="1"/>
      </rPr>
      <t xml:space="preserve">2017</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回取得合計</t>
    </r>
    <r>
      <rPr>
        <sz val="10"/>
        <color rgb="FF0000FF"/>
        <rFont val="Arial"/>
        <family val="0"/>
        <charset val="1"/>
      </rPr>
      <t xml:space="preserve">(9,200+9,200)</t>
    </r>
    <r>
      <rPr>
        <sz val="10"/>
        <color rgb="FF0000FF"/>
        <rFont val="Noto Sans CJK SC"/>
        <family val="2"/>
      </rPr>
      <t xml:space="preserve">。区分所有。一部サブリース</t>
    </r>
    <r>
      <rPr>
        <sz val="10"/>
        <color rgb="FF0000FF"/>
        <rFont val="Arial"/>
        <family val="0"/>
        <charset val="1"/>
      </rPr>
      <t xml:space="preserve">(</t>
    </r>
    <r>
      <rPr>
        <sz val="10"/>
        <color rgb="FF0000FF"/>
        <rFont val="Noto Sans CJK SC"/>
        <family val="2"/>
      </rPr>
      <t xml:space="preserve">変動</t>
    </r>
    <r>
      <rPr>
        <sz val="10"/>
        <color rgb="FF0000FF"/>
        <rFont val="Arial"/>
        <family val="0"/>
        <charset val="1"/>
      </rPr>
      <t xml:space="preserve">)</t>
    </r>
  </si>
  <si>
    <t xml:space="preserve">JPR-22</t>
  </si>
  <si>
    <t xml:space="preserve">ＪＰＲ麹町ビル</t>
  </si>
  <si>
    <t xml:space="preserve">JPR-23</t>
  </si>
  <si>
    <t xml:space="preserve">大手町フィナンシャルシティ ノースタワー</t>
  </si>
  <si>
    <r>
      <rPr>
        <sz val="10"/>
        <color rgb="FF0000FF"/>
        <rFont val="Arial"/>
        <family val="0"/>
        <charset val="1"/>
      </rPr>
      <t xml:space="preserve">JPR</t>
    </r>
    <r>
      <rPr>
        <sz val="10"/>
        <color rgb="FF0000FF"/>
        <rFont val="Noto Sans CJK SC"/>
        <family val="2"/>
      </rPr>
      <t xml:space="preserve">独自区分「東京都心」。物件別の帳簿価額・費用は非開示。敷地・延床はサウスタワー含む全体。区分所有。一部サブリース</t>
    </r>
    <r>
      <rPr>
        <sz val="10"/>
        <color rgb="FF0000FF"/>
        <rFont val="Arial"/>
        <family val="0"/>
        <charset val="1"/>
      </rPr>
      <t xml:space="preserve">(</t>
    </r>
    <r>
      <rPr>
        <sz val="10"/>
        <color rgb="FF0000FF"/>
        <rFont val="Noto Sans CJK SC"/>
        <family val="2"/>
      </rPr>
      <t xml:space="preserve">変動</t>
    </r>
    <r>
      <rPr>
        <sz val="10"/>
        <color rgb="FF0000FF"/>
        <rFont val="Arial"/>
        <family val="0"/>
        <charset val="1"/>
      </rPr>
      <t xml:space="preserve">)</t>
    </r>
  </si>
  <si>
    <t xml:space="preserve">JPR-24</t>
  </si>
  <si>
    <t xml:space="preserve">東京建物東渋谷ビル</t>
  </si>
  <si>
    <r>
      <rPr>
        <sz val="10"/>
        <color rgb="FF0000FF"/>
        <rFont val="Arial"/>
        <family val="0"/>
        <charset val="1"/>
      </rPr>
      <t xml:space="preserve">JPR</t>
    </r>
    <r>
      <rPr>
        <sz val="10"/>
        <color rgb="FF0000FF"/>
        <rFont val="Noto Sans CJK SC"/>
        <family val="2"/>
      </rPr>
      <t xml:space="preserve">独自区分「東京都心」。物件別の帳簿価額・費用は非開示。</t>
    </r>
    <r>
      <rPr>
        <sz val="10"/>
        <color rgb="FF0000FF"/>
        <rFont val="Arial"/>
        <family val="0"/>
        <charset val="1"/>
      </rPr>
      <t xml:space="preserve">2022/1</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スポンサー東京建物より</t>
    </r>
    <r>
      <rPr>
        <sz val="10"/>
        <color rgb="FF0000FF"/>
        <rFont val="Arial"/>
        <family val="0"/>
        <charset val="1"/>
      </rPr>
      <t xml:space="preserve">)</t>
    </r>
  </si>
  <si>
    <t xml:space="preserve">JPR-25</t>
  </si>
  <si>
    <t xml:space="preserve">御茶ノ水ソラシティ</t>
  </si>
  <si>
    <r>
      <rPr>
        <sz val="10"/>
        <color rgb="FF0000FF"/>
        <rFont val="Arial"/>
        <family val="0"/>
        <charset val="1"/>
      </rPr>
      <t xml:space="preserve">JPR</t>
    </r>
    <r>
      <rPr>
        <sz val="10"/>
        <color rgb="FF0000FF"/>
        <rFont val="Noto Sans CJK SC"/>
        <family val="2"/>
      </rPr>
      <t xml:space="preserve">独自区分「東京都心」。物件別の帳簿価額・費用は非開示。区分所有。一部サブリース</t>
    </r>
    <r>
      <rPr>
        <sz val="10"/>
        <color rgb="FF0000FF"/>
        <rFont val="Arial"/>
        <family val="0"/>
        <charset val="1"/>
      </rPr>
      <t xml:space="preserve">(</t>
    </r>
    <r>
      <rPr>
        <sz val="10"/>
        <color rgb="FF0000FF"/>
        <rFont val="Noto Sans CJK SC"/>
        <family val="2"/>
      </rPr>
      <t xml:space="preserve">変動</t>
    </r>
    <r>
      <rPr>
        <sz val="10"/>
        <color rgb="FF0000FF"/>
        <rFont val="Arial"/>
        <family val="0"/>
        <charset val="1"/>
      </rPr>
      <t xml:space="preserve">)</t>
    </r>
  </si>
  <si>
    <t xml:space="preserve">JPR-26</t>
  </si>
  <si>
    <t xml:space="preserve">ＪＰＲ渋谷タワーレコードビル</t>
  </si>
  <si>
    <r>
      <rPr>
        <sz val="10"/>
        <color rgb="FF0000FF"/>
        <rFont val="Arial"/>
        <family val="0"/>
        <charset val="1"/>
      </rPr>
      <t xml:space="preserve">JPR</t>
    </r>
    <r>
      <rPr>
        <sz val="10"/>
        <color rgb="FF0000FF"/>
        <rFont val="Noto Sans CJK SC"/>
        <family val="2"/>
      </rPr>
      <t xml:space="preserve">独自区分「東京都心」。物件別の帳簿価額・費用は非開示。一棟貸</t>
    </r>
    <r>
      <rPr>
        <sz val="10"/>
        <color rgb="FF0000FF"/>
        <rFont val="Arial"/>
        <family val="0"/>
        <charset val="1"/>
      </rPr>
      <t xml:space="preserve">(</t>
    </r>
    <r>
      <rPr>
        <sz val="10"/>
        <color rgb="FF0000FF"/>
        <rFont val="Noto Sans CJK SC"/>
        <family val="2"/>
      </rPr>
      <t xml:space="preserve">タワーレコード</t>
    </r>
    <r>
      <rPr>
        <sz val="10"/>
        <color rgb="FF0000FF"/>
        <rFont val="Arial"/>
        <family val="0"/>
        <charset val="1"/>
      </rPr>
      <t xml:space="preserve">)</t>
    </r>
  </si>
  <si>
    <t xml:space="preserve">JPR-27</t>
  </si>
  <si>
    <t xml:space="preserve">ＪＰＲ神宮前４３２</t>
  </si>
  <si>
    <t xml:space="preserve">JPR-28</t>
  </si>
  <si>
    <t xml:space="preserve">新宿三丁目イーストビル</t>
  </si>
  <si>
    <r>
      <rPr>
        <sz val="10"/>
        <color rgb="FF0000FF"/>
        <rFont val="Arial"/>
        <family val="0"/>
        <charset val="1"/>
      </rPr>
      <t xml:space="preserve">JPR</t>
    </r>
    <r>
      <rPr>
        <sz val="10"/>
        <color rgb="FF0000FF"/>
        <rFont val="Noto Sans CJK SC"/>
        <family val="2"/>
      </rPr>
      <t xml:space="preserve">独自区分「東京都心」。物件別の帳簿価額・費用は非開示。</t>
    </r>
    <r>
      <rPr>
        <sz val="10"/>
        <color rgb="FF0000FF"/>
        <rFont val="Arial"/>
        <family val="0"/>
        <charset val="1"/>
      </rPr>
      <t xml:space="preserve">2007/3</t>
    </r>
    <r>
      <rPr>
        <sz val="10"/>
        <color rgb="FF0000FF"/>
        <rFont val="Noto Sans CJK SC"/>
        <family val="2"/>
      </rPr>
      <t xml:space="preserve">・</t>
    </r>
    <r>
      <rPr>
        <sz val="10"/>
        <color rgb="FF0000FF"/>
        <rFont val="Arial"/>
        <family val="0"/>
        <charset val="1"/>
      </rPr>
      <t xml:space="preserve">2008/4</t>
    </r>
    <r>
      <rPr>
        <sz val="10"/>
        <color rgb="FF0000FF"/>
        <rFont val="Noto Sans CJK SC"/>
        <family val="2"/>
      </rPr>
      <t xml:space="preserve">の取得合計</t>
    </r>
    <r>
      <rPr>
        <sz val="10"/>
        <color rgb="FF0000FF"/>
        <rFont val="Arial"/>
        <family val="0"/>
        <charset val="1"/>
      </rPr>
      <t xml:space="preserve">(540+2,200)</t>
    </r>
    <r>
      <rPr>
        <sz val="10"/>
        <color rgb="FF0000FF"/>
        <rFont val="Noto Sans CJK SC"/>
        <family val="2"/>
      </rPr>
      <t xml:space="preserve">。区分所有。鑑定評価額が取得価格を下回る</t>
    </r>
  </si>
  <si>
    <t xml:space="preserve">JPR-29</t>
  </si>
  <si>
    <t xml:space="preserve">有楽町駅前ビルディング（有楽町イトシア）</t>
  </si>
  <si>
    <r>
      <rPr>
        <sz val="10"/>
        <color rgb="FF0000FF"/>
        <rFont val="Arial"/>
        <family val="0"/>
        <charset val="1"/>
      </rPr>
      <t xml:space="preserve">JPR</t>
    </r>
    <r>
      <rPr>
        <sz val="10"/>
        <color rgb="FF0000FF"/>
        <rFont val="Noto Sans CJK SC"/>
        <family val="2"/>
      </rPr>
      <t xml:space="preserve">独自区分「東京都心」。物件別の帳簿価額・費用は非開示。区分所有</t>
    </r>
  </si>
  <si>
    <t xml:space="preserve">JPR-30</t>
  </si>
  <si>
    <t xml:space="preserve">ＪＰＲ銀座並木通りビル</t>
  </si>
  <si>
    <t xml:space="preserve">JPR-31</t>
  </si>
  <si>
    <t xml:space="preserve">ＦＵＮＤＥＳ水道橋</t>
  </si>
  <si>
    <t xml:space="preserve">JPR-32</t>
  </si>
  <si>
    <t xml:space="preserve">アルカイースト</t>
  </si>
  <si>
    <r>
      <rPr>
        <sz val="10"/>
        <color rgb="FF0000FF"/>
        <rFont val="Arial"/>
        <family val="0"/>
        <charset val="1"/>
      </rPr>
      <t xml:space="preserve">JPR</t>
    </r>
    <r>
      <rPr>
        <sz val="10"/>
        <color rgb="FF0000FF"/>
        <rFont val="Noto Sans CJK SC"/>
        <family val="2"/>
      </rPr>
      <t xml:space="preserve">独自区分「東京周辺部」。物件別の帳簿価額・費用は非開示。</t>
    </r>
  </si>
  <si>
    <t xml:space="preserve">JPR-33</t>
  </si>
  <si>
    <t xml:space="preserve">ＪＰＲ千葉ビル</t>
  </si>
  <si>
    <t xml:space="preserve">千葉市</t>
  </si>
  <si>
    <r>
      <rPr>
        <sz val="10"/>
        <color rgb="FF0000FF"/>
        <rFont val="Arial"/>
        <family val="0"/>
        <charset val="1"/>
      </rPr>
      <t xml:space="preserve">JPR</t>
    </r>
    <r>
      <rPr>
        <sz val="10"/>
        <color rgb="FF0000FF"/>
        <rFont val="Noto Sans CJK SC"/>
        <family val="2"/>
      </rPr>
      <t xml:space="preserve">独自区分「東京周辺部」。物件別の帳簿価額・費用は非開示。鑑定評価額が取得価格を下回る</t>
    </r>
  </si>
  <si>
    <t xml:space="preserve">JPR-34</t>
  </si>
  <si>
    <t xml:space="preserve">ＪＰＲ横浜日本大通ビル</t>
  </si>
  <si>
    <t xml:space="preserve">準共有持分35.0%</t>
  </si>
  <si>
    <r>
      <rPr>
        <sz val="10"/>
        <color rgb="FF0000FF"/>
        <rFont val="Arial"/>
        <family val="0"/>
        <charset val="1"/>
      </rPr>
      <t xml:space="preserve">JPR</t>
    </r>
    <r>
      <rPr>
        <sz val="10"/>
        <color rgb="FF0000FF"/>
        <rFont val="Noto Sans CJK SC"/>
        <family val="2"/>
      </rPr>
      <t xml:space="preserve">独自区分「東京周辺部」。物件別の帳簿価額・費用は非開示。</t>
    </r>
    <r>
      <rPr>
        <sz val="10"/>
        <color rgb="FF0000FF"/>
        <rFont val="Arial"/>
        <family val="0"/>
        <charset val="1"/>
      </rPr>
      <t xml:space="preserve">2025/12/18</t>
    </r>
    <r>
      <rPr>
        <sz val="10"/>
        <color rgb="FF0000FF"/>
        <rFont val="Noto Sans CJK SC"/>
        <family val="2"/>
      </rPr>
      <t xml:space="preserve">付で準共有持分</t>
    </r>
    <r>
      <rPr>
        <sz val="10"/>
        <color rgb="FF0000FF"/>
        <rFont val="Arial"/>
        <family val="0"/>
        <charset val="1"/>
      </rPr>
      <t xml:space="preserve">65.0%</t>
    </r>
    <r>
      <rPr>
        <sz val="10"/>
        <color rgb="FF0000FF"/>
        <rFont val="Noto Sans CJK SC"/>
        <family val="2"/>
      </rPr>
      <t xml:space="preserve">を譲渡</t>
    </r>
    <r>
      <rPr>
        <sz val="10"/>
        <color rgb="FF0000FF"/>
        <rFont val="Arial"/>
        <family val="0"/>
        <charset val="1"/>
      </rPr>
      <t xml:space="preserve">(</t>
    </r>
    <r>
      <rPr>
        <sz val="10"/>
        <color rgb="FF0000FF"/>
        <rFont val="Noto Sans CJK SC"/>
        <family val="2"/>
      </rPr>
      <t xml:space="preserve">売却益</t>
    </r>
    <r>
      <rPr>
        <sz val="10"/>
        <color rgb="FF0000FF"/>
        <rFont val="Arial"/>
        <family val="0"/>
        <charset val="1"/>
      </rPr>
      <t xml:space="preserve">1,102,913</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。取得価格は当初</t>
    </r>
    <r>
      <rPr>
        <sz val="10"/>
        <color rgb="FF0000FF"/>
        <rFont val="Arial"/>
        <family val="0"/>
        <charset val="1"/>
      </rPr>
      <t xml:space="preserve">2,927</t>
    </r>
    <r>
      <rPr>
        <sz val="10"/>
        <color rgb="FF0000FF"/>
        <rFont val="Noto Sans CJK SC"/>
        <family val="2"/>
      </rPr>
      <t xml:space="preserve">百万円から譲渡持分相当</t>
    </r>
    <r>
      <rPr>
        <sz val="10"/>
        <color rgb="FF0000FF"/>
        <rFont val="Arial"/>
        <family val="0"/>
        <charset val="1"/>
      </rPr>
      <t xml:space="preserve">1,902</t>
    </r>
    <r>
      <rPr>
        <sz val="10"/>
        <color rgb="FF0000FF"/>
        <rFont val="Noto Sans CJK SC"/>
        <family val="2"/>
      </rPr>
      <t xml:space="preserve">百万円控除後。残る</t>
    </r>
    <r>
      <rPr>
        <sz val="10"/>
        <color rgb="FF0000FF"/>
        <rFont val="Arial"/>
        <family val="0"/>
        <charset val="1"/>
      </rPr>
      <t xml:space="preserve">35.0%</t>
    </r>
    <r>
      <rPr>
        <sz val="10"/>
        <color rgb="FF0000FF"/>
        <rFont val="Noto Sans CJK SC"/>
        <family val="2"/>
      </rPr>
      <t xml:space="preserve">も</t>
    </r>
    <r>
      <rPr>
        <sz val="10"/>
        <color rgb="FF0000FF"/>
        <rFont val="Arial"/>
        <family val="0"/>
        <charset val="1"/>
      </rPr>
      <t xml:space="preserve">2026/1/23</t>
    </r>
    <r>
      <rPr>
        <sz val="10"/>
        <color rgb="FF0000FF"/>
        <rFont val="Noto Sans CJK SC"/>
        <family val="2"/>
      </rPr>
      <t xml:space="preserve">付で譲渡済</t>
    </r>
    <r>
      <rPr>
        <sz val="10"/>
        <color rgb="FF0000FF"/>
        <rFont val="Arial"/>
        <family val="0"/>
        <charset val="1"/>
      </rPr>
      <t xml:space="preserve">(</t>
    </r>
    <r>
      <rPr>
        <sz val="10"/>
        <color rgb="FF0000FF"/>
        <rFont val="Noto Sans CJK SC"/>
        <family val="2"/>
      </rPr>
      <t xml:space="preserve">譲渡価格</t>
    </r>
    <r>
      <rPr>
        <sz val="10"/>
        <color rgb="FF0000FF"/>
        <rFont val="Arial"/>
        <family val="0"/>
        <charset val="1"/>
      </rPr>
      <t xml:space="preserve">1,550</t>
    </r>
    <r>
      <rPr>
        <sz val="10"/>
        <color rgb="FF0000FF"/>
        <rFont val="Noto Sans CJK SC"/>
        <family val="2"/>
      </rPr>
      <t xml:space="preserve">百万円・売却益約</t>
    </r>
    <r>
      <rPr>
        <sz val="10"/>
        <color rgb="FF0000FF"/>
        <rFont val="Arial"/>
        <family val="0"/>
        <charset val="1"/>
      </rPr>
      <t xml:space="preserve">595</t>
    </r>
    <r>
      <rPr>
        <sz val="10"/>
        <color rgb="FF0000FF"/>
        <rFont val="Noto Sans CJK SC"/>
        <family val="2"/>
      </rPr>
      <t xml:space="preserve">百万円を第</t>
    </r>
    <r>
      <rPr>
        <sz val="10"/>
        <color rgb="FF0000FF"/>
        <rFont val="Arial"/>
        <family val="0"/>
        <charset val="1"/>
      </rPr>
      <t xml:space="preserve">49</t>
    </r>
    <r>
      <rPr>
        <sz val="10"/>
        <color rgb="FF0000FF"/>
        <rFont val="Noto Sans CJK SC"/>
        <family val="2"/>
      </rPr>
      <t xml:space="preserve">期計上予定</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NLA</t>
    </r>
    <r>
      <rPr>
        <sz val="10"/>
        <color rgb="FF0000FF"/>
        <rFont val="Noto Sans CJK SC"/>
        <family val="2"/>
      </rPr>
      <t xml:space="preserve">等は持分相当</t>
    </r>
  </si>
  <si>
    <t xml:space="preserve">JPR-35</t>
  </si>
  <si>
    <t xml:space="preserve">新横浜第二センタービル</t>
  </si>
  <si>
    <r>
      <rPr>
        <sz val="10"/>
        <color rgb="FF0000FF"/>
        <rFont val="Arial"/>
        <family val="0"/>
        <charset val="1"/>
      </rPr>
      <t xml:space="preserve">JPR</t>
    </r>
    <r>
      <rPr>
        <sz val="10"/>
        <color rgb="FF0000FF"/>
        <rFont val="Noto Sans CJK SC"/>
        <family val="2"/>
      </rPr>
      <t xml:space="preserve">独自区分「東京周辺部」。物件別の帳簿価額・費用は非開示。</t>
    </r>
    <r>
      <rPr>
        <sz val="10"/>
        <color rgb="FF0000FF"/>
        <rFont val="Arial"/>
        <family val="0"/>
        <charset val="1"/>
      </rPr>
      <t xml:space="preserve">2002/9</t>
    </r>
    <r>
      <rPr>
        <sz val="10"/>
        <color rgb="FF0000FF"/>
        <rFont val="Noto Sans CJK SC"/>
        <family val="2"/>
      </rPr>
      <t xml:space="preserve">・</t>
    </r>
    <r>
      <rPr>
        <sz val="10"/>
        <color rgb="FF0000FF"/>
        <rFont val="Arial"/>
        <family val="0"/>
        <charset val="1"/>
      </rPr>
      <t xml:space="preserve">2013/3</t>
    </r>
    <r>
      <rPr>
        <sz val="10"/>
        <color rgb="FF0000FF"/>
        <rFont val="Noto Sans CJK SC"/>
        <family val="2"/>
      </rPr>
      <t xml:space="preserve">の取得合計</t>
    </r>
    <r>
      <rPr>
        <sz val="10"/>
        <color rgb="FF0000FF"/>
        <rFont val="Arial"/>
        <family val="0"/>
        <charset val="1"/>
      </rPr>
      <t xml:space="preserve">(920+570)</t>
    </r>
  </si>
  <si>
    <t xml:space="preserve">JPR-36</t>
  </si>
  <si>
    <t xml:space="preserve">川口センタービル</t>
  </si>
  <si>
    <t xml:space="preserve">川口市</t>
  </si>
  <si>
    <t xml:space="preserve">JPR-37</t>
  </si>
  <si>
    <t xml:space="preserve">立川ビジネスセンタービル</t>
  </si>
  <si>
    <r>
      <rPr>
        <sz val="10"/>
        <color rgb="FF0000FF"/>
        <rFont val="Arial"/>
        <family val="0"/>
        <charset val="1"/>
      </rPr>
      <t xml:space="preserve">JPR</t>
    </r>
    <r>
      <rPr>
        <sz val="10"/>
        <color rgb="FF0000FF"/>
        <rFont val="Noto Sans CJK SC"/>
        <family val="2"/>
      </rPr>
      <t xml:space="preserve">独自区分「東京周辺部」。物件別の帳簿価額・費用は非開示。</t>
    </r>
    <r>
      <rPr>
        <sz val="10"/>
        <color rgb="FF0000FF"/>
        <rFont val="Arial"/>
        <family val="0"/>
        <charset val="1"/>
      </rPr>
      <t xml:space="preserve">2005/9</t>
    </r>
    <r>
      <rPr>
        <sz val="10"/>
        <color rgb="FF0000FF"/>
        <rFont val="Noto Sans CJK SC"/>
        <family val="2"/>
      </rPr>
      <t xml:space="preserve">・</t>
    </r>
    <r>
      <rPr>
        <sz val="10"/>
        <color rgb="FF0000FF"/>
        <rFont val="Arial"/>
        <family val="0"/>
        <charset val="1"/>
      </rPr>
      <t xml:space="preserve">2007/2</t>
    </r>
    <r>
      <rPr>
        <sz val="10"/>
        <color rgb="FF0000FF"/>
        <rFont val="Noto Sans CJK SC"/>
        <family val="2"/>
      </rPr>
      <t xml:space="preserve">の取得合計</t>
    </r>
    <r>
      <rPr>
        <sz val="10"/>
        <color rgb="FF0000FF"/>
        <rFont val="Arial"/>
        <family val="0"/>
        <charset val="1"/>
      </rPr>
      <t xml:space="preserve">(888+2,300)</t>
    </r>
  </si>
  <si>
    <t xml:space="preserve">JPR-38</t>
  </si>
  <si>
    <t xml:space="preserve">ライズアリーナビル</t>
  </si>
  <si>
    <r>
      <rPr>
        <sz val="10"/>
        <color rgb="FF0000FF"/>
        <rFont val="Arial"/>
        <family val="0"/>
        <charset val="1"/>
      </rPr>
      <t xml:space="preserve">JPR</t>
    </r>
    <r>
      <rPr>
        <sz val="10"/>
        <color rgb="FF0000FF"/>
        <rFont val="Noto Sans CJK SC"/>
        <family val="2"/>
      </rPr>
      <t xml:space="preserve">独自区分「東京周辺部」。物件別の帳簿価額・費用は非開示。</t>
    </r>
    <r>
      <rPr>
        <sz val="10"/>
        <color rgb="FF0000FF"/>
        <rFont val="Arial"/>
        <family val="0"/>
        <charset val="1"/>
      </rPr>
      <t xml:space="preserve">2007/3</t>
    </r>
    <r>
      <rPr>
        <sz val="10"/>
        <color rgb="FF0000FF"/>
        <rFont val="Noto Sans CJK SC"/>
        <family val="2"/>
      </rPr>
      <t xml:space="preserve">・</t>
    </r>
    <r>
      <rPr>
        <sz val="10"/>
        <color rgb="FF0000FF"/>
        <rFont val="Arial"/>
        <family val="0"/>
        <charset val="1"/>
      </rPr>
      <t xml:space="preserve">2021/10</t>
    </r>
    <r>
      <rPr>
        <sz val="10"/>
        <color rgb="FF0000FF"/>
        <rFont val="Noto Sans CJK SC"/>
        <family val="2"/>
      </rPr>
      <t xml:space="preserve">の取得合計</t>
    </r>
    <r>
      <rPr>
        <sz val="10"/>
        <color rgb="FF0000FF"/>
        <rFont val="Arial"/>
        <family val="0"/>
        <charset val="1"/>
      </rPr>
      <t xml:space="preserve">(5,831+7,300)</t>
    </r>
    <r>
      <rPr>
        <sz val="10"/>
        <color rgb="FF0000FF"/>
        <rFont val="Noto Sans CJK SC"/>
        <family val="2"/>
      </rPr>
      <t xml:space="preserve">。敷地・延床は住宅棟含む再開発全体。一部サブリース</t>
    </r>
    <r>
      <rPr>
        <sz val="10"/>
        <color rgb="FF0000FF"/>
        <rFont val="Arial"/>
        <family val="0"/>
        <charset val="1"/>
      </rPr>
      <t xml:space="preserve">(</t>
    </r>
    <r>
      <rPr>
        <sz val="10"/>
        <color rgb="FF0000FF"/>
        <rFont val="Noto Sans CJK SC"/>
        <family val="2"/>
      </rPr>
      <t xml:space="preserve">変動</t>
    </r>
    <r>
      <rPr>
        <sz val="10"/>
        <color rgb="FF0000FF"/>
        <rFont val="Arial"/>
        <family val="0"/>
        <charset val="1"/>
      </rPr>
      <t xml:space="preserve">)</t>
    </r>
  </si>
  <si>
    <t xml:space="preserve">JPR-39</t>
  </si>
  <si>
    <t xml:space="preserve">ゆめおおおかオフィスタワー</t>
  </si>
  <si>
    <t xml:space="preserve">JPR-40</t>
  </si>
  <si>
    <t xml:space="preserve">オリナスタワー</t>
  </si>
  <si>
    <r>
      <rPr>
        <sz val="10"/>
        <color rgb="FF0000FF"/>
        <rFont val="Arial"/>
        <family val="0"/>
        <charset val="1"/>
      </rPr>
      <t xml:space="preserve">JPR</t>
    </r>
    <r>
      <rPr>
        <sz val="10"/>
        <color rgb="FF0000FF"/>
        <rFont val="Noto Sans CJK SC"/>
        <family val="2"/>
      </rPr>
      <t xml:space="preserve">独自区分「東京周辺部」。物件別の帳簿価額・費用は非開示。敷地・延床は商業棟・住宅棟含む全体。区分所有。一部サブリース</t>
    </r>
    <r>
      <rPr>
        <sz val="10"/>
        <color rgb="FF0000FF"/>
        <rFont val="Arial"/>
        <family val="0"/>
        <charset val="1"/>
      </rPr>
      <t xml:space="preserve">(</t>
    </r>
    <r>
      <rPr>
        <sz val="10"/>
        <color rgb="FF0000FF"/>
        <rFont val="Noto Sans CJK SC"/>
        <family val="2"/>
      </rPr>
      <t xml:space="preserve">変動</t>
    </r>
    <r>
      <rPr>
        <sz val="10"/>
        <color rgb="FF0000FF"/>
        <rFont val="Arial"/>
        <family val="0"/>
        <charset val="1"/>
      </rPr>
      <t xml:space="preserve">)</t>
    </r>
  </si>
  <si>
    <t xml:space="preserve">JPR-41</t>
  </si>
  <si>
    <t xml:space="preserve">ＪＰＲ横浜ビル</t>
  </si>
  <si>
    <t xml:space="preserve">JPR-42</t>
  </si>
  <si>
    <t xml:space="preserve">ＪＰＲ大宮ビル</t>
  </si>
  <si>
    <t xml:space="preserve">JPR-43</t>
  </si>
  <si>
    <t xml:space="preserve">センシティビルディング</t>
  </si>
  <si>
    <r>
      <rPr>
        <sz val="10"/>
        <color rgb="FF0000FF"/>
        <rFont val="Arial"/>
        <family val="0"/>
        <charset val="1"/>
      </rPr>
      <t xml:space="preserve">JPR</t>
    </r>
    <r>
      <rPr>
        <sz val="10"/>
        <color rgb="FF0000FF"/>
        <rFont val="Noto Sans CJK SC"/>
        <family val="2"/>
      </rPr>
      <t xml:space="preserve">独自区分「東京周辺部」。物件別の帳簿価額・費用は非開示。</t>
    </r>
    <r>
      <rPr>
        <sz val="10"/>
        <color rgb="FF0000FF"/>
        <rFont val="Arial"/>
        <family val="0"/>
        <charset val="1"/>
      </rPr>
      <t xml:space="preserve">1998/8</t>
    </r>
    <r>
      <rPr>
        <sz val="10"/>
        <color rgb="FF0000FF"/>
        <rFont val="Noto Sans CJK SC"/>
        <family val="2"/>
      </rPr>
      <t xml:space="preserve">増築。敷地・延床は再開発全体。一部サブリース</t>
    </r>
    <r>
      <rPr>
        <sz val="10"/>
        <color rgb="FF0000FF"/>
        <rFont val="Arial"/>
        <family val="0"/>
        <charset val="1"/>
      </rPr>
      <t xml:space="preserve">(</t>
    </r>
    <r>
      <rPr>
        <sz val="10"/>
        <color rgb="FF0000FF"/>
        <rFont val="Noto Sans CJK SC"/>
        <family val="2"/>
      </rPr>
      <t xml:space="preserve">変動</t>
    </r>
    <r>
      <rPr>
        <sz val="10"/>
        <color rgb="FF0000FF"/>
        <rFont val="Arial"/>
        <family val="0"/>
        <charset val="1"/>
      </rPr>
      <t xml:space="preserve">)</t>
    </r>
    <r>
      <rPr>
        <sz val="10"/>
        <color rgb="FF0000FF"/>
        <rFont val="Noto Sans CJK SC"/>
        <family val="2"/>
      </rPr>
      <t xml:space="preserve">。稼働</t>
    </r>
    <r>
      <rPr>
        <sz val="10"/>
        <color rgb="FF0000FF"/>
        <rFont val="Arial"/>
        <family val="0"/>
        <charset val="1"/>
      </rPr>
      <t xml:space="preserve">88.7%</t>
    </r>
    <r>
      <rPr>
        <sz val="10"/>
        <color rgb="FF0000FF"/>
        <rFont val="Noto Sans CJK SC"/>
        <family val="2"/>
      </rPr>
      <t xml:space="preserve">はポートフォリオ最低。鑑定評価額が取得価格を下回る</t>
    </r>
  </si>
  <si>
    <t xml:space="preserve">JPR-44</t>
  </si>
  <si>
    <t xml:space="preserve">中野セントラルパークイースト</t>
  </si>
  <si>
    <r>
      <rPr>
        <sz val="10"/>
        <color rgb="FF0000FF"/>
        <rFont val="Arial"/>
        <family val="0"/>
        <charset val="1"/>
      </rPr>
      <t xml:space="preserve">JPR</t>
    </r>
    <r>
      <rPr>
        <sz val="10"/>
        <color rgb="FF0000FF"/>
        <rFont val="Noto Sans CJK SC"/>
        <family val="2"/>
      </rPr>
      <t xml:space="preserve">独自区分「東京周辺部」。物件別の帳簿価額・費用は非開示。</t>
    </r>
    <r>
      <rPr>
        <sz val="10"/>
        <color rgb="FF0000FF"/>
        <rFont val="Arial"/>
        <family val="0"/>
        <charset val="1"/>
      </rPr>
      <t xml:space="preserve">2024/3</t>
    </r>
    <r>
      <rPr>
        <sz val="10"/>
        <color rgb="FF0000FF"/>
        <rFont val="Noto Sans CJK SC"/>
        <family val="2"/>
      </rPr>
      <t xml:space="preserve">・</t>
    </r>
    <r>
      <rPr>
        <sz val="10"/>
        <color rgb="FF0000FF"/>
        <rFont val="Arial"/>
        <family val="0"/>
        <charset val="1"/>
      </rPr>
      <t xml:space="preserve">2025/2</t>
    </r>
    <r>
      <rPr>
        <sz val="10"/>
        <color rgb="FF0000FF"/>
        <rFont val="Noto Sans CJK SC"/>
        <family val="2"/>
      </rPr>
      <t xml:space="preserve">の取得合計</t>
    </r>
    <r>
      <rPr>
        <sz val="10"/>
        <color rgb="FF0000FF"/>
        <rFont val="Arial"/>
        <family val="0"/>
        <charset val="1"/>
      </rPr>
      <t xml:space="preserve">(28,800+24,107)=JPR</t>
    </r>
    <r>
      <rPr>
        <sz val="10"/>
        <color rgb="FF0000FF"/>
        <rFont val="Noto Sans CJK SC"/>
        <family val="2"/>
      </rPr>
      <t xml:space="preserve">最大の取得価格。買換特例圧縮積立金の対象資産。一部サブリース</t>
    </r>
    <r>
      <rPr>
        <sz val="10"/>
        <color rgb="FF0000FF"/>
        <rFont val="Arial"/>
        <family val="0"/>
        <charset val="1"/>
      </rPr>
      <t xml:space="preserve">(</t>
    </r>
    <r>
      <rPr>
        <sz val="10"/>
        <color rgb="FF0000FF"/>
        <rFont val="Noto Sans CJK SC"/>
        <family val="2"/>
      </rPr>
      <t xml:space="preserve">変動</t>
    </r>
    <r>
      <rPr>
        <sz val="10"/>
        <color rgb="FF0000FF"/>
        <rFont val="Arial"/>
        <family val="0"/>
        <charset val="1"/>
      </rPr>
      <t xml:space="preserve">)</t>
    </r>
  </si>
  <si>
    <t xml:space="preserve">JPR-45</t>
  </si>
  <si>
    <t xml:space="preserve">田無アスタ</t>
  </si>
  <si>
    <t xml:space="preserve">西東京市</t>
  </si>
  <si>
    <r>
      <rPr>
        <sz val="10"/>
        <color rgb="FF0000FF"/>
        <rFont val="Arial"/>
        <family val="0"/>
        <charset val="1"/>
      </rPr>
      <t xml:space="preserve">JPR</t>
    </r>
    <r>
      <rPr>
        <sz val="10"/>
        <color rgb="FF0000FF"/>
        <rFont val="Noto Sans CJK SC"/>
        <family val="2"/>
      </rPr>
      <t xml:space="preserve">独自区分「東京周辺部」。物件別の帳簿価額・費用は非開示。一棟貸</t>
    </r>
    <r>
      <rPr>
        <sz val="10"/>
        <color rgb="FF0000FF"/>
        <rFont val="Arial"/>
        <family val="0"/>
        <charset val="1"/>
      </rPr>
      <t xml:space="preserve">(</t>
    </r>
    <r>
      <rPr>
        <sz val="10"/>
        <color rgb="FF0000FF"/>
        <rFont val="Noto Sans CJK SC"/>
        <family val="2"/>
      </rPr>
      <t xml:space="preserve">西友</t>
    </r>
    <r>
      <rPr>
        <sz val="10"/>
        <color rgb="FF0000FF"/>
        <rFont val="Arial"/>
        <family val="0"/>
        <charset val="1"/>
      </rPr>
      <t xml:space="preserve">)</t>
    </r>
  </si>
  <si>
    <t xml:space="preserve">JPR-46</t>
  </si>
  <si>
    <t xml:space="preserve">キュポ・ラ本館棟</t>
  </si>
  <si>
    <r>
      <rPr>
        <sz val="10"/>
        <color rgb="FF0000FF"/>
        <rFont val="Arial"/>
        <family val="0"/>
        <charset val="1"/>
      </rPr>
      <t xml:space="preserve">JPR</t>
    </r>
    <r>
      <rPr>
        <sz val="10"/>
        <color rgb="FF0000FF"/>
        <rFont val="Noto Sans CJK SC"/>
        <family val="2"/>
      </rPr>
      <t xml:space="preserve">独自区分「東京周辺部」。物件別の帳簿価額・費用は非開示。敷地は再開発全体。一棟貸</t>
    </r>
    <r>
      <rPr>
        <sz val="10"/>
        <color rgb="FF0000FF"/>
        <rFont val="Arial"/>
        <family val="0"/>
        <charset val="1"/>
      </rPr>
      <t xml:space="preserve">(</t>
    </r>
    <r>
      <rPr>
        <sz val="10"/>
        <color rgb="FF0000FF"/>
        <rFont val="Noto Sans CJK SC"/>
        <family val="2"/>
      </rPr>
      <t xml:space="preserve">マルエツ</t>
    </r>
    <r>
      <rPr>
        <sz val="10"/>
        <color rgb="FF0000FF"/>
        <rFont val="Arial"/>
        <family val="0"/>
        <charset val="1"/>
      </rPr>
      <t xml:space="preserve">)</t>
    </r>
  </si>
  <si>
    <t xml:space="preserve">JPR-47</t>
  </si>
  <si>
    <t xml:space="preserve">ＪＰＲ武蔵小杉ビル</t>
  </si>
  <si>
    <r>
      <rPr>
        <sz val="10"/>
        <color rgb="FF0000FF"/>
        <rFont val="Arial"/>
        <family val="0"/>
        <charset val="1"/>
      </rPr>
      <t xml:space="preserve">JPR</t>
    </r>
    <r>
      <rPr>
        <sz val="10"/>
        <color rgb="FF0000FF"/>
        <rFont val="Noto Sans CJK SC"/>
        <family val="2"/>
      </rPr>
      <t xml:space="preserve">独自区分「東京周辺部」。物件別の帳簿価額・費用は非開示。一棟貸</t>
    </r>
    <r>
      <rPr>
        <sz val="10"/>
        <color rgb="FF0000FF"/>
        <rFont val="Arial"/>
        <family val="0"/>
        <charset val="1"/>
      </rPr>
      <t xml:space="preserve">(</t>
    </r>
    <r>
      <rPr>
        <sz val="10"/>
        <color rgb="FF0000FF"/>
        <rFont val="Noto Sans CJK SC"/>
        <family val="2"/>
      </rPr>
      <t xml:space="preserve">イトーヨーカ堂</t>
    </r>
    <r>
      <rPr>
        <sz val="10"/>
        <color rgb="FF0000FF"/>
        <rFont val="Arial"/>
        <family val="0"/>
        <charset val="1"/>
      </rPr>
      <t xml:space="preserve">)</t>
    </r>
    <r>
      <rPr>
        <sz val="10"/>
        <color rgb="FF0000FF"/>
        <rFont val="Noto Sans CJK SC"/>
        <family val="2"/>
      </rPr>
      <t xml:space="preserve">。鑑定評価額が取得価格を下回る</t>
    </r>
  </si>
  <si>
    <t xml:space="preserve">JPR-48</t>
  </si>
  <si>
    <t xml:space="preserve">武蔵浦和ショッピングスクエア</t>
  </si>
  <si>
    <t xml:space="preserve">JPR-49</t>
  </si>
  <si>
    <t xml:space="preserve">川崎ダイスビル</t>
  </si>
  <si>
    <r>
      <rPr>
        <sz val="10"/>
        <color rgb="FF0000FF"/>
        <rFont val="Arial"/>
        <family val="0"/>
        <charset val="1"/>
      </rPr>
      <t xml:space="preserve">JPR</t>
    </r>
    <r>
      <rPr>
        <sz val="10"/>
        <color rgb="FF0000FF"/>
        <rFont val="Noto Sans CJK SC"/>
        <family val="2"/>
      </rPr>
      <t xml:space="preserve">独自区分「東京周辺部」。物件別の帳簿価額・費用は非開示。一部サブリース</t>
    </r>
    <r>
      <rPr>
        <sz val="10"/>
        <color rgb="FF0000FF"/>
        <rFont val="Arial"/>
        <family val="0"/>
        <charset val="1"/>
      </rPr>
      <t xml:space="preserve">(</t>
    </r>
    <r>
      <rPr>
        <sz val="10"/>
        <color rgb="FF0000FF"/>
        <rFont val="Noto Sans CJK SC"/>
        <family val="2"/>
      </rPr>
      <t xml:space="preserve">変動</t>
    </r>
    <r>
      <rPr>
        <sz val="10"/>
        <color rgb="FF0000FF"/>
        <rFont val="Arial"/>
        <family val="0"/>
        <charset val="1"/>
      </rPr>
      <t xml:space="preserve">)</t>
    </r>
    <r>
      <rPr>
        <sz val="10"/>
        <color rgb="FF0000FF"/>
        <rFont val="Noto Sans CJK SC"/>
        <family val="2"/>
      </rPr>
      <t xml:space="preserve">。鑑定評価額が取得価格を下回る</t>
    </r>
  </si>
  <si>
    <t xml:space="preserve">JPR-50</t>
  </si>
  <si>
    <t xml:space="preserve">ＦＵＮＤＥＳ上野</t>
  </si>
  <si>
    <t xml:space="preserve">JPR-51</t>
  </si>
  <si>
    <t xml:space="preserve">ＦＵＮＤＥＳ蒲田</t>
  </si>
  <si>
    <r>
      <rPr>
        <sz val="10"/>
        <color rgb="FF0000FF"/>
        <rFont val="Arial"/>
        <family val="0"/>
        <charset val="1"/>
      </rPr>
      <t xml:space="preserve">JPR</t>
    </r>
    <r>
      <rPr>
        <sz val="10"/>
        <color rgb="FF0000FF"/>
        <rFont val="Noto Sans CJK SC"/>
        <family val="2"/>
      </rPr>
      <t xml:space="preserve">独自区分「東京周辺部」。物件別の帳簿価額・費用は非開示。</t>
    </r>
    <r>
      <rPr>
        <sz val="10"/>
        <color rgb="FF0000FF"/>
        <rFont val="Arial"/>
        <family val="0"/>
        <charset val="1"/>
      </rPr>
      <t xml:space="preserve">2025/12/19</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当期期中取得・約</t>
    </r>
    <r>
      <rPr>
        <sz val="10"/>
        <color rgb="FF0000FF"/>
        <rFont val="Arial"/>
        <family val="0"/>
        <charset val="1"/>
      </rPr>
      <t xml:space="preserve">2</t>
    </r>
    <r>
      <rPr>
        <sz val="10"/>
        <color rgb="FF0000FF"/>
        <rFont val="Noto Sans CJK SC"/>
        <family val="2"/>
      </rPr>
      <t xml:space="preserve">週間分のため収入</t>
    </r>
    <r>
      <rPr>
        <sz val="10"/>
        <color rgb="FF0000FF"/>
        <rFont val="Arial"/>
        <family val="0"/>
        <charset val="1"/>
      </rPr>
      <t xml:space="preserve">14,394</t>
    </r>
    <r>
      <rPr>
        <sz val="10"/>
        <color rgb="FF0000FF"/>
        <rFont val="Noto Sans CJK SC"/>
        <family val="2"/>
      </rPr>
      <t xml:space="preserve">千円は期間僅少</t>
    </r>
    <r>
      <rPr>
        <sz val="10"/>
        <color rgb="FF0000FF"/>
        <rFont val="Arial"/>
        <family val="0"/>
        <charset val="1"/>
      </rPr>
      <t xml:space="preserve">)</t>
    </r>
  </si>
  <si>
    <t xml:space="preserve">JPR-52</t>
  </si>
  <si>
    <t xml:space="preserve">ホテルグレイスリー浅草</t>
  </si>
  <si>
    <t xml:space="preserve">ホテル</t>
  </si>
  <si>
    <r>
      <rPr>
        <sz val="10"/>
        <color rgb="FF0000FF"/>
        <rFont val="Arial"/>
        <family val="0"/>
        <charset val="1"/>
      </rPr>
      <t xml:space="preserve">JPR</t>
    </r>
    <r>
      <rPr>
        <sz val="10"/>
        <color rgb="FF0000FF"/>
        <rFont val="Noto Sans CJK SC"/>
        <family val="2"/>
      </rPr>
      <t xml:space="preserve">独自区分「東京周辺部」。物件別の帳簿価額・費用は非開示。</t>
    </r>
    <r>
      <rPr>
        <sz val="10"/>
        <color rgb="FF0000FF"/>
        <rFont val="Arial"/>
        <family val="0"/>
        <charset val="1"/>
      </rPr>
      <t xml:space="preserve">2025/12/19</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当期期中取得</t>
    </r>
    <r>
      <rPr>
        <sz val="10"/>
        <color rgb="FF0000FF"/>
        <rFont val="Arial"/>
        <family val="0"/>
        <charset val="1"/>
      </rPr>
      <t xml:space="preserve">)</t>
    </r>
    <r>
      <rPr>
        <sz val="10"/>
        <color rgb="FF0000FF"/>
        <rFont val="Noto Sans CJK SC"/>
        <family val="2"/>
      </rPr>
      <t xml:space="preserve">。ホテル</t>
    </r>
    <r>
      <rPr>
        <sz val="10"/>
        <color rgb="FF0000FF"/>
        <rFont val="Arial"/>
        <family val="0"/>
        <charset val="1"/>
      </rPr>
      <t xml:space="preserve">(</t>
    </r>
    <r>
      <rPr>
        <sz val="10"/>
        <color rgb="FF0000FF"/>
        <rFont val="Noto Sans CJK SC"/>
        <family val="2"/>
      </rPr>
      <t xml:space="preserve">一棟貸</t>
    </r>
    <r>
      <rPr>
        <sz val="10"/>
        <color rgb="FF0000FF"/>
        <rFont val="Arial"/>
        <family val="0"/>
        <charset val="1"/>
      </rPr>
      <t xml:space="preserve">)</t>
    </r>
  </si>
  <si>
    <t xml:space="preserve">JPR-53</t>
  </si>
  <si>
    <t xml:space="preserve">新潟駅南センタービル</t>
  </si>
  <si>
    <r>
      <rPr>
        <sz val="10"/>
        <color rgb="FF0000FF"/>
        <rFont val="Arial"/>
        <family val="0"/>
        <charset val="1"/>
      </rPr>
      <t xml:space="preserve">JPR</t>
    </r>
    <r>
      <rPr>
        <sz val="10"/>
        <color rgb="FF0000FF"/>
        <rFont val="Noto Sans CJK SC"/>
        <family val="2"/>
      </rPr>
      <t xml:space="preserve">独自区分「地方」。物件別の帳簿価額・費用は非開示。鑑定評価額が取得価格を下回る</t>
    </r>
  </si>
  <si>
    <t xml:space="preserve">JPR-54</t>
  </si>
  <si>
    <t xml:space="preserve">ＪＰＲ那覇ビル</t>
  </si>
  <si>
    <r>
      <rPr>
        <sz val="10"/>
        <color rgb="FF0000FF"/>
        <rFont val="Arial"/>
        <family val="0"/>
        <charset val="1"/>
      </rPr>
      <t xml:space="preserve">JPR</t>
    </r>
    <r>
      <rPr>
        <sz val="10"/>
        <color rgb="FF0000FF"/>
        <rFont val="Noto Sans CJK SC"/>
        <family val="2"/>
      </rPr>
      <t xml:space="preserve">独自区分「地方」。物件別の帳簿価額・費用は非開示。</t>
    </r>
  </si>
  <si>
    <t xml:space="preserve">JPR-55</t>
  </si>
  <si>
    <t xml:space="preserve">損保ジャパン仙台ビル</t>
  </si>
  <si>
    <t xml:space="preserve">JPR-56</t>
  </si>
  <si>
    <t xml:space="preserve">損保ジャパン和歌山ビル</t>
  </si>
  <si>
    <t xml:space="preserve">和歌山県</t>
  </si>
  <si>
    <t xml:space="preserve">和歌山市</t>
  </si>
  <si>
    <t xml:space="preserve">JPR-57</t>
  </si>
  <si>
    <t xml:space="preserve">天神１２１ビル</t>
  </si>
  <si>
    <t xml:space="preserve">JPR-58</t>
  </si>
  <si>
    <t xml:space="preserve">ＪＰＲ堂島ビル</t>
  </si>
  <si>
    <r>
      <rPr>
        <sz val="10"/>
        <color rgb="FF0000FF"/>
        <rFont val="Arial"/>
        <family val="0"/>
        <charset val="1"/>
      </rPr>
      <t xml:space="preserve">JPR</t>
    </r>
    <r>
      <rPr>
        <sz val="10"/>
        <color rgb="FF0000FF"/>
        <rFont val="Noto Sans CJK SC"/>
        <family val="2"/>
      </rPr>
      <t xml:space="preserve">独自区分「地方」。物件別の帳簿価額・費用は非開示。鑑定評価額が取得価格の約</t>
    </r>
    <r>
      <rPr>
        <sz val="10"/>
        <color rgb="FF0000FF"/>
        <rFont val="Arial"/>
        <family val="0"/>
        <charset val="1"/>
      </rPr>
      <t xml:space="preserve">2</t>
    </r>
    <r>
      <rPr>
        <sz val="10"/>
        <color rgb="FF0000FF"/>
        <rFont val="Noto Sans CJK SC"/>
        <family val="2"/>
      </rPr>
      <t xml:space="preserve">倍</t>
    </r>
  </si>
  <si>
    <t xml:space="preserve">JPR-59</t>
  </si>
  <si>
    <t xml:space="preserve">薬院ビジネスガーデン</t>
  </si>
  <si>
    <r>
      <rPr>
        <sz val="10"/>
        <color rgb="FF0000FF"/>
        <rFont val="Arial"/>
        <family val="0"/>
        <charset val="1"/>
      </rPr>
      <t xml:space="preserve">JPR</t>
    </r>
    <r>
      <rPr>
        <sz val="10"/>
        <color rgb="FF0000FF"/>
        <rFont val="Noto Sans CJK SC"/>
        <family val="2"/>
      </rPr>
      <t xml:space="preserve">独自区分「地方」。物件別の帳簿価額・費用は非開示。鑑定評価額</t>
    </r>
    <r>
      <rPr>
        <sz val="10"/>
        <color rgb="FF0000FF"/>
        <rFont val="Arial"/>
        <family val="0"/>
        <charset val="1"/>
      </rPr>
      <t xml:space="preserve">24,800</t>
    </r>
    <r>
      <rPr>
        <sz val="10"/>
        <color rgb="FF0000FF"/>
        <rFont val="Noto Sans CJK SC"/>
        <family val="2"/>
      </rPr>
      <t xml:space="preserve">百万円は取得価格</t>
    </r>
    <r>
      <rPr>
        <sz val="10"/>
        <color rgb="FF0000FF"/>
        <rFont val="Arial"/>
        <family val="0"/>
        <charset val="1"/>
      </rPr>
      <t xml:space="preserve">10,996</t>
    </r>
    <r>
      <rPr>
        <sz val="10"/>
        <color rgb="FF0000FF"/>
        <rFont val="Noto Sans CJK SC"/>
        <family val="2"/>
      </rPr>
      <t xml:space="preserve">百万円の</t>
    </r>
    <r>
      <rPr>
        <sz val="10"/>
        <color rgb="FF0000FF"/>
        <rFont val="Arial"/>
        <family val="0"/>
        <charset val="1"/>
      </rPr>
      <t xml:space="preserve">2.3</t>
    </r>
    <r>
      <rPr>
        <sz val="10"/>
        <color rgb="FF0000FF"/>
        <rFont val="Noto Sans CJK SC"/>
        <family val="2"/>
      </rPr>
      <t xml:space="preserve">倍</t>
    </r>
    <r>
      <rPr>
        <sz val="10"/>
        <color rgb="FF0000FF"/>
        <rFont val="Arial"/>
        <family val="0"/>
        <charset val="1"/>
      </rPr>
      <t xml:space="preserve">=</t>
    </r>
    <r>
      <rPr>
        <sz val="10"/>
        <color rgb="FF0000FF"/>
        <rFont val="Noto Sans CJK SC"/>
        <family val="2"/>
      </rPr>
      <t xml:space="preserve">含み益率ポートフォリオ最大級</t>
    </r>
  </si>
  <si>
    <t xml:space="preserve">JPR-60</t>
  </si>
  <si>
    <t xml:space="preserve">ＪＰＲ心斎橋ビル</t>
  </si>
  <si>
    <r>
      <rPr>
        <sz val="10"/>
        <color rgb="FF0000FF"/>
        <rFont val="Arial"/>
        <family val="0"/>
        <charset val="1"/>
      </rPr>
      <t xml:space="preserve">JPR</t>
    </r>
    <r>
      <rPr>
        <sz val="10"/>
        <color rgb="FF0000FF"/>
        <rFont val="Noto Sans CJK SC"/>
        <family val="2"/>
      </rPr>
      <t xml:space="preserve">独自区分「地方」。物件別の帳簿価額・費用は非開示。</t>
    </r>
    <r>
      <rPr>
        <sz val="10"/>
        <color rgb="FF0000FF"/>
        <rFont val="Arial"/>
        <family val="0"/>
        <charset val="1"/>
      </rPr>
      <t xml:space="preserve">2005/1</t>
    </r>
    <r>
      <rPr>
        <sz val="10"/>
        <color rgb="FF0000FF"/>
        <rFont val="Noto Sans CJK SC"/>
        <family val="2"/>
      </rPr>
      <t xml:space="preserve">増築。鑑定評価額が取得価格を下回る</t>
    </r>
  </si>
  <si>
    <t xml:space="preserve">JPR-61</t>
  </si>
  <si>
    <t xml:space="preserve">ＪＰＲ心斎橋ウエスト</t>
  </si>
  <si>
    <r>
      <rPr>
        <sz val="10"/>
        <color rgb="FF0000FF"/>
        <rFont val="Arial"/>
        <family val="0"/>
        <charset val="1"/>
      </rPr>
      <t xml:space="preserve">JPR</t>
    </r>
    <r>
      <rPr>
        <sz val="10"/>
        <color rgb="FF0000FF"/>
        <rFont val="Noto Sans CJK SC"/>
        <family val="2"/>
      </rPr>
      <t xml:space="preserve">独自区分「地方」。物件別の帳簿価額・費用は非開示。</t>
    </r>
    <r>
      <rPr>
        <sz val="10"/>
        <color rgb="FF0000FF"/>
        <rFont val="Arial"/>
        <family val="0"/>
        <charset val="1"/>
      </rPr>
      <t xml:space="preserve">2007/2</t>
    </r>
    <r>
      <rPr>
        <sz val="10"/>
        <color rgb="FF0000FF"/>
        <rFont val="Noto Sans CJK SC"/>
        <family val="2"/>
      </rPr>
      <t xml:space="preserve">増築。</t>
    </r>
    <r>
      <rPr>
        <sz val="10"/>
        <color rgb="FF0000FF"/>
        <rFont val="Arial"/>
        <family val="0"/>
        <charset val="1"/>
      </rPr>
      <t xml:space="preserve">2025/6</t>
    </r>
    <r>
      <rPr>
        <sz val="10"/>
        <color rgb="FF0000FF"/>
        <rFont val="Noto Sans CJK SC"/>
        <family val="2"/>
      </rPr>
      <t xml:space="preserve">期に隣接土地取得</t>
    </r>
    <r>
      <rPr>
        <sz val="10"/>
        <color rgb="FF0000FF"/>
        <rFont val="Arial"/>
        <family val="0"/>
        <charset val="1"/>
      </rPr>
      <t xml:space="preserve">(30,144</t>
    </r>
    <r>
      <rPr>
        <sz val="10"/>
        <color rgb="FF0000FF"/>
        <rFont val="Noto Sans CJK SC"/>
        <family val="2"/>
      </rPr>
      <t xml:space="preserve">千円</t>
    </r>
    <r>
      <rPr>
        <sz val="10"/>
        <color rgb="FF0000FF"/>
        <rFont val="Arial"/>
        <family val="0"/>
        <charset val="1"/>
      </rPr>
      <t xml:space="preserve">)</t>
    </r>
  </si>
  <si>
    <t xml:space="preserve">JPR-62</t>
  </si>
  <si>
    <r>
      <rPr>
        <sz val="10"/>
        <color rgb="FF0000FF"/>
        <rFont val="Arial"/>
        <family val="0"/>
        <charset val="1"/>
      </rPr>
      <t xml:space="preserve">JPR</t>
    </r>
    <r>
      <rPr>
        <sz val="10"/>
        <color rgb="FF0000FF"/>
        <rFont val="Noto Sans CJK SC"/>
        <family val="2"/>
      </rPr>
      <t xml:space="preserve">独自区分「地方」。物件別の帳簿価額・費用は非開示。</t>
    </r>
    <r>
      <rPr>
        <sz val="10"/>
        <color rgb="FF0000FF"/>
        <rFont val="Arial"/>
        <family val="0"/>
        <charset val="1"/>
      </rPr>
      <t xml:space="preserve">2021/12(4.9%)</t>
    </r>
    <r>
      <rPr>
        <sz val="10"/>
        <color rgb="FF0000FF"/>
        <rFont val="Noto Sans CJK SC"/>
        <family val="2"/>
      </rPr>
      <t xml:space="preserve">・</t>
    </r>
    <r>
      <rPr>
        <sz val="10"/>
        <color rgb="FF0000FF"/>
        <rFont val="Arial"/>
        <family val="0"/>
        <charset val="1"/>
      </rPr>
      <t xml:space="preserve">2025/12/19(4.6%)</t>
    </r>
    <r>
      <rPr>
        <sz val="10"/>
        <color rgb="FF0000FF"/>
        <rFont val="Noto Sans CJK SC"/>
        <family val="2"/>
      </rPr>
      <t xml:space="preserve">の取得合計</t>
    </r>
    <r>
      <rPr>
        <sz val="10"/>
        <color rgb="FF0000FF"/>
        <rFont val="Arial"/>
        <family val="0"/>
        <charset val="1"/>
      </rPr>
      <t xml:space="preserve">(11,800+9,200)</t>
    </r>
    <r>
      <rPr>
        <sz val="10"/>
        <color rgb="FF0000FF"/>
        <rFont val="Noto Sans CJK SC"/>
        <family val="2"/>
      </rPr>
      <t xml:space="preserve">。竣工はうめきた広場</t>
    </r>
    <r>
      <rPr>
        <sz val="10"/>
        <color rgb="FF0000FF"/>
        <rFont val="Arial"/>
        <family val="0"/>
        <charset val="1"/>
      </rPr>
      <t xml:space="preserve">2013/2</t>
    </r>
    <r>
      <rPr>
        <sz val="10"/>
        <color rgb="FF0000FF"/>
        <rFont val="Noto Sans CJK SC"/>
        <family val="2"/>
      </rPr>
      <t xml:space="preserve">・南館</t>
    </r>
    <r>
      <rPr>
        <sz val="10"/>
        <color rgb="FF0000FF"/>
        <rFont val="Arial"/>
        <family val="0"/>
        <charset val="1"/>
      </rPr>
      <t xml:space="preserve">2013/3</t>
    </r>
    <r>
      <rPr>
        <sz val="10"/>
        <color rgb="FF0000FF"/>
        <rFont val="Noto Sans CJK SC"/>
        <family val="2"/>
      </rPr>
      <t xml:space="preserve">。</t>
    </r>
    <r>
      <rPr>
        <sz val="10"/>
        <color rgb="FF0000FF"/>
        <rFont val="Arial"/>
        <family val="0"/>
        <charset val="1"/>
      </rPr>
      <t xml:space="preserve">NLA</t>
    </r>
    <r>
      <rPr>
        <sz val="10"/>
        <color rgb="FF0000FF"/>
        <rFont val="Noto Sans CJK SC"/>
        <family val="2"/>
      </rPr>
      <t xml:space="preserve">等は持分相当。付随して</t>
    </r>
    <r>
      <rPr>
        <sz val="10"/>
        <color rgb="FF0000FF"/>
        <rFont val="Arial"/>
        <family val="0"/>
        <charset val="1"/>
      </rPr>
      <t xml:space="preserve">KMO</t>
    </r>
    <r>
      <rPr>
        <sz val="10"/>
        <color rgb="FF0000FF"/>
        <rFont val="Noto Sans CJK SC"/>
        <family val="2"/>
      </rPr>
      <t xml:space="preserve">株式</t>
    </r>
    <r>
      <rPr>
        <sz val="10"/>
        <color rgb="FF0000FF"/>
        <rFont val="Arial"/>
        <family val="0"/>
        <charset val="1"/>
      </rPr>
      <t xml:space="preserve">(162,380</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等を取得。一部サブリース</t>
    </r>
    <r>
      <rPr>
        <sz val="10"/>
        <color rgb="FF0000FF"/>
        <rFont val="Arial"/>
        <family val="0"/>
        <charset val="1"/>
      </rPr>
      <t xml:space="preserve">(</t>
    </r>
    <r>
      <rPr>
        <sz val="10"/>
        <color rgb="FF0000FF"/>
        <rFont val="Noto Sans CJK SC"/>
        <family val="2"/>
      </rPr>
      <t xml:space="preserve">変動</t>
    </r>
    <r>
      <rPr>
        <sz val="10"/>
        <color rgb="FF0000FF"/>
        <rFont val="Arial"/>
        <family val="0"/>
        <charset val="1"/>
      </rPr>
      <t xml:space="preserve">)</t>
    </r>
  </si>
  <si>
    <t xml:space="preserve">JPR-63</t>
  </si>
  <si>
    <r>
      <rPr>
        <sz val="10"/>
        <color rgb="FF0000FF"/>
        <rFont val="Arial"/>
        <family val="0"/>
        <charset val="1"/>
      </rPr>
      <t xml:space="preserve">JPR</t>
    </r>
    <r>
      <rPr>
        <sz val="10"/>
        <color rgb="FF0000FF"/>
        <rFont val="Noto Sans CJK SC"/>
        <family val="2"/>
      </rPr>
      <t xml:space="preserve">独自区分「地方」。物件別の帳簿価額・費用は非開示。</t>
    </r>
    <r>
      <rPr>
        <sz val="10"/>
        <color rgb="FF0000FF"/>
        <rFont val="Arial"/>
        <family val="0"/>
        <charset val="1"/>
      </rPr>
      <t xml:space="preserve">2021/12(4.9%)</t>
    </r>
    <r>
      <rPr>
        <sz val="10"/>
        <color rgb="FF0000FF"/>
        <rFont val="Noto Sans CJK SC"/>
        <family val="2"/>
      </rPr>
      <t xml:space="preserve">・</t>
    </r>
    <r>
      <rPr>
        <sz val="10"/>
        <color rgb="FF0000FF"/>
        <rFont val="Arial"/>
        <family val="0"/>
        <charset val="1"/>
      </rPr>
      <t xml:space="preserve">2025/12/19(4.6%)</t>
    </r>
    <r>
      <rPr>
        <sz val="10"/>
        <color rgb="FF0000FF"/>
        <rFont val="Noto Sans CJK SC"/>
        <family val="2"/>
      </rPr>
      <t xml:space="preserve">の取得合計</t>
    </r>
    <r>
      <rPr>
        <sz val="10"/>
        <color rgb="FF0000FF"/>
        <rFont val="Arial"/>
        <family val="0"/>
        <charset val="1"/>
      </rPr>
      <t xml:space="preserve">(9,500+8,000)</t>
    </r>
    <r>
      <rPr>
        <sz val="10"/>
        <color rgb="FF0000FF"/>
        <rFont val="Noto Sans CJK SC"/>
        <family val="2"/>
      </rPr>
      <t xml:space="preserve">。</t>
    </r>
    <r>
      <rPr>
        <sz val="10"/>
        <color rgb="FF0000FF"/>
        <rFont val="Arial"/>
        <family val="0"/>
        <charset val="1"/>
      </rPr>
      <t xml:space="preserve">NLA</t>
    </r>
    <r>
      <rPr>
        <sz val="10"/>
        <color rgb="FF0000FF"/>
        <rFont val="Noto Sans CJK SC"/>
        <family val="2"/>
      </rPr>
      <t xml:space="preserve">等は持分相当。一部固定型</t>
    </r>
    <r>
      <rPr>
        <sz val="10"/>
        <color rgb="FF0000FF"/>
        <rFont val="Arial"/>
        <family val="0"/>
        <charset val="1"/>
      </rPr>
      <t xml:space="preserve">ML/</t>
    </r>
    <r>
      <rPr>
        <sz val="10"/>
        <color rgb="FF0000FF"/>
        <rFont val="Noto Sans CJK SC"/>
        <family val="2"/>
      </rPr>
      <t xml:space="preserve">ダイレクトリース。テナント数はエンドテナント数</t>
    </r>
  </si>
  <si>
    <t xml:space="preserve">JPR-64</t>
  </si>
  <si>
    <t xml:space="preserve">ＪＰＲ堂島ウエスト</t>
  </si>
  <si>
    <t xml:space="preserve">JPR-65</t>
  </si>
  <si>
    <t xml:space="preserve">ＪＰＲ茶屋町ビル</t>
  </si>
  <si>
    <t xml:space="preserve">JPR-66</t>
  </si>
  <si>
    <t xml:space="preserve">ＦＵＮＤＥＳ天神西通り</t>
  </si>
  <si>
    <r>
      <rPr>
        <sz val="10"/>
        <color rgb="FF0000FF"/>
        <rFont val="Arial"/>
        <family val="0"/>
        <charset val="1"/>
      </rPr>
      <t xml:space="preserve">JPR</t>
    </r>
    <r>
      <rPr>
        <sz val="10"/>
        <color rgb="FF0000FF"/>
        <rFont val="Noto Sans CJK SC"/>
        <family val="2"/>
      </rPr>
      <t xml:space="preserve">独自区分「地方」。物件別の帳簿価額・費用は非開示。稼働</t>
    </r>
    <r>
      <rPr>
        <sz val="10"/>
        <color rgb="FF0000FF"/>
        <rFont val="Arial"/>
        <family val="0"/>
        <charset val="1"/>
      </rPr>
      <t xml:space="preserve">83.8%</t>
    </r>
    <r>
      <rPr>
        <sz val="10"/>
        <color rgb="FF0000FF"/>
        <rFont val="Noto Sans CJK SC"/>
        <family val="2"/>
      </rPr>
      <t xml:space="preserve">はポートフォリオで</t>
    </r>
    <r>
      <rPr>
        <sz val="10"/>
        <color rgb="FF0000FF"/>
        <rFont val="Arial"/>
        <family val="0"/>
        <charset val="1"/>
      </rPr>
      <t xml:space="preserve">2</t>
    </r>
    <r>
      <rPr>
        <sz val="10"/>
        <color rgb="FF0000FF"/>
        <rFont val="Noto Sans CJK SC"/>
        <family val="2"/>
      </rPr>
      <t xml:space="preserve">番目に低い</t>
    </r>
  </si>
  <si>
    <t xml:space="preserve">JPR-67</t>
  </si>
  <si>
    <t xml:space="preserve">ザ ロイヤルパーク キャンバス 名古屋</t>
  </si>
  <si>
    <r>
      <rPr>
        <sz val="10"/>
        <color rgb="FF0000FF"/>
        <rFont val="Arial"/>
        <family val="0"/>
        <charset val="1"/>
      </rPr>
      <t xml:space="preserve">JPR</t>
    </r>
    <r>
      <rPr>
        <sz val="10"/>
        <color rgb="FF0000FF"/>
        <rFont val="Noto Sans CJK SC"/>
        <family val="2"/>
      </rPr>
      <t xml:space="preserve">独自区分「地方」。物件別の帳簿価額・費用は非開示。</t>
    </r>
    <r>
      <rPr>
        <sz val="10"/>
        <color rgb="FF0000FF"/>
        <rFont val="Arial"/>
        <family val="0"/>
        <charset val="1"/>
      </rPr>
      <t xml:space="preserve">2024/10</t>
    </r>
    <r>
      <rPr>
        <sz val="10"/>
        <color rgb="FF0000FF"/>
        <rFont val="Noto Sans CJK SC"/>
        <family val="2"/>
      </rPr>
      <t xml:space="preserve">取得。ホテル</t>
    </r>
    <r>
      <rPr>
        <sz val="10"/>
        <color rgb="FF0000FF"/>
        <rFont val="Arial"/>
        <family val="0"/>
        <charset val="1"/>
      </rPr>
      <t xml:space="preserve">(</t>
    </r>
    <r>
      <rPr>
        <sz val="10"/>
        <color rgb="FF0000FF"/>
        <rFont val="Noto Sans CJK SC"/>
        <family val="2"/>
      </rPr>
      <t xml:space="preserve">一棟貸</t>
    </r>
    <r>
      <rPr>
        <sz val="10"/>
        <color rgb="FF0000FF"/>
        <rFont val="Arial"/>
        <family val="0"/>
        <charset val="1"/>
      </rPr>
      <t xml:space="preserve">)</t>
    </r>
  </si>
  <si>
    <t xml:space="preserve">JPR-68</t>
  </si>
  <si>
    <t xml:space="preserve">ハウジング・デザイン・センター神戸</t>
  </si>
  <si>
    <t xml:space="preserve">神戸市</t>
  </si>
  <si>
    <t xml:space="preserve">物件別の帳簿価額・費用は非開示。2025/11/28付で譲渡(譲渡価格7,240百万円・売却益782,927千円)。期末保有67物件に含まれず、当期賃貸収入は非開示。所在地・建物情報は当期末保有物件表の対象外のため未収録</t>
  </si>
  <si>
    <t xml:space="preserve">TRE-ALL</t>
  </si>
  <si>
    <t xml:space="preserve">【TREポートフォリオ全体】</t>
  </si>
  <si>
    <r>
      <rPr>
        <sz val="10"/>
        <color rgb="FF0000FF"/>
        <rFont val="Arial"/>
        <family val="0"/>
        <charset val="1"/>
      </rPr>
      <t xml:space="preserve">28</t>
    </r>
    <r>
      <rPr>
        <sz val="10"/>
        <color rgb="FF0000FF"/>
        <rFont val="Noto Sans CJK SC"/>
        <family val="2"/>
      </rPr>
      <t xml:space="preserve">物件（</t>
    </r>
    <r>
      <rPr>
        <sz val="10"/>
        <color rgb="FF0000FF"/>
        <rFont val="Arial"/>
        <family val="0"/>
        <charset val="1"/>
      </rPr>
      <t xml:space="preserve">2026/1/31</t>
    </r>
    <r>
      <rPr>
        <sz val="10"/>
        <color rgb="FF0000FF"/>
        <rFont val="Noto Sans CJK SC"/>
        <family val="2"/>
      </rPr>
      <t xml:space="preserve">時点）</t>
    </r>
  </si>
  <si>
    <r>
      <rPr>
        <sz val="10"/>
        <color rgb="FF0000FF"/>
        <rFont val="Arial"/>
        <family val="0"/>
        <charset val="1"/>
      </rPr>
      <t xml:space="preserve">TRE 2026</t>
    </r>
    <r>
      <rPr>
        <sz val="10"/>
        <color rgb="FF0000FF"/>
        <rFont val="Noto Sans CJK SC"/>
        <family val="2"/>
      </rPr>
      <t xml:space="preserve">年</t>
    </r>
    <r>
      <rPr>
        <sz val="10"/>
        <color rgb="FF0000FF"/>
        <rFont val="Arial"/>
        <family val="0"/>
        <charset val="1"/>
      </rPr>
      <t xml:space="preserve">1</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45</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(2026/3/16</t>
    </r>
    <r>
      <rPr>
        <sz val="10"/>
        <color rgb="FF0000FF"/>
        <rFont val="Noto Sans CJK SC"/>
        <family val="2"/>
      </rPr>
      <t xml:space="preserve">公表</t>
    </r>
    <r>
      <rPr>
        <sz val="10"/>
        <color rgb="FF0000FF"/>
        <rFont val="Arial"/>
        <family val="0"/>
        <charset val="1"/>
      </rPr>
      <t xml:space="preserve">)</t>
    </r>
  </si>
  <si>
    <t xml:space="preserve">東急スポンサーの渋谷・東急沿線特化型(商業6/オフィス18/住宅3/複合1)。取得価額合計244,261百万円(本文記載・物件別は非開示のため個別行は空欄)。本行の帳簿231,242,144千円は開示合計欄(BS円単位合計とも一致)。【原資料の切捨て表示に関する注記】物件別帳簿価額(千円未満切捨て表示)の28物件合算は231,242,131千円(-13千円)、月額賃料総額の合算は1,201,648千円(-13千円)と、それぞれ合計欄より小さい(切捨て累積・NBF等と同パターン)。鑑定(期末算定価額)326,920,000千円・NLA158,376.73㎡・テナント396は個別合算=合計欄で完全一致。含み益95,677百万円(算定価額-帳簿、本文記載値と一致)。期末稼働98.9%(空室率1.1%、前期末1.6%)。期末月額賃料総額1,201,661千円(年間14,419,939千円・契約ベース)。地域構成(帳簿ベース): 渋谷区43.3%・東京都心4区38.1%・東急沿線(渋谷区除く)18.6%。当期入替: TOKYU REIT下北沢スクエア譲渡(2025/10/7・2,687百万円・売却益480,788千円)、TOKYU REIT虎ノ門ビル30%譲渡(2026/1/30・売却益2,006,146千円)。期後: 同残40%譲渡(2026/2/27・6,520百万円)、戸越銀座ラウンドビル(3,150百万円・品川区・1992/5竣工)・東急すすき野ビル(2,400百万円・横浜市青葉区・1991/10竣工)を2026/4/15取得(いずれも東急(株)より)。2025年に自己投資口16,229口取得・消却(30億円)</t>
  </si>
  <si>
    <t xml:space="preserve">TRE-01</t>
  </si>
  <si>
    <t xml:space="preserve">ＱＦＲＯＮＴ（キューフロント）</t>
  </si>
  <si>
    <t xml:space="preserve">物件別の取得価格・発生ベース収支は非開示(帳簿・期末算定価額・契約賃料を開示)。期末月額賃料総額129,094千円(年換算1,549,128千円・契約ベース・歩合賃料除く)。渋谷スクランブル交差点前の旗艦商業施設。地積・延床は一棟全体(信託部分は敷地728.30㎡/専有4,804.46㎡)。テナントはCCC(TSUTAYA・2039/12まで長期契約、3年毎に賃料1.05倍改定)と東急(壁面LED大型映像装置等・2039/12まで)。鑑定40,700百万円=帳簿の2.8倍と含み益最大級</t>
  </si>
  <si>
    <t xml:space="preserve">TRE-02</t>
  </si>
  <si>
    <t xml:space="preserve">レキシントン青山</t>
  </si>
  <si>
    <t xml:space="preserve">物件別の取得価格・発生ベース収支は非開示(帳簿・期末算定価額・契約賃料を開示)。期末月額賃料総額23,179千円(年換算278,148千円・契約ベース・歩合賃料除く)。ビオセボン等が入居</t>
  </si>
  <si>
    <t xml:space="preserve">TRE-03</t>
  </si>
  <si>
    <t xml:space="preserve">ＴＯＫＹＵ ＲＥＩＴ表参道スクエア</t>
  </si>
  <si>
    <t xml:space="preserve">物件別の取得価格・発生ベース収支は非開示(帳簿・期末算定価額・契約賃料を開示)。期末月額賃料総額28,757千円(年換算345,084千円・契約ベース・歩合賃料除く)。一部テナントは売上歩合賃料(月額賃料総額に歩合部分は含まず)</t>
  </si>
  <si>
    <t xml:space="preserve">TRE-04</t>
  </si>
  <si>
    <t xml:space="preserve">ＴＯＫＹＵ ＲＥＩＴ渋谷宇田川町スクエア</t>
  </si>
  <si>
    <t xml:space="preserve">物件別の取得価格・発生ベース収支は非開示(帳簿・期末算定価額・契約賃料を開示)。期末月額賃料総額50,051千円(年換算600,612千円・契約ベース・歩合賃料除く)。2棟構成(建物1:1998/7竣工3F 1,473.10㎡・建物2:1995/6竣工2F 56.39㎡)。延床は2棟合計。鑑定15,300百万円=帳簿の2.3倍</t>
  </si>
  <si>
    <t xml:space="preserve">TRE-05</t>
  </si>
  <si>
    <t xml:space="preserve">ｃｏｃｏｔｉ（ココチ）</t>
  </si>
  <si>
    <t xml:space="preserve">物件別の取得価格・発生ベース収支は非開示(帳簿・期末算定価額・契約賃料を開示)。期末月額賃料総額85,248千円(年換算1,022,976千円・契約ベース・歩合賃料除く)。渋谷の商業施設。THINKフィットネス・ディーゼル等</t>
  </si>
  <si>
    <t xml:space="preserve">TRE-06</t>
  </si>
  <si>
    <t xml:space="preserve">ＴＯＫＹＵ ＲＥＩＴ自由が丘スクエア</t>
  </si>
  <si>
    <t xml:space="preserve">物件別の取得価格・発生ベース収支は非開示(帳簿・期末算定価額・契約賃料を開示)。期末月額賃料総額12,528千円(年換算150,336千円・契約ベース・歩合賃料除く)。</t>
  </si>
  <si>
    <t xml:space="preserve">TRE-07</t>
  </si>
  <si>
    <t xml:space="preserve">東急南平台町ビル</t>
  </si>
  <si>
    <t xml:space="preserve">物件別の取得価格・発生ベース収支は非開示(帳簿・期末算定価額・契約賃料を開示)。期末月額賃料総額30,917千円(年換算371,004千円・契約ベース・歩合賃料除く)。東急(株)一棟賃貸(2031/12まで・2年毎鑑定ベース賃料改定)。総賃貸(可能)面積は駐車場含む</t>
  </si>
  <si>
    <t xml:space="preserve">TRE-08</t>
  </si>
  <si>
    <t xml:space="preserve">東急桜丘町ビル</t>
  </si>
  <si>
    <t xml:space="preserve">物件別の取得価格・発生ベース収支は非開示(帳簿・期末算定価額・契約賃料を開示)。期末月額賃料総額41,543千円(年換算498,516千円・契約ベース・歩合賃料除く)。主要テナント東急(株)(2031/12まで)</t>
  </si>
  <si>
    <t xml:space="preserve">TRE-09</t>
  </si>
  <si>
    <t xml:space="preserve">ＴＯＫＹＵ ＲＥＩＴ蒲田ビル</t>
  </si>
  <si>
    <t xml:space="preserve">物件別の取得価格・発生ベース収支は非開示(帳簿・期末算定価額・契約賃料を開示)。期末月額賃料総額30,408千円(年換算364,896千円・契約ベース・歩合賃料除く)。主要テナント富士通</t>
  </si>
  <si>
    <t xml:space="preserve">TRE-10</t>
  </si>
  <si>
    <t xml:space="preserve">ＴＯＫＹＵ ＲＥＩＴ虎ノ門ビル</t>
  </si>
  <si>
    <t xml:space="preserve">物件別の取得価格・発生ベース収支は非開示(帳簿・期末算定価額・契約賃料を開示)。期末月額賃料総額24,176千円(年換算290,112千円・契約ベース・歩合賃料除く)。2025/4に30%・2026/1/30に30%を譲渡済(当期売却益2,006,146千円)、残40%も2026/2/27付で譲渡済(譲渡価額6,520百万円・第46期に売却益2,675百万円計上予定)。3回分割譲渡の完了によりポートフォリオから退出。NLA・月額賃料等は持分40%相当。期末算定価額は譲渡契約済のため譲渡価額ベース</t>
  </si>
  <si>
    <t xml:space="preserve">TRE-11</t>
  </si>
  <si>
    <t xml:space="preserve">東急池尻大橋ビル</t>
  </si>
  <si>
    <t xml:space="preserve">物件別の取得価格・発生ベース収支は非開示(帳簿・期末算定価額・契約賃料を開示)。期末月額賃料総額32,911千円(年換算394,932千円・契約ベース・歩合賃料除く)。主要テナント東急バス</t>
  </si>
  <si>
    <t xml:space="preserve">TRE-12</t>
  </si>
  <si>
    <t xml:space="preserve">麹町スクエア</t>
  </si>
  <si>
    <r>
      <rPr>
        <sz val="11"/>
        <color theme="1"/>
        <rFont val="Calibri"/>
        <family val="2"/>
        <charset val="1"/>
      </rPr>
      <t xml:space="preserve">62</t>
    </r>
    <r>
      <rPr>
        <sz val="11"/>
        <color theme="1"/>
        <rFont val="Noto Sans CJK SC"/>
        <family val="2"/>
      </rPr>
      <t xml:space="preserve">物件（</t>
    </r>
    <r>
      <rPr>
        <sz val="11"/>
        <color theme="1"/>
        <rFont val="Calibri"/>
        <family val="2"/>
        <charset val="1"/>
      </rPr>
      <t xml:space="preserve">2026/4/30</t>
    </r>
    <r>
      <rPr>
        <sz val="11"/>
        <color theme="1"/>
        <rFont val="Noto Sans CJK SC"/>
        <family val="2"/>
      </rPr>
      <t xml:space="preserve">時点・優先出資証券</t>
    </r>
    <r>
      <rPr>
        <sz val="11"/>
        <color theme="1"/>
        <rFont val="Calibri"/>
        <family val="2"/>
        <charset val="1"/>
      </rPr>
      <t xml:space="preserve">1</t>
    </r>
    <r>
      <rPr>
        <sz val="11"/>
        <color theme="1"/>
        <rFont val="Noto Sans CJK SC"/>
        <family val="2"/>
      </rPr>
      <t xml:space="preserve">銘柄含む）</t>
    </r>
  </si>
  <si>
    <t xml:space="preserve">物件別の取得価格・発生ベース収支は非開示(帳簿・期末算定価額・契約賃料を開示)。期末月額賃料総額37,074千円(年換算444,888千円・契約ベース・歩合賃料除く)。</t>
  </si>
  <si>
    <t xml:space="preserve">TRE-13</t>
  </si>
  <si>
    <t xml:space="preserve">ＴＯＫＹＵ ＲＥＩＴ新宿ビル</t>
  </si>
  <si>
    <t xml:space="preserve">物件別の取得価格・発生ベース収支は非開示(帳簿・期末算定価額・契約賃料を開示)。期末月額賃料総額48,995千円(年換算587,940千円・契約ベース・歩合賃料除く)。</t>
  </si>
  <si>
    <t xml:space="preserve">TRE-14</t>
  </si>
  <si>
    <t xml:space="preserve">秋葉原三和東洋ビル</t>
  </si>
  <si>
    <t xml:space="preserve">物件別の取得価格・発生ベース収支は非開示(帳簿・期末算定価額・契約賃料を開示)。期末月額賃料総額30,347千円(年換算364,164千円・契約ベース・歩合賃料除く)。ツルハ等が入居</t>
  </si>
  <si>
    <t xml:space="preserve">TRE-15</t>
  </si>
  <si>
    <t xml:space="preserve">ＴＯＫＹＵ ＲＥＩＴ渋谷Ｒビル</t>
  </si>
  <si>
    <t xml:space="preserve">物件別の取得価格・発生ベース収支は非開示(帳簿・期末算定価額・契約賃料を開示)。期末月額賃料総額39,456千円(年換算473,472千円・契約ベース・歩合賃料除く)。稼働87.7%。他区分所有者部分も賃借の上一括賃貸。地積は駐車場部分41.18㎡含む</t>
  </si>
  <si>
    <t xml:space="preserve">TRE-16</t>
  </si>
  <si>
    <t xml:space="preserve">東急虎ノ門ビル</t>
  </si>
  <si>
    <t xml:space="preserve">物件別の取得価格・発生ベース収支は非開示(帳簿・期末算定価額・契約賃料を開示)。期末月額賃料総額84,063千円(年換算1,008,756千円・契約ベース・歩合賃料除く)。2022/6増築。鑑定26,100百万円=帳簿の1.6倍</t>
  </si>
  <si>
    <t xml:space="preserve">TRE-17</t>
  </si>
  <si>
    <t xml:space="preserve">ＴＯＫＹＵ ＲＥＩＴ第２新宿ビル</t>
  </si>
  <si>
    <t xml:space="preserve">物件別の取得価格・発生ベース収支は非開示(帳簿・期末算定価額・契約賃料を開示)。期末月額賃料総額13,811千円(年換算165,732千円・契約ベース・歩合賃料除く)。主要テナントリログループ</t>
  </si>
  <si>
    <t xml:space="preserve">TRE-18</t>
  </si>
  <si>
    <t xml:space="preserve">東急番町ビル</t>
  </si>
  <si>
    <t xml:space="preserve">物件別の取得価格・発生ベース収支は非開示(帳簿・期末算定価額・契約賃料を開示)。期末月額賃料総額104,391千円(年換算1,252,692千円・契約ベース・歩合賃料除く)。帳簿ベースでポートフォリオ最大の物件。ソニー・ミュージック等が入居。地積・延床は一棟全体(信託部分: 敷地2,576.03㎡/専有11,431.09㎡)。数値は区分所有割合95.1%を乗じた値</t>
  </si>
  <si>
    <t xml:space="preserve">TRE-19</t>
  </si>
  <si>
    <t xml:space="preserve">ＴＯＫＹＵ ＲＥＩＴ恵比寿ビル</t>
  </si>
  <si>
    <t xml:space="preserve">物件別の取得価格・発生ベース収支は非開示(帳簿・期末算定価額・契約賃料を開示)。期末月額賃料総額15,776千円(年換算189,312千円・契約ベース・歩合賃料除く)。</t>
  </si>
  <si>
    <t xml:space="preserve">TRE-20</t>
  </si>
  <si>
    <t xml:space="preserve">渋谷道玄坂スカイビル</t>
  </si>
  <si>
    <t xml:space="preserve">物件別の取得価格・発生ベース収支は非開示(帳簿・期末算定価額・契約賃料を開示)。期末月額賃料総額32,050千円(年換算384,600千円・契約ベース・歩合賃料除く)。</t>
  </si>
  <si>
    <t xml:space="preserve">TRE-21</t>
  </si>
  <si>
    <t xml:space="preserve">ＯＫＩ芝浦オフィス</t>
  </si>
  <si>
    <t xml:space="preserve">物件別の取得価格・発生ベース収支は非開示(帳簿・期末算定価額・契約賃料を開示)。期末月額賃料総額66,004千円(年換算792,048千円・契約ベース・歩合賃料除く)。沖電気工業一棟賃貸(2030/3まで・定期建物賃貸借)=賃貸面積比率11.6%の最大テナント。2026/1に耐震補強工事完了(124百万円)</t>
  </si>
  <si>
    <t xml:space="preserve">TRE-22</t>
  </si>
  <si>
    <t xml:space="preserve">ＴＯＫＹＵ ＲＥＩＴ渋谷宮下公園ビル</t>
  </si>
  <si>
    <t xml:space="preserve">物件別の取得価格・発生ベース収支は非開示(帳簿・期末算定価額・契約賃料を開示)。期末月額賃料総額18,223千円(年換算218,676千円・契約ベース・歩合賃料除く)。稼働91.7%。買換特例圧縮積立金の対象資産</t>
  </si>
  <si>
    <t xml:space="preserve">TRE-23</t>
  </si>
  <si>
    <t xml:space="preserve">青山オーバルビル</t>
  </si>
  <si>
    <t xml:space="preserve">物件別の取得価格・発生ベース収支は非開示(帳簿・期末算定価額・契約賃料を開示)。期末月額賃料総額63,020千円(年換算756,240千円・契約ベース・歩合賃料除く)。稼働88.7%(当期4・5階用途変更工事343百万円実施、期後に新規成約913㎡あり)。地積・延床は一棟全体。数値は準共有持分47.5%相当。鑑定が帳簿を下回る。買換特例圧縮積立金の対象資産</t>
  </si>
  <si>
    <t xml:space="preserve">TRE-24</t>
  </si>
  <si>
    <t xml:space="preserve">目黒東山ビル</t>
  </si>
  <si>
    <t xml:space="preserve">物件別の取得価格・発生ベース収支は非開示(帳簿・期末算定価額・契約賃料を開示)。期末月額賃料総額36,207千円(年換算434,484千円・契約ベース・歩合賃料除く)。</t>
  </si>
  <si>
    <t xml:space="preserve">TRE-25</t>
  </si>
  <si>
    <t xml:space="preserve">スタイリオ都立大学</t>
  </si>
  <si>
    <t xml:space="preserve">物件別の取得価格・発生ベース収支は非開示(帳簿・期末算定価額・契約賃料を開示)。期末月額賃料総額4,651千円(年換算55,812千円・契約ベース・歩合賃料除く)。2025/12/15付でメゾンピオニー都立大学から名称変更。賃貸住宅</t>
  </si>
  <si>
    <t xml:space="preserve">TRE-26</t>
  </si>
  <si>
    <t xml:space="preserve">スタイリオフィット武蔵小杉</t>
  </si>
  <si>
    <t xml:space="preserve">物件別の取得価格・発生ベース収支は非開示(帳簿・期末算定価額・契約賃料を開示)。期末月額賃料総額6,448千円(年換算77,376千円・契約ベース・歩合賃料除く)。賃貸住宅。ジェイ・エス・ビーへのマスターリース(2040/3まで)。買換特例圧縮積立金の対象資産</t>
  </si>
  <si>
    <t xml:space="preserve">TRE-27</t>
  </si>
  <si>
    <t xml:space="preserve">スタイリオフィット新綱島</t>
  </si>
  <si>
    <t xml:space="preserve">物件別の取得価格・発生ベース収支は非開示(帳簿・期末算定価額・契約賃料を開示)。期末月額賃料総額4,265千円(年換算51,180千円・契約ベース・歩合賃料除く)。2025/12/15付でISM綱島から名称変更。賃貸住宅。PML10.2%はポートフォリオ最高</t>
  </si>
  <si>
    <t xml:space="preserve">TRE-28</t>
  </si>
  <si>
    <t xml:space="preserve">二子玉川ライズ</t>
  </si>
  <si>
    <t xml:space="preserve">複合施設</t>
  </si>
  <si>
    <t xml:space="preserve">世田谷区</t>
  </si>
  <si>
    <t xml:space="preserve">物件別の取得価格・発生ベース収支は非開示(帳簿・期末算定価額・契約賃料を開示)。期末月額賃料総額108,055千円(年換算1,296,660千円・契約ベース・歩合賃料除く)。4街区構成の大規模複合施設(区分所有区画の共有持分)。竣工はⅠ-b街区2010/11(16F・持分10.7%)・Ⅱ-a街区2015/6(30F=楽天グループ本社・持分12.7%)・Ⅱ-b街区2010/4(3F・持分4.5%)・Ⅲ街区2010/4(2F・持分7.5%)のため竣工年月列は空欄。地積・延床は各街区一棟全体の合算(Ⅲ街区地積は敷地権割合按分値296.51㎡)。階数は最大棟(Ⅱ-a)。PMLは街区別2.5〜3.9%。楽天グループが賃貸面積12,452㎡(全体の8.0%)を賃借。買換特例圧縮積立金(二子玉川ライズ)の対象資産</t>
  </si>
  <si>
    <t xml:space="preserve">HLC-ALL</t>
  </si>
  <si>
    <t xml:space="preserve">（HLC全67物件一括）</t>
  </si>
  <si>
    <t xml:space="preserve">複合</t>
  </si>
  <si>
    <r>
      <rPr>
        <sz val="10"/>
        <color rgb="FF0000FF"/>
        <rFont val="Arial"/>
        <family val="0"/>
        <charset val="1"/>
      </rPr>
      <t xml:space="preserve">HLC 2026</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24</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(2026/4/16</t>
    </r>
    <r>
      <rPr>
        <sz val="10"/>
        <color rgb="FF0000FF"/>
        <rFont val="Noto Sans CJK SC"/>
        <family val="2"/>
      </rPr>
      <t xml:space="preserve">公表</t>
    </r>
    <r>
      <rPr>
        <sz val="10"/>
        <color rgb="FF0000FF"/>
        <rFont val="Arial"/>
        <family val="0"/>
        <charset val="1"/>
      </rPr>
      <t xml:space="preserve">)</t>
    </r>
  </si>
  <si>
    <r>
      <rPr>
        <sz val="10"/>
        <color rgb="FF0000FF"/>
        <rFont val="Arial"/>
        <family val="0"/>
        <charset val="1"/>
      </rPr>
      <t xml:space="preserve">HLC</t>
    </r>
    <r>
      <rPr>
        <sz val="10"/>
        <color rgb="FF0000FF"/>
        <rFont val="Noto Sans CJK SC"/>
        <family val="2"/>
      </rPr>
      <t xml:space="preserve">全</t>
    </r>
    <r>
      <rPr>
        <sz val="10"/>
        <color rgb="FF0000FF"/>
        <rFont val="Arial"/>
        <family val="0"/>
        <charset val="1"/>
      </rPr>
      <t xml:space="preserve">67</t>
    </r>
    <r>
      <rPr>
        <sz val="10"/>
        <color rgb="FF0000FF"/>
        <rFont val="Noto Sans CJK SC"/>
        <family val="2"/>
      </rPr>
      <t xml:space="preserve">物件の一括行。取得価格は百万円未満四捨五入方針</t>
    </r>
    <r>
      <rPr>
        <sz val="10"/>
        <color rgb="FF0000FF"/>
        <rFont val="Arial"/>
        <family val="0"/>
        <charset val="1"/>
      </rPr>
      <t xml:space="preserve">(</t>
    </r>
    <r>
      <rPr>
        <sz val="10"/>
        <color rgb="FF0000FF"/>
        <rFont val="Noto Sans CJK SC"/>
        <family val="2"/>
      </rPr>
      <t xml:space="preserve">他法人の切捨てと異なる</t>
    </r>
    <r>
      <rPr>
        <sz val="10"/>
        <color rgb="FF0000FF"/>
        <rFont val="Arial"/>
        <family val="0"/>
        <charset val="1"/>
      </rPr>
      <t xml:space="preserve">)</t>
    </r>
    <r>
      <rPr>
        <sz val="10"/>
        <color rgb="FF0000FF"/>
        <rFont val="Noto Sans CJK SC"/>
        <family val="2"/>
      </rPr>
      <t xml:space="preserve">のため物件別合算</t>
    </r>
    <r>
      <rPr>
        <sz val="10"/>
        <color rgb="FF0000FF"/>
        <rFont val="Arial"/>
        <family val="0"/>
        <charset val="1"/>
      </rPr>
      <t xml:space="preserve">421,531</t>
    </r>
    <r>
      <rPr>
        <sz val="10"/>
        <color rgb="FF0000FF"/>
        <rFont val="Noto Sans CJK SC"/>
        <family val="2"/>
      </rPr>
      <t xml:space="preserve">は合計欄</t>
    </r>
    <r>
      <rPr>
        <sz val="10"/>
        <color rgb="FF0000FF"/>
        <rFont val="Arial"/>
        <family val="0"/>
        <charset val="1"/>
      </rPr>
      <t xml:space="preserve">421,530</t>
    </r>
    <r>
      <rPr>
        <sz val="10"/>
        <color rgb="FF0000FF"/>
        <rFont val="Noto Sans CJK SC"/>
        <family val="2"/>
      </rPr>
      <t xml:space="preserve">と</t>
    </r>
    <r>
      <rPr>
        <sz val="10"/>
        <color rgb="FF0000FF"/>
        <rFont val="Arial"/>
        <family val="0"/>
        <charset val="1"/>
      </rPr>
      <t xml:space="preserve">+1</t>
    </r>
    <r>
      <rPr>
        <sz val="10"/>
        <color rgb="FF0000FF"/>
        <rFont val="Noto Sans CJK SC"/>
        <family val="2"/>
      </rPr>
      <t xml:space="preserve">百万円差。帳簿は物件別合算</t>
    </r>
    <r>
      <rPr>
        <sz val="10"/>
        <color rgb="FF0000FF"/>
        <rFont val="Arial"/>
        <family val="0"/>
        <charset val="1"/>
      </rPr>
      <t xml:space="preserve">401,658</t>
    </r>
    <r>
      <rPr>
        <sz val="10"/>
        <color rgb="FF0000FF"/>
        <rFont val="Noto Sans CJK SC"/>
        <family val="2"/>
      </rPr>
      <t xml:space="preserve">と合計</t>
    </r>
    <r>
      <rPr>
        <sz val="10"/>
        <color rgb="FF0000FF"/>
        <rFont val="Arial"/>
        <family val="0"/>
        <charset val="1"/>
      </rPr>
      <t xml:space="preserve">401,693(</t>
    </r>
    <r>
      <rPr>
        <sz val="10"/>
        <color rgb="FF0000FF"/>
        <rFont val="Noto Sans CJK SC"/>
        <family val="2"/>
      </rPr>
      <t xml:space="preserve">切捨て</t>
    </r>
    <r>
      <rPr>
        <sz val="10"/>
        <color rgb="FF0000FF"/>
        <rFont val="Arial"/>
        <family val="0"/>
        <charset val="1"/>
      </rPr>
      <t xml:space="preserve">)</t>
    </r>
    <r>
      <rPr>
        <sz val="10"/>
        <color rgb="FF0000FF"/>
        <rFont val="Noto Sans CJK SC"/>
        <family val="2"/>
      </rPr>
      <t xml:space="preserve">の差</t>
    </r>
    <r>
      <rPr>
        <sz val="10"/>
        <color rgb="FF0000FF"/>
        <rFont val="Arial"/>
        <family val="0"/>
        <charset val="1"/>
      </rPr>
      <t xml:space="preserve">-35=</t>
    </r>
    <r>
      <rPr>
        <sz val="10"/>
        <color rgb="FF0000FF"/>
        <rFont val="Noto Sans CJK SC"/>
        <family val="2"/>
      </rPr>
      <t xml:space="preserve">切捨て累積。鑑定・</t>
    </r>
    <r>
      <rPr>
        <sz val="10"/>
        <color rgb="FF0000FF"/>
        <rFont val="Arial"/>
        <family val="0"/>
        <charset val="1"/>
      </rPr>
      <t xml:space="preserve">NLA</t>
    </r>
    <r>
      <rPr>
        <sz val="10"/>
        <color rgb="FF0000FF"/>
        <rFont val="Noto Sans CJK SC"/>
        <family val="2"/>
      </rPr>
      <t xml:space="preserve">は全用途完全一致</t>
    </r>
    <r>
      <rPr>
        <sz val="10"/>
        <color rgb="FF0000FF"/>
        <rFont val="Arial"/>
        <family val="0"/>
        <charset val="1"/>
      </rPr>
      <t xml:space="preserve">(486,369</t>
    </r>
    <r>
      <rPr>
        <sz val="10"/>
        <color rgb="FF0000FF"/>
        <rFont val="Noto Sans CJK SC"/>
        <family val="2"/>
      </rPr>
      <t xml:space="preserve">百万円</t>
    </r>
    <r>
      <rPr>
        <sz val="10"/>
        <color rgb="FF0000FF"/>
        <rFont val="Arial"/>
        <family val="0"/>
        <charset val="1"/>
      </rPr>
      <t xml:space="preserve">/381,506.30</t>
    </r>
    <r>
      <rPr>
        <sz val="10"/>
        <color rgb="FF0000FF"/>
        <rFont val="Noto Sans CJK SC"/>
        <family val="2"/>
      </rPr>
      <t xml:space="preserve">㎡</t>
    </r>
    <r>
      <rPr>
        <sz val="10"/>
        <color rgb="FF0000FF"/>
        <rFont val="Arial"/>
        <family val="0"/>
        <charset val="1"/>
      </rPr>
      <t xml:space="preserve">)</t>
    </r>
    <r>
      <rPr>
        <sz val="10"/>
        <color rgb="FF0000FF"/>
        <rFont val="Noto Sans CJK SC"/>
        <family val="2"/>
      </rPr>
      <t xml:space="preserve">。用途構成</t>
    </r>
    <r>
      <rPr>
        <sz val="10"/>
        <color rgb="FF0000FF"/>
        <rFont val="Arial"/>
        <family val="0"/>
        <charset val="1"/>
      </rPr>
      <t xml:space="preserve">: </t>
    </r>
    <r>
      <rPr>
        <sz val="10"/>
        <color rgb="FF0000FF"/>
        <rFont val="Noto Sans CJK SC"/>
        <family val="2"/>
      </rPr>
      <t xml:space="preserve">オフィス</t>
    </r>
    <r>
      <rPr>
        <sz val="10"/>
        <color rgb="FF0000FF"/>
        <rFont val="Arial"/>
        <family val="0"/>
        <charset val="1"/>
      </rPr>
      <t xml:space="preserve">34(228,069)+</t>
    </r>
    <r>
      <rPr>
        <sz val="10"/>
        <color rgb="FF0000FF"/>
        <rFont val="Noto Sans CJK SC"/>
        <family val="2"/>
      </rPr>
      <t xml:space="preserve">商業</t>
    </r>
    <r>
      <rPr>
        <sz val="10"/>
        <color rgb="FF0000FF"/>
        <rFont val="Arial"/>
        <family val="0"/>
        <charset val="1"/>
      </rPr>
      <t xml:space="preserve">8(38,958)+</t>
    </r>
    <r>
      <rPr>
        <sz val="10"/>
        <color rgb="FF0000FF"/>
        <rFont val="Noto Sans CJK SC"/>
        <family val="2"/>
      </rPr>
      <t xml:space="preserve">ホテル</t>
    </r>
    <r>
      <rPr>
        <sz val="10"/>
        <color rgb="FF0000FF"/>
        <rFont val="Arial"/>
        <family val="0"/>
        <charset val="1"/>
      </rPr>
      <t xml:space="preserve">6(99,342)+</t>
    </r>
    <r>
      <rPr>
        <sz val="10"/>
        <color rgb="FF0000FF"/>
        <rFont val="Noto Sans CJK SC"/>
        <family val="2"/>
      </rPr>
      <t xml:space="preserve">有料老人ホーム</t>
    </r>
    <r>
      <rPr>
        <sz val="10"/>
        <color rgb="FF0000FF"/>
        <rFont val="Arial"/>
        <family val="0"/>
        <charset val="1"/>
      </rPr>
      <t xml:space="preserve">14(47,951)+</t>
    </r>
    <r>
      <rPr>
        <sz val="10"/>
        <color rgb="FF0000FF"/>
        <rFont val="Noto Sans CJK SC"/>
        <family val="2"/>
      </rPr>
      <t xml:space="preserve">ネットワークセンター</t>
    </r>
    <r>
      <rPr>
        <sz val="10"/>
        <color rgb="FF0000FF"/>
        <rFont val="Arial"/>
        <family val="0"/>
        <charset val="1"/>
      </rPr>
      <t xml:space="preserve">5(7,210)</t>
    </r>
    <r>
      <rPr>
        <sz val="10"/>
        <color rgb="FF0000FF"/>
        <rFont val="Noto Sans CJK SC"/>
        <family val="2"/>
      </rPr>
      <t xml:space="preserve">百万円。期中</t>
    </r>
    <r>
      <rPr>
        <sz val="10"/>
        <color rgb="FF0000FF"/>
        <rFont val="Arial"/>
        <family val="0"/>
        <charset val="1"/>
      </rPr>
      <t xml:space="preserve">: 2025/9</t>
    </r>
    <r>
      <rPr>
        <sz val="10"/>
        <color rgb="FF0000FF"/>
        <rFont val="Noto Sans CJK SC"/>
        <family val="2"/>
      </rPr>
      <t xml:space="preserve">浅草</t>
    </r>
    <r>
      <rPr>
        <sz val="10"/>
        <color rgb="FF0000FF"/>
        <rFont val="Arial"/>
        <family val="0"/>
        <charset val="1"/>
      </rPr>
      <t xml:space="preserve">VH(38,000)</t>
    </r>
    <r>
      <rPr>
        <sz val="10"/>
        <color rgb="FF0000FF"/>
        <rFont val="Noto Sans CJK SC"/>
        <family val="2"/>
      </rPr>
      <t xml:space="preserve">とヒューリック神谷町</t>
    </r>
    <r>
      <rPr>
        <sz val="10"/>
        <color rgb="FF0000FF"/>
        <rFont val="Arial"/>
        <family val="0"/>
        <charset val="1"/>
      </rPr>
      <t xml:space="preserve">56%(37,520)</t>
    </r>
    <r>
      <rPr>
        <sz val="10"/>
        <color rgb="FF0000FF"/>
        <rFont val="Noto Sans CJK SC"/>
        <family val="2"/>
      </rPr>
      <t xml:space="preserve">の交換、</t>
    </r>
    <r>
      <rPr>
        <sz val="10"/>
        <color rgb="FF0000FF"/>
        <rFont val="Arial"/>
        <family val="0"/>
        <charset val="1"/>
      </rPr>
      <t xml:space="preserve">2026/1</t>
    </r>
    <r>
      <rPr>
        <sz val="10"/>
        <color rgb="FF0000FF"/>
        <rFont val="Noto Sans CJK SC"/>
        <family val="2"/>
      </rPr>
      <t xml:space="preserve">本郷取得</t>
    </r>
    <r>
      <rPr>
        <sz val="10"/>
        <color rgb="FF0000FF"/>
        <rFont val="Arial"/>
        <family val="0"/>
        <charset val="1"/>
      </rPr>
      <t xml:space="preserve">(2,884)</t>
    </r>
    <r>
      <rPr>
        <sz val="10"/>
        <color rgb="FF0000FF"/>
        <rFont val="Noto Sans CJK SC"/>
        <family val="2"/>
      </rPr>
      <t xml:space="preserve">、</t>
    </r>
    <r>
      <rPr>
        <sz val="10"/>
        <color rgb="FF0000FF"/>
        <rFont val="Arial"/>
        <family val="0"/>
        <charset val="1"/>
      </rPr>
      <t xml:space="preserve">2025/9</t>
    </r>
    <r>
      <rPr>
        <sz val="10"/>
        <color rgb="FF0000FF"/>
        <rFont val="Noto Sans CJK SC"/>
        <family val="2"/>
      </rPr>
      <t xml:space="preserve">池袋</t>
    </r>
    <r>
      <rPr>
        <sz val="10"/>
        <color rgb="FF0000FF"/>
        <rFont val="Arial"/>
        <family val="0"/>
        <charset val="1"/>
      </rPr>
      <t xml:space="preserve">NC</t>
    </r>
    <r>
      <rPr>
        <sz val="10"/>
        <color rgb="FF0000FF"/>
        <rFont val="Noto Sans CJK SC"/>
        <family val="2"/>
      </rPr>
      <t xml:space="preserve">・長野</t>
    </r>
    <r>
      <rPr>
        <sz val="10"/>
        <color rgb="FF0000FF"/>
        <rFont val="Arial"/>
        <family val="0"/>
        <charset val="1"/>
      </rPr>
      <t xml:space="preserve">NC</t>
    </r>
    <r>
      <rPr>
        <sz val="10"/>
        <color rgb="FF0000FF"/>
        <rFont val="Noto Sans CJK SC"/>
        <family val="2"/>
      </rPr>
      <t xml:space="preserve">譲渡</t>
    </r>
    <r>
      <rPr>
        <sz val="10"/>
        <color rgb="FF0000FF"/>
        <rFont val="Arial"/>
        <family val="0"/>
        <charset val="1"/>
      </rPr>
      <t xml:space="preserve">(</t>
    </r>
    <r>
      <rPr>
        <sz val="10"/>
        <color rgb="FF0000FF"/>
        <rFont val="Noto Sans CJK SC"/>
        <family val="2"/>
      </rPr>
      <t xml:space="preserve">計</t>
    </r>
    <r>
      <rPr>
        <sz val="10"/>
        <color rgb="FF0000FF"/>
        <rFont val="Arial"/>
        <family val="0"/>
        <charset val="1"/>
      </rPr>
      <t xml:space="preserve">5,700)</t>
    </r>
    <r>
      <rPr>
        <sz val="10"/>
        <color rgb="FF0000FF"/>
        <rFont val="Noto Sans CJK SC"/>
        <family val="2"/>
      </rPr>
      <t xml:space="preserve">。期後</t>
    </r>
    <r>
      <rPr>
        <sz val="10"/>
        <color rgb="FF0000FF"/>
        <rFont val="Arial"/>
        <family val="0"/>
        <charset val="1"/>
      </rPr>
      <t xml:space="preserve">: 2026/3/16 NC5</t>
    </r>
    <r>
      <rPr>
        <sz val="10"/>
        <color rgb="FF0000FF"/>
        <rFont val="Noto Sans CJK SC"/>
        <family val="2"/>
      </rPr>
      <t xml:space="preserve">物件をヒューリックへ譲渡</t>
    </r>
    <r>
      <rPr>
        <sz val="10"/>
        <color rgb="FF0000FF"/>
        <rFont val="Arial"/>
        <family val="0"/>
        <charset val="1"/>
      </rPr>
      <t xml:space="preserve">(8,000</t>
    </r>
    <r>
      <rPr>
        <sz val="10"/>
        <color rgb="FF0000FF"/>
        <rFont val="Noto Sans CJK SC"/>
        <family val="2"/>
      </rPr>
      <t xml:space="preserve">百万円</t>
    </r>
    <r>
      <rPr>
        <sz val="10"/>
        <color rgb="FF0000FF"/>
        <rFont val="Arial"/>
        <family val="0"/>
        <charset val="1"/>
      </rPr>
      <t xml:space="preserve">)→62</t>
    </r>
    <r>
      <rPr>
        <sz val="10"/>
        <color rgb="FF0000FF"/>
        <rFont val="Noto Sans CJK SC"/>
        <family val="2"/>
      </rPr>
      <t xml:space="preserve">物件、</t>
    </r>
    <r>
      <rPr>
        <sz val="10"/>
        <color rgb="FF0000FF"/>
        <rFont val="Arial"/>
        <family val="0"/>
        <charset val="1"/>
      </rPr>
      <t xml:space="preserve">2026/6/25</t>
    </r>
    <r>
      <rPr>
        <sz val="10"/>
        <color rgb="FF0000FF"/>
        <rFont val="Noto Sans CJK SC"/>
        <family val="2"/>
      </rPr>
      <t xml:space="preserve">交換で銀座ビル</t>
    </r>
    <r>
      <rPr>
        <sz val="10"/>
        <color rgb="FF0000FF"/>
        <rFont val="Arial"/>
        <family val="0"/>
        <charset val="1"/>
      </rPr>
      <t xml:space="preserve">49%+</t>
    </r>
    <r>
      <rPr>
        <sz val="10"/>
        <color rgb="FF0000FF"/>
        <rFont val="Noto Sans CJK SC"/>
        <family val="2"/>
      </rPr>
      <t xml:space="preserve">銀座ワールドタウン</t>
    </r>
    <r>
      <rPr>
        <sz val="10"/>
        <color rgb="FF0000FF"/>
        <rFont val="Arial"/>
        <family val="0"/>
        <charset val="1"/>
      </rPr>
      <t xml:space="preserve">20%+</t>
    </r>
    <r>
      <rPr>
        <sz val="10"/>
        <color rgb="FF0000FF"/>
        <rFont val="Noto Sans CJK SC"/>
        <family val="2"/>
      </rPr>
      <t xml:space="preserve">江戸川橋富士</t>
    </r>
    <r>
      <rPr>
        <sz val="10"/>
        <color rgb="FF0000FF"/>
        <rFont val="Arial"/>
        <family val="0"/>
        <charset val="1"/>
      </rPr>
      <t xml:space="preserve">90%</t>
    </r>
    <r>
      <rPr>
        <sz val="10"/>
        <color rgb="FF0000FF"/>
        <rFont val="Noto Sans CJK SC"/>
        <family val="2"/>
      </rPr>
      <t xml:space="preserve">取得・神谷町</t>
    </r>
    <r>
      <rPr>
        <sz val="10"/>
        <color rgb="FF0000FF"/>
        <rFont val="Arial"/>
        <family val="0"/>
        <charset val="1"/>
      </rPr>
      <t xml:space="preserve">9%+</t>
    </r>
    <r>
      <rPr>
        <sz val="10"/>
        <color rgb="FF0000FF"/>
        <rFont val="Noto Sans CJK SC"/>
        <family val="2"/>
      </rPr>
      <t xml:space="preserve">九段底地譲渡</t>
    </r>
    <r>
      <rPr>
        <sz val="10"/>
        <color rgb="FF0000FF"/>
        <rFont val="Arial"/>
        <family val="0"/>
        <charset val="1"/>
      </rPr>
      <t xml:space="preserve">(6/30</t>
    </r>
    <r>
      <rPr>
        <sz val="10"/>
        <color rgb="FF0000FF"/>
        <rFont val="Noto Sans CJK SC"/>
        <family val="2"/>
      </rPr>
      <t xml:space="preserve">完了</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2026/2/24</t>
    </r>
    <r>
      <rPr>
        <sz val="10"/>
        <color rgb="FF0000FF"/>
        <rFont val="Noto Sans CJK SC"/>
        <family val="2"/>
      </rPr>
      <t xml:space="preserve">五反田山手通ビル火災。格付</t>
    </r>
    <r>
      <rPr>
        <sz val="10"/>
        <color rgb="FF0000FF"/>
        <rFont val="Arial"/>
        <family val="0"/>
        <charset val="1"/>
      </rPr>
      <t xml:space="preserve">JCR AA(</t>
    </r>
    <r>
      <rPr>
        <sz val="10"/>
        <color rgb="FF0000FF"/>
        <rFont val="Noto Sans CJK SC"/>
        <family val="2"/>
      </rPr>
      <t xml:space="preserve">安定的</t>
    </r>
    <r>
      <rPr>
        <sz val="10"/>
        <color rgb="FF0000FF"/>
        <rFont val="Arial"/>
        <family val="0"/>
        <charset val="1"/>
      </rPr>
      <t xml:space="preserve">)</t>
    </r>
    <r>
      <rPr>
        <sz val="10"/>
        <color rgb="FF0000FF"/>
        <rFont val="Noto Sans CJK SC"/>
        <family val="2"/>
      </rPr>
      <t xml:space="preserve">。スポンサー</t>
    </r>
    <r>
      <rPr>
        <sz val="10"/>
        <color rgb="FF0000FF"/>
        <rFont val="Arial"/>
        <family val="0"/>
        <charset val="1"/>
      </rPr>
      <t xml:space="preserve">: </t>
    </r>
    <r>
      <rPr>
        <sz val="10"/>
        <color rgb="FF0000FF"/>
        <rFont val="Noto Sans CJK SC"/>
        <family val="2"/>
      </rPr>
      <t xml:space="preserve">ヒューリック</t>
    </r>
    <r>
      <rPr>
        <sz val="10"/>
        <color rgb="FF0000FF"/>
        <rFont val="Arial"/>
        <family val="0"/>
        <charset val="1"/>
      </rPr>
      <t xml:space="preserve">(</t>
    </r>
    <r>
      <rPr>
        <sz val="10"/>
        <color rgb="FF0000FF"/>
        <rFont val="Noto Sans CJK SC"/>
        <family val="2"/>
      </rPr>
      <t xml:space="preserve">賃料の約</t>
    </r>
    <r>
      <rPr>
        <sz val="10"/>
        <color rgb="FF0000FF"/>
        <rFont val="Arial"/>
        <family val="0"/>
        <charset val="1"/>
      </rPr>
      <t xml:space="preserve">3</t>
    </r>
    <r>
      <rPr>
        <sz val="10"/>
        <color rgb="FF0000FF"/>
        <rFont val="Noto Sans CJK SC"/>
        <family val="2"/>
      </rPr>
      <t xml:space="preserve">割がヒューリックグループ</t>
    </r>
    <r>
      <rPr>
        <sz val="10"/>
        <color rgb="FF0000FF"/>
        <rFont val="Arial"/>
        <family val="0"/>
        <charset val="1"/>
      </rPr>
      <t xml:space="preserve">)</t>
    </r>
  </si>
  <si>
    <t xml:space="preserve">HLC-001</t>
  </si>
  <si>
    <t xml:space="preserve">ヒューリック神谷町ビル</t>
  </si>
  <si>
    <t xml:space="preserve">信託受益権準共有持分9.0%相当を収録。2025/9/30に持分56.0%を浅草ビューホテルとの交換で譲渡(交換差益367,933千円)。期後2026/6/25交換契約で残9.0%も譲渡(6/30完了)</t>
  </si>
  <si>
    <t xml:space="preserve">HLC-002</t>
  </si>
  <si>
    <t xml:space="preserve">ヒューリック九段ビル（底地）</t>
  </si>
  <si>
    <t xml:space="preserve">底地のみ保有(建物なし)。期後2026/6/25交換契約で譲渡(6/30完了)</t>
  </si>
  <si>
    <t xml:space="preserve">HLC-003</t>
  </si>
  <si>
    <t xml:space="preserve">虎ノ門ファーストガーデン</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</si>
  <si>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R-022</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</si>
  <si>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HLC-004</t>
  </si>
  <si>
    <t xml:space="preserve">ラピロス六本木</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</si>
  <si>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R-023</t>
    </r>
    <r>
      <rPr>
        <sz val="11"/>
        <color theme="1"/>
        <rFont val="Noto Sans CJK SC"/>
        <family val="2"/>
      </rPr>
      <t xml:space="preserve">。</t>
    </r>
    <r>
      <rPr>
        <sz val="11"/>
        <color theme="1"/>
        <rFont val="Calibri"/>
        <family val="2"/>
        <charset val="1"/>
      </rPr>
      <t xml:space="preserve">2026/1/29</t>
    </r>
    <r>
      <rPr>
        <sz val="11"/>
        <color theme="1"/>
        <rFont val="Noto Sans CJK SC"/>
        <family val="2"/>
      </rPr>
      <t xml:space="preserve">譲渡</t>
    </r>
    <r>
      <rPr>
        <sz val="11"/>
        <color theme="1"/>
        <rFont val="Calibri"/>
        <family val="2"/>
        <charset val="1"/>
      </rPr>
      <t xml:space="preserve">(12</t>
    </r>
    <r>
      <rPr>
        <sz val="11"/>
        <color theme="1"/>
        <rFont val="Noto Sans CJK SC"/>
        <family val="2"/>
      </rPr>
      <t xml:space="preserve">物件一括</t>
    </r>
    <r>
      <rPr>
        <sz val="11"/>
        <color theme="1"/>
        <rFont val="Calibri"/>
        <family val="2"/>
        <charset val="1"/>
      </rPr>
      <t xml:space="preserve">)</t>
    </r>
    <r>
      <rPr>
        <sz val="11"/>
        <color theme="1"/>
        <rFont val="Noto Sans CJK SC"/>
        <family val="2"/>
      </rPr>
      <t xml:space="preserve">。期末保有物件でないため基本情報は当期末保有物件表の対象外</t>
    </r>
  </si>
  <si>
    <t xml:space="preserve">HLC-005</t>
  </si>
  <si>
    <t xml:space="preserve">ヒューリック高田馬場ビル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</si>
  <si>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R-027</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。区分所有権</t>
    </r>
    <r>
      <rPr>
        <sz val="11"/>
        <color theme="1"/>
        <rFont val="Calibri"/>
        <family val="2"/>
        <charset val="1"/>
      </rPr>
      <t xml:space="preserve">(</t>
    </r>
    <r>
      <rPr>
        <sz val="11"/>
        <color theme="1"/>
        <rFont val="Noto Sans CJK SC"/>
        <family val="2"/>
      </rPr>
      <t xml:space="preserve">敷地権割合約</t>
    </r>
    <r>
      <rPr>
        <sz val="11"/>
        <color theme="1"/>
        <rFont val="Calibri"/>
        <family val="2"/>
        <charset val="1"/>
      </rPr>
      <t xml:space="preserve">92.2%)</t>
    </r>
    <r>
      <rPr>
        <sz val="11"/>
        <color theme="1"/>
        <rFont val="Noto Sans CJK SC"/>
        <family val="2"/>
      </rPr>
      <t xml:space="preserve">。</t>
    </r>
  </si>
  <si>
    <t xml:space="preserve">HLC-006</t>
  </si>
  <si>
    <t xml:space="preserve">ヒューリック神田ビル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</si>
  <si>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R-028</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。区分所有権</t>
    </r>
    <r>
      <rPr>
        <sz val="11"/>
        <color theme="1"/>
        <rFont val="Calibri"/>
        <family val="2"/>
        <charset val="1"/>
      </rPr>
      <t xml:space="preserve">(</t>
    </r>
    <r>
      <rPr>
        <sz val="11"/>
        <color theme="1"/>
        <rFont val="Noto Sans CJK SC"/>
        <family val="2"/>
      </rPr>
      <t xml:space="preserve">敷地権割合約</t>
    </r>
    <r>
      <rPr>
        <sz val="11"/>
        <color theme="1"/>
        <rFont val="Calibri"/>
        <family val="2"/>
        <charset val="1"/>
      </rPr>
      <t xml:space="preserve">86.4%)</t>
    </r>
    <r>
      <rPr>
        <sz val="11"/>
        <color theme="1"/>
        <rFont val="Noto Sans CJK SC"/>
        <family val="2"/>
      </rPr>
      <t xml:space="preserve">。</t>
    </r>
  </si>
  <si>
    <t xml:space="preserve">HLC-007</t>
  </si>
  <si>
    <t xml:space="preserve">ヒューリック神田橋ビル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</si>
  <si>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R-030</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</si>
  <si>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HLC-008</t>
  </si>
  <si>
    <t xml:space="preserve">ヒューリック蛎殻町ビル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</si>
  <si>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R-033</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</si>
  <si>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HLC-009</t>
  </si>
  <si>
    <t xml:space="preserve">準共有持分保有。DBJ Green Building認証最高ランク</t>
  </si>
  <si>
    <t xml:space="preserve">HLC-010</t>
  </si>
  <si>
    <t xml:space="preserve">ヒューリック東上野一丁目ビル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</si>
  <si>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R-035</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</si>
  <si>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HLC-011</t>
  </si>
  <si>
    <t xml:space="preserve">東京西池袋ビルディング</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</si>
  <si>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R-036</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</si>
  <si>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HLC-012</t>
  </si>
  <si>
    <t xml:space="preserve">ヒューリック虎ノ門ビル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</si>
  <si>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R-037</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</si>
  <si>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HLC-013</t>
  </si>
  <si>
    <t xml:space="preserve">ヒューリック渋谷一丁目ビル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</si>
  <si>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R-038</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r>
      <rPr>
        <sz val="11"/>
        <color theme="1"/>
        <rFont val="Calibri"/>
        <family val="2"/>
        <charset val="1"/>
      </rPr>
      <t xml:space="preserve">UR</t>
    </r>
    <r>
      <rPr>
        <sz val="11"/>
        <color theme="1"/>
        <rFont val="Noto Sans CJK SC"/>
        <family val="2"/>
      </rPr>
      <t xml:space="preserve">定期借地</t>
    </r>
    <r>
      <rPr>
        <sz val="11"/>
        <color theme="1"/>
        <rFont val="Calibri"/>
        <family val="2"/>
        <charset val="1"/>
      </rPr>
      <t xml:space="preserve">(2002/12</t>
    </r>
    <r>
      <rPr>
        <sz val="11"/>
        <color theme="1"/>
        <rFont val="Noto Sans CJK SC"/>
        <family val="2"/>
      </rPr>
      <t xml:space="preserve">から</t>
    </r>
    <r>
      <rPr>
        <sz val="11"/>
        <color theme="1"/>
        <rFont val="Calibri"/>
        <family val="2"/>
        <charset val="1"/>
      </rPr>
      <t xml:space="preserve">50</t>
    </r>
    <r>
      <rPr>
        <sz val="11"/>
        <color theme="1"/>
        <rFont val="Noto Sans CJK SC"/>
        <family val="2"/>
      </rPr>
      <t xml:space="preserve">年</t>
    </r>
    <r>
      <rPr>
        <sz val="11"/>
        <color theme="1"/>
        <rFont val="Calibri"/>
        <family val="2"/>
        <charset val="1"/>
      </rPr>
      <t xml:space="preserve">)</t>
    </r>
    <r>
      <rPr>
        <sz val="11"/>
        <color theme="1"/>
        <rFont val="Noto Sans CJK SC"/>
        <family val="2"/>
      </rPr>
      <t xml:space="preserve">。</t>
    </r>
  </si>
  <si>
    <t xml:space="preserve">HLC-014</t>
  </si>
  <si>
    <t xml:space="preserve">ヒューリック神保町ビル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</si>
  <si>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R-039</t>
    </r>
    <r>
      <rPr>
        <sz val="11"/>
        <color theme="1"/>
        <rFont val="Noto Sans CJK SC"/>
        <family val="2"/>
      </rPr>
      <t xml:space="preserve">。</t>
    </r>
    <r>
      <rPr>
        <sz val="11"/>
        <color theme="1"/>
        <rFont val="Calibri"/>
        <family val="2"/>
        <charset val="1"/>
      </rPr>
      <t xml:space="preserve">2026/1/29</t>
    </r>
    <r>
      <rPr>
        <sz val="11"/>
        <color theme="1"/>
        <rFont val="Noto Sans CJK SC"/>
        <family val="2"/>
      </rPr>
      <t xml:space="preserve">譲渡</t>
    </r>
    <r>
      <rPr>
        <sz val="11"/>
        <color theme="1"/>
        <rFont val="Calibri"/>
        <family val="2"/>
        <charset val="1"/>
      </rPr>
      <t xml:space="preserve">(12</t>
    </r>
    <r>
      <rPr>
        <sz val="11"/>
        <color theme="1"/>
        <rFont val="Noto Sans CJK SC"/>
        <family val="2"/>
      </rPr>
      <t xml:space="preserve">物件一括</t>
    </r>
    <r>
      <rPr>
        <sz val="11"/>
        <color theme="1"/>
        <rFont val="Calibri"/>
        <family val="2"/>
        <charset val="1"/>
      </rPr>
      <t xml:space="preserve">)</t>
    </r>
    <r>
      <rPr>
        <sz val="11"/>
        <color theme="1"/>
        <rFont val="Noto Sans CJK SC"/>
        <family val="2"/>
      </rPr>
      <t xml:space="preserve">。期末保有物件でないため基本情報は当期末保有物件表の対象外</t>
    </r>
  </si>
  <si>
    <t xml:space="preserve">HLC-015</t>
  </si>
  <si>
    <t xml:space="preserve">ヒューリック五反田山手通ビル</t>
  </si>
  <si>
    <r>
      <rPr>
        <sz val="10"/>
        <color rgb="FF0000FF"/>
        <rFont val="Arial"/>
        <family val="0"/>
        <charset val="1"/>
      </rPr>
      <t xml:space="preserve">2026/2/24</t>
    </r>
    <r>
      <rPr>
        <sz val="10"/>
        <color rgb="FF0000FF"/>
        <rFont val="Noto Sans CJK SC"/>
        <family val="2"/>
      </rPr>
      <t xml:space="preserve">に火災発生。次期以降に利益保険金収入</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25</t>
    </r>
    <r>
      <rPr>
        <sz val="10"/>
        <color rgb="FF0000FF"/>
        <rFont val="Noto Sans CJK SC"/>
        <family val="2"/>
      </rPr>
      <t xml:space="preserve">期</t>
    </r>
    <r>
      <rPr>
        <sz val="10"/>
        <color rgb="FF0000FF"/>
        <rFont val="Arial"/>
        <family val="0"/>
        <charset val="1"/>
      </rPr>
      <t xml:space="preserve">107</t>
    </r>
    <r>
      <rPr>
        <sz val="10"/>
        <color rgb="FF0000FF"/>
        <rFont val="Noto Sans CJK SC"/>
        <family val="2"/>
      </rPr>
      <t xml:space="preserve">百万円・第</t>
    </r>
    <r>
      <rPr>
        <sz val="10"/>
        <color rgb="FF0000FF"/>
        <rFont val="Arial"/>
        <family val="0"/>
        <charset val="1"/>
      </rPr>
      <t xml:space="preserve">26</t>
    </r>
    <r>
      <rPr>
        <sz val="10"/>
        <color rgb="FF0000FF"/>
        <rFont val="Noto Sans CJK SC"/>
        <family val="2"/>
      </rPr>
      <t xml:space="preserve">期</t>
    </r>
    <r>
      <rPr>
        <sz val="10"/>
        <color rgb="FF0000FF"/>
        <rFont val="Arial"/>
        <family val="0"/>
        <charset val="1"/>
      </rPr>
      <t xml:space="preserve">69</t>
    </r>
    <r>
      <rPr>
        <sz val="10"/>
        <color rgb="FF0000FF"/>
        <rFont val="Noto Sans CJK SC"/>
        <family val="2"/>
      </rPr>
      <t xml:space="preserve">百万円想定</t>
    </r>
    <r>
      <rPr>
        <sz val="10"/>
        <color rgb="FF0000FF"/>
        <rFont val="Arial"/>
        <family val="0"/>
        <charset val="1"/>
      </rPr>
      <t xml:space="preserve">)</t>
    </r>
    <r>
      <rPr>
        <sz val="10"/>
        <color rgb="FF0000FF"/>
        <rFont val="Noto Sans CJK SC"/>
        <family val="2"/>
      </rPr>
      <t xml:space="preserve">を計上見込</t>
    </r>
  </si>
  <si>
    <t xml:space="preserve">HLC-016</t>
  </si>
  <si>
    <t xml:space="preserve">番町ハウス</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</si>
  <si>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R-041</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</si>
  <si>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HLC-017</t>
  </si>
  <si>
    <t xml:space="preserve">恵比寿南ビル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</si>
  <si>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R-042</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</si>
  <si>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HLC-018</t>
  </si>
  <si>
    <t xml:space="preserve">ヒューリック飯田橋ビル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</si>
  <si>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R-043</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</si>
  <si>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HLC-019</t>
  </si>
  <si>
    <t xml:space="preserve">ヒューリック浅草橋ビル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</si>
  <si>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R-044</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</si>
  <si>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HLC-020</t>
  </si>
  <si>
    <t xml:space="preserve">ヒューリック恵比寿ビル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</si>
  <si>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R-045</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</si>
  <si>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HLC-021</t>
  </si>
  <si>
    <t xml:space="preserve">ヒューリック両国ビル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</si>
  <si>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R-046</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</si>
  <si>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HLC-022</t>
  </si>
  <si>
    <t xml:space="preserve">ヒューリック浅草橋江戸通</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</si>
  <si>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R-047</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</si>
  <si>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HLC-023</t>
  </si>
  <si>
    <t xml:space="preserve">ヒューリック中野ビル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</si>
  <si>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R-048</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</si>
  <si>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HLC-024</t>
  </si>
  <si>
    <t xml:space="preserve">ヒューリック上野ビル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</si>
  <si>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R-049</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</si>
  <si>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HLC-025</t>
  </si>
  <si>
    <t xml:space="preserve">ヒューリック麹町ビル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</si>
  <si>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R-050</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</si>
  <si>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HLC-026</t>
  </si>
  <si>
    <t xml:space="preserve">吉祥寺富士ビル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</si>
  <si>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R-051</t>
    </r>
    <r>
      <rPr>
        <sz val="11"/>
        <color theme="1"/>
        <rFont val="Noto Sans CJK SC"/>
        <family val="2"/>
      </rPr>
      <t xml:space="preserve">。</t>
    </r>
    <r>
      <rPr>
        <sz val="11"/>
        <color theme="1"/>
        <rFont val="Calibri"/>
        <family val="2"/>
        <charset val="1"/>
      </rPr>
      <t xml:space="preserve">2026/1/29</t>
    </r>
    <r>
      <rPr>
        <sz val="11"/>
        <color theme="1"/>
        <rFont val="Noto Sans CJK SC"/>
        <family val="2"/>
      </rPr>
      <t xml:space="preserve">譲渡</t>
    </r>
    <r>
      <rPr>
        <sz val="11"/>
        <color theme="1"/>
        <rFont val="Calibri"/>
        <family val="2"/>
        <charset val="1"/>
      </rPr>
      <t xml:space="preserve">(12</t>
    </r>
    <r>
      <rPr>
        <sz val="11"/>
        <color theme="1"/>
        <rFont val="Noto Sans CJK SC"/>
        <family val="2"/>
      </rPr>
      <t xml:space="preserve">物件一括</t>
    </r>
    <r>
      <rPr>
        <sz val="11"/>
        <color theme="1"/>
        <rFont val="Calibri"/>
        <family val="2"/>
        <charset val="1"/>
      </rPr>
      <t xml:space="preserve">)</t>
    </r>
    <r>
      <rPr>
        <sz val="11"/>
        <color theme="1"/>
        <rFont val="Noto Sans CJK SC"/>
        <family val="2"/>
      </rPr>
      <t xml:space="preserve">。期末保有物件でないため基本情報は当期末保有物件表の対象外</t>
    </r>
  </si>
  <si>
    <t xml:space="preserve">HLC-027</t>
  </si>
  <si>
    <t xml:space="preserve">ヒューリック八王子ビル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</si>
  <si>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R-052</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</si>
  <si>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HLC-028</t>
  </si>
  <si>
    <t xml:space="preserve">ヒューリック神戸ビル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</si>
  <si>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R-053</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</si>
  <si>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HLC-029</t>
  </si>
  <si>
    <t xml:space="preserve">ヒューリック五反田ビル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</si>
  <si>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R-054</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</si>
  <si>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HLC-030</t>
  </si>
  <si>
    <t xml:space="preserve">ヒューリック王子ビル</t>
  </si>
  <si>
    <t xml:space="preserve">北区</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</si>
  <si>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R-055</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</si>
  <si>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HLC-031</t>
  </si>
  <si>
    <t xml:space="preserve">ヒューリック小舟町ビル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</si>
  <si>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R-056</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</si>
  <si>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HLC-032</t>
  </si>
  <si>
    <t xml:space="preserve">ヒューリック駒込ビル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</si>
  <si>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R-057</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</si>
  <si>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HLC-033</t>
  </si>
  <si>
    <t xml:space="preserve">亀戸富士ビル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</si>
  <si>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R-058</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</si>
  <si>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HLC-034</t>
  </si>
  <si>
    <t xml:space="preserve">ヒューリック新宿ビル</t>
  </si>
  <si>
    <r>
      <rPr>
        <sz val="10"/>
        <color rgb="FF0000FF"/>
        <rFont val="Arial"/>
        <family val="0"/>
        <charset val="1"/>
      </rPr>
      <t xml:space="preserve">2025</t>
    </r>
    <r>
      <rPr>
        <sz val="10"/>
        <color rgb="FF0000FF"/>
        <rFont val="Noto Sans CJK SC"/>
        <family val="2"/>
      </rPr>
      <t xml:space="preserve">年</t>
    </r>
    <r>
      <rPr>
        <sz val="10"/>
        <color rgb="FF0000FF"/>
        <rFont val="Arial"/>
        <family val="0"/>
        <charset val="1"/>
      </rPr>
      <t xml:space="preserve">6</t>
    </r>
    <r>
      <rPr>
        <sz val="10"/>
        <color rgb="FF0000FF"/>
        <rFont val="Noto Sans CJK SC"/>
        <family val="2"/>
      </rPr>
      <t xml:space="preserve">月交換取得のため当期の公租公課は</t>
    </r>
    <r>
      <rPr>
        <sz val="10"/>
        <color rgb="FF0000FF"/>
        <rFont val="Arial"/>
        <family val="0"/>
        <charset val="1"/>
      </rPr>
      <t xml:space="preserve">0(</t>
    </r>
    <r>
      <rPr>
        <sz val="10"/>
        <color rgb="FF0000FF"/>
        <rFont val="Noto Sans CJK SC"/>
        <family val="2"/>
      </rPr>
      <t xml:space="preserve">取得原価算入</t>
    </r>
    <r>
      <rPr>
        <sz val="10"/>
        <color rgb="FF0000FF"/>
        <rFont val="Arial"/>
        <family val="0"/>
        <charset val="1"/>
      </rPr>
      <t xml:space="preserve">)</t>
    </r>
  </si>
  <si>
    <t xml:space="preserve">HLC-035</t>
  </si>
  <si>
    <t xml:space="preserve">大井町再開発ビル２号棟</t>
  </si>
  <si>
    <t xml:space="preserve">商業</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</si>
  <si>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R-060</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</si>
  <si>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HLC-036</t>
  </si>
  <si>
    <t xml:space="preserve">大井町再開発ビル１号棟</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</si>
  <si>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R-061</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</si>
  <si>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HLC-037</t>
  </si>
  <si>
    <t xml:space="preserve">ヒューリック神宮前ビル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</si>
  <si>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R-062</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</si>
  <si>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HLC-038</t>
  </si>
  <si>
    <t xml:space="preserve">ヒューリック等々力ビル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</si>
  <si>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R-063</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</si>
  <si>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HLC-039</t>
  </si>
  <si>
    <t xml:space="preserve">HULIC &amp;New SHIBUYA</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</si>
  <si>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R-064</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</si>
  <si>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HLC-040</t>
  </si>
  <si>
    <t xml:space="preserve">HULIC &amp;New SHINBASHI</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</si>
  <si>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R-065</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</si>
  <si>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HLC-041</t>
  </si>
  <si>
    <t xml:space="preserve">ヒューリック志村坂上</t>
  </si>
  <si>
    <t xml:space="preserve">板橋区</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</si>
  <si>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R-066</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</si>
  <si>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HLC-042</t>
  </si>
  <si>
    <t xml:space="preserve">ヒューリック目白</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</si>
  <si>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R-067</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</si>
  <si>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HLC-043</t>
  </si>
  <si>
    <t xml:space="preserve">相鉄フレッサイン銀座七丁目</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</si>
  <si>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R-068</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</si>
  <si>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HLC-044</t>
  </si>
  <si>
    <t xml:space="preserve">相鉄フレッサイン東京六本木</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</si>
  <si>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R-069</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</si>
  <si>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HLC-045</t>
  </si>
  <si>
    <t xml:space="preserve">ヒューリック築地三丁目ビル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</si>
  <si>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R-070</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</si>
  <si>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HLC-046</t>
  </si>
  <si>
    <t xml:space="preserve">ヒューリック雷門ビル</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</si>
  <si>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R-071</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</si>
  <si>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HLC-047</t>
  </si>
  <si>
    <t xml:space="preserve">グランドニッコー東京ベイ 舞浜</t>
  </si>
  <si>
    <t xml:space="preserve">浦安市</t>
  </si>
  <si>
    <t xml:space="preserve">損益633,007千円も開示(NOI690,848千円との差=減価償却費57,841千円)</t>
  </si>
  <si>
    <t xml:space="preserve">HLC-048</t>
  </si>
  <si>
    <t xml:space="preserve">浅草ビューホテル</t>
  </si>
  <si>
    <r>
      <rPr>
        <sz val="10"/>
        <color rgb="FF0000FF"/>
        <rFont val="Arial"/>
        <family val="0"/>
        <charset val="1"/>
      </rPr>
      <t xml:space="preserve">2025/9/30</t>
    </r>
    <r>
      <rPr>
        <sz val="10"/>
        <color rgb="FF0000FF"/>
        <rFont val="Noto Sans CJK SC"/>
        <family val="2"/>
      </rPr>
      <t xml:space="preserve">にヒューリック神谷町ビル持分</t>
    </r>
    <r>
      <rPr>
        <sz val="10"/>
        <color rgb="FF0000FF"/>
        <rFont val="Arial"/>
        <family val="0"/>
        <charset val="1"/>
      </rPr>
      <t xml:space="preserve">56%</t>
    </r>
    <r>
      <rPr>
        <sz val="10"/>
        <color rgb="FF0000FF"/>
        <rFont val="Noto Sans CJK SC"/>
        <family val="2"/>
      </rPr>
      <t xml:space="preserve">との交換により取得</t>
    </r>
    <r>
      <rPr>
        <sz val="10"/>
        <color rgb="FF0000FF"/>
        <rFont val="Arial"/>
        <family val="0"/>
        <charset val="1"/>
      </rPr>
      <t xml:space="preserve">(</t>
    </r>
    <r>
      <rPr>
        <sz val="10"/>
        <color rgb="FF0000FF"/>
        <rFont val="Noto Sans CJK SC"/>
        <family val="2"/>
      </rPr>
      <t xml:space="preserve">取得価格</t>
    </r>
    <r>
      <rPr>
        <sz val="10"/>
        <color rgb="FF0000FF"/>
        <rFont val="Arial"/>
        <family val="0"/>
        <charset val="1"/>
      </rPr>
      <t xml:space="preserve">38,000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。当期運用</t>
    </r>
    <r>
      <rPr>
        <sz val="10"/>
        <color rgb="FF0000FF"/>
        <rFont val="Arial"/>
        <family val="0"/>
        <charset val="1"/>
      </rPr>
      <t xml:space="preserve">152</t>
    </r>
    <r>
      <rPr>
        <sz val="10"/>
        <color rgb="FF0000FF"/>
        <rFont val="Noto Sans CJK SC"/>
        <family val="2"/>
      </rPr>
      <t xml:space="preserve">日</t>
    </r>
  </si>
  <si>
    <t xml:space="preserve">HLC-049</t>
  </si>
  <si>
    <t xml:space="preserve">アリア松原</t>
  </si>
  <si>
    <t xml:space="preserve">ヘルスケア</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</si>
  <si>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R-074</t>
    </r>
    <r>
      <rPr>
        <sz val="11"/>
        <color theme="1"/>
        <rFont val="Noto Sans CJK SC"/>
        <family val="2"/>
      </rPr>
      <t xml:space="preserve">。</t>
    </r>
    <r>
      <rPr>
        <sz val="11"/>
        <color theme="1"/>
        <rFont val="Calibri"/>
        <family val="2"/>
        <charset val="1"/>
      </rPr>
      <t xml:space="preserve">2026/1/29</t>
    </r>
    <r>
      <rPr>
        <sz val="11"/>
        <color theme="1"/>
        <rFont val="Noto Sans CJK SC"/>
        <family val="2"/>
      </rPr>
      <t xml:space="preserve">譲渡</t>
    </r>
    <r>
      <rPr>
        <sz val="11"/>
        <color theme="1"/>
        <rFont val="Calibri"/>
        <family val="2"/>
        <charset val="1"/>
      </rPr>
      <t xml:space="preserve">(12</t>
    </r>
    <r>
      <rPr>
        <sz val="11"/>
        <color theme="1"/>
        <rFont val="Noto Sans CJK SC"/>
        <family val="2"/>
      </rPr>
      <t xml:space="preserve">物件一括</t>
    </r>
    <r>
      <rPr>
        <sz val="11"/>
        <color theme="1"/>
        <rFont val="Calibri"/>
        <family val="2"/>
        <charset val="1"/>
      </rPr>
      <t xml:space="preserve">)</t>
    </r>
    <r>
      <rPr>
        <sz val="11"/>
        <color theme="1"/>
        <rFont val="Noto Sans CJK SC"/>
        <family val="2"/>
      </rPr>
      <t xml:space="preserve">。期末保有物件でないため基本情報は当期末保有物件表の対象外</t>
    </r>
  </si>
  <si>
    <t xml:space="preserve">HLC-050</t>
  </si>
  <si>
    <t xml:space="preserve">トラストガーデン用賀の杜</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</si>
  <si>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R-075</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</si>
  <si>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HLC-051</t>
  </si>
  <si>
    <t xml:space="preserve">トラストガーデン桜新町</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</si>
  <si>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R-076</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</si>
  <si>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HLC-052</t>
  </si>
  <si>
    <t xml:space="preserve">トラストガーデン杉並宮前</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</si>
  <si>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R-077</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</si>
  <si>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HLC-053</t>
  </si>
  <si>
    <t xml:space="preserve">トラストガーデン常磐松</t>
  </si>
  <si>
    <r>
      <rPr>
        <sz val="10"/>
        <color rgb="FF0000FF"/>
        <rFont val="Arial"/>
        <family val="0"/>
        <charset val="1"/>
      </rPr>
      <t xml:space="preserve">2026/4/1</t>
    </r>
    <r>
      <rPr>
        <sz val="10"/>
        <color rgb="FF0000FF"/>
        <rFont val="Noto Sans CJK SC"/>
        <family val="2"/>
      </rPr>
      <t xml:space="preserve">に「ハイメディックレジデンス ザ・ガーデン常磐松」へ名称変更</t>
    </r>
  </si>
  <si>
    <t xml:space="preserve">HLC-054</t>
  </si>
  <si>
    <r>
      <rPr>
        <sz val="10"/>
        <color rgb="FF0000FF"/>
        <rFont val="Arial"/>
        <family val="0"/>
        <charset val="1"/>
      </rPr>
      <t xml:space="preserve">SOMPO</t>
    </r>
    <r>
      <rPr>
        <sz val="10"/>
        <color rgb="FF0000FF"/>
        <rFont val="Noto Sans CJK SC"/>
        <family val="2"/>
      </rPr>
      <t xml:space="preserve">ケア ラヴィーレ北鎌倉</t>
    </r>
  </si>
  <si>
    <t xml:space="preserve">鎌倉市</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</si>
  <si>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R-079</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。店舗パススルー</t>
    </r>
    <r>
      <rPr>
        <sz val="11"/>
        <color theme="1"/>
        <rFont val="Calibri"/>
        <family val="2"/>
        <charset val="1"/>
      </rPr>
      <t xml:space="preserve">+</t>
    </r>
    <r>
      <rPr>
        <sz val="11"/>
        <color theme="1"/>
        <rFont val="Noto Sans CJK SC"/>
        <family val="2"/>
      </rPr>
      <t xml:space="preserve">住居賃料固定</t>
    </r>
    <r>
      <rPr>
        <sz val="11"/>
        <color theme="1"/>
        <rFont val="Calibri"/>
        <family val="2"/>
        <charset val="1"/>
      </rPr>
      <t xml:space="preserve">ML</t>
    </r>
    <r>
      <rPr>
        <sz val="11"/>
        <color theme="1"/>
        <rFont val="Noto Sans CJK SC"/>
        <family val="2"/>
      </rPr>
      <t xml:space="preserve">。</t>
    </r>
  </si>
  <si>
    <t xml:space="preserve">HLC-055</t>
  </si>
  <si>
    <t xml:space="preserve">チャームスイート新宿戸山</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</si>
  <si>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R-080</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</si>
  <si>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HLC-056</t>
  </si>
  <si>
    <t xml:space="preserve">チャームスイート石神井公園</t>
  </si>
  <si>
    <t xml:space="preserve">練馬区</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</si>
  <si>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R-081</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</si>
  <si>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HLC-057</t>
  </si>
  <si>
    <t xml:space="preserve">ヒューリック調布</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</si>
  <si>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R-082</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</si>
  <si>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HLC-058</t>
  </si>
  <si>
    <t xml:space="preserve">アリスタージュ経堂</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</si>
  <si>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R-083</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</si>
  <si>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HLC-059</t>
  </si>
  <si>
    <t xml:space="preserve">グランダ学芸大学</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</si>
  <si>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R-084</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</si>
  <si>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HLC-060</t>
  </si>
  <si>
    <t xml:space="preserve">チャームプレミア田園調布</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</si>
  <si>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R-085</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。土地一部貸地</t>
    </r>
    <r>
      <rPr>
        <sz val="11"/>
        <color theme="1"/>
        <rFont val="Calibri"/>
        <family val="2"/>
        <charset val="1"/>
      </rPr>
      <t xml:space="preserve">(</t>
    </r>
    <r>
      <rPr>
        <sz val="11"/>
        <color theme="1"/>
        <rFont val="Noto Sans CJK SC"/>
        <family val="2"/>
      </rPr>
      <t xml:space="preserve">借地人所有店舗あり</t>
    </r>
    <r>
      <rPr>
        <sz val="11"/>
        <color theme="1"/>
        <rFont val="Calibri"/>
        <family val="2"/>
        <charset val="1"/>
      </rPr>
      <t xml:space="preserve">)</t>
    </r>
    <r>
      <rPr>
        <sz val="11"/>
        <color theme="1"/>
        <rFont val="Noto Sans CJK SC"/>
        <family val="2"/>
      </rPr>
      <t xml:space="preserve">。</t>
    </r>
  </si>
  <si>
    <t xml:space="preserve">HLC-061</t>
  </si>
  <si>
    <t xml:space="preserve">ソナーレ石神井</t>
  </si>
  <si>
    <r>
      <rPr>
        <sz val="11"/>
        <color theme="1"/>
        <rFont val="Calibri"/>
        <family val="2"/>
        <charset val="1"/>
      </rPr>
      <t xml:space="preserve">SHR</t>
    </r>
    <r>
      <rPr>
        <sz val="11"/>
        <color theme="1"/>
        <rFont val="Noto Sans CJK SC"/>
        <family val="2"/>
      </rPr>
      <t xml:space="preserve">物件番号</t>
    </r>
    <r>
      <rPr>
        <sz val="11"/>
        <color theme="1"/>
        <rFont val="Calibri"/>
        <family val="2"/>
        <charset val="1"/>
      </rPr>
      <t xml:space="preserve">R-086</t>
    </r>
    <r>
      <rPr>
        <sz val="11"/>
        <color theme="1"/>
        <rFont val="Noto Sans CJK SC"/>
        <family val="2"/>
      </rPr>
      <t xml:space="preserve">。全物件で積水ハウスグループ等とのマスターリース契約</t>
    </r>
    <r>
      <rPr>
        <sz val="11"/>
        <color theme="1"/>
        <rFont val="Calibri"/>
        <family val="2"/>
        <charset val="1"/>
      </rPr>
      <t xml:space="preserve">(</t>
    </r>
    <r>
      <rPr>
        <sz val="11"/>
        <color theme="1"/>
        <rFont val="Noto Sans CJK SC"/>
        <family val="2"/>
      </rPr>
      <t xml:space="preserve">国内住居はテナント</t>
    </r>
    <r>
      <rPr>
        <sz val="11"/>
        <color theme="1"/>
        <rFont val="Calibri"/>
        <family val="2"/>
        <charset val="1"/>
      </rPr>
      <t xml:space="preserve">1=ML</t>
    </r>
    <r>
      <rPr>
        <sz val="11"/>
        <color theme="1"/>
        <rFont val="Noto Sans CJK SC"/>
        <family val="2"/>
      </rPr>
      <t xml:space="preserve">会社</t>
    </r>
    <r>
      <rPr>
        <sz val="11"/>
        <color theme="1"/>
        <rFont val="Calibri"/>
        <family val="2"/>
        <charset val="1"/>
      </rPr>
      <t xml:space="preserve">)</t>
    </r>
    <r>
      <rPr>
        <sz val="11"/>
        <color theme="1"/>
        <rFont val="Noto Sans CJK SC"/>
        <family val="2"/>
      </rPr>
      <t xml:space="preserve">。物件別の千円単位個別収支</t>
    </r>
    <r>
      <rPr>
        <sz val="11"/>
        <color theme="1"/>
        <rFont val="Calibri"/>
        <family val="2"/>
        <charset val="1"/>
      </rPr>
      <t xml:space="preserve">(</t>
    </r>
    <r>
      <rPr>
        <sz val="11"/>
        <color theme="1"/>
        <rFont val="Noto Sans CJK SC"/>
        <family val="2"/>
      </rPr>
      <t xml:space="preserve">費用内訳含む</t>
    </r>
    <r>
      <rPr>
        <sz val="11"/>
        <color theme="1"/>
        <rFont val="Calibri"/>
        <family val="2"/>
        <charset val="1"/>
      </rPr>
      <t xml:space="preserve">)</t>
    </r>
    <r>
      <rPr>
        <sz val="11"/>
        <color theme="1"/>
        <rFont val="Noto Sans CJK SC"/>
        <family val="2"/>
      </rPr>
      <t xml:space="preserve">が短信</t>
    </r>
    <r>
      <rPr>
        <sz val="11"/>
        <color theme="1"/>
        <rFont val="Calibri"/>
        <family val="2"/>
        <charset val="1"/>
      </rPr>
      <t xml:space="preserve">p.72</t>
    </r>
    <r>
      <rPr>
        <sz val="11"/>
        <color theme="1"/>
        <rFont val="Noto Sans CJK SC"/>
        <family val="2"/>
      </rPr>
      <t xml:space="preserve">以降に開示あり</t>
    </r>
    <r>
      <rPr>
        <sz val="11"/>
        <color theme="1"/>
        <rFont val="Calibri"/>
        <family val="2"/>
        <charset val="1"/>
      </rPr>
      <t xml:space="preserve">(</t>
    </r>
    <r>
      <rPr>
        <sz val="11"/>
        <color theme="1"/>
        <rFont val="Noto Sans CJK SC"/>
        <family val="2"/>
      </rPr>
      <t xml:space="preserve">本</t>
    </r>
    <r>
      <rPr>
        <sz val="11"/>
        <color theme="1"/>
        <rFont val="Calibri"/>
        <family val="2"/>
        <charset val="1"/>
      </rPr>
      <t xml:space="preserve">DB</t>
    </r>
    <r>
      <rPr>
        <sz val="11"/>
        <color theme="1"/>
        <rFont val="Noto Sans CJK SC"/>
        <family val="2"/>
      </rPr>
      <t xml:space="preserve">は賃貸借状況表の収益</t>
    </r>
    <r>
      <rPr>
        <sz val="11"/>
        <color theme="1"/>
        <rFont val="Calibri"/>
        <family val="2"/>
        <charset val="1"/>
      </rPr>
      <t xml:space="preserve">(</t>
    </r>
    <r>
      <rPr>
        <sz val="11"/>
        <color theme="1"/>
        <rFont val="Noto Sans CJK SC"/>
        <family val="2"/>
      </rPr>
      <t xml:space="preserve">百万円</t>
    </r>
    <r>
      <rPr>
        <sz val="11"/>
        <color theme="1"/>
        <rFont val="Calibri"/>
        <family val="2"/>
        <charset val="1"/>
      </rPr>
      <t xml:space="preserve">)</t>
    </r>
    <r>
      <rPr>
        <sz val="11"/>
        <color theme="1"/>
        <rFont val="Noto Sans CJK SC"/>
        <family val="2"/>
      </rPr>
      <t xml:space="preserve">を収録・将来精緻化候補</t>
    </r>
    <r>
      <rPr>
        <sz val="11"/>
        <color theme="1"/>
        <rFont val="Calibri"/>
        <family val="2"/>
        <charset val="1"/>
      </rPr>
      <t xml:space="preserve">)</t>
    </r>
    <r>
      <rPr>
        <sz val="11"/>
        <color theme="1"/>
        <rFont val="Noto Sans CJK SC"/>
        <family val="2"/>
      </rPr>
      <t xml:space="preserve">。</t>
    </r>
  </si>
  <si>
    <t xml:space="preserve">HLC-062</t>
  </si>
  <si>
    <t xml:space="preserve">ホスピタルメント本郷</t>
  </si>
  <si>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1</t>
    </r>
    <r>
      <rPr>
        <sz val="10"/>
        <color rgb="FF0000FF"/>
        <rFont val="Noto Sans CJK SC"/>
        <family val="2"/>
      </rPr>
      <t xml:space="preserve">月取得</t>
    </r>
    <r>
      <rPr>
        <sz val="10"/>
        <color rgb="FF0000FF"/>
        <rFont val="Arial"/>
        <family val="0"/>
        <charset val="1"/>
      </rPr>
      <t xml:space="preserve">(2,884</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。当期運用</t>
    </r>
    <r>
      <rPr>
        <sz val="10"/>
        <color rgb="FF0000FF"/>
        <rFont val="Arial"/>
        <family val="0"/>
        <charset val="1"/>
      </rPr>
      <t xml:space="preserve">44</t>
    </r>
    <r>
      <rPr>
        <sz val="10"/>
        <color rgb="FF0000FF"/>
        <rFont val="Noto Sans CJK SC"/>
        <family val="2"/>
      </rPr>
      <t xml:space="preserve">日</t>
    </r>
  </si>
  <si>
    <t xml:space="preserve">HLC-063</t>
  </si>
  <si>
    <t xml:space="preserve">池袋ネットワークセンター</t>
  </si>
  <si>
    <t xml:space="preserve">その他</t>
  </si>
  <si>
    <t xml:space="preserve">ネットワークセンター。2025年9月譲渡(当期運用7日)。池袋NC譲渡益807,732千円・長野NC譲渡益61,852千円</t>
  </si>
  <si>
    <t xml:space="preserve">HLC-064</t>
  </si>
  <si>
    <t xml:space="preserve">田端ネットワークセンター</t>
  </si>
  <si>
    <t xml:space="preserve">ネットワークセンター(ソフトバンク一括賃貸・定期借家2030/9末)。期後2026/3/16にヒューリックへ譲渡済(5物件計8,000百万円)</t>
  </si>
  <si>
    <t xml:space="preserve">HLC-065</t>
  </si>
  <si>
    <t xml:space="preserve">広島ネットワークセンター</t>
  </si>
  <si>
    <t xml:space="preserve">HLC-066</t>
  </si>
  <si>
    <t xml:space="preserve">熱田ネットワークセンター</t>
  </si>
  <si>
    <t xml:space="preserve">HLC-067</t>
  </si>
  <si>
    <t xml:space="preserve">長野ネットワークセンター</t>
  </si>
  <si>
    <t xml:space="preserve">HLC-068</t>
  </si>
  <si>
    <t xml:space="preserve">札幌ネットワークセンター</t>
  </si>
  <si>
    <t xml:space="preserve">HLC-069</t>
  </si>
  <si>
    <t xml:space="preserve">京阪奈ネットワークセンター</t>
  </si>
  <si>
    <t xml:space="preserve">木津川市</t>
  </si>
  <si>
    <t xml:space="preserve">NUD-ALL</t>
  </si>
  <si>
    <t xml:space="preserve">【NUDポートフォリオ全体】</t>
  </si>
  <si>
    <t xml:space="preserve">オフィス・レジデンス複合</t>
  </si>
  <si>
    <r>
      <rPr>
        <sz val="10"/>
        <color rgb="FF0000FF"/>
        <rFont val="Arial"/>
        <family val="0"/>
        <charset val="1"/>
      </rPr>
      <t xml:space="preserve">62</t>
    </r>
    <r>
      <rPr>
        <sz val="10"/>
        <color rgb="FF0000FF"/>
        <rFont val="Noto Sans CJK SC"/>
        <family val="2"/>
      </rPr>
      <t xml:space="preserve">物件（</t>
    </r>
    <r>
      <rPr>
        <sz val="10"/>
        <color rgb="FF0000FF"/>
        <rFont val="Arial"/>
        <family val="0"/>
        <charset val="1"/>
      </rPr>
      <t xml:space="preserve">2026/4/30</t>
    </r>
    <r>
      <rPr>
        <sz val="10"/>
        <color rgb="FF0000FF"/>
        <rFont val="Noto Sans CJK SC"/>
        <family val="2"/>
      </rPr>
      <t xml:space="preserve">時点・優先出資証券</t>
    </r>
    <r>
      <rPr>
        <sz val="10"/>
        <color rgb="FF0000FF"/>
        <rFont val="Arial"/>
        <family val="0"/>
        <charset val="1"/>
      </rPr>
      <t xml:space="preserve">1</t>
    </r>
    <r>
      <rPr>
        <sz val="10"/>
        <color rgb="FF0000FF"/>
        <rFont val="Noto Sans CJK SC"/>
        <family val="2"/>
      </rPr>
      <t xml:space="preserve">銘柄含む）</t>
    </r>
  </si>
  <si>
    <r>
      <rPr>
        <sz val="10"/>
        <color rgb="FF0000FF"/>
        <rFont val="Arial"/>
        <family val="0"/>
        <charset val="1"/>
      </rPr>
      <t xml:space="preserve">NUD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47</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(2026/6/17</t>
    </r>
    <r>
      <rPr>
        <sz val="10"/>
        <color rgb="FF0000FF"/>
        <rFont val="Noto Sans CJK SC"/>
        <family val="2"/>
      </rPr>
      <t xml:space="preserve">公表</t>
    </r>
    <r>
      <rPr>
        <sz val="10"/>
        <color rgb="FF0000FF"/>
        <rFont val="Arial"/>
        <family val="0"/>
        <charset val="1"/>
      </rPr>
      <t xml:space="preserve">)</t>
    </r>
    <r>
      <rPr>
        <sz val="10"/>
        <color rgb="FF0000FF"/>
        <rFont val="Noto Sans CJK SC"/>
        <family val="2"/>
      </rPr>
      <t xml:space="preserve">＋公式ポートフォリオ一覧</t>
    </r>
    <r>
      <rPr>
        <sz val="10"/>
        <color rgb="FF0000FF"/>
        <rFont val="Arial"/>
        <family val="0"/>
        <charset val="1"/>
      </rPr>
      <t xml:space="preserve">(2026/7/31</t>
    </r>
    <r>
      <rPr>
        <sz val="10"/>
        <color rgb="FF0000FF"/>
        <rFont val="Noto Sans CJK SC"/>
        <family val="2"/>
      </rPr>
      <t xml:space="preserve">現在・延床</t>
    </r>
    <r>
      <rPr>
        <sz val="10"/>
        <color rgb="FF0000FF"/>
        <rFont val="Arial"/>
        <family val="0"/>
        <charset val="1"/>
      </rPr>
      <t xml:space="preserve">/</t>
    </r>
    <r>
      <rPr>
        <sz val="10"/>
        <color rgb="FF0000FF"/>
        <rFont val="Noto Sans CJK SC"/>
        <family val="2"/>
      </rPr>
      <t xml:space="preserve">取得時期</t>
    </r>
    <r>
      <rPr>
        <sz val="10"/>
        <color rgb="FF0000FF"/>
        <rFont val="Arial"/>
        <family val="0"/>
        <charset val="1"/>
      </rPr>
      <t xml:space="preserve">)</t>
    </r>
  </si>
  <si>
    <r>
      <rPr>
        <sz val="10"/>
        <color rgb="FF0000FF"/>
        <rFont val="Arial"/>
        <family val="0"/>
        <charset val="1"/>
      </rPr>
      <t xml:space="preserve">NTT</t>
    </r>
    <r>
      <rPr>
        <sz val="10"/>
        <color rgb="FF0000FF"/>
        <rFont val="Noto Sans CJK SC"/>
        <family val="2"/>
      </rPr>
      <t xml:space="preserve">都市開発スポンサーのオフィス</t>
    </r>
    <r>
      <rPr>
        <sz val="10"/>
        <color rgb="FF0000FF"/>
        <rFont val="Arial"/>
        <family val="0"/>
        <charset val="1"/>
      </rPr>
      <t xml:space="preserve">(64.1%)</t>
    </r>
    <r>
      <rPr>
        <sz val="10"/>
        <color rgb="FF0000FF"/>
        <rFont val="Noto Sans CJK SC"/>
        <family val="2"/>
      </rPr>
      <t xml:space="preserve">・レジデンス</t>
    </r>
    <r>
      <rPr>
        <sz val="10"/>
        <color rgb="FF0000FF"/>
        <rFont val="Arial"/>
        <family val="0"/>
        <charset val="1"/>
      </rPr>
      <t xml:space="preserve">(29.1%)</t>
    </r>
    <r>
      <rPr>
        <sz val="10"/>
        <color rgb="FF0000FF"/>
        <rFont val="Noto Sans CJK SC"/>
        <family val="2"/>
      </rPr>
      <t xml:space="preserve">・優先出資証券</t>
    </r>
    <r>
      <rPr>
        <sz val="10"/>
        <color rgb="FF0000FF"/>
        <rFont val="Arial"/>
        <family val="0"/>
        <charset val="1"/>
      </rPr>
      <t xml:space="preserve">(6.8%)</t>
    </r>
    <r>
      <rPr>
        <sz val="10"/>
        <color rgb="FF0000FF"/>
        <rFont val="Noto Sans CJK SC"/>
        <family val="2"/>
      </rPr>
      <t xml:space="preserve">複合型。取得価格総額</t>
    </r>
    <r>
      <rPr>
        <sz val="10"/>
        <color rgb="FF0000FF"/>
        <rFont val="Arial"/>
        <family val="0"/>
        <charset val="1"/>
      </rPr>
      <t xml:space="preserve">295,266</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オフィス</t>
    </r>
    <r>
      <rPr>
        <sz val="10"/>
        <color rgb="FF0000FF"/>
        <rFont val="Arial"/>
        <family val="0"/>
        <charset val="1"/>
      </rPr>
      <t xml:space="preserve">189,276+</t>
    </r>
    <r>
      <rPr>
        <sz val="10"/>
        <color rgb="FF0000FF"/>
        <rFont val="Noto Sans CJK SC"/>
        <family val="2"/>
      </rPr>
      <t xml:space="preserve">レジ</t>
    </r>
    <r>
      <rPr>
        <sz val="10"/>
        <color rgb="FF0000FF"/>
        <rFont val="Arial"/>
        <family val="0"/>
        <charset val="1"/>
      </rPr>
      <t xml:space="preserve">86,049+</t>
    </r>
    <r>
      <rPr>
        <sz val="10"/>
        <color rgb="FF0000FF"/>
        <rFont val="Noto Sans CJK SC"/>
        <family val="2"/>
      </rPr>
      <t xml:space="preserve">優先出資</t>
    </r>
    <r>
      <rPr>
        <sz val="10"/>
        <color rgb="FF0000FF"/>
        <rFont val="Arial"/>
        <family val="0"/>
        <charset val="1"/>
      </rPr>
      <t xml:space="preserve">19,940)</t>
    </r>
    <r>
      <rPr>
        <sz val="10"/>
        <color rgb="FF0000FF"/>
        <rFont val="Noto Sans CJK SC"/>
        <family val="2"/>
      </rPr>
      <t xml:space="preserve">。帳簿</t>
    </r>
    <r>
      <rPr>
        <sz val="10"/>
        <color rgb="FF0000FF"/>
        <rFont val="Arial"/>
        <family val="0"/>
        <charset val="1"/>
      </rPr>
      <t xml:space="preserve">256,488,795</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賃貸等不動産注記・優先出資証券</t>
    </r>
    <r>
      <rPr>
        <sz val="10"/>
        <color rgb="FF0000FF"/>
        <rFont val="Arial"/>
        <family val="0"/>
        <charset val="1"/>
      </rPr>
      <t xml:space="preserve">20,035,175</t>
    </r>
    <r>
      <rPr>
        <sz val="10"/>
        <color rgb="FF0000FF"/>
        <rFont val="Noto Sans CJK SC"/>
        <family val="2"/>
      </rPr>
      <t xml:space="preserve">千円は別途投資有価証券</t>
    </r>
    <r>
      <rPr>
        <sz val="10"/>
        <color rgb="FF0000FF"/>
        <rFont val="Arial"/>
        <family val="0"/>
        <charset val="1"/>
      </rPr>
      <t xml:space="preserve">)</t>
    </r>
    <r>
      <rPr>
        <sz val="10"/>
        <color rgb="FF0000FF"/>
        <rFont val="Noto Sans CJK SC"/>
        <family val="2"/>
      </rPr>
      <t xml:space="preserve">、期末算定価額</t>
    </r>
    <r>
      <rPr>
        <sz val="10"/>
        <color rgb="FF0000FF"/>
        <rFont val="Arial"/>
        <family val="0"/>
        <charset val="1"/>
      </rPr>
      <t xml:space="preserve">335,310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オフィス</t>
    </r>
    <r>
      <rPr>
        <sz val="10"/>
        <color rgb="FF0000FF"/>
        <rFont val="Arial"/>
        <family val="0"/>
        <charset val="1"/>
      </rPr>
      <t xml:space="preserve">227,310+</t>
    </r>
    <r>
      <rPr>
        <sz val="10"/>
        <color rgb="FF0000FF"/>
        <rFont val="Noto Sans CJK SC"/>
        <family val="2"/>
      </rPr>
      <t xml:space="preserve">レジ</t>
    </r>
    <r>
      <rPr>
        <sz val="10"/>
        <color rgb="FF0000FF"/>
        <rFont val="Arial"/>
        <family val="0"/>
        <charset val="1"/>
      </rPr>
      <t xml:space="preserve">108,000</t>
    </r>
    <r>
      <rPr>
        <sz val="10"/>
        <color rgb="FF0000FF"/>
        <rFont val="Noto Sans CJK SC"/>
        <family val="2"/>
      </rPr>
      <t xml:space="preserve">、賃貸等不動産注記の期末時価と一致</t>
    </r>
    <r>
      <rPr>
        <sz val="10"/>
        <color rgb="FF0000FF"/>
        <rFont val="Arial"/>
        <family val="0"/>
        <charset val="1"/>
      </rPr>
      <t xml:space="preserve">)+</t>
    </r>
    <r>
      <rPr>
        <sz val="10"/>
        <color rgb="FF0000FF"/>
        <rFont val="Noto Sans CJK SC"/>
        <family val="2"/>
      </rPr>
      <t xml:space="preserve">優先出資評価</t>
    </r>
    <r>
      <rPr>
        <sz val="10"/>
        <color rgb="FF0000FF"/>
        <rFont val="Arial"/>
        <family val="0"/>
        <charset val="1"/>
      </rPr>
      <t xml:space="preserve">20,035</t>
    </r>
    <r>
      <rPr>
        <sz val="10"/>
        <color rgb="FF0000FF"/>
        <rFont val="Noto Sans CJK SC"/>
        <family val="2"/>
      </rPr>
      <t xml:space="preserve">百万円</t>
    </r>
    <r>
      <rPr>
        <sz val="10"/>
        <color rgb="FF0000FF"/>
        <rFont val="Arial"/>
        <family val="0"/>
        <charset val="1"/>
      </rPr>
      <t xml:space="preserve">=355,345</t>
    </r>
    <r>
      <rPr>
        <sz val="10"/>
        <color rgb="FF0000FF"/>
        <rFont val="Noto Sans CJK SC"/>
        <family val="2"/>
      </rPr>
      <t xml:space="preserve">百万円。【原資料の切捨て表示に関する注記】物件別</t>
    </r>
    <r>
      <rPr>
        <sz val="10"/>
        <color rgb="FF0000FF"/>
        <rFont val="Arial"/>
        <family val="0"/>
        <charset val="1"/>
      </rPr>
      <t xml:space="preserve">(</t>
    </r>
    <r>
      <rPr>
        <sz val="10"/>
        <color rgb="FF0000FF"/>
        <rFont val="Noto Sans CJK SC"/>
        <family val="2"/>
      </rPr>
      <t xml:space="preserve">百万円未満切捨て</t>
    </r>
    <r>
      <rPr>
        <sz val="10"/>
        <color rgb="FF0000FF"/>
        <rFont val="Arial"/>
        <family val="0"/>
        <charset val="1"/>
      </rPr>
      <t xml:space="preserve">)</t>
    </r>
    <r>
      <rPr>
        <sz val="10"/>
        <color rgb="FF0000FF"/>
        <rFont val="Noto Sans CJK SC"/>
        <family val="2"/>
      </rPr>
      <t xml:space="preserve">の合算は、取得価格レジ</t>
    </r>
    <r>
      <rPr>
        <sz val="10"/>
        <color rgb="FF0000FF"/>
        <rFont val="Arial"/>
        <family val="0"/>
        <charset val="1"/>
      </rPr>
      <t xml:space="preserve">-1</t>
    </r>
    <r>
      <rPr>
        <sz val="10"/>
        <color rgb="FF0000FF"/>
        <rFont val="Noto Sans CJK SC"/>
        <family val="2"/>
      </rPr>
      <t xml:space="preserve">・総計</t>
    </r>
    <r>
      <rPr>
        <sz val="10"/>
        <color rgb="FF0000FF"/>
        <rFont val="Arial"/>
        <family val="0"/>
        <charset val="1"/>
      </rPr>
      <t xml:space="preserve">-2(</t>
    </r>
    <r>
      <rPr>
        <sz val="10"/>
        <color rgb="FF0000FF"/>
        <rFont val="Noto Sans CJK SC"/>
        <family val="2"/>
      </rPr>
      <t xml:space="preserve">端数保有</t>
    </r>
    <r>
      <rPr>
        <sz val="10"/>
        <color rgb="FF0000FF"/>
        <rFont val="Arial"/>
        <family val="0"/>
        <charset val="1"/>
      </rPr>
      <t xml:space="preserve">4</t>
    </r>
    <r>
      <rPr>
        <sz val="10"/>
        <color rgb="FF0000FF"/>
        <rFont val="Noto Sans CJK SC"/>
        <family val="2"/>
      </rPr>
      <t xml:space="preserve">物件の切捨て</t>
    </r>
    <r>
      <rPr>
        <sz val="10"/>
        <color rgb="FF0000FF"/>
        <rFont val="Arial"/>
        <family val="0"/>
        <charset val="1"/>
      </rPr>
      <t xml:space="preserve">)</t>
    </r>
    <r>
      <rPr>
        <sz val="10"/>
        <color rgb="FF0000FF"/>
        <rFont val="Noto Sans CJK SC"/>
        <family val="2"/>
      </rPr>
      <t xml:space="preserve">、帳簿オフィス</t>
    </r>
    <r>
      <rPr>
        <sz val="10"/>
        <color rgb="FF0000FF"/>
        <rFont val="Arial"/>
        <family val="0"/>
        <charset val="1"/>
      </rPr>
      <t xml:space="preserve">-12</t>
    </r>
    <r>
      <rPr>
        <sz val="10"/>
        <color rgb="FF0000FF"/>
        <rFont val="Noto Sans CJK SC"/>
        <family val="2"/>
      </rPr>
      <t xml:space="preserve">・レジ</t>
    </r>
    <r>
      <rPr>
        <sz val="10"/>
        <color rgb="FF0000FF"/>
        <rFont val="Arial"/>
        <family val="0"/>
        <charset val="1"/>
      </rPr>
      <t xml:space="preserve">-16(</t>
    </r>
    <r>
      <rPr>
        <sz val="10"/>
        <color rgb="FF0000FF"/>
        <rFont val="Noto Sans CJK SC"/>
        <family val="2"/>
      </rPr>
      <t xml:space="preserve">切捨て累積</t>
    </r>
    <r>
      <rPr>
        <sz val="10"/>
        <color rgb="FF0000FF"/>
        <rFont val="Arial"/>
        <family val="0"/>
        <charset val="1"/>
      </rPr>
      <t xml:space="preserve">)</t>
    </r>
    <r>
      <rPr>
        <sz val="10"/>
        <color rgb="FF0000FF"/>
        <rFont val="Noto Sans CJK SC"/>
        <family val="2"/>
      </rPr>
      <t xml:space="preserve">。算定価額は両用途とも完全一致。期末稼働</t>
    </r>
    <r>
      <rPr>
        <sz val="10"/>
        <color rgb="FF0000FF"/>
        <rFont val="Arial"/>
        <family val="0"/>
        <charset val="1"/>
      </rPr>
      <t xml:space="preserve">98.6%(</t>
    </r>
    <r>
      <rPr>
        <sz val="10"/>
        <color rgb="FF0000FF"/>
        <rFont val="Noto Sans CJK SC"/>
        <family val="2"/>
      </rPr>
      <t xml:space="preserve">オフィス</t>
    </r>
    <r>
      <rPr>
        <sz val="10"/>
        <color rgb="FF0000FF"/>
        <rFont val="Arial"/>
        <family val="0"/>
        <charset val="1"/>
      </rPr>
      <t xml:space="preserve">99.8%/</t>
    </r>
    <r>
      <rPr>
        <sz val="10"/>
        <color rgb="FF0000FF"/>
        <rFont val="Noto Sans CJK SC"/>
        <family val="2"/>
      </rPr>
      <t xml:space="preserve">レジ</t>
    </r>
    <r>
      <rPr>
        <sz val="10"/>
        <color rgb="FF0000FF"/>
        <rFont val="Arial"/>
        <family val="0"/>
        <charset val="1"/>
      </rPr>
      <t xml:space="preserve">96.6%)</t>
    </r>
    <r>
      <rPr>
        <sz val="10"/>
        <color rgb="FF0000FF"/>
        <rFont val="Noto Sans CJK SC"/>
        <family val="2"/>
      </rPr>
      <t xml:space="preserve">。当期入替</t>
    </r>
    <r>
      <rPr>
        <sz val="10"/>
        <color rgb="FF0000FF"/>
        <rFont val="Arial"/>
        <family val="0"/>
        <charset val="1"/>
      </rPr>
      <t xml:space="preserve">: </t>
    </r>
    <r>
      <rPr>
        <sz val="10"/>
        <color rgb="FF0000FF"/>
        <rFont val="Noto Sans CJK SC"/>
        <family val="2"/>
      </rPr>
      <t xml:space="preserve">ランディック第</t>
    </r>
    <r>
      <rPr>
        <sz val="10"/>
        <color rgb="FF0000FF"/>
        <rFont val="Arial"/>
        <family val="0"/>
        <charset val="1"/>
      </rPr>
      <t xml:space="preserve">2</t>
    </r>
    <r>
      <rPr>
        <sz val="10"/>
        <color rgb="FF0000FF"/>
        <rFont val="Noto Sans CJK SC"/>
        <family val="2"/>
      </rPr>
      <t xml:space="preserve">新橋ビル残</t>
    </r>
    <r>
      <rPr>
        <sz val="10"/>
        <color rgb="FF0000FF"/>
        <rFont val="Arial"/>
        <family val="0"/>
        <charset val="1"/>
      </rPr>
      <t xml:space="preserve">33.33%</t>
    </r>
    <r>
      <rPr>
        <sz val="10"/>
        <color rgb="FF0000FF"/>
        <rFont val="Noto Sans CJK SC"/>
        <family val="2"/>
      </rPr>
      <t xml:space="preserve">譲渡</t>
    </r>
    <r>
      <rPr>
        <sz val="10"/>
        <color rgb="FF0000FF"/>
        <rFont val="Arial"/>
        <family val="0"/>
        <charset val="1"/>
      </rPr>
      <t xml:space="preserve">(2026/4/28</t>
    </r>
    <r>
      <rPr>
        <sz val="10"/>
        <color rgb="FF0000FF"/>
        <rFont val="Noto Sans CJK SC"/>
        <family val="2"/>
      </rPr>
      <t xml:space="preserve">・全譲渡完了・当期売却益</t>
    </r>
    <r>
      <rPr>
        <sz val="10"/>
        <color rgb="FF0000FF"/>
        <rFont val="Arial"/>
        <family val="0"/>
        <charset val="1"/>
      </rPr>
      <t xml:space="preserve">1,239,299</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La Douceur</t>
    </r>
    <r>
      <rPr>
        <sz val="10"/>
        <color rgb="FF0000FF"/>
        <rFont val="Noto Sans CJK SC"/>
        <family val="2"/>
      </rPr>
      <t xml:space="preserve">都島高倉町取得</t>
    </r>
    <r>
      <rPr>
        <sz val="10"/>
        <color rgb="FF0000FF"/>
        <rFont val="Arial"/>
        <family val="0"/>
        <charset val="1"/>
      </rPr>
      <t xml:space="preserve">(2026/2/25</t>
    </r>
    <r>
      <rPr>
        <sz val="10"/>
        <color rgb="FF0000FF"/>
        <rFont val="Noto Sans CJK SC"/>
        <family val="2"/>
      </rPr>
      <t xml:space="preserve">・</t>
    </r>
    <r>
      <rPr>
        <sz val="10"/>
        <color rgb="FF0000FF"/>
        <rFont val="Arial"/>
        <family val="0"/>
        <charset val="1"/>
      </rPr>
      <t xml:space="preserve">1,140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。期後</t>
    </r>
    <r>
      <rPr>
        <sz val="10"/>
        <color rgb="FF0000FF"/>
        <rFont val="Arial"/>
        <family val="0"/>
        <charset val="1"/>
      </rPr>
      <t xml:space="preserve">: </t>
    </r>
    <r>
      <rPr>
        <sz val="10"/>
        <color rgb="FF0000FF"/>
        <rFont val="Noto Sans CJK SC"/>
        <family val="2"/>
      </rPr>
      <t xml:space="preserve">ミラージュパレス難波クルヴァ取得</t>
    </r>
    <r>
      <rPr>
        <sz val="10"/>
        <color rgb="FF0000FF"/>
        <rFont val="Arial"/>
        <family val="0"/>
        <charset val="1"/>
      </rPr>
      <t xml:space="preserve">(2026/7/31</t>
    </r>
    <r>
      <rPr>
        <sz val="10"/>
        <color rgb="FF0000FF"/>
        <rFont val="Noto Sans CJK SC"/>
        <family val="2"/>
      </rPr>
      <t xml:space="preserve">・</t>
    </r>
    <r>
      <rPr>
        <sz val="10"/>
        <color rgb="FF0000FF"/>
        <rFont val="Arial"/>
        <family val="0"/>
        <charset val="1"/>
      </rPr>
      <t xml:space="preserve">1,050</t>
    </r>
    <r>
      <rPr>
        <sz val="10"/>
        <color rgb="FF0000FF"/>
        <rFont val="Noto Sans CJK SC"/>
        <family val="2"/>
      </rPr>
      <t xml:space="preserve">百万円・大阪市浪速区・</t>
    </r>
    <r>
      <rPr>
        <sz val="10"/>
        <color rgb="FF0000FF"/>
        <rFont val="Arial"/>
        <family val="0"/>
        <charset val="1"/>
      </rPr>
      <t xml:space="preserve">2024/10</t>
    </r>
    <r>
      <rPr>
        <sz val="10"/>
        <color rgb="FF0000FF"/>
        <rFont val="Noto Sans CJK SC"/>
        <family val="2"/>
      </rPr>
      <t xml:space="preserve">築</t>
    </r>
    <r>
      <rPr>
        <sz val="10"/>
        <color rgb="FF0000FF"/>
        <rFont val="Arial"/>
        <family val="0"/>
        <charset val="1"/>
      </rPr>
      <t xml:space="preserve">)→63</t>
    </r>
    <r>
      <rPr>
        <sz val="10"/>
        <color rgb="FF0000FF"/>
        <rFont val="Noto Sans CJK SC"/>
        <family val="2"/>
      </rPr>
      <t xml:space="preserve">物件へ。自己投資口取得枠</t>
    </r>
    <r>
      <rPr>
        <sz val="10"/>
        <color rgb="FF0000FF"/>
        <rFont val="Arial"/>
        <family val="0"/>
        <charset val="1"/>
      </rPr>
      <t xml:space="preserve">2,000</t>
    </r>
    <r>
      <rPr>
        <sz val="10"/>
        <color rgb="FF0000FF"/>
        <rFont val="Noto Sans CJK SC"/>
        <family val="2"/>
      </rPr>
      <t xml:space="preserve">百万円</t>
    </r>
    <r>
      <rPr>
        <sz val="10"/>
        <color rgb="FF0000FF"/>
        <rFont val="Arial"/>
        <family val="0"/>
        <charset val="1"/>
      </rPr>
      <t xml:space="preserve">(2026/6/18-10/23</t>
    </r>
    <r>
      <rPr>
        <sz val="10"/>
        <color rgb="FF0000FF"/>
        <rFont val="Noto Sans CJK SC"/>
        <family val="2"/>
      </rPr>
      <t xml:space="preserve">・上限</t>
    </r>
    <r>
      <rPr>
        <sz val="10"/>
        <color rgb="FF0000FF"/>
        <rFont val="Arial"/>
        <family val="0"/>
        <charset val="1"/>
      </rPr>
      <t xml:space="preserve">22,000</t>
    </r>
    <r>
      <rPr>
        <sz val="10"/>
        <color rgb="FF0000FF"/>
        <rFont val="Noto Sans CJK SC"/>
        <family val="2"/>
      </rPr>
      <t xml:space="preserve">口</t>
    </r>
    <r>
      <rPr>
        <sz val="10"/>
        <color rgb="FF0000FF"/>
        <rFont val="Arial"/>
        <family val="0"/>
        <charset val="1"/>
      </rPr>
      <t xml:space="preserve">)</t>
    </r>
    <r>
      <rPr>
        <sz val="10"/>
        <color rgb="FF0000FF"/>
        <rFont val="Noto Sans CJK SC"/>
        <family val="2"/>
      </rPr>
      <t xml:space="preserve">を決定。</t>
    </r>
    <r>
      <rPr>
        <sz val="10"/>
        <color rgb="FF0000FF"/>
        <rFont val="Arial"/>
        <family val="0"/>
        <charset val="1"/>
      </rPr>
      <t xml:space="preserve">PML8.7%(</t>
    </r>
    <r>
      <rPr>
        <sz val="10"/>
        <color rgb="FF0000FF"/>
        <rFont val="Noto Sans CJK SC"/>
        <family val="2"/>
      </rPr>
      <t xml:space="preserve">ポートフォリオ全体</t>
    </r>
    <r>
      <rPr>
        <sz val="10"/>
        <color rgb="FF0000FF"/>
        <rFont val="Arial"/>
        <family val="0"/>
        <charset val="1"/>
      </rPr>
      <t xml:space="preserve">)</t>
    </r>
  </si>
  <si>
    <t xml:space="preserve">NUD-01</t>
  </si>
  <si>
    <t xml:space="preserve">ランディック新橋ビル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</si>
  <si>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A01</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2002/9</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上場時</t>
    </r>
    <r>
      <rPr>
        <sz val="10"/>
        <color rgb="FF0000FF"/>
        <rFont val="Arial"/>
        <family val="0"/>
        <charset val="1"/>
      </rPr>
      <t xml:space="preserve">)</t>
    </r>
  </si>
  <si>
    <t xml:space="preserve">NUD-02</t>
  </si>
  <si>
    <t xml:space="preserve">ランディック第２新橋ビル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</si>
  <si>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A02</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。信託受益権準共有持分を</t>
    </r>
    <r>
      <rPr>
        <sz val="10"/>
        <color rgb="FF0000FF"/>
        <rFont val="Arial"/>
        <family val="0"/>
        <charset val="1"/>
      </rPr>
      <t xml:space="preserve">3</t>
    </r>
    <r>
      <rPr>
        <sz val="10"/>
        <color rgb="FF0000FF"/>
        <rFont val="Noto Sans CJK SC"/>
        <family val="2"/>
      </rPr>
      <t xml:space="preserve">回に分割譲渡</t>
    </r>
    <r>
      <rPr>
        <sz val="10"/>
        <color rgb="FF0000FF"/>
        <rFont val="Arial"/>
        <family val="0"/>
        <charset val="1"/>
      </rPr>
      <t xml:space="preserve">(2025/2/28</t>
    </r>
    <r>
      <rPr>
        <sz val="10"/>
        <color rgb="FF0000FF"/>
        <rFont val="Noto Sans CJK SC"/>
        <family val="2"/>
      </rPr>
      <t xml:space="preserve">に</t>
    </r>
    <r>
      <rPr>
        <sz val="10"/>
        <color rgb="FF0000FF"/>
        <rFont val="Arial"/>
        <family val="0"/>
        <charset val="1"/>
      </rPr>
      <t xml:space="preserve">33.34%</t>
    </r>
    <r>
      <rPr>
        <sz val="10"/>
        <color rgb="FF0000FF"/>
        <rFont val="Noto Sans CJK SC"/>
        <family val="2"/>
      </rPr>
      <t xml:space="preserve">・</t>
    </r>
    <r>
      <rPr>
        <sz val="10"/>
        <color rgb="FF0000FF"/>
        <rFont val="Arial"/>
        <family val="0"/>
        <charset val="1"/>
      </rPr>
      <t xml:space="preserve">2025/10/30</t>
    </r>
    <r>
      <rPr>
        <sz val="10"/>
        <color rgb="FF0000FF"/>
        <rFont val="Noto Sans CJK SC"/>
        <family val="2"/>
      </rPr>
      <t xml:space="preserve">に</t>
    </r>
    <r>
      <rPr>
        <sz val="10"/>
        <color rgb="FF0000FF"/>
        <rFont val="Arial"/>
        <family val="0"/>
        <charset val="1"/>
      </rPr>
      <t xml:space="preserve">33.33%</t>
    </r>
    <r>
      <rPr>
        <sz val="10"/>
        <color rgb="FF0000FF"/>
        <rFont val="Noto Sans CJK SC"/>
        <family val="2"/>
      </rPr>
      <t xml:space="preserve">・</t>
    </r>
    <r>
      <rPr>
        <sz val="10"/>
        <color rgb="FF0000FF"/>
        <rFont val="Arial"/>
        <family val="0"/>
        <charset val="1"/>
      </rPr>
      <t xml:space="preserve">2026/4/28</t>
    </r>
    <r>
      <rPr>
        <sz val="10"/>
        <color rgb="FF0000FF"/>
        <rFont val="Noto Sans CJK SC"/>
        <family val="2"/>
      </rPr>
      <t xml:space="preserve">に残</t>
    </r>
    <r>
      <rPr>
        <sz val="10"/>
        <color rgb="FF0000FF"/>
        <rFont val="Arial"/>
        <family val="0"/>
        <charset val="1"/>
      </rPr>
      <t xml:space="preserve">33.33%)</t>
    </r>
    <r>
      <rPr>
        <sz val="10"/>
        <color rgb="FF0000FF"/>
        <rFont val="Noto Sans CJK SC"/>
        <family val="2"/>
      </rPr>
      <t xml:space="preserve">し当期で全譲渡完了。当期営業日数</t>
    </r>
    <r>
      <rPr>
        <sz val="10"/>
        <color rgb="FF0000FF"/>
        <rFont val="Arial"/>
        <family val="0"/>
        <charset val="1"/>
      </rPr>
      <t xml:space="preserve">178</t>
    </r>
    <r>
      <rPr>
        <sz val="10"/>
        <color rgb="FF0000FF"/>
        <rFont val="Noto Sans CJK SC"/>
        <family val="2"/>
      </rPr>
      <t xml:space="preserve">日・当期売却益</t>
    </r>
    <r>
      <rPr>
        <sz val="10"/>
        <color rgb="FF0000FF"/>
        <rFont val="Arial"/>
        <family val="0"/>
        <charset val="1"/>
      </rPr>
      <t xml:space="preserve">1,239,299</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譲渡収入</t>
    </r>
    <r>
      <rPr>
        <sz val="10"/>
        <color rgb="FF0000FF"/>
        <rFont val="Arial"/>
        <family val="0"/>
        <charset val="1"/>
      </rPr>
      <t xml:space="preserve">3,333,000</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。取得価格は持分</t>
    </r>
    <r>
      <rPr>
        <sz val="10"/>
        <color rgb="FF0000FF"/>
        <rFont val="Arial"/>
        <family val="0"/>
        <charset val="1"/>
      </rPr>
      <t xml:space="preserve">33.33%</t>
    </r>
    <r>
      <rPr>
        <sz val="10"/>
        <color rgb="FF0000FF"/>
        <rFont val="Noto Sans CJK SC"/>
        <family val="2"/>
      </rPr>
      <t xml:space="preserve">相当</t>
    </r>
    <r>
      <rPr>
        <sz val="10"/>
        <color rgb="FF0000FF"/>
        <rFont val="Arial"/>
        <family val="0"/>
        <charset val="1"/>
      </rPr>
      <t xml:space="preserve">2,348</t>
    </r>
    <r>
      <rPr>
        <sz val="10"/>
        <color rgb="FF0000FF"/>
        <rFont val="Noto Sans CJK SC"/>
        <family val="2"/>
      </rPr>
      <t xml:space="preserve">百万円</t>
    </r>
  </si>
  <si>
    <t xml:space="preserve">NUD-03</t>
  </si>
  <si>
    <t xml:space="preserve">プレミア道玄坂ビル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</si>
  <si>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A03</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NOI</t>
    </r>
    <r>
      <rPr>
        <sz val="10"/>
        <color rgb="FF0000FF"/>
        <rFont val="Noto Sans CJK SC"/>
        <family val="2"/>
      </rPr>
      <t xml:space="preserve">利回り</t>
    </r>
    <r>
      <rPr>
        <sz val="10"/>
        <color rgb="FF0000FF"/>
        <rFont val="Arial"/>
        <family val="0"/>
        <charset val="1"/>
      </rPr>
      <t xml:space="preserve">11.1%</t>
    </r>
    <r>
      <rPr>
        <sz val="10"/>
        <color rgb="FF0000FF"/>
        <rFont val="Noto Sans CJK SC"/>
        <family val="2"/>
      </rPr>
      <t xml:space="preserve">はオフィス最高</t>
    </r>
  </si>
  <si>
    <t xml:space="preserve">NUD-04</t>
  </si>
  <si>
    <t xml:space="preserve">ＫＮ渋谷３</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</si>
  <si>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A04</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。鑑定</t>
    </r>
    <r>
      <rPr>
        <sz val="10"/>
        <color rgb="FF0000FF"/>
        <rFont val="Arial"/>
        <family val="0"/>
        <charset val="1"/>
      </rPr>
      <t xml:space="preserve">12,100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取得価格の</t>
    </r>
    <r>
      <rPr>
        <sz val="10"/>
        <color rgb="FF0000FF"/>
        <rFont val="Arial"/>
        <family val="0"/>
        <charset val="1"/>
      </rPr>
      <t xml:space="preserve">2.3</t>
    </r>
    <r>
      <rPr>
        <sz val="10"/>
        <color rgb="FF0000FF"/>
        <rFont val="Noto Sans CJK SC"/>
        <family val="2"/>
      </rPr>
      <t xml:space="preserve">倍</t>
    </r>
  </si>
  <si>
    <t xml:space="preserve">NUD-05</t>
  </si>
  <si>
    <t xml:space="preserve">高田馬場センタービル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</si>
  <si>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A05</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</si>
  <si>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NUD-06</t>
  </si>
  <si>
    <t xml:space="preserve">アーバンネット三田ビル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</si>
  <si>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A10</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</si>
  <si>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NUD-07</t>
  </si>
  <si>
    <t xml:space="preserve">アーバンネット麻布ビル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</si>
  <si>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A11</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。主要テナント</t>
    </r>
    <r>
      <rPr>
        <sz val="10"/>
        <color rgb="FF0000FF"/>
        <rFont val="Arial"/>
        <family val="0"/>
        <charset val="1"/>
      </rPr>
      <t xml:space="preserve">(NTT ExC</t>
    </r>
    <r>
      <rPr>
        <sz val="10"/>
        <color rgb="FF0000FF"/>
        <rFont val="Noto Sans CJK SC"/>
        <family val="2"/>
      </rPr>
      <t xml:space="preserve">パートナー等</t>
    </r>
    <r>
      <rPr>
        <sz val="10"/>
        <color rgb="FF0000FF"/>
        <rFont val="Arial"/>
        <family val="0"/>
        <charset val="1"/>
      </rPr>
      <t xml:space="preserve">)</t>
    </r>
    <r>
      <rPr>
        <sz val="10"/>
        <color rgb="FF0000FF"/>
        <rFont val="Noto Sans CJK SC"/>
        <family val="2"/>
      </rPr>
      <t xml:space="preserve">の賃料が</t>
    </r>
    <r>
      <rPr>
        <sz val="10"/>
        <color rgb="FF0000FF"/>
        <rFont val="Arial"/>
        <family val="0"/>
        <charset val="1"/>
      </rPr>
      <t xml:space="preserve">80%</t>
    </r>
    <r>
      <rPr>
        <sz val="10"/>
        <color rgb="FF0000FF"/>
        <rFont val="Noto Sans CJK SC"/>
        <family val="2"/>
      </rPr>
      <t xml:space="preserve">以上を占め同意なしのため収支非開示</t>
    </r>
    <r>
      <rPr>
        <sz val="10"/>
        <color rgb="FF0000FF"/>
        <rFont val="Arial"/>
        <family val="0"/>
        <charset val="1"/>
      </rPr>
      <t xml:space="preserve">(</t>
    </r>
    <r>
      <rPr>
        <sz val="10"/>
        <color rgb="FF0000FF"/>
        <rFont val="Noto Sans CJK SC"/>
        <family val="2"/>
      </rPr>
      <t xml:space="preserve">短信注</t>
    </r>
    <r>
      <rPr>
        <sz val="10"/>
        <color rgb="FF0000FF"/>
        <rFont val="Arial"/>
        <family val="0"/>
        <charset val="1"/>
      </rPr>
      <t xml:space="preserve">8)</t>
    </r>
    <r>
      <rPr>
        <sz val="10"/>
        <color rgb="FF0000FF"/>
        <rFont val="Noto Sans CJK SC"/>
        <family val="2"/>
      </rPr>
      <t xml:space="preserve">。開示は賃貸事業損益</t>
    </r>
    <r>
      <rPr>
        <sz val="10"/>
        <color rgb="FF0000FF"/>
        <rFont val="Arial"/>
        <family val="0"/>
        <charset val="1"/>
      </rPr>
      <t xml:space="preserve">72</t>
    </r>
    <r>
      <rPr>
        <sz val="10"/>
        <color rgb="FF0000FF"/>
        <rFont val="Noto Sans CJK SC"/>
        <family val="2"/>
      </rPr>
      <t xml:space="preserve">百万円・</t>
    </r>
    <r>
      <rPr>
        <sz val="10"/>
        <color rgb="FF0000FF"/>
        <rFont val="Arial"/>
        <family val="0"/>
        <charset val="1"/>
      </rPr>
      <t xml:space="preserve">NOI105</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差</t>
    </r>
    <r>
      <rPr>
        <sz val="10"/>
        <color rgb="FF0000FF"/>
        <rFont val="Arial"/>
        <family val="0"/>
        <charset val="1"/>
      </rPr>
      <t xml:space="preserve">=</t>
    </r>
    <r>
      <rPr>
        <sz val="10"/>
        <color rgb="FF0000FF"/>
        <rFont val="Noto Sans CJK SC"/>
        <family val="2"/>
      </rPr>
      <t xml:space="preserve">償却</t>
    </r>
    <r>
      <rPr>
        <sz val="10"/>
        <color rgb="FF0000FF"/>
        <rFont val="Arial"/>
        <family val="0"/>
        <charset val="1"/>
      </rPr>
      <t xml:space="preserve">33</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NOI</t>
    </r>
    <r>
      <rPr>
        <sz val="10"/>
        <color rgb="FF0000FF"/>
        <rFont val="Noto Sans CJK SC"/>
        <family val="2"/>
      </rPr>
      <t xml:space="preserve">利回り</t>
    </r>
    <r>
      <rPr>
        <sz val="10"/>
        <color rgb="FF0000FF"/>
        <rFont val="Arial"/>
        <family val="0"/>
        <charset val="1"/>
      </rPr>
      <t xml:space="preserve">4.3%</t>
    </r>
    <r>
      <rPr>
        <sz val="10"/>
        <color rgb="FF0000FF"/>
        <rFont val="Noto Sans CJK SC"/>
        <family val="2"/>
      </rPr>
      <t xml:space="preserve">のみ</t>
    </r>
  </si>
  <si>
    <t xml:space="preserve">NUD-08</t>
  </si>
  <si>
    <t xml:space="preserve">グランパーク</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</si>
  <si>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A15</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。建物共有持分</t>
    </r>
    <r>
      <rPr>
        <sz val="10"/>
        <color rgb="FF0000FF"/>
        <rFont val="Arial"/>
        <family val="0"/>
        <charset val="1"/>
      </rPr>
      <t xml:space="preserve">86.4915%×</t>
    </r>
    <r>
      <rPr>
        <sz val="10"/>
        <color rgb="FF0000FF"/>
        <rFont val="Noto Sans CJK SC"/>
        <family val="2"/>
      </rPr>
      <t xml:space="preserve">信託受益権準共有持分</t>
    </r>
    <r>
      <rPr>
        <sz val="10"/>
        <color rgb="FF0000FF"/>
        <rFont val="Arial"/>
        <family val="0"/>
        <charset val="1"/>
      </rPr>
      <t xml:space="preserve">34.2%=</t>
    </r>
    <r>
      <rPr>
        <sz val="10"/>
        <color rgb="FF0000FF"/>
        <rFont val="Noto Sans CJK SC"/>
        <family val="2"/>
      </rPr>
      <t xml:space="preserve">実質持分</t>
    </r>
    <r>
      <rPr>
        <sz val="10"/>
        <color rgb="FF0000FF"/>
        <rFont val="Arial"/>
        <family val="0"/>
        <charset val="1"/>
      </rPr>
      <t xml:space="preserve">29.580093%</t>
    </r>
    <r>
      <rPr>
        <sz val="10"/>
        <color rgb="FF0000FF"/>
        <rFont val="Noto Sans CJK SC"/>
        <family val="2"/>
      </rPr>
      <t xml:space="preserve">。</t>
    </r>
    <r>
      <rPr>
        <sz val="10"/>
        <color rgb="FF0000FF"/>
        <rFont val="Arial"/>
        <family val="0"/>
        <charset val="1"/>
      </rPr>
      <t xml:space="preserve">2013/11</t>
    </r>
    <r>
      <rPr>
        <sz val="10"/>
        <color rgb="FF0000FF"/>
        <rFont val="Noto Sans CJK SC"/>
        <family val="2"/>
      </rPr>
      <t xml:space="preserve">・</t>
    </r>
    <r>
      <rPr>
        <sz val="10"/>
        <color rgb="FF0000FF"/>
        <rFont val="Arial"/>
        <family val="0"/>
        <charset val="1"/>
      </rPr>
      <t xml:space="preserve">2024/3</t>
    </r>
    <r>
      <rPr>
        <sz val="10"/>
        <color rgb="FF0000FF"/>
        <rFont val="Noto Sans CJK SC"/>
        <family val="2"/>
      </rPr>
      <t xml:space="preserve">の</t>
    </r>
    <r>
      <rPr>
        <sz val="10"/>
        <color rgb="FF0000FF"/>
        <rFont val="Arial"/>
        <family val="0"/>
        <charset val="1"/>
      </rPr>
      <t xml:space="preserve">2</t>
    </r>
    <r>
      <rPr>
        <sz val="10"/>
        <color rgb="FF0000FF"/>
        <rFont val="Noto Sans CJK SC"/>
        <family val="2"/>
      </rPr>
      <t xml:space="preserve">回取得。延床は一棟全体。</t>
    </r>
    <r>
      <rPr>
        <sz val="10"/>
        <color rgb="FF0000FF"/>
        <rFont val="Arial"/>
        <family val="0"/>
        <charset val="1"/>
      </rPr>
      <t xml:space="preserve">NUD</t>
    </r>
    <r>
      <rPr>
        <sz val="10"/>
        <color rgb="FF0000FF"/>
        <rFont val="Noto Sans CJK SC"/>
        <family val="2"/>
      </rPr>
      <t xml:space="preserve">最大収益物件</t>
    </r>
  </si>
  <si>
    <t xml:space="preserve">NUD-09</t>
  </si>
  <si>
    <t xml:space="preserve">大手町フィナンシャルシティ グランキューブ</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</si>
  <si>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A17</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。実質持分</t>
    </r>
    <r>
      <rPr>
        <sz val="10"/>
        <color rgb="FF0000FF"/>
        <rFont val="Arial"/>
        <family val="0"/>
        <charset val="1"/>
      </rPr>
      <t xml:space="preserve">1.1956646%(</t>
    </r>
    <r>
      <rPr>
        <sz val="10"/>
        <color rgb="FF0000FF"/>
        <rFont val="Noto Sans CJK SC"/>
        <family val="2"/>
      </rPr>
      <t xml:space="preserve">共有持分</t>
    </r>
    <r>
      <rPr>
        <sz val="10"/>
        <color rgb="FF0000FF"/>
        <rFont val="Arial"/>
        <family val="0"/>
        <charset val="1"/>
      </rPr>
      <t xml:space="preserve">×</t>
    </r>
    <r>
      <rPr>
        <sz val="10"/>
        <color rgb="FF0000FF"/>
        <rFont val="Noto Sans CJK SC"/>
        <family val="2"/>
      </rPr>
      <t xml:space="preserve">準共有持分</t>
    </r>
    <r>
      <rPr>
        <sz val="10"/>
        <color rgb="FF0000FF"/>
        <rFont val="Arial"/>
        <family val="0"/>
        <charset val="1"/>
      </rPr>
      <t xml:space="preserve">)</t>
    </r>
    <r>
      <rPr>
        <sz val="10"/>
        <color rgb="FF0000FF"/>
        <rFont val="Noto Sans CJK SC"/>
        <family val="2"/>
      </rPr>
      <t xml:space="preserve">。共有者同意なしのため収支非開示</t>
    </r>
    <r>
      <rPr>
        <sz val="10"/>
        <color rgb="FF0000FF"/>
        <rFont val="Arial"/>
        <family val="0"/>
        <charset val="1"/>
      </rPr>
      <t xml:space="preserve">(</t>
    </r>
    <r>
      <rPr>
        <sz val="10"/>
        <color rgb="FF0000FF"/>
        <rFont val="Noto Sans CJK SC"/>
        <family val="2"/>
      </rPr>
      <t xml:space="preserve">短信注</t>
    </r>
    <r>
      <rPr>
        <sz val="10"/>
        <color rgb="FF0000FF"/>
        <rFont val="Arial"/>
        <family val="0"/>
        <charset val="1"/>
      </rPr>
      <t xml:space="preserve">9)</t>
    </r>
    <r>
      <rPr>
        <sz val="10"/>
        <color rgb="FF0000FF"/>
        <rFont val="Noto Sans CJK SC"/>
        <family val="2"/>
      </rPr>
      <t xml:space="preserve">。開示は賃貸事業損益</t>
    </r>
    <r>
      <rPr>
        <sz val="10"/>
        <color rgb="FF0000FF"/>
        <rFont val="Arial"/>
        <family val="0"/>
        <charset val="1"/>
      </rPr>
      <t xml:space="preserve">71</t>
    </r>
    <r>
      <rPr>
        <sz val="10"/>
        <color rgb="FF0000FF"/>
        <rFont val="Noto Sans CJK SC"/>
        <family val="2"/>
      </rPr>
      <t xml:space="preserve">百万円・</t>
    </r>
    <r>
      <rPr>
        <sz val="10"/>
        <color rgb="FF0000FF"/>
        <rFont val="Arial"/>
        <family val="0"/>
        <charset val="1"/>
      </rPr>
      <t xml:space="preserve">NOI81</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差</t>
    </r>
    <r>
      <rPr>
        <sz val="10"/>
        <color rgb="FF0000FF"/>
        <rFont val="Arial"/>
        <family val="0"/>
        <charset val="1"/>
      </rPr>
      <t xml:space="preserve">=</t>
    </r>
    <r>
      <rPr>
        <sz val="10"/>
        <color rgb="FF0000FF"/>
        <rFont val="Noto Sans CJK SC"/>
        <family val="2"/>
      </rPr>
      <t xml:space="preserve">償却</t>
    </r>
    <r>
      <rPr>
        <sz val="10"/>
        <color rgb="FF0000FF"/>
        <rFont val="Arial"/>
        <family val="0"/>
        <charset val="1"/>
      </rPr>
      <t xml:space="preserve">10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NOI</t>
    </r>
    <r>
      <rPr>
        <sz val="10"/>
        <color rgb="FF0000FF"/>
        <rFont val="Noto Sans CJK SC"/>
        <family val="2"/>
      </rPr>
      <t xml:space="preserve">利回り</t>
    </r>
    <r>
      <rPr>
        <sz val="10"/>
        <color rgb="FF0000FF"/>
        <rFont val="Arial"/>
        <family val="0"/>
        <charset val="1"/>
      </rPr>
      <t xml:space="preserve">3.5%</t>
    </r>
    <r>
      <rPr>
        <sz val="10"/>
        <color rgb="FF0000FF"/>
        <rFont val="Noto Sans CJK SC"/>
        <family val="2"/>
      </rPr>
      <t xml:space="preserve">のみ。延床は一棟全体</t>
    </r>
  </si>
  <si>
    <t xml:space="preserve">NUD-10</t>
  </si>
  <si>
    <t xml:space="preserve">品川シーズンテラス</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</si>
  <si>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A18</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。信託受益権準共有持分</t>
    </r>
    <r>
      <rPr>
        <sz val="10"/>
        <color rgb="FF0000FF"/>
        <rFont val="Arial"/>
        <family val="0"/>
        <charset val="1"/>
      </rPr>
      <t xml:space="preserve">75.0%</t>
    </r>
    <r>
      <rPr>
        <sz val="10"/>
        <color rgb="FF0000FF"/>
        <rFont val="Noto Sans CJK SC"/>
        <family val="2"/>
      </rPr>
      <t xml:space="preserve">。共有者同意なしのため収支非開示</t>
    </r>
    <r>
      <rPr>
        <sz val="10"/>
        <color rgb="FF0000FF"/>
        <rFont val="Arial"/>
        <family val="0"/>
        <charset val="1"/>
      </rPr>
      <t xml:space="preserve">(</t>
    </r>
    <r>
      <rPr>
        <sz val="10"/>
        <color rgb="FF0000FF"/>
        <rFont val="Noto Sans CJK SC"/>
        <family val="2"/>
      </rPr>
      <t xml:space="preserve">短信注</t>
    </r>
    <r>
      <rPr>
        <sz val="10"/>
        <color rgb="FF0000FF"/>
        <rFont val="Arial"/>
        <family val="0"/>
        <charset val="1"/>
      </rPr>
      <t xml:space="preserve">9)</t>
    </r>
    <r>
      <rPr>
        <sz val="10"/>
        <color rgb="FF0000FF"/>
        <rFont val="Noto Sans CJK SC"/>
        <family val="2"/>
      </rPr>
      <t xml:space="preserve">。開示は賃貸事業損益</t>
    </r>
    <r>
      <rPr>
        <sz val="10"/>
        <color rgb="FF0000FF"/>
        <rFont val="Arial"/>
        <family val="0"/>
        <charset val="1"/>
      </rPr>
      <t xml:space="preserve">231</t>
    </r>
    <r>
      <rPr>
        <sz val="10"/>
        <color rgb="FF0000FF"/>
        <rFont val="Noto Sans CJK SC"/>
        <family val="2"/>
      </rPr>
      <t xml:space="preserve">百万円・</t>
    </r>
    <r>
      <rPr>
        <sz val="10"/>
        <color rgb="FF0000FF"/>
        <rFont val="Arial"/>
        <family val="0"/>
        <charset val="1"/>
      </rPr>
      <t xml:space="preserve">NOI313</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差</t>
    </r>
    <r>
      <rPr>
        <sz val="10"/>
        <color rgb="FF0000FF"/>
        <rFont val="Arial"/>
        <family val="0"/>
        <charset val="1"/>
      </rPr>
      <t xml:space="preserve">=</t>
    </r>
    <r>
      <rPr>
        <sz val="10"/>
        <color rgb="FF0000FF"/>
        <rFont val="Noto Sans CJK SC"/>
        <family val="2"/>
      </rPr>
      <t xml:space="preserve">償却</t>
    </r>
    <r>
      <rPr>
        <sz val="10"/>
        <color rgb="FF0000FF"/>
        <rFont val="Arial"/>
        <family val="0"/>
        <charset val="1"/>
      </rPr>
      <t xml:space="preserve">82</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NOI</t>
    </r>
    <r>
      <rPr>
        <sz val="10"/>
        <color rgb="FF0000FF"/>
        <rFont val="Noto Sans CJK SC"/>
        <family val="2"/>
      </rPr>
      <t xml:space="preserve">利回り</t>
    </r>
    <r>
      <rPr>
        <sz val="10"/>
        <color rgb="FF0000FF"/>
        <rFont val="Arial"/>
        <family val="0"/>
        <charset val="1"/>
      </rPr>
      <t xml:space="preserve">3.5%</t>
    </r>
    <r>
      <rPr>
        <sz val="10"/>
        <color rgb="FF0000FF"/>
        <rFont val="Noto Sans CJK SC"/>
        <family val="2"/>
      </rPr>
      <t xml:space="preserve">のみ。</t>
    </r>
    <r>
      <rPr>
        <sz val="10"/>
        <color rgb="FF0000FF"/>
        <rFont val="Arial"/>
        <family val="0"/>
        <charset val="1"/>
      </rPr>
      <t xml:space="preserve">2022/3</t>
    </r>
    <r>
      <rPr>
        <sz val="10"/>
        <color rgb="FF0000FF"/>
        <rFont val="Noto Sans CJK SC"/>
        <family val="2"/>
      </rPr>
      <t xml:space="preserve">に信託借地権の一部譲渡済</t>
    </r>
    <r>
      <rPr>
        <sz val="10"/>
        <color rgb="FF0000FF"/>
        <rFont val="Arial"/>
        <family val="0"/>
        <charset val="1"/>
      </rPr>
      <t xml:space="preserve">(</t>
    </r>
    <r>
      <rPr>
        <sz val="10"/>
        <color rgb="FF0000FF"/>
        <rFont val="Noto Sans CJK SC"/>
        <family val="2"/>
      </rPr>
      <t xml:space="preserve">取得価格は控除後</t>
    </r>
    <r>
      <rPr>
        <sz val="10"/>
        <color rgb="FF0000FF"/>
        <rFont val="Arial"/>
        <family val="0"/>
        <charset val="1"/>
      </rPr>
      <t xml:space="preserve">18,687,524,311</t>
    </r>
    <r>
      <rPr>
        <sz val="10"/>
        <color rgb="FF0000FF"/>
        <rFont val="Noto Sans CJK SC"/>
        <family val="2"/>
      </rPr>
      <t xml:space="preserve">円</t>
    </r>
    <r>
      <rPr>
        <sz val="10"/>
        <color rgb="FF0000FF"/>
        <rFont val="Arial"/>
        <family val="0"/>
        <charset val="1"/>
      </rPr>
      <t xml:space="preserve">)</t>
    </r>
    <r>
      <rPr>
        <sz val="10"/>
        <color rgb="FF0000FF"/>
        <rFont val="Noto Sans CJK SC"/>
        <family val="2"/>
      </rPr>
      <t xml:space="preserve">。延床は一棟全体</t>
    </r>
  </si>
  <si>
    <t xml:space="preserve">NUD-11</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</si>
  <si>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A19</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。区分所有権</t>
    </r>
    <r>
      <rPr>
        <sz val="10"/>
        <color rgb="FF0000FF"/>
        <rFont val="Arial"/>
        <family val="0"/>
        <charset val="1"/>
      </rPr>
      <t xml:space="preserve">(</t>
    </r>
    <r>
      <rPr>
        <sz val="10"/>
        <color rgb="FF0000FF"/>
        <rFont val="Noto Sans CJK SC"/>
        <family val="2"/>
      </rPr>
      <t xml:space="preserve">持分比率毎</t>
    </r>
    <r>
      <rPr>
        <sz val="10"/>
        <color rgb="FF0000FF"/>
        <rFont val="Arial"/>
        <family val="0"/>
        <charset val="1"/>
      </rPr>
      <t xml:space="preserve">)</t>
    </r>
    <r>
      <rPr>
        <sz val="10"/>
        <color rgb="FF0000FF"/>
        <rFont val="Noto Sans CJK SC"/>
        <family val="2"/>
      </rPr>
      <t xml:space="preserve">。共有者同意なしのため収支非開示</t>
    </r>
    <r>
      <rPr>
        <sz val="10"/>
        <color rgb="FF0000FF"/>
        <rFont val="Arial"/>
        <family val="0"/>
        <charset val="1"/>
      </rPr>
      <t xml:space="preserve">(</t>
    </r>
    <r>
      <rPr>
        <sz val="10"/>
        <color rgb="FF0000FF"/>
        <rFont val="Noto Sans CJK SC"/>
        <family val="2"/>
      </rPr>
      <t xml:space="preserve">短信注</t>
    </r>
    <r>
      <rPr>
        <sz val="10"/>
        <color rgb="FF0000FF"/>
        <rFont val="Arial"/>
        <family val="0"/>
        <charset val="1"/>
      </rPr>
      <t xml:space="preserve">9)</t>
    </r>
    <r>
      <rPr>
        <sz val="10"/>
        <color rgb="FF0000FF"/>
        <rFont val="Noto Sans CJK SC"/>
        <family val="2"/>
      </rPr>
      <t xml:space="preserve">。開示は賃貸事業損益</t>
    </r>
    <r>
      <rPr>
        <sz val="10"/>
        <color rgb="FF0000FF"/>
        <rFont val="Arial"/>
        <family val="0"/>
        <charset val="1"/>
      </rPr>
      <t xml:space="preserve">257</t>
    </r>
    <r>
      <rPr>
        <sz val="10"/>
        <color rgb="FF0000FF"/>
        <rFont val="Noto Sans CJK SC"/>
        <family val="2"/>
      </rPr>
      <t xml:space="preserve">百万円・</t>
    </r>
    <r>
      <rPr>
        <sz val="10"/>
        <color rgb="FF0000FF"/>
        <rFont val="Arial"/>
        <family val="0"/>
        <charset val="1"/>
      </rPr>
      <t xml:space="preserve">NOI415</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差</t>
    </r>
    <r>
      <rPr>
        <sz val="10"/>
        <color rgb="FF0000FF"/>
        <rFont val="Arial"/>
        <family val="0"/>
        <charset val="1"/>
      </rPr>
      <t xml:space="preserve">=</t>
    </r>
    <r>
      <rPr>
        <sz val="10"/>
        <color rgb="FF0000FF"/>
        <rFont val="Noto Sans CJK SC"/>
        <family val="2"/>
      </rPr>
      <t xml:space="preserve">償却</t>
    </r>
    <r>
      <rPr>
        <sz val="10"/>
        <color rgb="FF0000FF"/>
        <rFont val="Arial"/>
        <family val="0"/>
        <charset val="1"/>
      </rPr>
      <t xml:space="preserve">158</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NOI</t>
    </r>
    <r>
      <rPr>
        <sz val="10"/>
        <color rgb="FF0000FF"/>
        <rFont val="Noto Sans CJK SC"/>
        <family val="2"/>
      </rPr>
      <t xml:space="preserve">利回り</t>
    </r>
    <r>
      <rPr>
        <sz val="10"/>
        <color rgb="FF0000FF"/>
        <rFont val="Arial"/>
        <family val="0"/>
        <charset val="1"/>
      </rPr>
      <t xml:space="preserve">3.5%</t>
    </r>
    <r>
      <rPr>
        <sz val="10"/>
        <color rgb="FF0000FF"/>
        <rFont val="Noto Sans CJK SC"/>
        <family val="2"/>
      </rPr>
      <t xml:space="preserve">のみ。当期不動産賃貸事業収益の</t>
    </r>
    <r>
      <rPr>
        <sz val="10"/>
        <color rgb="FF0000FF"/>
        <rFont val="Arial"/>
        <family val="0"/>
        <charset val="1"/>
      </rPr>
      <t xml:space="preserve">10%</t>
    </r>
    <r>
      <rPr>
        <sz val="10"/>
        <color rgb="FF0000FF"/>
        <rFont val="Noto Sans CJK SC"/>
        <family val="2"/>
      </rPr>
      <t xml:space="preserve">以上を占める主要物件</t>
    </r>
    <r>
      <rPr>
        <sz val="10"/>
        <color rgb="FF0000FF"/>
        <rFont val="Arial"/>
        <family val="0"/>
        <charset val="1"/>
      </rPr>
      <t xml:space="preserve">(</t>
    </r>
    <r>
      <rPr>
        <sz val="10"/>
        <color rgb="FF0000FF"/>
        <rFont val="Noto Sans CJK SC"/>
        <family val="2"/>
      </rPr>
      <t xml:space="preserve">テナント</t>
    </r>
    <r>
      <rPr>
        <sz val="10"/>
        <color rgb="FF0000FF"/>
        <rFont val="Arial"/>
        <family val="0"/>
        <charset val="1"/>
      </rPr>
      <t xml:space="preserve">104</t>
    </r>
    <r>
      <rPr>
        <sz val="10"/>
        <color rgb="FF0000FF"/>
        <rFont val="Noto Sans CJK SC"/>
        <family val="2"/>
      </rPr>
      <t xml:space="preserve">・</t>
    </r>
    <r>
      <rPr>
        <sz val="10"/>
        <color rgb="FF0000FF"/>
        <rFont val="Arial"/>
        <family val="0"/>
        <charset val="1"/>
      </rPr>
      <t xml:space="preserve">NLA26,494.46</t>
    </r>
    <r>
      <rPr>
        <sz val="10"/>
        <color rgb="FF0000FF"/>
        <rFont val="Noto Sans CJK SC"/>
        <family val="2"/>
      </rPr>
      <t xml:space="preserve">㎡持分換算</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NTT</t>
    </r>
    <r>
      <rPr>
        <sz val="10"/>
        <color rgb="FF0000FF"/>
        <rFont val="Noto Sans CJK SC"/>
        <family val="2"/>
      </rPr>
      <t xml:space="preserve">都市開発とのパス・スルー型</t>
    </r>
    <r>
      <rPr>
        <sz val="10"/>
        <color rgb="FF0000FF"/>
        <rFont val="Arial"/>
        <family val="0"/>
        <charset val="1"/>
      </rPr>
      <t xml:space="preserve">ML(</t>
    </r>
    <r>
      <rPr>
        <sz val="10"/>
        <color rgb="FF0000FF"/>
        <rFont val="Noto Sans CJK SC"/>
        <family val="2"/>
      </rPr>
      <t xml:space="preserve">展示場部分</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BS</t>
    </r>
    <r>
      <rPr>
        <sz val="10"/>
        <color rgb="FF0000FF"/>
        <rFont val="Noto Sans CJK SC"/>
        <family val="2"/>
      </rPr>
      <t xml:space="preserve">上は「不動産」</t>
    </r>
    <r>
      <rPr>
        <sz val="10"/>
        <color rgb="FF0000FF"/>
        <rFont val="Arial"/>
        <family val="0"/>
        <charset val="1"/>
      </rPr>
      <t xml:space="preserve">(</t>
    </r>
    <r>
      <rPr>
        <sz val="10"/>
        <color rgb="FF0000FF"/>
        <rFont val="Noto Sans CJK SC"/>
        <family val="2"/>
      </rPr>
      <t xml:space="preserve">信託外</t>
    </r>
    <r>
      <rPr>
        <sz val="10"/>
        <color rgb="FF0000FF"/>
        <rFont val="Arial"/>
        <family val="0"/>
        <charset val="1"/>
      </rPr>
      <t xml:space="preserve">)</t>
    </r>
    <r>
      <rPr>
        <sz val="10"/>
        <color rgb="FF0000FF"/>
        <rFont val="Noto Sans CJK SC"/>
        <family val="2"/>
      </rPr>
      <t xml:space="preserve">で帳簿</t>
    </r>
    <r>
      <rPr>
        <sz val="10"/>
        <color rgb="FF0000FF"/>
        <rFont val="Arial"/>
        <family val="0"/>
        <charset val="1"/>
      </rPr>
      <t xml:space="preserve">23,439</t>
    </r>
    <r>
      <rPr>
        <sz val="10"/>
        <color rgb="FF0000FF"/>
        <rFont val="Noto Sans CJK SC"/>
        <family val="2"/>
      </rPr>
      <t xml:space="preserve">百万円は都心</t>
    </r>
    <r>
      <rPr>
        <sz val="10"/>
        <color rgb="FF0000FF"/>
        <rFont val="Arial"/>
        <family val="0"/>
        <charset val="1"/>
      </rPr>
      <t xml:space="preserve">5</t>
    </r>
    <r>
      <rPr>
        <sz val="10"/>
        <color rgb="FF0000FF"/>
        <rFont val="Noto Sans CJK SC"/>
        <family val="2"/>
      </rPr>
      <t xml:space="preserve">区・不動産区分と一致。延床は一棟全体</t>
    </r>
  </si>
  <si>
    <t xml:space="preserve">NUD-12</t>
  </si>
  <si>
    <t xml:space="preserve">アーバンネット内幸町ビル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</si>
  <si>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A20</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。共有者同意なしのため収支非開示</t>
    </r>
    <r>
      <rPr>
        <sz val="10"/>
        <color rgb="FF0000FF"/>
        <rFont val="Arial"/>
        <family val="0"/>
        <charset val="1"/>
      </rPr>
      <t xml:space="preserve">(</t>
    </r>
    <r>
      <rPr>
        <sz val="10"/>
        <color rgb="FF0000FF"/>
        <rFont val="Noto Sans CJK SC"/>
        <family val="2"/>
      </rPr>
      <t xml:space="preserve">短信注</t>
    </r>
    <r>
      <rPr>
        <sz val="10"/>
        <color rgb="FF0000FF"/>
        <rFont val="Arial"/>
        <family val="0"/>
        <charset val="1"/>
      </rPr>
      <t xml:space="preserve">9)</t>
    </r>
    <r>
      <rPr>
        <sz val="10"/>
        <color rgb="FF0000FF"/>
        <rFont val="Noto Sans CJK SC"/>
        <family val="2"/>
      </rPr>
      <t xml:space="preserve">。開示は賃貸事業損益</t>
    </r>
    <r>
      <rPr>
        <sz val="10"/>
        <color rgb="FF0000FF"/>
        <rFont val="Arial"/>
        <family val="0"/>
        <charset val="1"/>
      </rPr>
      <t xml:space="preserve">70</t>
    </r>
    <r>
      <rPr>
        <sz val="10"/>
        <color rgb="FF0000FF"/>
        <rFont val="Noto Sans CJK SC"/>
        <family val="2"/>
      </rPr>
      <t xml:space="preserve">百万円・</t>
    </r>
    <r>
      <rPr>
        <sz val="10"/>
        <color rgb="FF0000FF"/>
        <rFont val="Arial"/>
        <family val="0"/>
        <charset val="1"/>
      </rPr>
      <t xml:space="preserve">NOI83</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差</t>
    </r>
    <r>
      <rPr>
        <sz val="10"/>
        <color rgb="FF0000FF"/>
        <rFont val="Arial"/>
        <family val="0"/>
        <charset val="1"/>
      </rPr>
      <t xml:space="preserve">=</t>
    </r>
    <r>
      <rPr>
        <sz val="10"/>
        <color rgb="FF0000FF"/>
        <rFont val="Noto Sans CJK SC"/>
        <family val="2"/>
      </rPr>
      <t xml:space="preserve">償却</t>
    </r>
    <r>
      <rPr>
        <sz val="10"/>
        <color rgb="FF0000FF"/>
        <rFont val="Arial"/>
        <family val="0"/>
        <charset val="1"/>
      </rPr>
      <t xml:space="preserve">13</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NOI</t>
    </r>
    <r>
      <rPr>
        <sz val="10"/>
        <color rgb="FF0000FF"/>
        <rFont val="Noto Sans CJK SC"/>
        <family val="2"/>
      </rPr>
      <t xml:space="preserve">利回り</t>
    </r>
    <r>
      <rPr>
        <sz val="10"/>
        <color rgb="FF0000FF"/>
        <rFont val="Arial"/>
        <family val="0"/>
        <charset val="1"/>
      </rPr>
      <t xml:space="preserve">3.0%</t>
    </r>
    <r>
      <rPr>
        <sz val="10"/>
        <color rgb="FF0000FF"/>
        <rFont val="Noto Sans CJK SC"/>
        <family val="2"/>
      </rPr>
      <t xml:space="preserve">のみ。</t>
    </r>
    <r>
      <rPr>
        <sz val="10"/>
        <color rgb="FF0000FF"/>
        <rFont val="Arial"/>
        <family val="0"/>
        <charset val="1"/>
      </rPr>
      <t xml:space="preserve">2022/3</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スポンサー開発物件</t>
    </r>
    <r>
      <rPr>
        <sz val="10"/>
        <color rgb="FF0000FF"/>
        <rFont val="Arial"/>
        <family val="0"/>
        <charset val="1"/>
      </rPr>
      <t xml:space="preserve">)</t>
    </r>
    <r>
      <rPr>
        <sz val="10"/>
        <color rgb="FF0000FF"/>
        <rFont val="Noto Sans CJK SC"/>
        <family val="2"/>
      </rPr>
      <t xml:space="preserve">。延床は一棟全体</t>
    </r>
  </si>
  <si>
    <t xml:space="preserve">NUD-13</t>
  </si>
  <si>
    <t xml:space="preserve">プレミア東陽町ビル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</si>
  <si>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B02</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。鑑定が取得価格・帳簿を下回る</t>
    </r>
  </si>
  <si>
    <t xml:space="preserve">NUD-14</t>
  </si>
  <si>
    <t xml:space="preserve">上野ＴＨビル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</si>
  <si>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B03</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。鑑定が取得価格・帳簿を下回る</t>
    </r>
  </si>
  <si>
    <t xml:space="preserve">NUD-15</t>
  </si>
  <si>
    <t xml:space="preserve">五反田ＮＴビル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</si>
  <si>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B04</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。区分所有権の共有持分</t>
    </r>
    <r>
      <rPr>
        <sz val="10"/>
        <color rgb="FF0000FF"/>
        <rFont val="Arial"/>
        <family val="0"/>
        <charset val="1"/>
      </rPr>
      <t xml:space="preserve">45%</t>
    </r>
    <r>
      <rPr>
        <sz val="10"/>
        <color rgb="FF0000FF"/>
        <rFont val="Noto Sans CJK SC"/>
        <family val="2"/>
      </rPr>
      <t xml:space="preserve">。鑑定が取得価格・帳簿を下回る。延床は一棟全体</t>
    </r>
  </si>
  <si>
    <t xml:space="preserve">NUD-16</t>
  </si>
  <si>
    <t xml:space="preserve">上野トーセイビル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</si>
  <si>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B05</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</si>
  <si>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NUD-17</t>
  </si>
  <si>
    <t xml:space="preserve">アーバンネット池袋ビル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</si>
  <si>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B06</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。鑑定</t>
    </r>
    <r>
      <rPr>
        <sz val="10"/>
        <color rgb="FF0000FF"/>
        <rFont val="Arial"/>
        <family val="0"/>
        <charset val="1"/>
      </rPr>
      <t xml:space="preserve">23,300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取得価格の</t>
    </r>
    <r>
      <rPr>
        <sz val="10"/>
        <color rgb="FF0000FF"/>
        <rFont val="Arial"/>
        <family val="0"/>
        <charset val="1"/>
      </rPr>
      <t xml:space="preserve">1.7</t>
    </r>
    <r>
      <rPr>
        <sz val="10"/>
        <color rgb="FF0000FF"/>
        <rFont val="Noto Sans CJK SC"/>
        <family val="2"/>
      </rPr>
      <t xml:space="preserve">倍。ドコモ</t>
    </r>
    <r>
      <rPr>
        <sz val="10"/>
        <color rgb="FF0000FF"/>
        <rFont val="Arial"/>
        <family val="0"/>
        <charset val="1"/>
      </rPr>
      <t xml:space="preserve">CS</t>
    </r>
    <r>
      <rPr>
        <sz val="10"/>
        <color rgb="FF0000FF"/>
        <rFont val="Noto Sans CJK SC"/>
        <family val="2"/>
      </rPr>
      <t xml:space="preserve">・</t>
    </r>
    <r>
      <rPr>
        <sz val="10"/>
        <color rgb="FF0000FF"/>
        <rFont val="Arial"/>
        <family val="0"/>
        <charset val="1"/>
      </rPr>
      <t xml:space="preserve">NTT</t>
    </r>
    <r>
      <rPr>
        <sz val="10"/>
        <color rgb="FF0000FF"/>
        <rFont val="Noto Sans CJK SC"/>
        <family val="2"/>
      </rPr>
      <t xml:space="preserve">ファイナンス等</t>
    </r>
    <r>
      <rPr>
        <sz val="10"/>
        <color rgb="FF0000FF"/>
        <rFont val="Arial"/>
        <family val="0"/>
        <charset val="1"/>
      </rPr>
      <t xml:space="preserve">NTT</t>
    </r>
    <r>
      <rPr>
        <sz val="10"/>
        <color rgb="FF0000FF"/>
        <rFont val="Noto Sans CJK SC"/>
        <family val="2"/>
      </rPr>
      <t xml:space="preserve">グループが主要テナント</t>
    </r>
  </si>
  <si>
    <t xml:space="preserve">NUD-18</t>
  </si>
  <si>
    <t xml:space="preserve">アーバンネット大森ビル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</si>
  <si>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B07</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。市区町村は原資料未確認のため空欄</t>
    </r>
    <r>
      <rPr>
        <sz val="10"/>
        <color rgb="FF0000FF"/>
        <rFont val="Arial"/>
        <family val="0"/>
        <charset val="1"/>
      </rPr>
      <t xml:space="preserve">(</t>
    </r>
    <r>
      <rPr>
        <sz val="10"/>
        <color rgb="FF0000FF"/>
        <rFont val="Noto Sans CJK SC"/>
        <family val="2"/>
      </rPr>
      <t xml:space="preserve">大森エリア</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NTT</t>
    </r>
    <r>
      <rPr>
        <sz val="10"/>
        <color rgb="FF0000FF"/>
        <rFont val="Noto Sans CJK SC"/>
        <family val="2"/>
      </rPr>
      <t xml:space="preserve">ビジネスアソシエ東日本が主要テナント</t>
    </r>
  </si>
  <si>
    <t xml:space="preserve">NUD-19</t>
  </si>
  <si>
    <t xml:space="preserve">アーバンネット五反田ＮＮビル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</si>
  <si>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B09</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</si>
  <si>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NUD-20</t>
  </si>
  <si>
    <t xml:space="preserve">アーバンネット中野ビル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</si>
  <si>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B10</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。主要テナント</t>
    </r>
    <r>
      <rPr>
        <sz val="10"/>
        <color rgb="FF0000FF"/>
        <rFont val="Arial"/>
        <family val="0"/>
        <charset val="1"/>
      </rPr>
      <t xml:space="preserve">(</t>
    </r>
    <r>
      <rPr>
        <sz val="10"/>
        <color rgb="FF0000FF"/>
        <rFont val="Noto Sans CJK SC"/>
        <family val="2"/>
      </rPr>
      <t xml:space="preserve">東京リーガルマインド</t>
    </r>
    <r>
      <rPr>
        <sz val="10"/>
        <color rgb="FF0000FF"/>
        <rFont val="Arial"/>
        <family val="0"/>
        <charset val="1"/>
      </rPr>
      <t xml:space="preserve">)</t>
    </r>
    <r>
      <rPr>
        <sz val="10"/>
        <color rgb="FF0000FF"/>
        <rFont val="Noto Sans CJK SC"/>
        <family val="2"/>
      </rPr>
      <t xml:space="preserve">の賃料が</t>
    </r>
    <r>
      <rPr>
        <sz val="10"/>
        <color rgb="FF0000FF"/>
        <rFont val="Arial"/>
        <family val="0"/>
        <charset val="1"/>
      </rPr>
      <t xml:space="preserve">80%</t>
    </r>
    <r>
      <rPr>
        <sz val="10"/>
        <color rgb="FF0000FF"/>
        <rFont val="Noto Sans CJK SC"/>
        <family val="2"/>
      </rPr>
      <t xml:space="preserve">以上を占め同意なしのため収支非開示</t>
    </r>
    <r>
      <rPr>
        <sz val="10"/>
        <color rgb="FF0000FF"/>
        <rFont val="Arial"/>
        <family val="0"/>
        <charset val="1"/>
      </rPr>
      <t xml:space="preserve">(</t>
    </r>
    <r>
      <rPr>
        <sz val="10"/>
        <color rgb="FF0000FF"/>
        <rFont val="Noto Sans CJK SC"/>
        <family val="2"/>
      </rPr>
      <t xml:space="preserve">短信注</t>
    </r>
    <r>
      <rPr>
        <sz val="10"/>
        <color rgb="FF0000FF"/>
        <rFont val="Arial"/>
        <family val="0"/>
        <charset val="1"/>
      </rPr>
      <t xml:space="preserve">8)</t>
    </r>
    <r>
      <rPr>
        <sz val="10"/>
        <color rgb="FF0000FF"/>
        <rFont val="Noto Sans CJK SC"/>
        <family val="2"/>
      </rPr>
      <t xml:space="preserve">。開示は賃貸事業損益</t>
    </r>
    <r>
      <rPr>
        <sz val="10"/>
        <color rgb="FF0000FF"/>
        <rFont val="Arial"/>
        <family val="0"/>
        <charset val="1"/>
      </rPr>
      <t xml:space="preserve">154</t>
    </r>
    <r>
      <rPr>
        <sz val="10"/>
        <color rgb="FF0000FF"/>
        <rFont val="Noto Sans CJK SC"/>
        <family val="2"/>
      </rPr>
      <t xml:space="preserve">百万円・</t>
    </r>
    <r>
      <rPr>
        <sz val="10"/>
        <color rgb="FF0000FF"/>
        <rFont val="Arial"/>
        <family val="0"/>
        <charset val="1"/>
      </rPr>
      <t xml:space="preserve">NOI173</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差</t>
    </r>
    <r>
      <rPr>
        <sz val="10"/>
        <color rgb="FF0000FF"/>
        <rFont val="Arial"/>
        <family val="0"/>
        <charset val="1"/>
      </rPr>
      <t xml:space="preserve">=</t>
    </r>
    <r>
      <rPr>
        <sz val="10"/>
        <color rgb="FF0000FF"/>
        <rFont val="Noto Sans CJK SC"/>
        <family val="2"/>
      </rPr>
      <t xml:space="preserve">償却</t>
    </r>
    <r>
      <rPr>
        <sz val="10"/>
        <color rgb="FF0000FF"/>
        <rFont val="Arial"/>
        <family val="0"/>
        <charset val="1"/>
      </rPr>
      <t xml:space="preserve">19</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NOI</t>
    </r>
    <r>
      <rPr>
        <sz val="10"/>
        <color rgb="FF0000FF"/>
        <rFont val="Noto Sans CJK SC"/>
        <family val="2"/>
      </rPr>
      <t xml:space="preserve">利回り</t>
    </r>
    <r>
      <rPr>
        <sz val="10"/>
        <color rgb="FF0000FF"/>
        <rFont val="Arial"/>
        <family val="0"/>
        <charset val="1"/>
      </rPr>
      <t xml:space="preserve">5.4%</t>
    </r>
    <r>
      <rPr>
        <sz val="10"/>
        <color rgb="FF0000FF"/>
        <rFont val="Noto Sans CJK SC"/>
        <family val="2"/>
      </rPr>
      <t xml:space="preserve">のみ</t>
    </r>
  </si>
  <si>
    <t xml:space="preserve">NUD-21</t>
  </si>
  <si>
    <t xml:space="preserve">プレミア横浜西口ビル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</si>
  <si>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C01</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</si>
  <si>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NUD-22</t>
  </si>
  <si>
    <t xml:space="preserve">アーバンネット静岡追手町ビル</t>
  </si>
  <si>
    <t xml:space="preserve">静岡県</t>
  </si>
  <si>
    <t xml:space="preserve">静岡市</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</si>
  <si>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G03</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。信託受益権準共有持分</t>
    </r>
    <r>
      <rPr>
        <sz val="10"/>
        <color rgb="FF0000FF"/>
        <rFont val="Arial"/>
        <family val="0"/>
        <charset val="1"/>
      </rPr>
      <t xml:space="preserve">40%</t>
    </r>
    <r>
      <rPr>
        <sz val="10"/>
        <color rgb="FF0000FF"/>
        <rFont val="Noto Sans CJK SC"/>
        <family val="2"/>
      </rPr>
      <t xml:space="preserve">。延床は一棟全体。</t>
    </r>
    <r>
      <rPr>
        <sz val="10"/>
        <color rgb="FF0000FF"/>
        <rFont val="Arial"/>
        <family val="0"/>
        <charset val="1"/>
      </rPr>
      <t xml:space="preserve">NOI</t>
    </r>
    <r>
      <rPr>
        <sz val="10"/>
        <color rgb="FF0000FF"/>
        <rFont val="Noto Sans CJK SC"/>
        <family val="2"/>
      </rPr>
      <t xml:space="preserve">利回り</t>
    </r>
    <r>
      <rPr>
        <sz val="10"/>
        <color rgb="FF0000FF"/>
        <rFont val="Arial"/>
        <family val="0"/>
        <charset val="1"/>
      </rPr>
      <t xml:space="preserve">10.0%</t>
    </r>
  </si>
  <si>
    <t xml:space="preserve">NUD-23</t>
  </si>
  <si>
    <t xml:space="preserve">アーバンネット静岡ビル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</si>
  <si>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G04</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。信託受益権準共有持分</t>
    </r>
    <r>
      <rPr>
        <sz val="10"/>
        <color rgb="FF0000FF"/>
        <rFont val="Arial"/>
        <family val="0"/>
        <charset val="1"/>
      </rPr>
      <t xml:space="preserve">40%</t>
    </r>
    <r>
      <rPr>
        <sz val="10"/>
        <color rgb="FF0000FF"/>
        <rFont val="Noto Sans CJK SC"/>
        <family val="2"/>
      </rPr>
      <t xml:space="preserve">。延床は一棟全体</t>
    </r>
  </si>
  <si>
    <t xml:space="preserve">NUD-24</t>
  </si>
  <si>
    <t xml:space="preserve">アーバンエース肥後橋ビル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</si>
  <si>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G05</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</si>
  <si>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NUD-25</t>
  </si>
  <si>
    <t xml:space="preserve">アーバンネット四条烏丸ビル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</si>
  <si>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G06</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2023/11</t>
    </r>
    <r>
      <rPr>
        <sz val="10"/>
        <color rgb="FF0000FF"/>
        <rFont val="Noto Sans CJK SC"/>
        <family val="2"/>
      </rPr>
      <t xml:space="preserve">取得</t>
    </r>
  </si>
  <si>
    <t xml:space="preserve">NUD-26</t>
  </si>
  <si>
    <t xml:space="preserve">アーバンネット伏見ビル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</si>
  <si>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G07</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2023/11</t>
    </r>
    <r>
      <rPr>
        <sz val="10"/>
        <color rgb="FF0000FF"/>
        <rFont val="Noto Sans CJK SC"/>
        <family val="2"/>
      </rPr>
      <t xml:space="preserve">取得。市区町村・都道府県は原資料未確認のため空欄</t>
    </r>
    <r>
      <rPr>
        <sz val="10"/>
        <color rgb="FF0000FF"/>
        <rFont val="Arial"/>
        <family val="0"/>
        <charset val="1"/>
      </rPr>
      <t xml:space="preserve">(</t>
    </r>
    <r>
      <rPr>
        <sz val="10"/>
        <color rgb="FF0000FF"/>
        <rFont val="Noto Sans CJK SC"/>
        <family val="2"/>
      </rPr>
      <t xml:space="preserve">地方主要都市区分・</t>
    </r>
    <r>
      <rPr>
        <sz val="10"/>
        <color rgb="FF0000FF"/>
        <rFont val="Arial"/>
        <family val="0"/>
        <charset val="1"/>
      </rPr>
      <t xml:space="preserve">3</t>
    </r>
    <r>
      <rPr>
        <sz val="10"/>
        <color rgb="FF0000FF"/>
        <rFont val="Noto Sans CJK SC"/>
        <family val="2"/>
      </rPr>
      <t xml:space="preserve">大都市圏</t>
    </r>
    <r>
      <rPr>
        <sz val="10"/>
        <color rgb="FF0000FF"/>
        <rFont val="Arial"/>
        <family val="0"/>
        <charset val="1"/>
      </rPr>
      <t xml:space="preserve">)</t>
    </r>
  </si>
  <si>
    <t xml:space="preserve">NUD-27</t>
  </si>
  <si>
    <t xml:space="preserve">パークアクシス四谷ステージ</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</si>
  <si>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D01</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</si>
  <si>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NUD-28</t>
  </si>
  <si>
    <t xml:space="preserve">パークアクシス明治神宮前</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</si>
  <si>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D02</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</si>
  <si>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NUD-29</t>
  </si>
  <si>
    <t xml:space="preserve">キャビンアリーナ赤坂</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</si>
  <si>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D04</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。当期は修繕費</t>
    </r>
    <r>
      <rPr>
        <sz val="10"/>
        <color rgb="FF0000FF"/>
        <rFont val="Arial"/>
        <family val="0"/>
        <charset val="1"/>
      </rPr>
      <t xml:space="preserve">30</t>
    </r>
    <r>
      <rPr>
        <sz val="10"/>
        <color rgb="FF0000FF"/>
        <rFont val="Noto Sans CJK SC"/>
        <family val="2"/>
      </rPr>
      <t xml:space="preserve">百万円計上により賃貸事業損益△</t>
    </r>
    <r>
      <rPr>
        <sz val="10"/>
        <color rgb="FF0000FF"/>
        <rFont val="Arial"/>
        <family val="0"/>
        <charset val="1"/>
      </rPr>
      <t xml:space="preserve">4</t>
    </r>
    <r>
      <rPr>
        <sz val="10"/>
        <color rgb="FF0000FF"/>
        <rFont val="Noto Sans CJK SC"/>
        <family val="2"/>
      </rPr>
      <t xml:space="preserve">百万円</t>
    </r>
  </si>
  <si>
    <t xml:space="preserve">NUD-30</t>
  </si>
  <si>
    <t xml:space="preserve">キャビンアリーナ南青山</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</si>
  <si>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D05</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。当期は修繕費</t>
    </r>
    <r>
      <rPr>
        <sz val="10"/>
        <color rgb="FF0000FF"/>
        <rFont val="Arial"/>
        <family val="0"/>
        <charset val="1"/>
      </rPr>
      <t xml:space="preserve">20</t>
    </r>
    <r>
      <rPr>
        <sz val="10"/>
        <color rgb="FF0000FF"/>
        <rFont val="Noto Sans CJK SC"/>
        <family val="2"/>
      </rPr>
      <t xml:space="preserve">百万円計上</t>
    </r>
  </si>
  <si>
    <t xml:space="preserve">NUD-31</t>
  </si>
  <si>
    <t xml:space="preserve">六本木グリーンテラス</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</si>
  <si>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D08</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</si>
  <si>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NUD-32</t>
  </si>
  <si>
    <t xml:space="preserve">プレミアステージ芝公園Ⅱ</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</si>
  <si>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D09</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。当期は修繕費</t>
    </r>
    <r>
      <rPr>
        <sz val="10"/>
        <color rgb="FF0000FF"/>
        <rFont val="Arial"/>
        <family val="0"/>
        <charset val="1"/>
      </rPr>
      <t xml:space="preserve">35</t>
    </r>
    <r>
      <rPr>
        <sz val="10"/>
        <color rgb="FF0000FF"/>
        <rFont val="Noto Sans CJK SC"/>
        <family val="2"/>
      </rPr>
      <t xml:space="preserve">百万円計上</t>
    </r>
  </si>
  <si>
    <t xml:space="preserve">NUD-33</t>
  </si>
  <si>
    <t xml:space="preserve">ラング・タワー京橋</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</si>
  <si>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D11</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。その他収益</t>
    </r>
    <r>
      <rPr>
        <sz val="10"/>
        <color rgb="FF0000FF"/>
        <rFont val="Arial"/>
        <family val="0"/>
        <charset val="1"/>
      </rPr>
      <t xml:space="preserve">33</t>
    </r>
    <r>
      <rPr>
        <sz val="10"/>
        <color rgb="FF0000FF"/>
        <rFont val="Noto Sans CJK SC"/>
        <family val="2"/>
      </rPr>
      <t xml:space="preserve">百万円・その他支出</t>
    </r>
    <r>
      <rPr>
        <sz val="10"/>
        <color rgb="FF0000FF"/>
        <rFont val="Arial"/>
        <family val="0"/>
        <charset val="1"/>
      </rPr>
      <t xml:space="preserve">31</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住宅以外用途含む</t>
    </r>
    <r>
      <rPr>
        <sz val="10"/>
        <color rgb="FF0000FF"/>
        <rFont val="Arial"/>
        <family val="0"/>
        <charset val="1"/>
      </rPr>
      <t xml:space="preserve">)</t>
    </r>
  </si>
  <si>
    <t xml:space="preserve">NUD-34</t>
  </si>
  <si>
    <t xml:space="preserve">プレミアステージ三田慶大前</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</si>
  <si>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D12</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</si>
  <si>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NUD-35</t>
  </si>
  <si>
    <t xml:space="preserve">プレミアロッソ</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</si>
  <si>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D13</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。市区町村は原資料未確認のため空欄</t>
    </r>
    <r>
      <rPr>
        <sz val="10"/>
        <color rgb="FF0000FF"/>
        <rFont val="Arial"/>
        <family val="0"/>
        <charset val="1"/>
      </rPr>
      <t xml:space="preserve">(</t>
    </r>
    <r>
      <rPr>
        <sz val="10"/>
        <color rgb="FF0000FF"/>
        <rFont val="Noto Sans CJK SC"/>
        <family val="2"/>
      </rPr>
      <t xml:space="preserve">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t>
    </r>
  </si>
  <si>
    <t xml:space="preserve">NUD-36</t>
  </si>
  <si>
    <t xml:space="preserve">プレミアブラン代々木公園</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</si>
  <si>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D14</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</si>
  <si>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NUD-37</t>
  </si>
  <si>
    <t xml:space="preserve">プレミアステージ内神田</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</si>
  <si>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D15</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</si>
  <si>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NUD-38</t>
  </si>
  <si>
    <t xml:space="preserve">プレミアステージ市ヶ谷河田町</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</si>
  <si>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D16</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。当期は修繕費</t>
    </r>
    <r>
      <rPr>
        <sz val="10"/>
        <color rgb="FF0000FF"/>
        <rFont val="Arial"/>
        <family val="0"/>
        <charset val="1"/>
      </rPr>
      <t xml:space="preserve">51</t>
    </r>
    <r>
      <rPr>
        <sz val="10"/>
        <color rgb="FF0000FF"/>
        <rFont val="Noto Sans CJK SC"/>
        <family val="2"/>
      </rPr>
      <t xml:space="preserve">百万円計上により賃貸事業損益△</t>
    </r>
    <r>
      <rPr>
        <sz val="10"/>
        <color rgb="FF0000FF"/>
        <rFont val="Arial"/>
        <family val="0"/>
        <charset val="1"/>
      </rPr>
      <t xml:space="preserve">19</t>
    </r>
    <r>
      <rPr>
        <sz val="10"/>
        <color rgb="FF0000FF"/>
        <rFont val="Noto Sans CJK SC"/>
        <family val="2"/>
      </rPr>
      <t xml:space="preserve">百万円・</t>
    </r>
    <r>
      <rPr>
        <sz val="10"/>
        <color rgb="FF0000FF"/>
        <rFont val="Arial"/>
        <family val="0"/>
        <charset val="1"/>
      </rPr>
      <t xml:space="preserve">NOI△11</t>
    </r>
    <r>
      <rPr>
        <sz val="10"/>
        <color rgb="FF0000FF"/>
        <rFont val="Noto Sans CJK SC"/>
        <family val="2"/>
      </rPr>
      <t xml:space="preserve">百万円</t>
    </r>
  </si>
  <si>
    <t xml:space="preserve">NUD-39</t>
  </si>
  <si>
    <t xml:space="preserve">Ｗａｌｋ赤坂</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</si>
  <si>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D17</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</si>
  <si>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NUD-40</t>
  </si>
  <si>
    <t xml:space="preserve">プレミアステージ芝公園</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</si>
  <si>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D18</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</si>
  <si>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NUD-41</t>
  </si>
  <si>
    <t xml:space="preserve">ＭＥＷ</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</si>
  <si>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D19</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。当期は修繕費</t>
    </r>
    <r>
      <rPr>
        <sz val="10"/>
        <color rgb="FF0000FF"/>
        <rFont val="Arial"/>
        <family val="0"/>
        <charset val="1"/>
      </rPr>
      <t xml:space="preserve">103</t>
    </r>
    <r>
      <rPr>
        <sz val="10"/>
        <color rgb="FF0000FF"/>
        <rFont val="Noto Sans CJK SC"/>
        <family val="2"/>
      </rPr>
      <t xml:space="preserve">百万円計上により賃貸事業損益△</t>
    </r>
    <r>
      <rPr>
        <sz val="10"/>
        <color rgb="FF0000FF"/>
        <rFont val="Arial"/>
        <family val="0"/>
        <charset val="1"/>
      </rPr>
      <t xml:space="preserve">87</t>
    </r>
    <r>
      <rPr>
        <sz val="10"/>
        <color rgb="FF0000FF"/>
        <rFont val="Noto Sans CJK SC"/>
        <family val="2"/>
      </rPr>
      <t xml:space="preserve">百万円・</t>
    </r>
    <r>
      <rPr>
        <sz val="10"/>
        <color rgb="FF0000FF"/>
        <rFont val="Arial"/>
        <family val="0"/>
        <charset val="1"/>
      </rPr>
      <t xml:space="preserve">NOI△77</t>
    </r>
    <r>
      <rPr>
        <sz val="10"/>
        <color rgb="FF0000FF"/>
        <rFont val="Noto Sans CJK SC"/>
        <family val="2"/>
      </rPr>
      <t xml:space="preserve">百万円</t>
    </r>
    <r>
      <rPr>
        <sz val="10"/>
        <color rgb="FF0000FF"/>
        <rFont val="Arial"/>
        <family val="0"/>
        <charset val="1"/>
      </rPr>
      <t xml:space="preserve">(NOI</t>
    </r>
    <r>
      <rPr>
        <sz val="10"/>
        <color rgb="FF0000FF"/>
        <rFont val="Noto Sans CJK SC"/>
        <family val="2"/>
      </rPr>
      <t xml:space="preserve">利回り△</t>
    </r>
    <r>
      <rPr>
        <sz val="10"/>
        <color rgb="FF0000FF"/>
        <rFont val="Arial"/>
        <family val="0"/>
        <charset val="1"/>
      </rPr>
      <t xml:space="preserve">12.9%)</t>
    </r>
    <r>
      <rPr>
        <sz val="10"/>
        <color rgb="FF0000FF"/>
        <rFont val="Noto Sans CJK SC"/>
        <family val="2"/>
      </rPr>
      <t xml:space="preserve">。市区町村は原資料未確認のため空欄</t>
    </r>
    <r>
      <rPr>
        <sz val="10"/>
        <color rgb="FF0000FF"/>
        <rFont val="Arial"/>
        <family val="0"/>
        <charset val="1"/>
      </rPr>
      <t xml:space="preserve">(</t>
    </r>
    <r>
      <rPr>
        <sz val="10"/>
        <color rgb="FF0000FF"/>
        <rFont val="Noto Sans CJK SC"/>
        <family val="2"/>
      </rPr>
      <t xml:space="preserve">都心</t>
    </r>
    <r>
      <rPr>
        <sz val="10"/>
        <color rgb="FF0000FF"/>
        <rFont val="Arial"/>
        <family val="0"/>
        <charset val="1"/>
      </rPr>
      <t xml:space="preserve">5</t>
    </r>
    <r>
      <rPr>
        <sz val="10"/>
        <color rgb="FF0000FF"/>
        <rFont val="Noto Sans CJK SC"/>
        <family val="2"/>
      </rPr>
      <t xml:space="preserve">区</t>
    </r>
    <r>
      <rPr>
        <sz val="10"/>
        <color rgb="FF0000FF"/>
        <rFont val="Arial"/>
        <family val="0"/>
        <charset val="1"/>
      </rPr>
      <t xml:space="preserve">)</t>
    </r>
  </si>
  <si>
    <t xml:space="preserve">NUD-42</t>
  </si>
  <si>
    <t xml:space="preserve">芝浦アイランド エアタワー</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</si>
  <si>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D20</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。所有権共有持分</t>
    </r>
    <r>
      <rPr>
        <sz val="10"/>
        <color rgb="FF0000FF"/>
        <rFont val="Arial"/>
        <family val="0"/>
        <charset val="1"/>
      </rPr>
      <t xml:space="preserve">23%</t>
    </r>
    <r>
      <rPr>
        <sz val="10"/>
        <color rgb="FF0000FF"/>
        <rFont val="Noto Sans CJK SC"/>
        <family val="2"/>
      </rPr>
      <t xml:space="preserve">。延床は一棟全体</t>
    </r>
  </si>
  <si>
    <t xml:space="preserve">NUD-43</t>
  </si>
  <si>
    <t xml:space="preserve">ストーリア赤坂</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</si>
  <si>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D21</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</si>
  <si>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NUD-44</t>
  </si>
  <si>
    <t xml:space="preserve">ルネ新宿御苑タワー</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</si>
  <si>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D22</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。鑑定が取得価格を下回る</t>
    </r>
  </si>
  <si>
    <t xml:space="preserve">NUD-45</t>
  </si>
  <si>
    <t xml:space="preserve">芝浦アイランド ブルームタワー</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</si>
  <si>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D23</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。所有権共有持分</t>
    </r>
    <r>
      <rPr>
        <sz val="10"/>
        <color rgb="FF0000FF"/>
        <rFont val="Arial"/>
        <family val="0"/>
        <charset val="1"/>
      </rPr>
      <t xml:space="preserve">16%</t>
    </r>
    <r>
      <rPr>
        <sz val="10"/>
        <color rgb="FF0000FF"/>
        <rFont val="Noto Sans CJK SC"/>
        <family val="2"/>
      </rPr>
      <t xml:space="preserve">。延床は一棟全体</t>
    </r>
  </si>
  <si>
    <t xml:space="preserve">NUD-46</t>
  </si>
  <si>
    <t xml:space="preserve">クエストコート原宿</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</si>
  <si>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D24</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</si>
  <si>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NUD-47</t>
  </si>
  <si>
    <t xml:space="preserve">アーバンコート市ヶ谷</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</si>
  <si>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D25</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。鑑定</t>
    </r>
    <r>
      <rPr>
        <sz val="10"/>
        <color rgb="FF0000FF"/>
        <rFont val="Arial"/>
        <family val="0"/>
        <charset val="1"/>
      </rPr>
      <t xml:space="preserve">2,700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取得価格の</t>
    </r>
    <r>
      <rPr>
        <sz val="10"/>
        <color rgb="FF0000FF"/>
        <rFont val="Arial"/>
        <family val="0"/>
        <charset val="1"/>
      </rPr>
      <t xml:space="preserve">1.9</t>
    </r>
    <r>
      <rPr>
        <sz val="10"/>
        <color rgb="FF0000FF"/>
        <rFont val="Noto Sans CJK SC"/>
        <family val="2"/>
      </rPr>
      <t xml:space="preserve">倍</t>
    </r>
  </si>
  <si>
    <t xml:space="preserve">NUD-48</t>
  </si>
  <si>
    <t xml:space="preserve">プレミアステージ麻布十番</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</si>
  <si>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D26</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</si>
  <si>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NUD-49</t>
  </si>
  <si>
    <t xml:space="preserve">プレミアステージ笹塚</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</si>
  <si>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D27</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</si>
  <si>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NUD-50</t>
  </si>
  <si>
    <t xml:space="preserve">プレミアステージ大崎</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</si>
  <si>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E01</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</si>
  <si>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NUD-51</t>
  </si>
  <si>
    <t xml:space="preserve">プレミアガーデン本郷</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</si>
  <si>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E02</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。当期は外壁等修繕</t>
    </r>
    <r>
      <rPr>
        <sz val="10"/>
        <color rgb="FF0000FF"/>
        <rFont val="Arial"/>
        <family val="0"/>
        <charset val="1"/>
      </rPr>
      <t xml:space="preserve">(</t>
    </r>
    <r>
      <rPr>
        <sz val="10"/>
        <color rgb="FF0000FF"/>
        <rFont val="Noto Sans CJK SC"/>
        <family val="2"/>
      </rPr>
      <t xml:space="preserve">修繕費</t>
    </r>
    <r>
      <rPr>
        <sz val="10"/>
        <color rgb="FF0000FF"/>
        <rFont val="Arial"/>
        <family val="0"/>
        <charset val="1"/>
      </rPr>
      <t xml:space="preserve">32</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により賃貸事業損益△</t>
    </r>
    <r>
      <rPr>
        <sz val="10"/>
        <color rgb="FF0000FF"/>
        <rFont val="Arial"/>
        <family val="0"/>
        <charset val="1"/>
      </rPr>
      <t xml:space="preserve">13</t>
    </r>
    <r>
      <rPr>
        <sz val="10"/>
        <color rgb="FF0000FF"/>
        <rFont val="Noto Sans CJK SC"/>
        <family val="2"/>
      </rPr>
      <t xml:space="preserve">百万円</t>
    </r>
  </si>
  <si>
    <t xml:space="preserve">NUD-52</t>
  </si>
  <si>
    <t xml:space="preserve">プレミアグランデ馬込</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</si>
  <si>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E03</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。鑑定が取得価格を下回る</t>
    </r>
  </si>
  <si>
    <t xml:space="preserve">NUD-53</t>
  </si>
  <si>
    <t xml:space="preserve">プレミアノッツェ祐天寺</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</si>
  <si>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E04</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</si>
  <si>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NUD-54</t>
  </si>
  <si>
    <t xml:space="preserve">プレミアステージ湯島</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</si>
  <si>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E05</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</si>
  <si>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NUD-55</t>
  </si>
  <si>
    <t xml:space="preserve">プレミアステージ駒込</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</si>
  <si>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E06</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。市区町村は原資料未確認のため空欄</t>
    </r>
    <r>
      <rPr>
        <sz val="10"/>
        <color rgb="FF0000FF"/>
        <rFont val="Arial"/>
        <family val="0"/>
        <charset val="1"/>
      </rPr>
      <t xml:space="preserve">(</t>
    </r>
    <r>
      <rPr>
        <sz val="10"/>
        <color rgb="FF0000FF"/>
        <rFont val="Noto Sans CJK SC"/>
        <family val="2"/>
      </rPr>
      <t xml:space="preserve">駒込エリア</t>
    </r>
    <r>
      <rPr>
        <sz val="10"/>
        <color rgb="FF0000FF"/>
        <rFont val="Arial"/>
        <family val="0"/>
        <charset val="1"/>
      </rPr>
      <t xml:space="preserve">)</t>
    </r>
  </si>
  <si>
    <t xml:space="preserve">NUD-56</t>
  </si>
  <si>
    <t xml:space="preserve">プレミアステージ大塚</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</si>
  <si>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E07</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PML22.5%</t>
    </r>
    <r>
      <rPr>
        <sz val="10"/>
        <color rgb="FF0000FF"/>
        <rFont val="Noto Sans CJK SC"/>
        <family val="2"/>
      </rPr>
      <t xml:space="preserve">はポートフォリオ最高</t>
    </r>
    <r>
      <rPr>
        <sz val="10"/>
        <color rgb="FF0000FF"/>
        <rFont val="Arial"/>
        <family val="0"/>
        <charset val="1"/>
      </rPr>
      <t xml:space="preserve">(20%</t>
    </r>
    <r>
      <rPr>
        <sz val="10"/>
        <color rgb="FF0000FF"/>
        <rFont val="Noto Sans CJK SC"/>
        <family val="2"/>
      </rPr>
      <t xml:space="preserve">超過部分に地震保険付保</t>
    </r>
    <r>
      <rPr>
        <sz val="10"/>
        <color rgb="FF0000FF"/>
        <rFont val="Arial"/>
        <family val="0"/>
        <charset val="1"/>
      </rPr>
      <t xml:space="preserve">)</t>
    </r>
  </si>
  <si>
    <t xml:space="preserve">NUD-57</t>
  </si>
  <si>
    <t xml:space="preserve">プレミアステージ本所吾妻橋</t>
  </si>
  <si>
    <t xml:space="preserve">シアトル</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</si>
  <si>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E08</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</si>
  <si>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NUD-58</t>
  </si>
  <si>
    <t xml:space="preserve">プレミアステージ両国</t>
  </si>
  <si>
    <t xml:space="preserve">ワシントンD.C.</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</si>
  <si>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E09</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</si>
  <si>
    <t xml:space="preserve">NUD-59</t>
  </si>
  <si>
    <t xml:space="preserve">ガーデン板橋氷川町</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</si>
  <si>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E10</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。所有権共有持分</t>
    </r>
    <r>
      <rPr>
        <sz val="10"/>
        <color rgb="FF0000FF"/>
        <rFont val="Arial"/>
        <family val="0"/>
        <charset val="1"/>
      </rPr>
      <t xml:space="preserve">48.12%</t>
    </r>
    <r>
      <rPr>
        <sz val="10"/>
        <color rgb="FF0000FF"/>
        <rFont val="Noto Sans CJK SC"/>
        <family val="2"/>
      </rPr>
      <t xml:space="preserve">。</t>
    </r>
    <r>
      <rPr>
        <sz val="10"/>
        <color rgb="FF0000FF"/>
        <rFont val="Arial"/>
        <family val="0"/>
        <charset val="1"/>
      </rPr>
      <t xml:space="preserve">2024/3</t>
    </r>
    <r>
      <rPr>
        <sz val="10"/>
        <color rgb="FF0000FF"/>
        <rFont val="Noto Sans CJK SC"/>
        <family val="2"/>
      </rPr>
      <t xml:space="preserve">取得。延床は一棟全体</t>
    </r>
  </si>
  <si>
    <t xml:space="preserve">NUD-60</t>
  </si>
  <si>
    <t xml:space="preserve">ウエリスアイビー旗の台</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</si>
  <si>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E11</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2025/2</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築</t>
    </r>
    <r>
      <rPr>
        <sz val="10"/>
        <color rgb="FF0000FF"/>
        <rFont val="Arial"/>
        <family val="0"/>
        <charset val="1"/>
      </rPr>
      <t xml:space="preserve">4.5</t>
    </r>
    <r>
      <rPr>
        <sz val="10"/>
        <color rgb="FF0000FF"/>
        <rFont val="Noto Sans CJK SC"/>
        <family val="2"/>
      </rPr>
      <t xml:space="preserve">年・</t>
    </r>
    <r>
      <rPr>
        <sz val="10"/>
        <color rgb="FF0000FF"/>
        <rFont val="Arial"/>
        <family val="0"/>
        <charset val="1"/>
      </rPr>
      <t xml:space="preserve">NTT</t>
    </r>
    <r>
      <rPr>
        <sz val="10"/>
        <color rgb="FF0000FF"/>
        <rFont val="Noto Sans CJK SC"/>
        <family val="2"/>
      </rPr>
      <t xml:space="preserve">都市開発開発物件</t>
    </r>
    <r>
      <rPr>
        <sz val="10"/>
        <color rgb="FF0000FF"/>
        <rFont val="Arial"/>
        <family val="0"/>
        <charset val="1"/>
      </rPr>
      <t xml:space="preserve">)</t>
    </r>
    <r>
      <rPr>
        <sz val="10"/>
        <color rgb="FF0000FF"/>
        <rFont val="Noto Sans CJK SC"/>
        <family val="2"/>
      </rPr>
      <t xml:space="preserve">。水道光熱費は「－」表示</t>
    </r>
  </si>
  <si>
    <t xml:space="preserve">NUD-61</t>
  </si>
  <si>
    <t xml:space="preserve">ウエリスアイビー門戸厄神</t>
  </si>
  <si>
    <t xml:space="preserve">西宮市</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</si>
  <si>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H01</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2025/2</t>
    </r>
    <r>
      <rPr>
        <sz val="10"/>
        <color rgb="FF0000FF"/>
        <rFont val="Noto Sans CJK SC"/>
        <family val="2"/>
      </rPr>
      <t xml:space="preserve">取得。期末稼働</t>
    </r>
    <r>
      <rPr>
        <sz val="10"/>
        <color rgb="FF0000FF"/>
        <rFont val="Arial"/>
        <family val="0"/>
        <charset val="1"/>
      </rPr>
      <t xml:space="preserve">88.6%</t>
    </r>
  </si>
  <si>
    <t xml:space="preserve">NUD-62</t>
  </si>
  <si>
    <r>
      <rPr>
        <sz val="10"/>
        <color rgb="FF0000FF"/>
        <rFont val="Arial"/>
        <family val="0"/>
        <charset val="1"/>
      </rPr>
      <t xml:space="preserve">La Douceur </t>
    </r>
    <r>
      <rPr>
        <sz val="10"/>
        <color rgb="FF0000FF"/>
        <rFont val="Noto Sans CJK SC"/>
        <family val="2"/>
      </rPr>
      <t xml:space="preserve">都島高倉町</t>
    </r>
  </si>
  <si>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H02</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2026/2/25</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当期営業日数</t>
    </r>
    <r>
      <rPr>
        <sz val="10"/>
        <color rgb="FF0000FF"/>
        <rFont val="Arial"/>
        <family val="0"/>
        <charset val="1"/>
      </rPr>
      <t xml:space="preserve">65</t>
    </r>
    <r>
      <rPr>
        <sz val="10"/>
        <color rgb="FF0000FF"/>
        <rFont val="Noto Sans CJK SC"/>
        <family val="2"/>
      </rPr>
      <t xml:space="preserve">日・収支は期間按分</t>
    </r>
    <r>
      <rPr>
        <sz val="10"/>
        <color rgb="FF0000FF"/>
        <rFont val="Arial"/>
        <family val="0"/>
        <charset val="1"/>
      </rPr>
      <t xml:space="preserve">)</t>
    </r>
    <r>
      <rPr>
        <sz val="10"/>
        <color rgb="FF0000FF"/>
        <rFont val="Noto Sans CJK SC"/>
        <family val="2"/>
      </rPr>
      <t xml:space="preserve">。取得後「プレミアステージ都島高倉町」へ名称変更</t>
    </r>
    <r>
      <rPr>
        <sz val="10"/>
        <color rgb="FF0000FF"/>
        <rFont val="Arial"/>
        <family val="0"/>
        <charset val="1"/>
      </rPr>
      <t xml:space="preserve">(</t>
    </r>
    <r>
      <rPr>
        <sz val="10"/>
        <color rgb="FF0000FF"/>
        <rFont val="Noto Sans CJK SC"/>
        <family val="2"/>
      </rPr>
      <t xml:space="preserve">公式一覧</t>
    </r>
    <r>
      <rPr>
        <sz val="10"/>
        <color rgb="FF0000FF"/>
        <rFont val="Arial"/>
        <family val="0"/>
        <charset val="1"/>
      </rPr>
      <t xml:space="preserve">)</t>
    </r>
  </si>
  <si>
    <t xml:space="preserve">NUD-63</t>
  </si>
  <si>
    <t xml:space="preserve">ユーディーエックス特定目的会社優先出資証券（秋葉原ＵＤＸ）</t>
  </si>
  <si>
    <t xml:space="preserve">その他（優先出資証券）</t>
  </si>
  <si>
    <r>
      <rPr>
        <sz val="10"/>
        <color rgb="FF0000FF"/>
        <rFont val="Arial"/>
        <family val="0"/>
        <charset val="1"/>
      </rPr>
      <t xml:space="preserve">NUD</t>
    </r>
    <r>
      <rPr>
        <sz val="10"/>
        <color rgb="FF0000FF"/>
        <rFont val="Noto Sans CJK SC"/>
        <family val="2"/>
      </rPr>
      <t xml:space="preserve">物件番号</t>
    </r>
    <r>
      <rPr>
        <sz val="10"/>
        <color rgb="FF0000FF"/>
        <rFont val="Arial"/>
        <family val="0"/>
        <charset val="1"/>
      </rPr>
      <t xml:space="preserve">Z01</t>
    </r>
    <r>
      <rPr>
        <sz val="10"/>
        <color rgb="FF0000FF"/>
        <rFont val="Noto Sans CJK SC"/>
        <family val="2"/>
      </rPr>
      <t xml:space="preserve">・</t>
    </r>
    <r>
      <rPr>
        <sz val="10"/>
        <color rgb="FF0000FF"/>
        <rFont val="Arial"/>
        <family val="0"/>
        <charset val="1"/>
      </rPr>
      <t xml:space="preserve">NUD</t>
    </r>
    <r>
      <rPr>
        <sz val="10"/>
        <color rgb="FF0000FF"/>
        <rFont val="Noto Sans CJK SC"/>
        <family val="2"/>
      </rPr>
      <t xml:space="preserve">独自区分は共通区分とほぼ同一</t>
    </r>
    <r>
      <rPr>
        <sz val="10"/>
        <color rgb="FF0000FF"/>
        <rFont val="Arial"/>
        <family val="0"/>
        <charset val="1"/>
      </rPr>
      <t xml:space="preserve">(</t>
    </r>
    <r>
      <rPr>
        <sz val="10"/>
        <color rgb="FF0000FF"/>
        <rFont val="Noto Sans CJK SC"/>
        <family val="2"/>
      </rPr>
      <t xml:space="preserve">「東京周辺都市」「地方主要都市」等</t>
    </r>
    <r>
      <rPr>
        <sz val="10"/>
        <color rgb="FF0000FF"/>
        <rFont val="Arial"/>
        <family val="0"/>
        <charset val="1"/>
      </rPr>
      <t xml:space="preserve">)</t>
    </r>
    <r>
      <rPr>
        <sz val="10"/>
        <color rgb="FF0000FF"/>
        <rFont val="Noto Sans CJK SC"/>
        <family val="2"/>
      </rPr>
      <t xml:space="preserve">。物件別の竣工年月・敷地・</t>
    </r>
    <r>
      <rPr>
        <sz val="10"/>
        <color rgb="FF0000FF"/>
        <rFont val="Arial"/>
        <family val="0"/>
        <charset val="1"/>
      </rPr>
      <t xml:space="preserve">NLA</t>
    </r>
    <r>
      <rPr>
        <sz val="10"/>
        <color rgb="FF0000FF"/>
        <rFont val="Noto Sans CJK SC"/>
        <family val="2"/>
      </rPr>
      <t xml:space="preserve">・テナント数は短信非掲載のため未収録</t>
    </r>
    <r>
      <rPr>
        <sz val="10"/>
        <color rgb="FF0000FF"/>
        <rFont val="Arial"/>
        <family val="0"/>
        <charset val="1"/>
      </rPr>
      <t xml:space="preserve">(</t>
    </r>
    <r>
      <rPr>
        <sz val="10"/>
        <color rgb="FF0000FF"/>
        <rFont val="Noto Sans CJK SC"/>
        <family val="2"/>
      </rPr>
      <t xml:space="preserve">築年数・取得時期は公式一覧参照</t>
    </r>
    <r>
      <rPr>
        <sz val="10"/>
        <color rgb="FF0000FF"/>
        <rFont val="Arial"/>
        <family val="0"/>
        <charset val="1"/>
      </rPr>
      <t xml:space="preserve">)</t>
    </r>
    <r>
      <rPr>
        <sz val="10"/>
        <color rgb="FF0000FF"/>
        <rFont val="Noto Sans CJK SC"/>
        <family val="2"/>
      </rPr>
      <t xml:space="preserve">。秋葉原</t>
    </r>
    <r>
      <rPr>
        <sz val="10"/>
        <color rgb="FF0000FF"/>
        <rFont val="Arial"/>
        <family val="0"/>
        <charset val="1"/>
      </rPr>
      <t xml:space="preserve">UDX(</t>
    </r>
    <r>
      <rPr>
        <sz val="10"/>
        <color rgb="FF0000FF"/>
        <rFont val="Noto Sans CJK SC"/>
        <family val="2"/>
      </rPr>
      <t xml:space="preserve">千代田区・オフィスビル一棟全体及び敷地</t>
    </r>
    <r>
      <rPr>
        <sz val="10"/>
        <color rgb="FF0000FF"/>
        <rFont val="Arial"/>
        <family val="0"/>
        <charset val="1"/>
      </rPr>
      <t xml:space="preserve">)</t>
    </r>
    <r>
      <rPr>
        <sz val="10"/>
        <color rgb="FF0000FF"/>
        <rFont val="Noto Sans CJK SC"/>
        <family val="2"/>
      </rPr>
      <t xml:space="preserve">のキャッシュ・フローを裏付けとする優先出資証券</t>
    </r>
    <r>
      <rPr>
        <sz val="10"/>
        <color rgb="FF0000FF"/>
        <rFont val="Arial"/>
        <family val="0"/>
        <charset val="1"/>
      </rPr>
      <t xml:space="preserve">282,000</t>
    </r>
    <r>
      <rPr>
        <sz val="10"/>
        <color rgb="FF0000FF"/>
        <rFont val="Noto Sans CJK SC"/>
        <family val="2"/>
      </rPr>
      <t xml:space="preserve">口のうち</t>
    </r>
    <r>
      <rPr>
        <sz val="10"/>
        <color rgb="FF0000FF"/>
        <rFont val="Arial"/>
        <family val="0"/>
        <charset val="1"/>
      </rPr>
      <t xml:space="preserve">53,580</t>
    </r>
    <r>
      <rPr>
        <sz val="10"/>
        <color rgb="FF0000FF"/>
        <rFont val="Noto Sans CJK SC"/>
        <family val="2"/>
      </rPr>
      <t xml:space="preserve">口</t>
    </r>
    <r>
      <rPr>
        <sz val="10"/>
        <color rgb="FF0000FF"/>
        <rFont val="Arial"/>
        <family val="0"/>
        <charset val="1"/>
      </rPr>
      <t xml:space="preserve">(</t>
    </r>
    <r>
      <rPr>
        <sz val="10"/>
        <color rgb="FF0000FF"/>
        <rFont val="Noto Sans CJK SC"/>
        <family val="2"/>
      </rPr>
      <t xml:space="preserve">優先出資持分</t>
    </r>
    <r>
      <rPr>
        <sz val="10"/>
        <color rgb="FF0000FF"/>
        <rFont val="Arial"/>
        <family val="0"/>
        <charset val="1"/>
      </rPr>
      <t xml:space="preserve">19.0%)</t>
    </r>
    <r>
      <rPr>
        <sz val="10"/>
        <color rgb="FF0000FF"/>
        <rFont val="Noto Sans CJK SC"/>
        <family val="2"/>
      </rPr>
      <t xml:space="preserve">を保有。</t>
    </r>
    <r>
      <rPr>
        <sz val="10"/>
        <color rgb="FF0000FF"/>
        <rFont val="Arial"/>
        <family val="0"/>
        <charset val="1"/>
      </rPr>
      <t xml:space="preserve">2010/12</t>
    </r>
    <r>
      <rPr>
        <sz val="10"/>
        <color rgb="FF0000FF"/>
        <rFont val="Noto Sans CJK SC"/>
        <family val="2"/>
      </rPr>
      <t xml:space="preserve">・</t>
    </r>
    <r>
      <rPr>
        <sz val="10"/>
        <color rgb="FF0000FF"/>
        <rFont val="Arial"/>
        <family val="0"/>
        <charset val="1"/>
      </rPr>
      <t xml:space="preserve">2013/11</t>
    </r>
    <r>
      <rPr>
        <sz val="10"/>
        <color rgb="FF0000FF"/>
        <rFont val="Noto Sans CJK SC"/>
        <family val="2"/>
      </rPr>
      <t xml:space="preserve">の</t>
    </r>
    <r>
      <rPr>
        <sz val="10"/>
        <color rgb="FF0000FF"/>
        <rFont val="Arial"/>
        <family val="0"/>
        <charset val="1"/>
      </rPr>
      <t xml:space="preserve">2</t>
    </r>
    <r>
      <rPr>
        <sz val="10"/>
        <color rgb="FF0000FF"/>
        <rFont val="Noto Sans CJK SC"/>
        <family val="2"/>
      </rPr>
      <t xml:space="preserve">回取得。</t>
    </r>
    <r>
      <rPr>
        <sz val="10"/>
        <color rgb="FF0000FF"/>
        <rFont val="Arial"/>
        <family val="0"/>
        <charset val="1"/>
      </rPr>
      <t xml:space="preserve">BS</t>
    </r>
    <r>
      <rPr>
        <sz val="10"/>
        <color rgb="FF0000FF"/>
        <rFont val="Noto Sans CJK SC"/>
        <family val="2"/>
      </rPr>
      <t xml:space="preserve">計上額</t>
    </r>
    <r>
      <rPr>
        <sz val="10"/>
        <color rgb="FF0000FF"/>
        <rFont val="Arial"/>
        <family val="0"/>
        <charset val="1"/>
      </rPr>
      <t xml:space="preserve">(=</t>
    </r>
    <r>
      <rPr>
        <sz val="10"/>
        <color rgb="FF0000FF"/>
        <rFont val="Noto Sans CJK SC"/>
        <family val="2"/>
      </rPr>
      <t xml:space="preserve">評価額</t>
    </r>
    <r>
      <rPr>
        <sz val="10"/>
        <color rgb="FF0000FF"/>
        <rFont val="Arial"/>
        <family val="0"/>
        <charset val="1"/>
      </rPr>
      <t xml:space="preserve">)20,035,175</t>
    </r>
    <r>
      <rPr>
        <sz val="10"/>
        <color rgb="FF0000FF"/>
        <rFont val="Noto Sans CJK SC"/>
        <family val="2"/>
      </rPr>
      <t xml:space="preserve">千円。当期受取配当金</t>
    </r>
    <r>
      <rPr>
        <sz val="10"/>
        <color rgb="FF0000FF"/>
        <rFont val="Arial"/>
        <family val="0"/>
        <charset val="1"/>
      </rPr>
      <t xml:space="preserve">529,826</t>
    </r>
    <r>
      <rPr>
        <sz val="10"/>
        <color rgb="FF0000FF"/>
        <rFont val="Noto Sans CJK SC"/>
        <family val="2"/>
      </rPr>
      <t xml:space="preserve">千円は営業収益に計上</t>
    </r>
    <r>
      <rPr>
        <sz val="10"/>
        <color rgb="FF0000FF"/>
        <rFont val="Arial"/>
        <family val="0"/>
        <charset val="1"/>
      </rPr>
      <t xml:space="preserve">(</t>
    </r>
    <r>
      <rPr>
        <sz val="10"/>
        <color rgb="FF0000FF"/>
        <rFont val="Noto Sans CJK SC"/>
        <family val="2"/>
      </rPr>
      <t xml:space="preserve">賃貸事業収支外</t>
    </r>
    <r>
      <rPr>
        <sz val="10"/>
        <color rgb="FF0000FF"/>
        <rFont val="Arial"/>
        <family val="0"/>
        <charset val="1"/>
      </rPr>
      <t xml:space="preserve">)</t>
    </r>
    <r>
      <rPr>
        <sz val="10"/>
        <color rgb="FF0000FF"/>
        <rFont val="Noto Sans CJK SC"/>
        <family val="2"/>
      </rPr>
      <t xml:space="preserve">。市場価格のない株式等のため時価開示対象外</t>
    </r>
  </si>
  <si>
    <t xml:space="preserve">HFR-ALL</t>
  </si>
  <si>
    <t xml:space="preserve">【HFRポートフォリオ全体】</t>
  </si>
  <si>
    <r>
      <rPr>
        <sz val="10"/>
        <color rgb="FF0000FF"/>
        <rFont val="Arial"/>
        <family val="0"/>
        <charset val="1"/>
      </rPr>
      <t xml:space="preserve">136</t>
    </r>
    <r>
      <rPr>
        <sz val="10"/>
        <color rgb="FF0000FF"/>
        <rFont val="Noto Sans CJK SC"/>
        <family val="2"/>
      </rPr>
      <t xml:space="preserve">物件（</t>
    </r>
    <r>
      <rPr>
        <sz val="10"/>
        <color rgb="FF0000FF"/>
        <rFont val="Arial"/>
        <family val="0"/>
        <charset val="1"/>
      </rPr>
      <t xml:space="preserve">2026/5/31</t>
    </r>
    <r>
      <rPr>
        <sz val="10"/>
        <color rgb="FF0000FF"/>
        <rFont val="Noto Sans CJK SC"/>
        <family val="2"/>
      </rPr>
      <t xml:space="preserve">時点）</t>
    </r>
  </si>
  <si>
    <r>
      <rPr>
        <sz val="10"/>
        <color rgb="FF0000FF"/>
        <rFont val="Arial"/>
        <family val="0"/>
        <charset val="1"/>
      </rPr>
      <t xml:space="preserve">HFR 2026</t>
    </r>
    <r>
      <rPr>
        <sz val="10"/>
        <color rgb="FF0000FF"/>
        <rFont val="Noto Sans CJK SC"/>
        <family val="2"/>
      </rPr>
      <t xml:space="preserve">年</t>
    </r>
    <r>
      <rPr>
        <sz val="10"/>
        <color rgb="FF0000FF"/>
        <rFont val="Arial"/>
        <family val="0"/>
        <charset val="1"/>
      </rPr>
      <t xml:space="preserve">5</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(2026/7/16</t>
    </r>
    <r>
      <rPr>
        <sz val="10"/>
        <color rgb="FF0000FF"/>
        <rFont val="Noto Sans CJK SC"/>
        <family val="2"/>
      </rPr>
      <t xml:space="preserve">公表</t>
    </r>
    <r>
      <rPr>
        <sz val="10"/>
        <color rgb="FF0000FF"/>
        <rFont val="Arial"/>
        <family val="0"/>
        <charset val="1"/>
      </rPr>
      <t xml:space="preserve">)</t>
    </r>
  </si>
  <si>
    <t xml:space="preserve">平和不動産(旧東証・大証の家主)スポンサーの中小型オフィス(51.8%)+レジデンス(48.2%)複合型。取得価格合計265,046百万円(オフィス137,193+レジ127,853)。帳簿261,053,263千円(BS計上額)、期末鑑定評価331,289百万円(オフィス164,500+レジ166,789=賃貸等不動産注記の期末時価331,289,800千円と一致)。【原資料の切捨て表示に関する注記】物件別帳簿(百万円未満切捨て)の合算はオフィス-22・レジ-47百万円小計比で小さい(切捨て累積・SHRで機械照合確定済みと同パターン)。鑑定・NLA・テナント総数(6,298)は完全一致、取得価格はレジ-1(端数切捨て)。2010/10にジャパン・シングルレジデンス投資法人を吸収合併(承継物件Re-38〜73の取得価格は合併時鑑定評価額)。期末稼働97.65%(オフィス99.25%/レジ96.43%)。当期入替: 5物件取得(名古屋平和ビル70%持分5,110・HF押上2,140・HF下赤塚1,600・HFときわ台1,980・HF綾瀬1,250百万円=計12,080百万円、押上と名古屋平和はスポンサー取得)、HF西新宿レジデンスWEST/EAST譲渡(2026/5/29・計5,550百万円・売却益計2,500,101千円)。期後: 2026/6/1公募増資(87,700口+第三者割当4,300口・払込総額11,762百万円→発行済1,343,533口・出資総額127,077百万円)、6/3-6/5に3物件取得(HF上野稲荷町9,060・HF北十条(札幌)1,758・HF千葉富士見2,600百万円)→139物件、7/31にHF瑞江・HF東瑞江取得発表→141物件・取得計281,264百万円(公式サイト2026/8/7現在)。ポートフォリオPML3.9%(2026/4/16算出)</t>
  </si>
  <si>
    <t xml:space="preserve">HFR-001</t>
  </si>
  <si>
    <t xml:space="preserve">水天宮平和ビル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</si>
  <si>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Of-05</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</si>
  <si>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HFR-002</t>
  </si>
  <si>
    <t xml:space="preserve">ＨＦ門前仲町ビルディング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</si>
  <si>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Of-06</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</si>
  <si>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HFR-003</t>
  </si>
  <si>
    <t xml:space="preserve">ＨＦ溜池ビルディング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</si>
  <si>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Of-08</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</si>
  <si>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HFR-004</t>
  </si>
  <si>
    <t xml:space="preserve">ＨＦ日本橋大伝馬町ビルディング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</si>
  <si>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Of-11</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</si>
  <si>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HFR-005</t>
  </si>
  <si>
    <t xml:space="preserve">ＨＦ八丁堀ビルディング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</si>
  <si>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Of-12</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。帳簿が鑑定を上回る。</t>
    </r>
  </si>
  <si>
    <t xml:space="preserve">HFR-006</t>
  </si>
  <si>
    <t xml:space="preserve">八丁堀ＭＦビル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</si>
  <si>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Of-17</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</si>
  <si>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HFR-007</t>
  </si>
  <si>
    <t xml:space="preserve">エムズ原宿</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</si>
  <si>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Of-18</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</si>
  <si>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HFR-008</t>
  </si>
  <si>
    <t xml:space="preserve">船橋Ｆａｃｅビル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</si>
  <si>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Of-20</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。区分所有</t>
    </r>
    <r>
      <rPr>
        <sz val="10"/>
        <color rgb="FF0000FF"/>
        <rFont val="Arial"/>
        <family val="0"/>
        <charset val="1"/>
      </rPr>
      <t xml:space="preserve">(</t>
    </r>
    <r>
      <rPr>
        <sz val="10"/>
        <color rgb="FF0000FF"/>
        <rFont val="Noto Sans CJK SC"/>
        <family val="2"/>
      </rPr>
      <t xml:space="preserve">専有面積割合</t>
    </r>
    <r>
      <rPr>
        <sz val="10"/>
        <color rgb="FF0000FF"/>
        <rFont val="Arial"/>
        <family val="0"/>
        <charset val="1"/>
      </rPr>
      <t xml:space="preserve">9.14%)</t>
    </r>
    <r>
      <rPr>
        <sz val="10"/>
        <color rgb="FF0000FF"/>
        <rFont val="Noto Sans CJK SC"/>
        <family val="2"/>
      </rPr>
      <t xml:space="preserve">。</t>
    </r>
  </si>
  <si>
    <t xml:space="preserve">HFR-009</t>
  </si>
  <si>
    <t xml:space="preserve">アデッソ西麻布</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</si>
  <si>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Of-21</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。帳簿が鑑定を上回る。</t>
    </r>
  </si>
  <si>
    <t xml:space="preserve">HFR-010</t>
  </si>
  <si>
    <t xml:space="preserve">ＨＦ池袋ビルディング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</si>
  <si>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Of-23</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</si>
  <si>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HFR-011</t>
  </si>
  <si>
    <t xml:space="preserve">ＨＦ湯島ビルディング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</si>
  <si>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Of-24</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</si>
  <si>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HFR-012</t>
  </si>
  <si>
    <t xml:space="preserve">茅場町平和ビル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</si>
  <si>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Of-25</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。鑑定</t>
    </r>
    <r>
      <rPr>
        <sz val="10"/>
        <color rgb="FF0000FF"/>
        <rFont val="Arial"/>
        <family val="0"/>
        <charset val="1"/>
      </rPr>
      <t xml:space="preserve">7,790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取得価格の</t>
    </r>
    <r>
      <rPr>
        <sz val="10"/>
        <color rgb="FF0000FF"/>
        <rFont val="Arial"/>
        <family val="0"/>
        <charset val="1"/>
      </rPr>
      <t xml:space="preserve">1.6</t>
    </r>
    <r>
      <rPr>
        <sz val="10"/>
        <color rgb="FF0000FF"/>
        <rFont val="Noto Sans CJK SC"/>
        <family val="2"/>
      </rPr>
      <t xml:space="preserve">倍。</t>
    </r>
  </si>
  <si>
    <t xml:space="preserve">HFR-013</t>
  </si>
  <si>
    <t xml:space="preserve">神戸旧居留地平和ビル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</si>
  <si>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Of-27</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</si>
  <si>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HFR-014</t>
  </si>
  <si>
    <t xml:space="preserve">栄ミナミ平和ビル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</si>
  <si>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Of-29</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</si>
  <si>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HFR-015</t>
  </si>
  <si>
    <t xml:space="preserve">ＨＦ桜通ビルディング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</si>
  <si>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Of-30</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</si>
  <si>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HFR-016</t>
  </si>
  <si>
    <t xml:space="preserve">ＨＦ仙台本町ビルディング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</si>
  <si>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Of-32</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</si>
  <si>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HFR-017</t>
  </si>
  <si>
    <t xml:space="preserve">ＨＦ上野ビルディング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</si>
  <si>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Of-33</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</si>
  <si>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HFR-018</t>
  </si>
  <si>
    <t xml:space="preserve">ＨＦ九段南ビルディング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</si>
  <si>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Of-35</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</si>
  <si>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HFR-019</t>
  </si>
  <si>
    <t xml:space="preserve">ＨＦ神田小川町ビルディング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</si>
  <si>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Of-36</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</si>
  <si>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HFR-020</t>
  </si>
  <si>
    <t xml:space="preserve">日総第５ビル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</si>
  <si>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Of-37</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2026/7/31</t>
    </r>
    <r>
      <rPr>
        <sz val="10"/>
        <color rgb="FF0000FF"/>
        <rFont val="Noto Sans CJK SC"/>
        <family val="2"/>
      </rPr>
      <t xml:space="preserve">付で「ＳＤ５ビル」へ名称変更。</t>
    </r>
  </si>
  <si>
    <t xml:space="preserve">HFR-021</t>
  </si>
  <si>
    <t xml:space="preserve">アクロス新川ビル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</si>
  <si>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Of-38</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。区分所有</t>
    </r>
    <r>
      <rPr>
        <sz val="10"/>
        <color rgb="FF0000FF"/>
        <rFont val="Arial"/>
        <family val="0"/>
        <charset val="1"/>
      </rPr>
      <t xml:space="preserve">(</t>
    </r>
    <r>
      <rPr>
        <sz val="10"/>
        <color rgb="FF0000FF"/>
        <rFont val="Noto Sans CJK SC"/>
        <family val="2"/>
      </rPr>
      <t xml:space="preserve">専有面積割合</t>
    </r>
    <r>
      <rPr>
        <sz val="10"/>
        <color rgb="FF0000FF"/>
        <rFont val="Arial"/>
        <family val="0"/>
        <charset val="1"/>
      </rPr>
      <t xml:space="preserve">34.51%)</t>
    </r>
    <r>
      <rPr>
        <sz val="10"/>
        <color rgb="FF0000FF"/>
        <rFont val="Noto Sans CJK SC"/>
        <family val="2"/>
      </rPr>
      <t xml:space="preserve">。</t>
    </r>
  </si>
  <si>
    <t xml:space="preserve">HFR-022</t>
  </si>
  <si>
    <t xml:space="preserve">千住ミルディスⅡ番館</t>
  </si>
  <si>
    <t xml:space="preserve">足立区</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</si>
  <si>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Of-39</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。区分所有。</t>
    </r>
  </si>
  <si>
    <t xml:space="preserve">HFR-023</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</si>
  <si>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Of-40</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。信託受益権準共有持分</t>
    </r>
    <r>
      <rPr>
        <sz val="10"/>
        <color rgb="FF0000FF"/>
        <rFont val="Arial"/>
        <family val="0"/>
        <charset val="1"/>
      </rPr>
      <t xml:space="preserve">30%(30-31</t>
    </r>
    <r>
      <rPr>
        <sz val="10"/>
        <color rgb="FF0000FF"/>
        <rFont val="Noto Sans CJK SC"/>
        <family val="2"/>
      </rPr>
      <t xml:space="preserve">階の区分所有権</t>
    </r>
    <r>
      <rPr>
        <sz val="10"/>
        <color rgb="FF0000FF"/>
        <rFont val="Arial"/>
        <family val="0"/>
        <charset val="1"/>
      </rPr>
      <t xml:space="preserve">)</t>
    </r>
    <r>
      <rPr>
        <sz val="10"/>
        <color rgb="FF0000FF"/>
        <rFont val="Noto Sans CJK SC"/>
        <family val="2"/>
      </rPr>
      <t xml:space="preserve">。賃貸事業収入は</t>
    </r>
    <r>
      <rPr>
        <sz val="10"/>
        <color rgb="FF0000FF"/>
        <rFont val="Arial"/>
        <family val="0"/>
        <charset val="1"/>
      </rPr>
      <t xml:space="preserve">ML</t>
    </r>
    <r>
      <rPr>
        <sz val="10"/>
        <color rgb="FF0000FF"/>
        <rFont val="Noto Sans CJK SC"/>
        <family val="2"/>
      </rPr>
      <t xml:space="preserve">会社兼</t>
    </r>
    <r>
      <rPr>
        <sz val="10"/>
        <color rgb="FF0000FF"/>
        <rFont val="Arial"/>
        <family val="0"/>
        <charset val="1"/>
      </rPr>
      <t xml:space="preserve">PM</t>
    </r>
    <r>
      <rPr>
        <sz val="10"/>
        <color rgb="FF0000FF"/>
        <rFont val="Noto Sans CJK SC"/>
        <family val="2"/>
      </rPr>
      <t xml:space="preserve">会社の同意が得られず非開示。</t>
    </r>
  </si>
  <si>
    <t xml:space="preserve">HFR-024</t>
  </si>
  <si>
    <t xml:space="preserve">日本橋堀留町ファースト</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</si>
  <si>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Of-41</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。区分所有。</t>
    </r>
  </si>
  <si>
    <t xml:space="preserve">HFR-025</t>
  </si>
  <si>
    <t xml:space="preserve">サザンスカイタワー八王子</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</si>
  <si>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Of-42</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。区分所有。</t>
    </r>
  </si>
  <si>
    <t xml:space="preserve">HFR-026</t>
  </si>
  <si>
    <t xml:space="preserve">浜町平和ビル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</si>
  <si>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Of-43</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</si>
  <si>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HFR-027</t>
  </si>
  <si>
    <t xml:space="preserve">錦糸町スクエアビル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</si>
  <si>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Of-44</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。帳簿が鑑定を上回る。</t>
    </r>
  </si>
  <si>
    <t xml:space="preserve">HFR-028</t>
  </si>
  <si>
    <t xml:space="preserve">ＨＦ日本橋兜町ビルディング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</si>
  <si>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Of-45</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</si>
  <si>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HFR-029</t>
  </si>
  <si>
    <t xml:space="preserve">ＨＦ仙台一番町ビルディング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</si>
  <si>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Of-46</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。帳簿が鑑定を上回る。</t>
    </r>
  </si>
  <si>
    <t xml:space="preserve">HFR-030</t>
  </si>
  <si>
    <t xml:space="preserve">大崎ＣＮビル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</si>
  <si>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Of-47</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。共有持分</t>
    </r>
    <r>
      <rPr>
        <sz val="10"/>
        <color rgb="FF0000FF"/>
        <rFont val="Arial"/>
        <family val="0"/>
        <charset val="1"/>
      </rPr>
      <t xml:space="preserve">78.16%</t>
    </r>
    <r>
      <rPr>
        <sz val="10"/>
        <color rgb="FF0000FF"/>
        <rFont val="Noto Sans CJK SC"/>
        <family val="2"/>
      </rPr>
      <t xml:space="preserve">。</t>
    </r>
  </si>
  <si>
    <t xml:space="preserve">HFR-031</t>
  </si>
  <si>
    <t xml:space="preserve">ファーレイーストビル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</si>
  <si>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Of-48</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。区分所有。</t>
    </r>
  </si>
  <si>
    <t xml:space="preserve">HFR-032</t>
  </si>
  <si>
    <t xml:space="preserve">ＨＦ江坂ビルディング</t>
  </si>
  <si>
    <t xml:space="preserve">吹田市</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</si>
  <si>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Of-49</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</si>
  <si>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HFR-033</t>
  </si>
  <si>
    <t xml:space="preserve">心斎橋フロントビル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</si>
  <si>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Of-50</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</si>
  <si>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HFR-034</t>
  </si>
  <si>
    <t xml:space="preserve">栄センタービル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</si>
  <si>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Of-51</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</si>
  <si>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HFR-035</t>
  </si>
  <si>
    <t xml:space="preserve">岩本町ツインビル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</si>
  <si>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Of-52</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</si>
  <si>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HFR-036</t>
  </si>
  <si>
    <t xml:space="preserve">岩本町ツインサカエビル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</si>
  <si>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Of-53</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</si>
  <si>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HFR-037</t>
  </si>
  <si>
    <t xml:space="preserve">ＨＦ名古屋錦ビルディング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</si>
  <si>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Of-54</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</si>
  <si>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HFR-038</t>
  </si>
  <si>
    <t xml:space="preserve">北浜一丁目平和ビル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</si>
  <si>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Of-55</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</si>
  <si>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HFR-039</t>
  </si>
  <si>
    <t xml:space="preserve">平和不動産北浜ビル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</si>
  <si>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Of-56</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</si>
  <si>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HFR-040</t>
  </si>
  <si>
    <t xml:space="preserve">ＨＦ横浜山下ビルディング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</si>
  <si>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Of-57</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</si>
  <si>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HFR-041</t>
  </si>
  <si>
    <t xml:space="preserve">ＨＦ江坂駅前ビルディング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</si>
  <si>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Of-58</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</si>
  <si>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HFR-042</t>
  </si>
  <si>
    <t xml:space="preserve">ＨＦ北二条ビルディング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</si>
  <si>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Of-59</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</si>
  <si>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HFR-043</t>
  </si>
  <si>
    <t xml:space="preserve">パークイースト札幌</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</si>
  <si>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Of-60</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。信託受益権準共有持分</t>
    </r>
    <r>
      <rPr>
        <sz val="10"/>
        <color rgb="FF0000FF"/>
        <rFont val="Arial"/>
        <family val="0"/>
        <charset val="1"/>
      </rPr>
      <t xml:space="preserve">69%(2025/6</t>
    </r>
    <r>
      <rPr>
        <sz val="10"/>
        <color rgb="FF0000FF"/>
        <rFont val="Noto Sans CJK SC"/>
        <family val="2"/>
      </rPr>
      <t xml:space="preserve">・</t>
    </r>
    <r>
      <rPr>
        <sz val="10"/>
        <color rgb="FF0000FF"/>
        <rFont val="Arial"/>
        <family val="0"/>
        <charset val="1"/>
      </rPr>
      <t xml:space="preserve">2025/11</t>
    </r>
    <r>
      <rPr>
        <sz val="10"/>
        <color rgb="FF0000FF"/>
        <rFont val="Noto Sans CJK SC"/>
        <family val="2"/>
      </rPr>
      <t xml:space="preserve">の</t>
    </r>
    <r>
      <rPr>
        <sz val="10"/>
        <color rgb="FF0000FF"/>
        <rFont val="Arial"/>
        <family val="0"/>
        <charset val="1"/>
      </rPr>
      <t xml:space="preserve">2</t>
    </r>
    <r>
      <rPr>
        <sz val="10"/>
        <color rgb="FF0000FF"/>
        <rFont val="Noto Sans CJK SC"/>
        <family val="2"/>
      </rPr>
      <t xml:space="preserve">回取得</t>
    </r>
    <r>
      <rPr>
        <sz val="10"/>
        <color rgb="FF0000FF"/>
        <rFont val="Arial"/>
        <family val="0"/>
        <charset val="1"/>
      </rPr>
      <t xml:space="preserve">)</t>
    </r>
    <r>
      <rPr>
        <sz val="10"/>
        <color rgb="FF0000FF"/>
        <rFont val="Noto Sans CJK SC"/>
        <family val="2"/>
      </rPr>
      <t xml:space="preserve">。</t>
    </r>
  </si>
  <si>
    <t xml:space="preserve">HFR-044</t>
  </si>
  <si>
    <t xml:space="preserve">ＨＦ京町堀ビルディング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</si>
  <si>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Of-61</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2025/6</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旧称</t>
    </r>
    <r>
      <rPr>
        <sz val="10"/>
        <color rgb="FF0000FF"/>
        <rFont val="Arial"/>
        <family val="0"/>
        <charset val="1"/>
      </rPr>
      <t xml:space="preserve">: </t>
    </r>
    <r>
      <rPr>
        <sz val="10"/>
        <color rgb="FF0000FF"/>
        <rFont val="Noto Sans CJK SC"/>
        <family val="2"/>
      </rPr>
      <t xml:space="preserve">京町堀スクエア</t>
    </r>
    <r>
      <rPr>
        <sz val="10"/>
        <color rgb="FF0000FF"/>
        <rFont val="Arial"/>
        <family val="0"/>
        <charset val="1"/>
      </rPr>
      <t xml:space="preserve">)</t>
    </r>
    <r>
      <rPr>
        <sz val="10"/>
        <color rgb="FF0000FF"/>
        <rFont val="Noto Sans CJK SC"/>
        <family val="2"/>
      </rPr>
      <t xml:space="preserve">。</t>
    </r>
  </si>
  <si>
    <t xml:space="preserve">HFR-045</t>
  </si>
  <si>
    <t xml:space="preserve">ルーシッドスクエア船場</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</si>
  <si>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Of-62</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2025/11</t>
    </r>
    <r>
      <rPr>
        <sz val="10"/>
        <color rgb="FF0000FF"/>
        <rFont val="Noto Sans CJK SC"/>
        <family val="2"/>
      </rPr>
      <t xml:space="preserve">取得。</t>
    </r>
  </si>
  <si>
    <t xml:space="preserve">HFR-046</t>
  </si>
  <si>
    <t xml:space="preserve">名古屋平和ビル</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</si>
  <si>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Of-63</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。信託受益権準共有持分</t>
    </r>
    <r>
      <rPr>
        <sz val="10"/>
        <color rgb="FF0000FF"/>
        <rFont val="Arial"/>
        <family val="0"/>
        <charset val="1"/>
      </rPr>
      <t xml:space="preserve">70%</t>
    </r>
    <r>
      <rPr>
        <sz val="10"/>
        <color rgb="FF0000FF"/>
        <rFont val="Noto Sans CJK SC"/>
        <family val="2"/>
      </rPr>
      <t xml:space="preserve">。</t>
    </r>
    <r>
      <rPr>
        <sz val="10"/>
        <color rgb="FF0000FF"/>
        <rFont val="Arial"/>
        <family val="0"/>
        <charset val="1"/>
      </rPr>
      <t xml:space="preserve">2026/3/2</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スポンサー平和不動産より・当期</t>
    </r>
    <r>
      <rPr>
        <sz val="10"/>
        <color rgb="FF0000FF"/>
        <rFont val="Arial"/>
        <family val="0"/>
        <charset val="1"/>
      </rPr>
      <t xml:space="preserve">91</t>
    </r>
    <r>
      <rPr>
        <sz val="10"/>
        <color rgb="FF0000FF"/>
        <rFont val="Noto Sans CJK SC"/>
        <family val="2"/>
      </rPr>
      <t xml:space="preserve">日</t>
    </r>
    <r>
      <rPr>
        <sz val="10"/>
        <color rgb="FF0000FF"/>
        <rFont val="Arial"/>
        <family val="0"/>
        <charset val="1"/>
      </rPr>
      <t xml:space="preserve">)</t>
    </r>
    <r>
      <rPr>
        <sz val="10"/>
        <color rgb="FF0000FF"/>
        <rFont val="Noto Sans CJK SC"/>
        <family val="2"/>
      </rPr>
      <t xml:space="preserve">。</t>
    </r>
  </si>
  <si>
    <t xml:space="preserve">HFR-047</t>
  </si>
  <si>
    <t xml:space="preserve">ＨＦ目黒レジデンス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</si>
  <si>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Re-05</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</si>
  <si>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HFR-048</t>
  </si>
  <si>
    <t xml:space="preserve">ＨＦ葛西レジデンス</t>
  </si>
  <si>
    <t xml:space="preserve">江戸川区</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</si>
  <si>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Re-09</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</si>
  <si>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HFR-049</t>
  </si>
  <si>
    <t xml:space="preserve">ＨＦ若林公園レジデンス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</si>
  <si>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Re-11</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。鑑定</t>
    </r>
    <r>
      <rPr>
        <sz val="10"/>
        <color rgb="FF0000FF"/>
        <rFont val="Arial"/>
        <family val="0"/>
        <charset val="1"/>
      </rPr>
      <t xml:space="preserve">6,426</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取得価格の</t>
    </r>
    <r>
      <rPr>
        <sz val="10"/>
        <color rgb="FF0000FF"/>
        <rFont val="Arial"/>
        <family val="0"/>
        <charset val="1"/>
      </rPr>
      <t xml:space="preserve">1.8</t>
    </r>
    <r>
      <rPr>
        <sz val="10"/>
        <color rgb="FF0000FF"/>
        <rFont val="Noto Sans CJK SC"/>
        <family val="2"/>
      </rPr>
      <t xml:space="preserve">倍。</t>
    </r>
  </si>
  <si>
    <t xml:space="preserve">HFR-050</t>
  </si>
  <si>
    <t xml:space="preserve">ＨＦ碑文谷レジデンス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</si>
  <si>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Re-12</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</si>
  <si>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HFR-051</t>
  </si>
  <si>
    <t xml:space="preserve">ＨＦ南麻布レジデンス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</si>
  <si>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Re-14</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</si>
  <si>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HFR-052</t>
  </si>
  <si>
    <t xml:space="preserve">ＨＦ学芸大学レジデンス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</si>
  <si>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Re-16</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</si>
  <si>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HFR-053</t>
  </si>
  <si>
    <t xml:space="preserve">ＨＦ東神田レジデンス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</si>
  <si>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Re-17</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</si>
  <si>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HFR-054</t>
  </si>
  <si>
    <t xml:space="preserve">ＨＦ東日本橋レジデンス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</si>
  <si>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Re-18</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</si>
  <si>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HFR-055</t>
  </si>
  <si>
    <t xml:space="preserve">ＨＦ練馬レジデンス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</si>
  <si>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Re-19</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</si>
  <si>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HFR-056</t>
  </si>
  <si>
    <t xml:space="preserve">ＨＦ白金高輪レジデンス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</si>
  <si>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Re-20</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。鑑定</t>
    </r>
    <r>
      <rPr>
        <sz val="10"/>
        <color rgb="FF0000FF"/>
        <rFont val="Arial"/>
        <family val="0"/>
        <charset val="1"/>
      </rPr>
      <t xml:space="preserve">7,260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取得価格の</t>
    </r>
    <r>
      <rPr>
        <sz val="10"/>
        <color rgb="FF0000FF"/>
        <rFont val="Arial"/>
        <family val="0"/>
        <charset val="1"/>
      </rPr>
      <t xml:space="preserve">1.8</t>
    </r>
    <r>
      <rPr>
        <sz val="10"/>
        <color rgb="FF0000FF"/>
        <rFont val="Noto Sans CJK SC"/>
        <family val="2"/>
      </rPr>
      <t xml:space="preserve">倍。</t>
    </r>
  </si>
  <si>
    <t xml:space="preserve">HFR-057</t>
  </si>
  <si>
    <t xml:space="preserve">ＨＦ明大前レジデンス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</si>
  <si>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Re-21</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</si>
  <si>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HFR-058</t>
  </si>
  <si>
    <t xml:space="preserve">ＨＦ日本橋レジデンス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</si>
  <si>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Re-22</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</si>
  <si>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HFR-059</t>
  </si>
  <si>
    <t xml:space="preserve">ＨＦ上石神井レジデンス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</si>
  <si>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Re-23</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</si>
  <si>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HFR-060</t>
  </si>
  <si>
    <t xml:space="preserve">ＨＦ錦糸町レジデンス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</si>
  <si>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Re-24</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</si>
  <si>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HFR-061</t>
  </si>
  <si>
    <t xml:space="preserve">ＨＦ銀座レジデンスＥＡＳＴ</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</si>
  <si>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Re-25</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</si>
  <si>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HFR-062</t>
  </si>
  <si>
    <t xml:space="preserve">ＨＦ新横浜レジデンス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</si>
  <si>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Re-26</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</si>
  <si>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HFR-063</t>
  </si>
  <si>
    <t xml:space="preserve">ＨＦ馬込レジデンス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</si>
  <si>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Re-30</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</si>
  <si>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HFR-064</t>
  </si>
  <si>
    <t xml:space="preserve">ＨＦ学芸大学レジデンスⅡ</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</si>
  <si>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Re-31</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</si>
  <si>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HFR-065</t>
  </si>
  <si>
    <t xml:space="preserve">ＨＦ亀戸レジデンス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</si>
  <si>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Re-33</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</si>
  <si>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HFR-066</t>
  </si>
  <si>
    <t xml:space="preserve">ＨＦ田無レジデンス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</si>
  <si>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Re-34</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</si>
  <si>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HFR-067</t>
  </si>
  <si>
    <t xml:space="preserve">ラ・レジダンス・ド・白金台</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</si>
  <si>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Re-38</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。区分所有。</t>
    </r>
    <r>
      <rPr>
        <sz val="10"/>
        <color rgb="FF0000FF"/>
        <rFont val="Arial"/>
        <family val="0"/>
        <charset val="1"/>
      </rPr>
      <t xml:space="preserve">2010/10</t>
    </r>
    <r>
      <rPr>
        <sz val="10"/>
        <color rgb="FF0000FF"/>
        <rFont val="Noto Sans CJK SC"/>
        <family val="2"/>
      </rPr>
      <t xml:space="preserve">合併</t>
    </r>
    <r>
      <rPr>
        <sz val="10"/>
        <color rgb="FF0000FF"/>
        <rFont val="Arial"/>
        <family val="0"/>
        <charset val="1"/>
      </rPr>
      <t xml:space="preserve">(</t>
    </r>
    <r>
      <rPr>
        <sz val="10"/>
        <color rgb="FF0000FF"/>
        <rFont val="Noto Sans CJK SC"/>
        <family val="2"/>
      </rPr>
      <t xml:space="preserve">ジャパン・シングルレジデンス</t>
    </r>
    <r>
      <rPr>
        <sz val="10"/>
        <color rgb="FF0000FF"/>
        <rFont val="Arial"/>
        <family val="0"/>
        <charset val="1"/>
      </rPr>
      <t xml:space="preserve">)</t>
    </r>
    <r>
      <rPr>
        <sz val="10"/>
        <color rgb="FF0000FF"/>
        <rFont val="Noto Sans CJK SC"/>
        <family val="2"/>
      </rPr>
      <t xml:space="preserve">承継物件</t>
    </r>
    <r>
      <rPr>
        <sz val="10"/>
        <color rgb="FF0000FF"/>
        <rFont val="Arial"/>
        <family val="0"/>
        <charset val="1"/>
      </rPr>
      <t xml:space="preserve">(</t>
    </r>
    <r>
      <rPr>
        <sz val="10"/>
        <color rgb="FF0000FF"/>
        <rFont val="Noto Sans CJK SC"/>
        <family val="2"/>
      </rPr>
      <t xml:space="preserve">取得価格は合併時鑑定評価額、以下</t>
    </r>
    <r>
      <rPr>
        <sz val="10"/>
        <color rgb="FF0000FF"/>
        <rFont val="Arial"/>
        <family val="0"/>
        <charset val="1"/>
      </rPr>
      <t xml:space="preserve">Re-73</t>
    </r>
    <r>
      <rPr>
        <sz val="10"/>
        <color rgb="FF0000FF"/>
        <rFont val="Noto Sans CJK SC"/>
        <family val="2"/>
      </rPr>
      <t xml:space="preserve">まで同</t>
    </r>
    <r>
      <rPr>
        <sz val="10"/>
        <color rgb="FF0000FF"/>
        <rFont val="Arial"/>
        <family val="0"/>
        <charset val="1"/>
      </rPr>
      <t xml:space="preserve">)</t>
    </r>
    <r>
      <rPr>
        <sz val="10"/>
        <color rgb="FF0000FF"/>
        <rFont val="Noto Sans CJK SC"/>
        <family val="2"/>
      </rPr>
      <t xml:space="preserve">。</t>
    </r>
  </si>
  <si>
    <t xml:space="preserve">HFR-068</t>
  </si>
  <si>
    <t xml:space="preserve">ＨＦ銀座レジデンスＥＡＳＴⅡ</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</si>
  <si>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Re-39</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</si>
  <si>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HFR-069</t>
  </si>
  <si>
    <t xml:space="preserve">ＨＦ八丁堀レジデンスⅡ</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</si>
  <si>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Re-40</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</si>
  <si>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HFR-070</t>
  </si>
  <si>
    <t xml:space="preserve">ＨＦ銀座レジデンス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</si>
  <si>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Re-42</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</si>
  <si>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HFR-071</t>
  </si>
  <si>
    <t xml:space="preserve">ＨＦ駒沢公園レジデンスＴＯＷＥＲ</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</si>
  <si>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Re-43</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</si>
  <si>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HFR-072</t>
  </si>
  <si>
    <t xml:space="preserve">ＨＦ丸の内レジデンス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</si>
  <si>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Re-47</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</si>
  <si>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HFR-073</t>
  </si>
  <si>
    <t xml:space="preserve">ＨＦ平尾レジデンス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</si>
  <si>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Re-48</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</si>
  <si>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HFR-074</t>
  </si>
  <si>
    <t xml:space="preserve">ＨＦ河原町二条レジデンス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</si>
  <si>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Re-49</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</si>
  <si>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HFR-075</t>
  </si>
  <si>
    <t xml:space="preserve">ＨＦ四条河原町レジデンス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</si>
  <si>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Re-53</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</si>
  <si>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HFR-076</t>
  </si>
  <si>
    <t xml:space="preserve">ラ・レジダンス・ド・千駄木</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</si>
  <si>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Re-54</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。区分所有。</t>
    </r>
  </si>
  <si>
    <t xml:space="preserve">HFR-077</t>
  </si>
  <si>
    <t xml:space="preserve">ＨＦ千駄木レジデンス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</si>
  <si>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Re-55</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。区分所有。</t>
    </r>
  </si>
  <si>
    <t xml:space="preserve">HFR-078</t>
  </si>
  <si>
    <t xml:space="preserve">ＨＦ駒沢公園レジデンス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</si>
  <si>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Re-56</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</si>
  <si>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HFR-079</t>
  </si>
  <si>
    <t xml:space="preserve">ＨＦ武蔵小山レジデンス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</si>
  <si>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Re-57</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</si>
  <si>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HFR-080</t>
  </si>
  <si>
    <t xml:space="preserve">ＨＦ国分寺レジデンス</t>
  </si>
  <si>
    <t xml:space="preserve">国分寺市</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</si>
  <si>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Re-58</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</si>
  <si>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HFR-081</t>
  </si>
  <si>
    <t xml:space="preserve">ＨＦ久屋大通レジデンス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</si>
  <si>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Re-59</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</si>
  <si>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HFR-082</t>
  </si>
  <si>
    <t xml:space="preserve">ＨＦ烏丸鞍馬口レジデンス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</si>
  <si>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Re-60</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</si>
  <si>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HFR-083</t>
  </si>
  <si>
    <t xml:space="preserve">ＨＦ西新宿レジデンスＷＥＳＴ</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</si>
  <si>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Re-61</t>
    </r>
    <r>
      <rPr>
        <sz val="10"/>
        <color rgb="FF0000FF"/>
        <rFont val="Noto Sans CJK SC"/>
        <family val="2"/>
      </rPr>
      <t xml:space="preserve">。</t>
    </r>
    <r>
      <rPr>
        <sz val="10"/>
        <color rgb="FF0000FF"/>
        <rFont val="Arial"/>
        <family val="0"/>
        <charset val="1"/>
      </rPr>
      <t xml:space="preserve">2026/5/29</t>
    </r>
    <r>
      <rPr>
        <sz val="10"/>
        <color rgb="FF0000FF"/>
        <rFont val="Noto Sans CJK SC"/>
        <family val="2"/>
      </rPr>
      <t xml:space="preserve">譲渡</t>
    </r>
    <r>
      <rPr>
        <sz val="10"/>
        <color rgb="FF0000FF"/>
        <rFont val="Arial"/>
        <family val="0"/>
        <charset val="1"/>
      </rPr>
      <t xml:space="preserve">(</t>
    </r>
    <r>
      <rPr>
        <sz val="10"/>
        <color rgb="FF0000FF"/>
        <rFont val="Noto Sans CJK SC"/>
        <family val="2"/>
      </rPr>
      <t xml:space="preserve">譲渡価格</t>
    </r>
    <r>
      <rPr>
        <sz val="10"/>
        <color rgb="FF0000FF"/>
        <rFont val="Arial"/>
        <family val="0"/>
        <charset val="1"/>
      </rPr>
      <t xml:space="preserve">3,500</t>
    </r>
    <r>
      <rPr>
        <sz val="10"/>
        <color rgb="FF0000FF"/>
        <rFont val="Noto Sans CJK SC"/>
        <family val="2"/>
      </rPr>
      <t xml:space="preserve">百万円・売却益</t>
    </r>
    <r>
      <rPr>
        <sz val="10"/>
        <color rgb="FF0000FF"/>
        <rFont val="Arial"/>
        <family val="0"/>
        <charset val="1"/>
      </rPr>
      <t xml:space="preserve">1,578,021</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。譲渡先は同意なく非開示。期末保有物件でないため基本情報・期中収益は当期末保有物件表の対象外</t>
    </r>
  </si>
  <si>
    <t xml:space="preserve">HFR-084</t>
  </si>
  <si>
    <t xml:space="preserve">ＨＦ西新宿レジデンスＥＡＳＴ</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</si>
  <si>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Re-62</t>
    </r>
    <r>
      <rPr>
        <sz val="10"/>
        <color rgb="FF0000FF"/>
        <rFont val="Noto Sans CJK SC"/>
        <family val="2"/>
      </rPr>
      <t xml:space="preserve">。</t>
    </r>
    <r>
      <rPr>
        <sz val="10"/>
        <color rgb="FF0000FF"/>
        <rFont val="Arial"/>
        <family val="0"/>
        <charset val="1"/>
      </rPr>
      <t xml:space="preserve">2026/5/29</t>
    </r>
    <r>
      <rPr>
        <sz val="10"/>
        <color rgb="FF0000FF"/>
        <rFont val="Noto Sans CJK SC"/>
        <family val="2"/>
      </rPr>
      <t xml:space="preserve">譲渡</t>
    </r>
    <r>
      <rPr>
        <sz val="10"/>
        <color rgb="FF0000FF"/>
        <rFont val="Arial"/>
        <family val="0"/>
        <charset val="1"/>
      </rPr>
      <t xml:space="preserve">(</t>
    </r>
    <r>
      <rPr>
        <sz val="10"/>
        <color rgb="FF0000FF"/>
        <rFont val="Noto Sans CJK SC"/>
        <family val="2"/>
      </rPr>
      <t xml:space="preserve">譲渡価格</t>
    </r>
    <r>
      <rPr>
        <sz val="10"/>
        <color rgb="FF0000FF"/>
        <rFont val="Arial"/>
        <family val="0"/>
        <charset val="1"/>
      </rPr>
      <t xml:space="preserve">2,050</t>
    </r>
    <r>
      <rPr>
        <sz val="10"/>
        <color rgb="FF0000FF"/>
        <rFont val="Noto Sans CJK SC"/>
        <family val="2"/>
      </rPr>
      <t xml:space="preserve">百万円・売却益</t>
    </r>
    <r>
      <rPr>
        <sz val="10"/>
        <color rgb="FF0000FF"/>
        <rFont val="Arial"/>
        <family val="0"/>
        <charset val="1"/>
      </rPr>
      <t xml:space="preserve">922,079</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。譲渡先は同意なく非開示。期末保有物件でないため基本情報・期中収益は当期末保有物件表の対象外</t>
    </r>
  </si>
  <si>
    <t xml:space="preserve">HFR-085</t>
  </si>
  <si>
    <t xml:space="preserve">ＨＦ北四番丁レジデンス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</si>
  <si>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Re-65</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</si>
  <si>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HFR-086</t>
  </si>
  <si>
    <t xml:space="preserve">ＨＦ愛宕橋レジデンス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</si>
  <si>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Re-66</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</si>
  <si>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HFR-087</t>
  </si>
  <si>
    <t xml:space="preserve">ＨＦ浅草橋レジデンス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</si>
  <si>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Re-68</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</si>
  <si>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HFR-088</t>
  </si>
  <si>
    <t xml:space="preserve">ＨＦ一番町レジデンス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</si>
  <si>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Re-69</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</si>
  <si>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HFR-089</t>
  </si>
  <si>
    <t xml:space="preserve">ＨＦ東中野レジデンス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</si>
  <si>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Re-70</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</si>
  <si>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HFR-090</t>
  </si>
  <si>
    <t xml:space="preserve">ＨＦ早稲田レジデンス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</si>
  <si>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Re-72</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</si>
  <si>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HFR-091</t>
  </si>
  <si>
    <t xml:space="preserve">ＨＦ早稲田レジデンスⅡ</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</si>
  <si>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Re-73</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</si>
  <si>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HFR-092</t>
  </si>
  <si>
    <t xml:space="preserve">ＨＦ若松河田レジデンス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</si>
  <si>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Re-74</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2020</t>
    </r>
    <r>
      <rPr>
        <sz val="10"/>
        <color rgb="FF0000FF"/>
        <rFont val="Noto Sans CJK SC"/>
        <family val="2"/>
      </rPr>
      <t xml:space="preserve">年取得。</t>
    </r>
  </si>
  <si>
    <t xml:space="preserve">HFR-093</t>
  </si>
  <si>
    <t xml:space="preserve">ＨＦ仙台レジデンスＥＡＳＴ</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</si>
  <si>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Re-75</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</si>
  <si>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HFR-094</t>
  </si>
  <si>
    <t xml:space="preserve">ＨＦ西公園レジデンス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</si>
  <si>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Re-76</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</si>
  <si>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HFR-095</t>
  </si>
  <si>
    <t xml:space="preserve">ＨＦ晩翠通レジデンス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</si>
  <si>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Re-77</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</si>
  <si>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HFR-096</t>
  </si>
  <si>
    <t xml:space="preserve">ＨＦ関内レジデンス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</si>
  <si>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Re-78</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</si>
  <si>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HFR-097</t>
  </si>
  <si>
    <t xml:space="preserve">ＨＦ名駅北レジデンス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</si>
  <si>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Re-79</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</si>
  <si>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HFR-098</t>
  </si>
  <si>
    <t xml:space="preserve">ＨＦ東札幌レジデンス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</si>
  <si>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Re-80</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</si>
  <si>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HFR-099</t>
  </si>
  <si>
    <t xml:space="preserve">ＨＦ博多東レジデンス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</si>
  <si>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Re-81</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</si>
  <si>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HFR-100</t>
  </si>
  <si>
    <t xml:space="preserve">ＨＦ仙台五橋レジデンス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</si>
  <si>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Re-82</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</si>
  <si>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HFR-101</t>
  </si>
  <si>
    <t xml:space="preserve">ＨＦ田端レジデンス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</si>
  <si>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Re-83</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</si>
  <si>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HFR-102</t>
  </si>
  <si>
    <t xml:space="preserve">ＨＦ両国レジデンス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</si>
  <si>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Re-84</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</si>
  <si>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HFR-103</t>
  </si>
  <si>
    <t xml:space="preserve">ＨＦ八王子レジデンス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</si>
  <si>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Re-85</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</si>
  <si>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HFR-104</t>
  </si>
  <si>
    <t xml:space="preserve">ＨＦ三田レジデンスⅡ</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</si>
  <si>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Re-86</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</si>
  <si>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HFR-105</t>
  </si>
  <si>
    <t xml:space="preserve">ＨＦ門前仲町レジデンス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</si>
  <si>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Re-87</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</si>
  <si>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HFR-106</t>
  </si>
  <si>
    <t xml:space="preserve">ＨＦ南砂町レジデンス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</si>
  <si>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Re-88</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</si>
  <si>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HFR-107</t>
  </si>
  <si>
    <t xml:space="preserve">ＨＦ仙台長町レジデンス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</si>
  <si>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Re-89</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</si>
  <si>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HFR-108</t>
  </si>
  <si>
    <t xml:space="preserve">ＨＦ正光寺赤羽レジデンス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</si>
  <si>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Re-90</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</si>
  <si>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HFR-109</t>
  </si>
  <si>
    <t xml:space="preserve">ＨＦ仙台本町レジデンス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</si>
  <si>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Re-91</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</si>
  <si>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HFR-110</t>
  </si>
  <si>
    <t xml:space="preserve">ＨＦ大濠レジデンスＢＡＹＳＩＤＥ</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</si>
  <si>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Re-92</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</si>
  <si>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HFR-111</t>
  </si>
  <si>
    <t xml:space="preserve">ＨＦ博多東レジデンスⅡ</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</si>
  <si>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Re-93</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</si>
  <si>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HFR-112</t>
  </si>
  <si>
    <t xml:space="preserve">ＨＦ福岡レジデンスＥＡＳＴ</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</si>
  <si>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Re-94</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</si>
  <si>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HFR-113</t>
  </si>
  <si>
    <t xml:space="preserve">ＨＦ正光寺赤羽レジデンスⅡ</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</si>
  <si>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Re-95</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</si>
  <si>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HFR-114</t>
  </si>
  <si>
    <t xml:space="preserve">ＨＦ八広レジデンス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</si>
  <si>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Re-96</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</si>
  <si>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HFR-115</t>
  </si>
  <si>
    <t xml:space="preserve">ＨＦ世田谷上町レジデンス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</si>
  <si>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Re-97</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</si>
  <si>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HFR-116</t>
  </si>
  <si>
    <t xml:space="preserve">ＨＦ草加レジデンス</t>
  </si>
  <si>
    <t xml:space="preserve">草加市</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</si>
  <si>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Re-98</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</si>
  <si>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HFR-117</t>
  </si>
  <si>
    <t xml:space="preserve">ＨＦ上野入谷レジデンス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</si>
  <si>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Re-99</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</si>
  <si>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HFR-118</t>
  </si>
  <si>
    <t xml:space="preserve">ＨＦ辻堂レジデンス</t>
  </si>
  <si>
    <t xml:space="preserve">藤沢市</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</si>
  <si>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Re-100</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</si>
  <si>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HFR-119</t>
  </si>
  <si>
    <t xml:space="preserve">ＨＦ川口駅前レジデンス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</si>
  <si>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Re-101</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</si>
  <si>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HFR-120</t>
  </si>
  <si>
    <t xml:space="preserve">ＨＦ東尾久レジデンス</t>
  </si>
  <si>
    <t xml:space="preserve">荒川区</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</si>
  <si>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Re-102</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</si>
  <si>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HFR-121</t>
  </si>
  <si>
    <t xml:space="preserve">ＨＦ今池南レジデンス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</si>
  <si>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Re-103</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</si>
  <si>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HFR-122</t>
  </si>
  <si>
    <t xml:space="preserve">ＨＦ伏見レジデンス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</si>
  <si>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Re-104</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。帳簿が鑑定を上回る。</t>
    </r>
  </si>
  <si>
    <t xml:space="preserve">HFR-123</t>
  </si>
  <si>
    <t xml:space="preserve">ＨＦ中野坂上レジデンス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</si>
  <si>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Re-105</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</si>
  <si>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HFR-124</t>
  </si>
  <si>
    <t xml:space="preserve">ＨＦ上野レジデンスＥＡＳＴ</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</si>
  <si>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Re-106</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</si>
  <si>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HFR-125</t>
  </si>
  <si>
    <t xml:space="preserve">ＨＦ大森町レジデンス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</si>
  <si>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Re-107</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</si>
  <si>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HFR-126</t>
  </si>
  <si>
    <t xml:space="preserve">ＨＦ北千住レジデンス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</si>
  <si>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Re-108</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</si>
  <si>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HFR-127</t>
  </si>
  <si>
    <t xml:space="preserve">ＨＦ曳舟レジデンス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</si>
  <si>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Re-109</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</si>
  <si>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HFR-128</t>
  </si>
  <si>
    <t xml:space="preserve">ＨＦ目黒行人坂レジデンス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</si>
  <si>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Re-110</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2024</t>
    </r>
    <r>
      <rPr>
        <sz val="10"/>
        <color rgb="FF0000FF"/>
        <rFont val="Noto Sans CJK SC"/>
        <family val="2"/>
      </rPr>
      <t xml:space="preserve">年取得。</t>
    </r>
  </si>
  <si>
    <t xml:space="preserve">HFR-129</t>
  </si>
  <si>
    <t xml:space="preserve">ＨＦ西巣鴨レジデンス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</si>
  <si>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Re-111</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</si>
  <si>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HFR-130</t>
  </si>
  <si>
    <t xml:space="preserve">ＨＦ西巣鴨レジデンスⅡ</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</si>
  <si>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Re-112</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</si>
  <si>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HFR-131</t>
  </si>
  <si>
    <t xml:space="preserve">ＨＦ東武練馬レジデンス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</si>
  <si>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Re-113</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</si>
  <si>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HFR-132</t>
  </si>
  <si>
    <t xml:space="preserve">ＨＦ両国レジデンスＥＡＳＴ</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</si>
  <si>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Re-114</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</si>
  <si>
    <t xml:space="preserve">HFR-133</t>
  </si>
  <si>
    <t xml:space="preserve">ＨＦ押上レジデンス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</si>
  <si>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Re-115</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2025/12/5</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スポンサー平和不動産より・不動産及び土地の賃借権</t>
    </r>
    <r>
      <rPr>
        <sz val="10"/>
        <color rgb="FF0000FF"/>
        <rFont val="Arial"/>
        <family val="0"/>
        <charset val="1"/>
      </rPr>
      <t xml:space="preserve">)</t>
    </r>
    <r>
      <rPr>
        <sz val="10"/>
        <color rgb="FF0000FF"/>
        <rFont val="Noto Sans CJK SC"/>
        <family val="2"/>
      </rPr>
      <t xml:space="preserve">。</t>
    </r>
  </si>
  <si>
    <t xml:space="preserve">HFR-134</t>
  </si>
  <si>
    <t xml:space="preserve">ＨＦ曳舟レジデンスＥＡＳＴ</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</si>
  <si>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Re-116</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2025/11</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旧称</t>
    </r>
    <r>
      <rPr>
        <sz val="10"/>
        <color rgb="FF0000FF"/>
        <rFont val="Arial"/>
        <family val="0"/>
        <charset val="1"/>
      </rPr>
      <t xml:space="preserve">: </t>
    </r>
    <r>
      <rPr>
        <sz val="10"/>
        <color rgb="FF0000FF"/>
        <rFont val="Noto Sans CJK SC"/>
        <family val="2"/>
      </rPr>
      <t xml:space="preserve">ハーモニーレジデンス東京ツリー京島</t>
    </r>
    <r>
      <rPr>
        <sz val="10"/>
        <color rgb="FF0000FF"/>
        <rFont val="Arial"/>
        <family val="0"/>
        <charset val="1"/>
      </rPr>
      <t xml:space="preserve">)</t>
    </r>
    <r>
      <rPr>
        <sz val="10"/>
        <color rgb="FF0000FF"/>
        <rFont val="Noto Sans CJK SC"/>
        <family val="2"/>
      </rPr>
      <t xml:space="preserve">。</t>
    </r>
  </si>
  <si>
    <t xml:space="preserve">HFR-135</t>
  </si>
  <si>
    <t xml:space="preserve">ＨＦ大森レジデンス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</si>
  <si>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Re-117</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2025/11</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旧称</t>
    </r>
    <r>
      <rPr>
        <sz val="10"/>
        <color rgb="FF0000FF"/>
        <rFont val="Arial"/>
        <family val="0"/>
        <charset val="1"/>
      </rPr>
      <t xml:space="preserve">: </t>
    </r>
    <r>
      <rPr>
        <sz val="10"/>
        <color rgb="FF0000FF"/>
        <rFont val="Noto Sans CJK SC"/>
        <family val="2"/>
      </rPr>
      <t xml:space="preserve">シーズンフラッツ大森北</t>
    </r>
    <r>
      <rPr>
        <sz val="10"/>
        <color rgb="FF0000FF"/>
        <rFont val="Arial"/>
        <family val="0"/>
        <charset val="1"/>
      </rPr>
      <t xml:space="preserve">)</t>
    </r>
    <r>
      <rPr>
        <sz val="10"/>
        <color rgb="FF0000FF"/>
        <rFont val="Noto Sans CJK SC"/>
        <family val="2"/>
      </rPr>
      <t xml:space="preserve">。</t>
    </r>
  </si>
  <si>
    <t xml:space="preserve">HFR-136</t>
  </si>
  <si>
    <t xml:space="preserve">ＨＦ下赤塚レジデンス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</si>
  <si>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Re-118</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2025/12/23</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旧称</t>
    </r>
    <r>
      <rPr>
        <sz val="10"/>
        <color rgb="FF0000FF"/>
        <rFont val="Arial"/>
        <family val="0"/>
        <charset val="1"/>
      </rPr>
      <t xml:space="preserve">: </t>
    </r>
    <r>
      <rPr>
        <sz val="10"/>
        <color rgb="FF0000FF"/>
        <rFont val="Noto Sans CJK SC"/>
        <family val="2"/>
      </rPr>
      <t xml:space="preserve">アルファコート下赤塚</t>
    </r>
    <r>
      <rPr>
        <sz val="10"/>
        <color rgb="FF0000FF"/>
        <rFont val="Arial"/>
        <family val="0"/>
        <charset val="1"/>
      </rPr>
      <t xml:space="preserve">)</t>
    </r>
    <r>
      <rPr>
        <sz val="10"/>
        <color rgb="FF0000FF"/>
        <rFont val="Noto Sans CJK SC"/>
        <family val="2"/>
      </rPr>
      <t xml:space="preserve">。</t>
    </r>
  </si>
  <si>
    <t xml:space="preserve">HFR-137</t>
  </si>
  <si>
    <t xml:space="preserve">ＨＦときわ台レジデンス</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</si>
  <si>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Re-119</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2025/12/23</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旧称</t>
    </r>
    <r>
      <rPr>
        <sz val="10"/>
        <color rgb="FF0000FF"/>
        <rFont val="Arial"/>
        <family val="0"/>
        <charset val="1"/>
      </rPr>
      <t xml:space="preserve">: </t>
    </r>
    <r>
      <rPr>
        <sz val="10"/>
        <color rgb="FF0000FF"/>
        <rFont val="Noto Sans CJK SC"/>
        <family val="2"/>
      </rPr>
      <t xml:space="preserve">アルファコート常盤台３</t>
    </r>
    <r>
      <rPr>
        <sz val="10"/>
        <color rgb="FF0000FF"/>
        <rFont val="Arial"/>
        <family val="0"/>
        <charset val="1"/>
      </rPr>
      <t xml:space="preserve">)</t>
    </r>
    <r>
      <rPr>
        <sz val="10"/>
        <color rgb="FF0000FF"/>
        <rFont val="Noto Sans CJK SC"/>
        <family val="2"/>
      </rPr>
      <t xml:space="preserve">。</t>
    </r>
  </si>
  <si>
    <t xml:space="preserve">HFR-138</t>
  </si>
  <si>
    <t xml:space="preserve">ＨＦ綾瀬レジデンス</t>
  </si>
  <si>
    <t xml:space="preserve">葛飾区</t>
  </si>
  <si>
    <r>
      <rPr>
        <sz val="10"/>
        <color rgb="FF0000FF"/>
        <rFont val="Arial"/>
        <family val="0"/>
        <charset val="1"/>
      </rPr>
      <t xml:space="preserve">HFR</t>
    </r>
    <r>
      <rPr>
        <sz val="10"/>
        <color rgb="FF0000FF"/>
        <rFont val="Noto Sans CJK SC"/>
        <family val="2"/>
      </rPr>
      <t xml:space="preserve">物件番号</t>
    </r>
    <r>
      <rPr>
        <sz val="10"/>
        <color rgb="FF0000FF"/>
        <rFont val="Arial"/>
        <family val="0"/>
        <charset val="1"/>
      </rPr>
      <t xml:space="preserve">Re-120</t>
    </r>
    <r>
      <rPr>
        <sz val="10"/>
        <color rgb="FF0000FF"/>
        <rFont val="Noto Sans CJK SC"/>
        <family val="2"/>
      </rPr>
      <t xml:space="preserve">。物件別の竣工年月・延床面積は短信非掲載のため未収録</t>
    </r>
    <r>
      <rPr>
        <sz val="10"/>
        <color rgb="FF0000FF"/>
        <rFont val="Arial"/>
        <family val="0"/>
        <charset val="1"/>
      </rPr>
      <t xml:space="preserve">(</t>
    </r>
    <r>
      <rPr>
        <sz val="10"/>
        <color rgb="FF0000FF"/>
        <rFont val="Noto Sans CJK SC"/>
        <family val="2"/>
      </rPr>
      <t xml:space="preserve">個別物件収支データは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2025/12/23</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旧称</t>
    </r>
    <r>
      <rPr>
        <sz val="10"/>
        <color rgb="FF0000FF"/>
        <rFont val="Arial"/>
        <family val="0"/>
        <charset val="1"/>
      </rPr>
      <t xml:space="preserve">: </t>
    </r>
    <r>
      <rPr>
        <sz val="10"/>
        <color rgb="FF0000FF"/>
        <rFont val="Noto Sans CJK SC"/>
        <family val="2"/>
      </rPr>
      <t xml:space="preserve">アルファコート綾瀬２</t>
    </r>
    <r>
      <rPr>
        <sz val="10"/>
        <color rgb="FF0000FF"/>
        <rFont val="Arial"/>
        <family val="0"/>
        <charset val="1"/>
      </rPr>
      <t xml:space="preserve">)</t>
    </r>
    <r>
      <rPr>
        <sz val="10"/>
        <color rgb="FF0000FF"/>
        <rFont val="Noto Sans CJK SC"/>
        <family val="2"/>
      </rPr>
      <t xml:space="preserve">。</t>
    </r>
  </si>
  <si>
    <t xml:space="preserve">SHR-ALL</t>
  </si>
  <si>
    <t xml:space="preserve">【SHRポートフォリオ全体】</t>
  </si>
  <si>
    <t xml:space="preserve">住宅・オフィス複合</t>
  </si>
  <si>
    <r>
      <rPr>
        <sz val="10"/>
        <color rgb="FF0000FF"/>
        <rFont val="Arial"/>
        <family val="0"/>
        <charset val="1"/>
      </rPr>
      <t xml:space="preserve">138</t>
    </r>
    <r>
      <rPr>
        <sz val="10"/>
        <color rgb="FF0000FF"/>
        <rFont val="Noto Sans CJK SC"/>
        <family val="2"/>
      </rPr>
      <t xml:space="preserve">物件（</t>
    </r>
    <r>
      <rPr>
        <sz val="10"/>
        <color rgb="FF0000FF"/>
        <rFont val="Arial"/>
        <family val="0"/>
        <charset val="1"/>
      </rPr>
      <t xml:space="preserve">2026/4/30</t>
    </r>
    <r>
      <rPr>
        <sz val="10"/>
        <color rgb="FF0000FF"/>
        <rFont val="Noto Sans CJK SC"/>
        <family val="2"/>
      </rPr>
      <t xml:space="preserve">時点・国内信託</t>
    </r>
    <r>
      <rPr>
        <sz val="10"/>
        <color rgb="FF0000FF"/>
        <rFont val="Arial"/>
        <family val="0"/>
        <charset val="1"/>
      </rPr>
      <t xml:space="preserve">136+</t>
    </r>
    <r>
      <rPr>
        <sz val="10"/>
        <color rgb="FF0000FF"/>
        <rFont val="Noto Sans CJK SC"/>
        <family val="2"/>
      </rPr>
      <t xml:space="preserve">米国</t>
    </r>
    <r>
      <rPr>
        <sz val="10"/>
        <color rgb="FF0000FF"/>
        <rFont val="Arial"/>
        <family val="0"/>
        <charset val="1"/>
      </rPr>
      <t xml:space="preserve">LLC</t>
    </r>
    <r>
      <rPr>
        <sz val="10"/>
        <color rgb="FF0000FF"/>
        <rFont val="Noto Sans CJK SC"/>
        <family val="2"/>
      </rPr>
      <t xml:space="preserve">出資</t>
    </r>
    <r>
      <rPr>
        <sz val="10"/>
        <color rgb="FF0000FF"/>
        <rFont val="Arial"/>
        <family val="0"/>
        <charset val="1"/>
      </rPr>
      <t xml:space="preserve">2</t>
    </r>
    <r>
      <rPr>
        <sz val="10"/>
        <color rgb="FF0000FF"/>
        <rFont val="Noto Sans CJK SC"/>
        <family val="2"/>
      </rPr>
      <t xml:space="preserve">）</t>
    </r>
  </si>
  <si>
    <r>
      <rPr>
        <sz val="10"/>
        <color rgb="FF0000FF"/>
        <rFont val="Arial"/>
        <family val="0"/>
        <charset val="1"/>
      </rPr>
      <t xml:space="preserve">SHR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23</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(2026/6/15</t>
    </r>
    <r>
      <rPr>
        <sz val="10"/>
        <color rgb="FF0000FF"/>
        <rFont val="Noto Sans CJK SC"/>
        <family val="2"/>
      </rPr>
      <t xml:space="preserve">公表</t>
    </r>
    <r>
      <rPr>
        <sz val="10"/>
        <color rgb="FF0000FF"/>
        <rFont val="Arial"/>
        <family val="0"/>
        <charset val="1"/>
      </rPr>
      <t xml:space="preserve">)</t>
    </r>
  </si>
  <si>
    <t xml:space="preserve">積水ハウススポンサーの住居特化型(居住用85.7%・商業用14.3%)。取得価格合計561,102百万円(国内住居344,894+米国住居135,857+オフィス80,350)。米国2物件(ザ アイビー オン ボーレン/シティ リッジ)はLLC4社への出資(関係会社出資金137,936百万円)を通じた保有で、賃貸収支は受取配当金1,752,924千円として営業収益計上(賃貸収支外)。【原資料の切捨て表示に関する注記】物件別帳簿(百万円未満切捨て)の合算は国内住居-57/オフィス-2百万円小計欄比で小さい(全131/5物件が千円端数を持つ切捨て累積・a表全数機械照合で個別合算337,879 vs 小計337,936を確認)。取得価格・期末算定価額・NLAは全用途で完全一致。物件別収益(百万円切捨て)の150行合算も一括比-71百万円(同)。期末稼働96.2%(国内住居96.2%/米国94.2%/オフィス100.0%)。当期入替: 2026/1/29に住居12物件をLJPF合同会社へ一括譲渡(譲渡収入25,200百万円・売却益5,592,274千円、個別価格非開示)、御殿山SHビル第6回10%譲渡(7,000百万円・売却益2,141,445千円)、住居9物件取得(プライムメゾン用賀砧公園・蒲田・千葉新町・入谷・清澄白河・日本橋馬喰町・清澄リバーフロント、エスティメゾン川口・川崎本町)。御殿山SHビルは2023/3契約の10回分割譲渡(総額70,000百万円・TIS株式会社へ)が第6回まで完了し残40%(第7-10回は2026/10〜2028/4に各7,000百万円・売却益2,154/2,168/2,182/2,194百万円見込)。期後: プライムメゾン錦糸町取得決定(2026/7/1・4,270百万円・墨田区)。PML2.7%(ポートフォリオ全体)。テナント: 積水ハウスシャーメゾンPM東京(賃貸面積39.3%)・長谷工ライブネット(11.6%)等のML。本町南ガーデンシティ(積水ハウス本社・総収益10.1%)が主要な不動産</t>
  </si>
  <si>
    <t xml:space="preserve">SHR-001</t>
  </si>
  <si>
    <t xml:space="preserve">エスティメゾン銀座</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</si>
  <si>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R-001</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</si>
  <si>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SHR-002</t>
  </si>
  <si>
    <t xml:space="preserve">エスティメゾン麻布永坂</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</si>
  <si>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R-002</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</si>
  <si>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SHR-003</t>
  </si>
  <si>
    <t xml:space="preserve">エスティメゾン恵比寿Ⅱ</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</si>
  <si>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R-003</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</si>
  <si>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SHR-004</t>
  </si>
  <si>
    <t xml:space="preserve">エスティメゾン恵比寿</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</si>
  <si>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R-004</t>
    </r>
    <r>
      <rPr>
        <sz val="10"/>
        <color rgb="FF0000FF"/>
        <rFont val="Noto Sans CJK SC"/>
        <family val="2"/>
      </rPr>
      <t xml:space="preserve">。</t>
    </r>
    <r>
      <rPr>
        <sz val="10"/>
        <color rgb="FF0000FF"/>
        <rFont val="Arial"/>
        <family val="0"/>
        <charset val="1"/>
      </rPr>
      <t xml:space="preserve">2026/1/29</t>
    </r>
    <r>
      <rPr>
        <sz val="10"/>
        <color rgb="FF0000FF"/>
        <rFont val="Noto Sans CJK SC"/>
        <family val="2"/>
      </rPr>
      <t xml:space="preserve">譲渡</t>
    </r>
    <r>
      <rPr>
        <sz val="10"/>
        <color rgb="FF0000FF"/>
        <rFont val="Arial"/>
        <family val="0"/>
        <charset val="1"/>
      </rPr>
      <t xml:space="preserve">(12</t>
    </r>
    <r>
      <rPr>
        <sz val="10"/>
        <color rgb="FF0000FF"/>
        <rFont val="Noto Sans CJK SC"/>
        <family val="2"/>
      </rPr>
      <t xml:space="preserve">物件一括・</t>
    </r>
    <r>
      <rPr>
        <sz val="10"/>
        <color rgb="FF0000FF"/>
        <rFont val="Arial"/>
        <family val="0"/>
        <charset val="1"/>
      </rPr>
      <t xml:space="preserve">LJPF</t>
    </r>
    <r>
      <rPr>
        <sz val="10"/>
        <color rgb="FF0000FF"/>
        <rFont val="Noto Sans CJK SC"/>
        <family val="2"/>
      </rPr>
      <t xml:space="preserve">合同会社へ、個別譲渡価格非開示・</t>
    </r>
    <r>
      <rPr>
        <sz val="10"/>
        <color rgb="FF0000FF"/>
        <rFont val="Arial"/>
        <family val="0"/>
        <charset val="1"/>
      </rPr>
      <t xml:space="preserve">12</t>
    </r>
    <r>
      <rPr>
        <sz val="10"/>
        <color rgb="FF0000FF"/>
        <rFont val="Noto Sans CJK SC"/>
        <family val="2"/>
      </rPr>
      <t xml:space="preserve">物件計譲渡収入</t>
    </r>
    <r>
      <rPr>
        <sz val="10"/>
        <color rgb="FF0000FF"/>
        <rFont val="Arial"/>
        <family val="0"/>
        <charset val="1"/>
      </rPr>
      <t xml:space="preserve">25,200,000</t>
    </r>
    <r>
      <rPr>
        <sz val="10"/>
        <color rgb="FF0000FF"/>
        <rFont val="Noto Sans CJK SC"/>
        <family val="2"/>
      </rPr>
      <t xml:space="preserve">千円・売却益</t>
    </r>
    <r>
      <rPr>
        <sz val="10"/>
        <color rgb="FF0000FF"/>
        <rFont val="Arial"/>
        <family val="0"/>
        <charset val="1"/>
      </rPr>
      <t xml:space="preserve">5,592,274</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。期末保有物件でないため基本情報は当期末保有物件表の対象外</t>
    </r>
  </si>
  <si>
    <t xml:space="preserve">SHR-005</t>
  </si>
  <si>
    <t xml:space="preserve">エスティメゾン神田</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</si>
  <si>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R-005</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</si>
  <si>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SHR-006</t>
  </si>
  <si>
    <t xml:space="preserve">エスティメゾン北新宿</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</si>
  <si>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R-006</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</si>
  <si>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SHR-007</t>
  </si>
  <si>
    <t xml:space="preserve">エスティメゾン浅草駒形</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</si>
  <si>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R-007</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</si>
  <si>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SHR-008</t>
  </si>
  <si>
    <t xml:space="preserve">エスティメゾン川崎</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</si>
  <si>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R-008</t>
    </r>
    <r>
      <rPr>
        <sz val="10"/>
        <color rgb="FF0000FF"/>
        <rFont val="Noto Sans CJK SC"/>
        <family val="2"/>
      </rPr>
      <t xml:space="preserve">。</t>
    </r>
    <r>
      <rPr>
        <sz val="10"/>
        <color rgb="FF0000FF"/>
        <rFont val="Arial"/>
        <family val="0"/>
        <charset val="1"/>
      </rPr>
      <t xml:space="preserve">2026/1/29</t>
    </r>
    <r>
      <rPr>
        <sz val="10"/>
        <color rgb="FF0000FF"/>
        <rFont val="Noto Sans CJK SC"/>
        <family val="2"/>
      </rPr>
      <t xml:space="preserve">譲渡</t>
    </r>
    <r>
      <rPr>
        <sz val="10"/>
        <color rgb="FF0000FF"/>
        <rFont val="Arial"/>
        <family val="0"/>
        <charset val="1"/>
      </rPr>
      <t xml:space="preserve">(12</t>
    </r>
    <r>
      <rPr>
        <sz val="10"/>
        <color rgb="FF0000FF"/>
        <rFont val="Noto Sans CJK SC"/>
        <family val="2"/>
      </rPr>
      <t xml:space="preserve">物件一括</t>
    </r>
    <r>
      <rPr>
        <sz val="10"/>
        <color rgb="FF0000FF"/>
        <rFont val="Arial"/>
        <family val="0"/>
        <charset val="1"/>
      </rPr>
      <t xml:space="preserve">)</t>
    </r>
    <r>
      <rPr>
        <sz val="10"/>
        <color rgb="FF0000FF"/>
        <rFont val="Noto Sans CJK SC"/>
        <family val="2"/>
      </rPr>
      <t xml:space="preserve">。期末保有物件でないため基本情報は当期末保有物件表の対象外</t>
    </r>
  </si>
  <si>
    <t xml:space="preserve">SHR-009</t>
  </si>
  <si>
    <t xml:space="preserve">エスティメゾン亀戸</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</si>
  <si>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R-010</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</si>
  <si>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SHR-010</t>
  </si>
  <si>
    <t xml:space="preserve">エスティメゾン目黒</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</si>
  <si>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R-011</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</si>
  <si>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SHR-011</t>
  </si>
  <si>
    <t xml:space="preserve">エスティメゾン巣鴨</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</si>
  <si>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R-012</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</si>
  <si>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SHR-012</t>
  </si>
  <si>
    <t xml:space="preserve">エスティメゾン京橋</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</si>
  <si>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R-013</t>
    </r>
    <r>
      <rPr>
        <sz val="10"/>
        <color rgb="FF0000FF"/>
        <rFont val="Noto Sans CJK SC"/>
        <family val="2"/>
      </rPr>
      <t xml:space="preserve">。</t>
    </r>
    <r>
      <rPr>
        <sz val="10"/>
        <color rgb="FF0000FF"/>
        <rFont val="Arial"/>
        <family val="0"/>
        <charset val="1"/>
      </rPr>
      <t xml:space="preserve">2026/1/29</t>
    </r>
    <r>
      <rPr>
        <sz val="10"/>
        <color rgb="FF0000FF"/>
        <rFont val="Noto Sans CJK SC"/>
        <family val="2"/>
      </rPr>
      <t xml:space="preserve">譲渡</t>
    </r>
    <r>
      <rPr>
        <sz val="10"/>
        <color rgb="FF0000FF"/>
        <rFont val="Arial"/>
        <family val="0"/>
        <charset val="1"/>
      </rPr>
      <t xml:space="preserve">(12</t>
    </r>
    <r>
      <rPr>
        <sz val="10"/>
        <color rgb="FF0000FF"/>
        <rFont val="Noto Sans CJK SC"/>
        <family val="2"/>
      </rPr>
      <t xml:space="preserve">物件一括</t>
    </r>
    <r>
      <rPr>
        <sz val="10"/>
        <color rgb="FF0000FF"/>
        <rFont val="Arial"/>
        <family val="0"/>
        <charset val="1"/>
      </rPr>
      <t xml:space="preserve">)</t>
    </r>
    <r>
      <rPr>
        <sz val="10"/>
        <color rgb="FF0000FF"/>
        <rFont val="Noto Sans CJK SC"/>
        <family val="2"/>
      </rPr>
      <t xml:space="preserve">。期末保有物件でないため基本情報は当期末保有物件表の対象外</t>
    </r>
  </si>
  <si>
    <t xml:space="preserve">SHR-013</t>
  </si>
  <si>
    <t xml:space="preserve">エスティメゾン白楽</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</si>
  <si>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R-014</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</si>
  <si>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SHR-014</t>
  </si>
  <si>
    <t xml:space="preserve">エスティメゾン南堀江</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</si>
  <si>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R-015</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</si>
  <si>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SHR-015</t>
  </si>
  <si>
    <t xml:space="preserve">エスティメゾン五反田</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</si>
  <si>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R-016</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。区分所有権</t>
    </r>
    <r>
      <rPr>
        <sz val="10"/>
        <color rgb="FF0000FF"/>
        <rFont val="Arial"/>
        <family val="0"/>
        <charset val="1"/>
      </rPr>
      <t xml:space="preserve">(</t>
    </r>
    <r>
      <rPr>
        <sz val="10"/>
        <color rgb="FF0000FF"/>
        <rFont val="Noto Sans CJK SC"/>
        <family val="2"/>
      </rPr>
      <t xml:space="preserve">敷地権割合約</t>
    </r>
    <r>
      <rPr>
        <sz val="10"/>
        <color rgb="FF0000FF"/>
        <rFont val="Arial"/>
        <family val="0"/>
        <charset val="1"/>
      </rPr>
      <t xml:space="preserve">90.7%)</t>
    </r>
    <r>
      <rPr>
        <sz val="10"/>
        <color rgb="FF0000FF"/>
        <rFont val="Noto Sans CJK SC"/>
        <family val="2"/>
      </rPr>
      <t xml:space="preserve">。</t>
    </r>
  </si>
  <si>
    <t xml:space="preserve">SHR-016</t>
  </si>
  <si>
    <t xml:space="preserve">エスティメゾン大井仙台坂</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</si>
  <si>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R-017</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</si>
  <si>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SHR-017</t>
  </si>
  <si>
    <t xml:space="preserve">エスティメゾン品川シーサイド</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</si>
  <si>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R-018</t>
    </r>
    <r>
      <rPr>
        <sz val="10"/>
        <color rgb="FF0000FF"/>
        <rFont val="Noto Sans CJK SC"/>
        <family val="2"/>
      </rPr>
      <t xml:space="preserve">。</t>
    </r>
    <r>
      <rPr>
        <sz val="10"/>
        <color rgb="FF0000FF"/>
        <rFont val="Arial"/>
        <family val="0"/>
        <charset val="1"/>
      </rPr>
      <t xml:space="preserve">2026/1/29</t>
    </r>
    <r>
      <rPr>
        <sz val="10"/>
        <color rgb="FF0000FF"/>
        <rFont val="Noto Sans CJK SC"/>
        <family val="2"/>
      </rPr>
      <t xml:space="preserve">譲渡</t>
    </r>
    <r>
      <rPr>
        <sz val="10"/>
        <color rgb="FF0000FF"/>
        <rFont val="Arial"/>
        <family val="0"/>
        <charset val="1"/>
      </rPr>
      <t xml:space="preserve">(12</t>
    </r>
    <r>
      <rPr>
        <sz val="10"/>
        <color rgb="FF0000FF"/>
        <rFont val="Noto Sans CJK SC"/>
        <family val="2"/>
      </rPr>
      <t xml:space="preserve">物件一括</t>
    </r>
    <r>
      <rPr>
        <sz val="10"/>
        <color rgb="FF0000FF"/>
        <rFont val="Arial"/>
        <family val="0"/>
        <charset val="1"/>
      </rPr>
      <t xml:space="preserve">)</t>
    </r>
    <r>
      <rPr>
        <sz val="10"/>
        <color rgb="FF0000FF"/>
        <rFont val="Noto Sans CJK SC"/>
        <family val="2"/>
      </rPr>
      <t xml:space="preserve">。期末保有物件でないため基本情報は当期末保有物件表の対象外</t>
    </r>
  </si>
  <si>
    <t xml:space="preserve">SHR-018</t>
  </si>
  <si>
    <t xml:space="preserve">エスティメゾン南麻布</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</si>
  <si>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R-019</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</si>
  <si>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SHR-019</t>
  </si>
  <si>
    <t xml:space="preserve">エスティメゾン川崎Ⅱ</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</si>
  <si>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R-021</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</si>
  <si>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SHR-020</t>
  </si>
  <si>
    <t xml:space="preserve">エスティメゾン麻布十番</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</si>
  <si>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R-022</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</si>
  <si>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SHR-021</t>
  </si>
  <si>
    <t xml:space="preserve">エスティメゾン板橋本町</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</si>
  <si>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R-023</t>
    </r>
    <r>
      <rPr>
        <sz val="10"/>
        <color rgb="FF0000FF"/>
        <rFont val="Noto Sans CJK SC"/>
        <family val="2"/>
      </rPr>
      <t xml:space="preserve">。</t>
    </r>
    <r>
      <rPr>
        <sz val="10"/>
        <color rgb="FF0000FF"/>
        <rFont val="Arial"/>
        <family val="0"/>
        <charset val="1"/>
      </rPr>
      <t xml:space="preserve">2026/1/29</t>
    </r>
    <r>
      <rPr>
        <sz val="10"/>
        <color rgb="FF0000FF"/>
        <rFont val="Noto Sans CJK SC"/>
        <family val="2"/>
      </rPr>
      <t xml:space="preserve">譲渡</t>
    </r>
    <r>
      <rPr>
        <sz val="10"/>
        <color rgb="FF0000FF"/>
        <rFont val="Arial"/>
        <family val="0"/>
        <charset val="1"/>
      </rPr>
      <t xml:space="preserve">(12</t>
    </r>
    <r>
      <rPr>
        <sz val="10"/>
        <color rgb="FF0000FF"/>
        <rFont val="Noto Sans CJK SC"/>
        <family val="2"/>
      </rPr>
      <t xml:space="preserve">物件一括</t>
    </r>
    <r>
      <rPr>
        <sz val="10"/>
        <color rgb="FF0000FF"/>
        <rFont val="Arial"/>
        <family val="0"/>
        <charset val="1"/>
      </rPr>
      <t xml:space="preserve">)</t>
    </r>
    <r>
      <rPr>
        <sz val="10"/>
        <color rgb="FF0000FF"/>
        <rFont val="Noto Sans CJK SC"/>
        <family val="2"/>
      </rPr>
      <t xml:space="preserve">。期末保有物件でないため基本情報は当期末保有物件表の対象外</t>
    </r>
  </si>
  <si>
    <t xml:space="preserve">SHR-022</t>
  </si>
  <si>
    <t xml:space="preserve">エスティメゾン武蔵小山</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</si>
  <si>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R-027</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。区分所有権</t>
    </r>
    <r>
      <rPr>
        <sz val="10"/>
        <color rgb="FF0000FF"/>
        <rFont val="Arial"/>
        <family val="0"/>
        <charset val="1"/>
      </rPr>
      <t xml:space="preserve">(</t>
    </r>
    <r>
      <rPr>
        <sz val="10"/>
        <color rgb="FF0000FF"/>
        <rFont val="Noto Sans CJK SC"/>
        <family val="2"/>
      </rPr>
      <t xml:space="preserve">敷地権割合約</t>
    </r>
    <r>
      <rPr>
        <sz val="10"/>
        <color rgb="FF0000FF"/>
        <rFont val="Arial"/>
        <family val="0"/>
        <charset val="1"/>
      </rPr>
      <t xml:space="preserve">92.2%)</t>
    </r>
    <r>
      <rPr>
        <sz val="10"/>
        <color rgb="FF0000FF"/>
        <rFont val="Noto Sans CJK SC"/>
        <family val="2"/>
      </rPr>
      <t xml:space="preserve">。</t>
    </r>
  </si>
  <si>
    <t xml:space="preserve">SHR-023</t>
  </si>
  <si>
    <t xml:space="preserve">エスティメゾン千駄木</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</si>
  <si>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R-028</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。区分所有権</t>
    </r>
    <r>
      <rPr>
        <sz val="10"/>
        <color rgb="FF0000FF"/>
        <rFont val="Arial"/>
        <family val="0"/>
        <charset val="1"/>
      </rPr>
      <t xml:space="preserve">(</t>
    </r>
    <r>
      <rPr>
        <sz val="10"/>
        <color rgb="FF0000FF"/>
        <rFont val="Noto Sans CJK SC"/>
        <family val="2"/>
      </rPr>
      <t xml:space="preserve">敷地権割合約</t>
    </r>
    <r>
      <rPr>
        <sz val="10"/>
        <color rgb="FF0000FF"/>
        <rFont val="Arial"/>
        <family val="0"/>
        <charset val="1"/>
      </rPr>
      <t xml:space="preserve">86.4%)</t>
    </r>
    <r>
      <rPr>
        <sz val="10"/>
        <color rgb="FF0000FF"/>
        <rFont val="Noto Sans CJK SC"/>
        <family val="2"/>
      </rPr>
      <t xml:space="preserve">。</t>
    </r>
  </si>
  <si>
    <t xml:space="preserve">SHR-024</t>
  </si>
  <si>
    <t xml:space="preserve">エスティメゾン博多東</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</si>
  <si>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R-030</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</si>
  <si>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SHR-025</t>
  </si>
  <si>
    <t xml:space="preserve">プライムメゾン武蔵野の杜</t>
  </si>
  <si>
    <t xml:space="preserve">小平市</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</si>
  <si>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R-033</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</si>
  <si>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SHR-026</t>
  </si>
  <si>
    <t xml:space="preserve">プライムメゾン東桜</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</si>
  <si>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R-034</t>
    </r>
    <r>
      <rPr>
        <sz val="10"/>
        <color rgb="FF0000FF"/>
        <rFont val="Noto Sans CJK SC"/>
        <family val="2"/>
      </rPr>
      <t xml:space="preserve">。</t>
    </r>
    <r>
      <rPr>
        <sz val="10"/>
        <color rgb="FF0000FF"/>
        <rFont val="Arial"/>
        <family val="0"/>
        <charset val="1"/>
      </rPr>
      <t xml:space="preserve">2026/1/29</t>
    </r>
    <r>
      <rPr>
        <sz val="10"/>
        <color rgb="FF0000FF"/>
        <rFont val="Noto Sans CJK SC"/>
        <family val="2"/>
      </rPr>
      <t xml:space="preserve">譲渡</t>
    </r>
    <r>
      <rPr>
        <sz val="10"/>
        <color rgb="FF0000FF"/>
        <rFont val="Arial"/>
        <family val="0"/>
        <charset val="1"/>
      </rPr>
      <t xml:space="preserve">(12</t>
    </r>
    <r>
      <rPr>
        <sz val="10"/>
        <color rgb="FF0000FF"/>
        <rFont val="Noto Sans CJK SC"/>
        <family val="2"/>
      </rPr>
      <t xml:space="preserve">物件一括</t>
    </r>
    <r>
      <rPr>
        <sz val="10"/>
        <color rgb="FF0000FF"/>
        <rFont val="Arial"/>
        <family val="0"/>
        <charset val="1"/>
      </rPr>
      <t xml:space="preserve">)</t>
    </r>
    <r>
      <rPr>
        <sz val="10"/>
        <color rgb="FF0000FF"/>
        <rFont val="Noto Sans CJK SC"/>
        <family val="2"/>
      </rPr>
      <t xml:space="preserve">。期末保有物件でないため基本情報は当期末保有物件表の対象外</t>
    </r>
  </si>
  <si>
    <t xml:space="preserve">SHR-027</t>
  </si>
  <si>
    <t xml:space="preserve">プライムメゾン萱場公園</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</si>
  <si>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R-035</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</si>
  <si>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SHR-028</t>
  </si>
  <si>
    <t xml:space="preserve">エスティメゾン三軒茶屋Ⅱ</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</si>
  <si>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R-036</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</si>
  <si>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SHR-029</t>
  </si>
  <si>
    <t xml:space="preserve">エスティメゾン板橋Ｃ６</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</si>
  <si>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R-037</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</si>
  <si>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SHR-030</t>
  </si>
  <si>
    <t xml:space="preserve">シャーメゾンステージ博多</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</si>
  <si>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R-038</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UR</t>
    </r>
    <r>
      <rPr>
        <sz val="10"/>
        <color rgb="FF0000FF"/>
        <rFont val="Noto Sans CJK SC"/>
        <family val="2"/>
      </rPr>
      <t xml:space="preserve">定期借地</t>
    </r>
    <r>
      <rPr>
        <sz val="10"/>
        <color rgb="FF0000FF"/>
        <rFont val="Arial"/>
        <family val="0"/>
        <charset val="1"/>
      </rPr>
      <t xml:space="preserve">(2002/12</t>
    </r>
    <r>
      <rPr>
        <sz val="10"/>
        <color rgb="FF0000FF"/>
        <rFont val="Noto Sans CJK SC"/>
        <family val="2"/>
      </rPr>
      <t xml:space="preserve">から</t>
    </r>
    <r>
      <rPr>
        <sz val="10"/>
        <color rgb="FF0000FF"/>
        <rFont val="Arial"/>
        <family val="0"/>
        <charset val="1"/>
      </rPr>
      <t xml:space="preserve">50</t>
    </r>
    <r>
      <rPr>
        <sz val="10"/>
        <color rgb="FF0000FF"/>
        <rFont val="Noto Sans CJK SC"/>
        <family val="2"/>
      </rPr>
      <t xml:space="preserve">年</t>
    </r>
    <r>
      <rPr>
        <sz val="10"/>
        <color rgb="FF0000FF"/>
        <rFont val="Arial"/>
        <family val="0"/>
        <charset val="1"/>
      </rPr>
      <t xml:space="preserve">)</t>
    </r>
    <r>
      <rPr>
        <sz val="10"/>
        <color rgb="FF0000FF"/>
        <rFont val="Noto Sans CJK SC"/>
        <family val="2"/>
      </rPr>
      <t xml:space="preserve">。</t>
    </r>
  </si>
  <si>
    <t xml:space="preserve">SHR-031</t>
  </si>
  <si>
    <t xml:space="preserve">エスティメゾン錦糸町</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</si>
  <si>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R-039</t>
    </r>
    <r>
      <rPr>
        <sz val="10"/>
        <color rgb="FF0000FF"/>
        <rFont val="Noto Sans CJK SC"/>
        <family val="2"/>
      </rPr>
      <t xml:space="preserve">。</t>
    </r>
    <r>
      <rPr>
        <sz val="10"/>
        <color rgb="FF0000FF"/>
        <rFont val="Arial"/>
        <family val="0"/>
        <charset val="1"/>
      </rPr>
      <t xml:space="preserve">2026/1/29</t>
    </r>
    <r>
      <rPr>
        <sz val="10"/>
        <color rgb="FF0000FF"/>
        <rFont val="Noto Sans CJK SC"/>
        <family val="2"/>
      </rPr>
      <t xml:space="preserve">譲渡</t>
    </r>
    <r>
      <rPr>
        <sz val="10"/>
        <color rgb="FF0000FF"/>
        <rFont val="Arial"/>
        <family val="0"/>
        <charset val="1"/>
      </rPr>
      <t xml:space="preserve">(12</t>
    </r>
    <r>
      <rPr>
        <sz val="10"/>
        <color rgb="FF0000FF"/>
        <rFont val="Noto Sans CJK SC"/>
        <family val="2"/>
      </rPr>
      <t xml:space="preserve">物件一括</t>
    </r>
    <r>
      <rPr>
        <sz val="10"/>
        <color rgb="FF0000FF"/>
        <rFont val="Arial"/>
        <family val="0"/>
        <charset val="1"/>
      </rPr>
      <t xml:space="preserve">)</t>
    </r>
    <r>
      <rPr>
        <sz val="10"/>
        <color rgb="FF0000FF"/>
        <rFont val="Noto Sans CJK SC"/>
        <family val="2"/>
      </rPr>
      <t xml:space="preserve">。期末保有物件でないため基本情報は当期末保有物件表の対象外</t>
    </r>
  </si>
  <si>
    <t xml:space="preserve">SHR-032</t>
  </si>
  <si>
    <t xml:space="preserve">エスティメゾン武蔵小金井</t>
  </si>
  <si>
    <t xml:space="preserve">小金井市</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</si>
  <si>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R-040</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</si>
  <si>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SHR-033</t>
  </si>
  <si>
    <t xml:space="preserve">プライムメゾン御器所</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</si>
  <si>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R-041</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</si>
  <si>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SHR-034</t>
  </si>
  <si>
    <t xml:space="preserve">プライムメゾン夕陽ヶ丘</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</si>
  <si>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R-042</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</si>
  <si>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SHR-035</t>
  </si>
  <si>
    <t xml:space="preserve">プライムメゾン北田辺</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</si>
  <si>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R-043</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</si>
  <si>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SHR-036</t>
  </si>
  <si>
    <t xml:space="preserve">プライムメゾン百道浜</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</si>
  <si>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R-044</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</si>
  <si>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SHR-037</t>
  </si>
  <si>
    <t xml:space="preserve">エスティメゾン秋葉原</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</si>
  <si>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R-045</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</si>
  <si>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SHR-038</t>
  </si>
  <si>
    <t xml:space="preserve">エスティメゾン笹塚</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</si>
  <si>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R-046</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</si>
  <si>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SHR-039</t>
  </si>
  <si>
    <t xml:space="preserve">プライムメゾン銀座イースト</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</si>
  <si>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R-047</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</si>
  <si>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SHR-040</t>
  </si>
  <si>
    <t xml:space="preserve">プライムメゾン高見</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</si>
  <si>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R-048</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</si>
  <si>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SHR-041</t>
  </si>
  <si>
    <t xml:space="preserve">プライムメゾン矢田南</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</si>
  <si>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R-049</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</si>
  <si>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SHR-042</t>
  </si>
  <si>
    <t xml:space="preserve">プライムメゾン照葉</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</si>
  <si>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R-050</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</si>
  <si>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SHR-043</t>
  </si>
  <si>
    <t xml:space="preserve">エスティメゾン東白壁</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</si>
  <si>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R-051</t>
    </r>
    <r>
      <rPr>
        <sz val="10"/>
        <color rgb="FF0000FF"/>
        <rFont val="Noto Sans CJK SC"/>
        <family val="2"/>
      </rPr>
      <t xml:space="preserve">。</t>
    </r>
    <r>
      <rPr>
        <sz val="10"/>
        <color rgb="FF0000FF"/>
        <rFont val="Arial"/>
        <family val="0"/>
        <charset val="1"/>
      </rPr>
      <t xml:space="preserve">2026/1/29</t>
    </r>
    <r>
      <rPr>
        <sz val="10"/>
        <color rgb="FF0000FF"/>
        <rFont val="Noto Sans CJK SC"/>
        <family val="2"/>
      </rPr>
      <t xml:space="preserve">譲渡</t>
    </r>
    <r>
      <rPr>
        <sz val="10"/>
        <color rgb="FF0000FF"/>
        <rFont val="Arial"/>
        <family val="0"/>
        <charset val="1"/>
      </rPr>
      <t xml:space="preserve">(12</t>
    </r>
    <r>
      <rPr>
        <sz val="10"/>
        <color rgb="FF0000FF"/>
        <rFont val="Noto Sans CJK SC"/>
        <family val="2"/>
      </rPr>
      <t xml:space="preserve">物件一括</t>
    </r>
    <r>
      <rPr>
        <sz val="10"/>
        <color rgb="FF0000FF"/>
        <rFont val="Arial"/>
        <family val="0"/>
        <charset val="1"/>
      </rPr>
      <t xml:space="preserve">)</t>
    </r>
    <r>
      <rPr>
        <sz val="10"/>
        <color rgb="FF0000FF"/>
        <rFont val="Noto Sans CJK SC"/>
        <family val="2"/>
      </rPr>
      <t xml:space="preserve">。期末保有物件でないため基本情報は当期末保有物件表の対象外</t>
    </r>
  </si>
  <si>
    <t xml:space="preserve">SHR-044</t>
  </si>
  <si>
    <t xml:space="preserve">エスティメゾン千石</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</si>
  <si>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R-052</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</si>
  <si>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SHR-045</t>
  </si>
  <si>
    <t xml:space="preserve">エスティメゾン代沢</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</si>
  <si>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R-053</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</si>
  <si>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SHR-046</t>
  </si>
  <si>
    <t xml:space="preserve">エスティメゾン戸越</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</si>
  <si>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R-054</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</si>
  <si>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SHR-047</t>
  </si>
  <si>
    <t xml:space="preserve">エスティメゾン西天満</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</si>
  <si>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R-055</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</si>
  <si>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SHR-048</t>
  </si>
  <si>
    <t xml:space="preserve">エスティメゾン白金台</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</si>
  <si>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R-056</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</si>
  <si>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SHR-049</t>
  </si>
  <si>
    <t xml:space="preserve">エスティメゾン東新宿</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</si>
  <si>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R-057</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</si>
  <si>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SHR-050</t>
  </si>
  <si>
    <t xml:space="preserve">エスティメゾン元麻布</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</si>
  <si>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R-058</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</si>
  <si>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SHR-051</t>
  </si>
  <si>
    <t xml:space="preserve">エスティメゾン都立大学</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</si>
  <si>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R-059</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</si>
  <si>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SHR-052</t>
  </si>
  <si>
    <t xml:space="preserve">エスティメゾン武蔵小山Ⅱ</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</si>
  <si>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R-060</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</si>
  <si>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SHR-053</t>
  </si>
  <si>
    <t xml:space="preserve">エスティメゾン中野</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</si>
  <si>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R-061</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</si>
  <si>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SHR-054</t>
  </si>
  <si>
    <t xml:space="preserve">エスティメゾン新中野</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</si>
  <si>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R-062</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</si>
  <si>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SHR-055</t>
  </si>
  <si>
    <t xml:space="preserve">エスティメゾン中野富士見町</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</si>
  <si>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R-063</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</si>
  <si>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SHR-056</t>
  </si>
  <si>
    <t xml:space="preserve">エスティメゾン哲学堂</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</si>
  <si>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R-064</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</si>
  <si>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SHR-057</t>
  </si>
  <si>
    <t xml:space="preserve">エスティメゾン高円寺</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</si>
  <si>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R-065</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</si>
  <si>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SHR-058</t>
  </si>
  <si>
    <t xml:space="preserve">エスティメゾン押上</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</si>
  <si>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R-066</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</si>
  <si>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SHR-059</t>
  </si>
  <si>
    <t xml:space="preserve">エスティメゾン赤羽</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</si>
  <si>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R-067</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</si>
  <si>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SHR-060</t>
  </si>
  <si>
    <t xml:space="preserve">エスティメゾン王子</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</si>
  <si>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R-068</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</si>
  <si>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SHR-061</t>
  </si>
  <si>
    <t xml:space="preserve">プライムメゾン早稲田</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</si>
  <si>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R-069</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</si>
  <si>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SHR-062</t>
  </si>
  <si>
    <t xml:space="preserve">プライムメゾン八丁堀</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</si>
  <si>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R-070</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</si>
  <si>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SHR-063</t>
  </si>
  <si>
    <t xml:space="preserve">プライムメゾン神保町</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</si>
  <si>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R-071</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</si>
  <si>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SHR-064</t>
  </si>
  <si>
    <t xml:space="preserve">プライムメゾン御殿山イースト</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</si>
  <si>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R-072</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</si>
  <si>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SHR-065</t>
  </si>
  <si>
    <t xml:space="preserve">シャーメゾンステージ秋葉原</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</si>
  <si>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R-073</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</si>
  <si>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SHR-066</t>
  </si>
  <si>
    <t xml:space="preserve">エスティメゾン葵</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</si>
  <si>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R-074</t>
    </r>
    <r>
      <rPr>
        <sz val="10"/>
        <color rgb="FF0000FF"/>
        <rFont val="Noto Sans CJK SC"/>
        <family val="2"/>
      </rPr>
      <t xml:space="preserve">。</t>
    </r>
    <r>
      <rPr>
        <sz val="10"/>
        <color rgb="FF0000FF"/>
        <rFont val="Arial"/>
        <family val="0"/>
        <charset val="1"/>
      </rPr>
      <t xml:space="preserve">2026/1/29</t>
    </r>
    <r>
      <rPr>
        <sz val="10"/>
        <color rgb="FF0000FF"/>
        <rFont val="Noto Sans CJK SC"/>
        <family val="2"/>
      </rPr>
      <t xml:space="preserve">譲渡</t>
    </r>
    <r>
      <rPr>
        <sz val="10"/>
        <color rgb="FF0000FF"/>
        <rFont val="Arial"/>
        <family val="0"/>
        <charset val="1"/>
      </rPr>
      <t xml:space="preserve">(12</t>
    </r>
    <r>
      <rPr>
        <sz val="10"/>
        <color rgb="FF0000FF"/>
        <rFont val="Noto Sans CJK SC"/>
        <family val="2"/>
      </rPr>
      <t xml:space="preserve">物件一括</t>
    </r>
    <r>
      <rPr>
        <sz val="10"/>
        <color rgb="FF0000FF"/>
        <rFont val="Arial"/>
        <family val="0"/>
        <charset val="1"/>
      </rPr>
      <t xml:space="preserve">)</t>
    </r>
    <r>
      <rPr>
        <sz val="10"/>
        <color rgb="FF0000FF"/>
        <rFont val="Noto Sans CJK SC"/>
        <family val="2"/>
      </rPr>
      <t xml:space="preserve">。期末保有物件でないため基本情報は当期末保有物件表の対象外</t>
    </r>
  </si>
  <si>
    <t xml:space="preserve">SHR-067</t>
  </si>
  <si>
    <t xml:space="preserve">エスティメゾン薬院</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</si>
  <si>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R-075</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</si>
  <si>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SHR-068</t>
  </si>
  <si>
    <t xml:space="preserve">エスティメゾン錦糸町Ⅱ</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</si>
  <si>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R-076</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</si>
  <si>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SHR-069</t>
  </si>
  <si>
    <t xml:space="preserve">エスティメゾン大島</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</si>
  <si>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R-077</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</si>
  <si>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SHR-070</t>
  </si>
  <si>
    <t xml:space="preserve">プライムメゾン富士見台</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</si>
  <si>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R-078</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</si>
  <si>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SHR-071</t>
  </si>
  <si>
    <t xml:space="preserve">エスティメゾン鶴舞</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</si>
  <si>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R-079</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。店舗パススルー</t>
    </r>
    <r>
      <rPr>
        <sz val="10"/>
        <color rgb="FF0000FF"/>
        <rFont val="Arial"/>
        <family val="0"/>
        <charset val="1"/>
      </rPr>
      <t xml:space="preserve">+</t>
    </r>
    <r>
      <rPr>
        <sz val="10"/>
        <color rgb="FF0000FF"/>
        <rFont val="Noto Sans CJK SC"/>
        <family val="2"/>
      </rPr>
      <t xml:space="preserve">住居賃料固定</t>
    </r>
    <r>
      <rPr>
        <sz val="10"/>
        <color rgb="FF0000FF"/>
        <rFont val="Arial"/>
        <family val="0"/>
        <charset val="1"/>
      </rPr>
      <t xml:space="preserve">ML</t>
    </r>
    <r>
      <rPr>
        <sz val="10"/>
        <color rgb="FF0000FF"/>
        <rFont val="Noto Sans CJK SC"/>
        <family val="2"/>
      </rPr>
      <t xml:space="preserve">。</t>
    </r>
  </si>
  <si>
    <t xml:space="preserve">SHR-072</t>
  </si>
  <si>
    <t xml:space="preserve">プライムメゾン森下</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</si>
  <si>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R-080</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</si>
  <si>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SHR-073</t>
  </si>
  <si>
    <t xml:space="preserve">プライムメゾン品川</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</si>
  <si>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R-081</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</si>
  <si>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SHR-074</t>
  </si>
  <si>
    <t xml:space="preserve">プライムメゾン大通公園</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</si>
  <si>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R-082</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</si>
  <si>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SHR-075</t>
  </si>
  <si>
    <t xml:space="preserve">プライムメゾン南２条</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</si>
  <si>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R-083</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</si>
  <si>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SHR-076</t>
  </si>
  <si>
    <t xml:space="preserve">プライムメゾン鴨々川</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</si>
  <si>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R-084</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</si>
  <si>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SHR-077</t>
  </si>
  <si>
    <t xml:space="preserve">プライムメゾンセントラルパーク</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</si>
  <si>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R-085</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。土地一部貸地</t>
    </r>
    <r>
      <rPr>
        <sz val="10"/>
        <color rgb="FF0000FF"/>
        <rFont val="Arial"/>
        <family val="0"/>
        <charset val="1"/>
      </rPr>
      <t xml:space="preserve">(</t>
    </r>
    <r>
      <rPr>
        <sz val="10"/>
        <color rgb="FF0000FF"/>
        <rFont val="Noto Sans CJK SC"/>
        <family val="2"/>
      </rPr>
      <t xml:space="preserve">借地人所有店舗あり</t>
    </r>
    <r>
      <rPr>
        <sz val="10"/>
        <color rgb="FF0000FF"/>
        <rFont val="Arial"/>
        <family val="0"/>
        <charset val="1"/>
      </rPr>
      <t xml:space="preserve">)</t>
    </r>
    <r>
      <rPr>
        <sz val="10"/>
        <color rgb="FF0000FF"/>
        <rFont val="Noto Sans CJK SC"/>
        <family val="2"/>
      </rPr>
      <t xml:space="preserve">。</t>
    </r>
  </si>
  <si>
    <t xml:space="preserve">SHR-078</t>
  </si>
  <si>
    <t xml:space="preserve">シャーメゾンステージ八広</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</si>
  <si>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R-086</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</si>
  <si>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SHR-079</t>
  </si>
  <si>
    <t xml:space="preserve">プライムメゾン恵比寿</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</si>
  <si>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R-087</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</si>
  <si>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SHR-080</t>
  </si>
  <si>
    <t xml:space="preserve">エスティメゾン鵜の森</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</si>
  <si>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R-089</t>
    </r>
    <r>
      <rPr>
        <sz val="10"/>
        <color rgb="FF0000FF"/>
        <rFont val="Noto Sans CJK SC"/>
        <family val="2"/>
      </rPr>
      <t xml:space="preserve">。</t>
    </r>
    <r>
      <rPr>
        <sz val="10"/>
        <color rgb="FF0000FF"/>
        <rFont val="Arial"/>
        <family val="0"/>
        <charset val="1"/>
      </rPr>
      <t xml:space="preserve">2026/1/29</t>
    </r>
    <r>
      <rPr>
        <sz val="10"/>
        <color rgb="FF0000FF"/>
        <rFont val="Noto Sans CJK SC"/>
        <family val="2"/>
      </rPr>
      <t xml:space="preserve">譲渡</t>
    </r>
    <r>
      <rPr>
        <sz val="10"/>
        <color rgb="FF0000FF"/>
        <rFont val="Arial"/>
        <family val="0"/>
        <charset val="1"/>
      </rPr>
      <t xml:space="preserve">(12</t>
    </r>
    <r>
      <rPr>
        <sz val="10"/>
        <color rgb="FF0000FF"/>
        <rFont val="Noto Sans CJK SC"/>
        <family val="2"/>
      </rPr>
      <t xml:space="preserve">物件一括</t>
    </r>
    <r>
      <rPr>
        <sz val="10"/>
        <color rgb="FF0000FF"/>
        <rFont val="Arial"/>
        <family val="0"/>
        <charset val="1"/>
      </rPr>
      <t xml:space="preserve">)</t>
    </r>
    <r>
      <rPr>
        <sz val="10"/>
        <color rgb="FF0000FF"/>
        <rFont val="Noto Sans CJK SC"/>
        <family val="2"/>
      </rPr>
      <t xml:space="preserve">。期末保有物件でないため基本情報は当期末保有物件表の対象外</t>
    </r>
  </si>
  <si>
    <t xml:space="preserve">SHR-081</t>
  </si>
  <si>
    <t xml:space="preserve">シャーメゾンステージ日野</t>
  </si>
  <si>
    <t xml:space="preserve">日野市</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</si>
  <si>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R-091</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</si>
  <si>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SHR-082</t>
  </si>
  <si>
    <t xml:space="preserve">プライムメゾン横濱日本大通</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</si>
  <si>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R-092</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</si>
  <si>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SHR-083</t>
  </si>
  <si>
    <t xml:space="preserve">神戸女子学生会館</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</si>
  <si>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R-093</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。学生寮・定期建物賃貸借</t>
    </r>
    <r>
      <rPr>
        <sz val="10"/>
        <color rgb="FF0000FF"/>
        <rFont val="Arial"/>
        <family val="0"/>
        <charset val="1"/>
      </rPr>
      <t xml:space="preserve">ML(2028/3</t>
    </r>
    <r>
      <rPr>
        <sz val="10"/>
        <color rgb="FF0000FF"/>
        <rFont val="Noto Sans CJK SC"/>
        <family val="2"/>
      </rPr>
      <t xml:space="preserve">満了</t>
    </r>
    <r>
      <rPr>
        <sz val="10"/>
        <color rgb="FF0000FF"/>
        <rFont val="Arial"/>
        <family val="0"/>
        <charset val="1"/>
      </rPr>
      <t xml:space="preserve">)</t>
    </r>
    <r>
      <rPr>
        <sz val="10"/>
        <color rgb="FF0000FF"/>
        <rFont val="Noto Sans CJK SC"/>
        <family val="2"/>
      </rPr>
      <t xml:space="preserve">。</t>
    </r>
  </si>
  <si>
    <t xml:space="preserve">SHR-084</t>
  </si>
  <si>
    <t xml:space="preserve">プライムメゾン渋谷</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</si>
  <si>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R-094</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</si>
  <si>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SHR-085</t>
  </si>
  <si>
    <t xml:space="preserve">プライムメゾン初台</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</si>
  <si>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R-095</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</si>
  <si>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SHR-086</t>
  </si>
  <si>
    <t xml:space="preserve">エスティメゾン上町台</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</si>
  <si>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R-096</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</si>
  <si>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SHR-087</t>
  </si>
  <si>
    <t xml:space="preserve">プライムメゾン白金高輪</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</si>
  <si>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R-098</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</si>
  <si>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SHR-088</t>
  </si>
  <si>
    <t xml:space="preserve">プライムメゾン市谷山伏町</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</si>
  <si>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R-099</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</si>
  <si>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SHR-089</t>
  </si>
  <si>
    <t xml:space="preserve">エスティメゾン森下</t>
  </si>
  <si>
    <r>
      <rPr>
        <sz val="11"/>
        <color theme="1"/>
        <rFont val="Calibri"/>
        <family val="2"/>
        <charset val="1"/>
      </rPr>
      <t xml:space="preserve">343</t>
    </r>
    <r>
      <rPr>
        <sz val="11"/>
        <color theme="1"/>
        <rFont val="Noto Sans CJK SC"/>
        <family val="2"/>
      </rPr>
      <t xml:space="preserve">物件（</t>
    </r>
    <r>
      <rPr>
        <sz val="11"/>
        <color theme="1"/>
        <rFont val="Calibri"/>
        <family val="2"/>
        <charset val="1"/>
      </rPr>
      <t xml:space="preserve">2026/4/30</t>
    </r>
    <r>
      <rPr>
        <sz val="11"/>
        <color theme="1"/>
        <rFont val="Noto Sans CJK SC"/>
        <family val="2"/>
      </rPr>
      <t xml:space="preserve">時点）</t>
    </r>
  </si>
  <si>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R-100</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</si>
  <si>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SHR-090</t>
  </si>
  <si>
    <t xml:space="preserve">プライムメゾン白金台タワー</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</si>
  <si>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R-101</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</si>
  <si>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SHR-091</t>
  </si>
  <si>
    <t xml:space="preserve">プライムメゾン大塚</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</si>
  <si>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R-102</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</si>
  <si>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SHR-092</t>
  </si>
  <si>
    <t xml:space="preserve">プライムメゾン浅草橋</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</si>
  <si>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R-103</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</si>
  <si>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SHR-093</t>
  </si>
  <si>
    <t xml:space="preserve">プライムメゾン代官山</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</si>
  <si>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R-104</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</si>
  <si>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SHR-094</t>
  </si>
  <si>
    <t xml:space="preserve">プライムメゾン御殿山ウエスト</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</si>
  <si>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R-105</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</si>
  <si>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SHR-095</t>
  </si>
  <si>
    <t xml:space="preserve">エスティメゾン豊洲レジデンス</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</si>
  <si>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R-106</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UR</t>
    </r>
    <r>
      <rPr>
        <sz val="10"/>
        <color rgb="FF0000FF"/>
        <rFont val="Noto Sans CJK SC"/>
        <family val="2"/>
      </rPr>
      <t xml:space="preserve">定期借地</t>
    </r>
    <r>
      <rPr>
        <sz val="10"/>
        <color rgb="FF0000FF"/>
        <rFont val="Arial"/>
        <family val="0"/>
        <charset val="1"/>
      </rPr>
      <t xml:space="preserve">(2006/3</t>
    </r>
    <r>
      <rPr>
        <sz val="10"/>
        <color rgb="FF0000FF"/>
        <rFont val="Noto Sans CJK SC"/>
        <family val="2"/>
      </rPr>
      <t xml:space="preserve">から</t>
    </r>
    <r>
      <rPr>
        <sz val="10"/>
        <color rgb="FF0000FF"/>
        <rFont val="Arial"/>
        <family val="0"/>
        <charset val="1"/>
      </rPr>
      <t xml:space="preserve">65</t>
    </r>
    <r>
      <rPr>
        <sz val="10"/>
        <color rgb="FF0000FF"/>
        <rFont val="Noto Sans CJK SC"/>
        <family val="2"/>
      </rPr>
      <t xml:space="preserve">年</t>
    </r>
    <r>
      <rPr>
        <sz val="10"/>
        <color rgb="FF0000FF"/>
        <rFont val="Arial"/>
        <family val="0"/>
        <charset val="1"/>
      </rPr>
      <t xml:space="preserve">)</t>
    </r>
    <r>
      <rPr>
        <sz val="10"/>
        <color rgb="FF0000FF"/>
        <rFont val="Noto Sans CJK SC"/>
        <family val="2"/>
      </rPr>
      <t xml:space="preserve">。</t>
    </r>
  </si>
  <si>
    <t xml:space="preserve">SHR-096</t>
  </si>
  <si>
    <t xml:space="preserve">エスティメゾン井尻</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</si>
  <si>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R-108</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</si>
  <si>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SHR-097</t>
  </si>
  <si>
    <t xml:space="preserve">プライムメゾン三田綱町</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</si>
  <si>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R-109</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</si>
  <si>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SHR-098</t>
  </si>
  <si>
    <t xml:space="preserve">プライムメゾン本郷</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</si>
  <si>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R-110</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</si>
  <si>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SHR-099</t>
  </si>
  <si>
    <t xml:space="preserve">プライムメゾン蔵前</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</si>
  <si>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R-111</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</si>
  <si>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SHR-100</t>
  </si>
  <si>
    <t xml:space="preserve">エスティメゾン横浜青葉台</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</si>
  <si>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R-112</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。ノース</t>
    </r>
    <r>
      <rPr>
        <sz val="10"/>
        <color rgb="FF0000FF"/>
        <rFont val="Arial"/>
        <family val="0"/>
        <charset val="1"/>
      </rPr>
      <t xml:space="preserve">(2018/7</t>
    </r>
    <r>
      <rPr>
        <sz val="10"/>
        <color rgb="FF0000FF"/>
        <rFont val="Noto Sans CJK SC"/>
        <family val="2"/>
      </rPr>
      <t xml:space="preserve">竣工</t>
    </r>
    <r>
      <rPr>
        <sz val="10"/>
        <color rgb="FF0000FF"/>
        <rFont val="Arial"/>
        <family val="0"/>
        <charset val="1"/>
      </rPr>
      <t xml:space="preserve">)+</t>
    </r>
    <r>
      <rPr>
        <sz val="10"/>
        <color rgb="FF0000FF"/>
        <rFont val="Noto Sans CJK SC"/>
        <family val="2"/>
      </rPr>
      <t xml:space="preserve">サウス</t>
    </r>
    <r>
      <rPr>
        <sz val="10"/>
        <color rgb="FF0000FF"/>
        <rFont val="Arial"/>
        <family val="0"/>
        <charset val="1"/>
      </rPr>
      <t xml:space="preserve">(1990/7</t>
    </r>
    <r>
      <rPr>
        <sz val="10"/>
        <color rgb="FF0000FF"/>
        <rFont val="Noto Sans CJK SC"/>
        <family val="2"/>
      </rPr>
      <t xml:space="preserve">竣工</t>
    </r>
    <r>
      <rPr>
        <sz val="10"/>
        <color rgb="FF0000FF"/>
        <rFont val="Arial"/>
        <family val="0"/>
        <charset val="1"/>
      </rPr>
      <t xml:space="preserve">)2</t>
    </r>
    <r>
      <rPr>
        <sz val="10"/>
        <color rgb="FF0000FF"/>
        <rFont val="Noto Sans CJK SC"/>
        <family val="2"/>
      </rPr>
      <t xml:space="preserve">棟一体運用・竣工はサウス。</t>
    </r>
  </si>
  <si>
    <t xml:space="preserve">SHR-101</t>
  </si>
  <si>
    <t xml:space="preserve">エスティメゾン静岡鷹匠</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</si>
  <si>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R-113</t>
    </r>
    <r>
      <rPr>
        <sz val="10"/>
        <color rgb="FF0000FF"/>
        <rFont val="Noto Sans CJK SC"/>
        <family val="2"/>
      </rPr>
      <t xml:space="preserve">。</t>
    </r>
    <r>
      <rPr>
        <sz val="10"/>
        <color rgb="FF0000FF"/>
        <rFont val="Arial"/>
        <family val="0"/>
        <charset val="1"/>
      </rPr>
      <t xml:space="preserve">2026/1/29</t>
    </r>
    <r>
      <rPr>
        <sz val="10"/>
        <color rgb="FF0000FF"/>
        <rFont val="Noto Sans CJK SC"/>
        <family val="2"/>
      </rPr>
      <t xml:space="preserve">譲渡</t>
    </r>
    <r>
      <rPr>
        <sz val="10"/>
        <color rgb="FF0000FF"/>
        <rFont val="Arial"/>
        <family val="0"/>
        <charset val="1"/>
      </rPr>
      <t xml:space="preserve">(12</t>
    </r>
    <r>
      <rPr>
        <sz val="10"/>
        <color rgb="FF0000FF"/>
        <rFont val="Noto Sans CJK SC"/>
        <family val="2"/>
      </rPr>
      <t xml:space="preserve">物件一括・</t>
    </r>
    <r>
      <rPr>
        <sz val="10"/>
        <color rgb="FF0000FF"/>
        <rFont val="Arial"/>
        <family val="0"/>
        <charset val="1"/>
      </rPr>
      <t xml:space="preserve">LJPF</t>
    </r>
    <r>
      <rPr>
        <sz val="10"/>
        <color rgb="FF0000FF"/>
        <rFont val="Noto Sans CJK SC"/>
        <family val="2"/>
      </rPr>
      <t xml:space="preserve">合同会社へ、個別譲渡価格非開示</t>
    </r>
    <r>
      <rPr>
        <sz val="10"/>
        <color rgb="FF0000FF"/>
        <rFont val="Arial"/>
        <family val="0"/>
        <charset val="1"/>
      </rPr>
      <t xml:space="preserve">)</t>
    </r>
    <r>
      <rPr>
        <sz val="10"/>
        <color rgb="FF0000FF"/>
        <rFont val="Noto Sans CJK SC"/>
        <family val="2"/>
      </rPr>
      <t xml:space="preserve">。前期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22</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に減損損失</t>
    </r>
    <r>
      <rPr>
        <sz val="10"/>
        <color rgb="FF0000FF"/>
        <rFont val="Arial"/>
        <family val="0"/>
        <charset val="1"/>
      </rPr>
      <t xml:space="preserve">191,715</t>
    </r>
    <r>
      <rPr>
        <sz val="10"/>
        <color rgb="FF0000FF"/>
        <rFont val="Noto Sans CJK SC"/>
        <family val="2"/>
      </rPr>
      <t xml:space="preserve">千円を計上済</t>
    </r>
    <r>
      <rPr>
        <sz val="10"/>
        <color rgb="FF0000FF"/>
        <rFont val="Arial"/>
        <family val="0"/>
        <charset val="1"/>
      </rPr>
      <t xml:space="preserve">(</t>
    </r>
    <r>
      <rPr>
        <sz val="10"/>
        <color rgb="FF0000FF"/>
        <rFont val="Noto Sans CJK SC"/>
        <family val="2"/>
      </rPr>
      <t xml:space="preserve">静岡市所在</t>
    </r>
    <r>
      <rPr>
        <sz val="10"/>
        <color rgb="FF0000FF"/>
        <rFont val="Arial"/>
        <family val="0"/>
        <charset val="1"/>
      </rPr>
      <t xml:space="preserve">)</t>
    </r>
    <r>
      <rPr>
        <sz val="10"/>
        <color rgb="FF0000FF"/>
        <rFont val="Noto Sans CJK SC"/>
        <family val="2"/>
      </rPr>
      <t xml:space="preserve">。期末保有物件でないため基本情報は当期末保有物件表の対象外</t>
    </r>
  </si>
  <si>
    <t xml:space="preserve">SHR-102</t>
  </si>
  <si>
    <t xml:space="preserve">シャーメゾンステージ広瀬通</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</si>
  <si>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R-114</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</si>
  <si>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SHR-103</t>
  </si>
  <si>
    <t xml:space="preserve">エスティメゾン東別院</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</si>
  <si>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R-115</t>
    </r>
    <r>
      <rPr>
        <sz val="10"/>
        <color rgb="FF0000FF"/>
        <rFont val="Noto Sans CJK SC"/>
        <family val="2"/>
      </rPr>
      <t xml:space="preserve">。</t>
    </r>
    <r>
      <rPr>
        <sz val="10"/>
        <color rgb="FF0000FF"/>
        <rFont val="Arial"/>
        <family val="0"/>
        <charset val="1"/>
      </rPr>
      <t xml:space="preserve">2026/1/29</t>
    </r>
    <r>
      <rPr>
        <sz val="10"/>
        <color rgb="FF0000FF"/>
        <rFont val="Noto Sans CJK SC"/>
        <family val="2"/>
      </rPr>
      <t xml:space="preserve">譲渡</t>
    </r>
    <r>
      <rPr>
        <sz val="10"/>
        <color rgb="FF0000FF"/>
        <rFont val="Arial"/>
        <family val="0"/>
        <charset val="1"/>
      </rPr>
      <t xml:space="preserve">(12</t>
    </r>
    <r>
      <rPr>
        <sz val="10"/>
        <color rgb="FF0000FF"/>
        <rFont val="Noto Sans CJK SC"/>
        <family val="2"/>
      </rPr>
      <t xml:space="preserve">物件一括・</t>
    </r>
    <r>
      <rPr>
        <sz val="10"/>
        <color rgb="FF0000FF"/>
        <rFont val="Arial"/>
        <family val="0"/>
        <charset val="1"/>
      </rPr>
      <t xml:space="preserve">LJPF</t>
    </r>
    <r>
      <rPr>
        <sz val="10"/>
        <color rgb="FF0000FF"/>
        <rFont val="Noto Sans CJK SC"/>
        <family val="2"/>
      </rPr>
      <t xml:space="preserve">合同会社へ、個別譲渡価格非開示</t>
    </r>
    <r>
      <rPr>
        <sz val="10"/>
        <color rgb="FF0000FF"/>
        <rFont val="Arial"/>
        <family val="0"/>
        <charset val="1"/>
      </rPr>
      <t xml:space="preserve">)</t>
    </r>
    <r>
      <rPr>
        <sz val="10"/>
        <color rgb="FF0000FF"/>
        <rFont val="Noto Sans CJK SC"/>
        <family val="2"/>
      </rPr>
      <t xml:space="preserve">。前期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22</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に減損損失</t>
    </r>
    <r>
      <rPr>
        <sz val="10"/>
        <color rgb="FF0000FF"/>
        <rFont val="Arial"/>
        <family val="0"/>
        <charset val="1"/>
      </rPr>
      <t xml:space="preserve">146,466</t>
    </r>
    <r>
      <rPr>
        <sz val="10"/>
        <color rgb="FF0000FF"/>
        <rFont val="Noto Sans CJK SC"/>
        <family val="2"/>
      </rPr>
      <t xml:space="preserve">千円を計上済</t>
    </r>
    <r>
      <rPr>
        <sz val="10"/>
        <color rgb="FF0000FF"/>
        <rFont val="Arial"/>
        <family val="0"/>
        <charset val="1"/>
      </rPr>
      <t xml:space="preserve">(</t>
    </r>
    <r>
      <rPr>
        <sz val="10"/>
        <color rgb="FF0000FF"/>
        <rFont val="Noto Sans CJK SC"/>
        <family val="2"/>
      </rPr>
      <t xml:space="preserve">名古屋市所在</t>
    </r>
    <r>
      <rPr>
        <sz val="10"/>
        <color rgb="FF0000FF"/>
        <rFont val="Arial"/>
        <family val="0"/>
        <charset val="1"/>
      </rPr>
      <t xml:space="preserve">)</t>
    </r>
    <r>
      <rPr>
        <sz val="10"/>
        <color rgb="FF0000FF"/>
        <rFont val="Noto Sans CJK SC"/>
        <family val="2"/>
      </rPr>
      <t xml:space="preserve">。期末保有物件でないため基本情報は当期末保有物件表の対象外</t>
    </r>
  </si>
  <si>
    <t xml:space="preserve">SHR-104</t>
  </si>
  <si>
    <t xml:space="preserve">エスティメゾン萱場</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</si>
  <si>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R-116</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</si>
  <si>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SHR-105</t>
  </si>
  <si>
    <t xml:space="preserve">エスティメゾン白壁南</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</si>
  <si>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R-117</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</si>
  <si>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SHR-106</t>
  </si>
  <si>
    <t xml:space="preserve">プライムメゾン下北沢</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</si>
  <si>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R-118</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</si>
  <si>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SHR-107</t>
  </si>
  <si>
    <t xml:space="preserve">プライムメゾン目黒</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</si>
  <si>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R-119</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</si>
  <si>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SHR-108</t>
  </si>
  <si>
    <t xml:space="preserve">プライムメゾン両国</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</si>
  <si>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R-120</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</si>
  <si>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SHR-109</t>
  </si>
  <si>
    <t xml:space="preserve">プライムメゾン中目黒</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</si>
  <si>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R-121</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</si>
  <si>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SHR-110</t>
  </si>
  <si>
    <t xml:space="preserve">プライムメゾン板橋</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</si>
  <si>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R-122</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</si>
  <si>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SHR-111</t>
  </si>
  <si>
    <t xml:space="preserve">プライムメゾン江古田の杜</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</si>
  <si>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R-123</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UR</t>
    </r>
    <r>
      <rPr>
        <sz val="10"/>
        <color rgb="FF0000FF"/>
        <rFont val="Noto Sans CJK SC"/>
        <family val="2"/>
      </rPr>
      <t xml:space="preserve">定期借地</t>
    </r>
    <r>
      <rPr>
        <sz val="10"/>
        <color rgb="FF0000FF"/>
        <rFont val="Arial"/>
        <family val="0"/>
        <charset val="1"/>
      </rPr>
      <t xml:space="preserve">(2015/4</t>
    </r>
    <r>
      <rPr>
        <sz val="10"/>
        <color rgb="FF0000FF"/>
        <rFont val="Noto Sans CJK SC"/>
        <family val="2"/>
      </rPr>
      <t xml:space="preserve">から</t>
    </r>
    <r>
      <rPr>
        <sz val="10"/>
        <color rgb="FF0000FF"/>
        <rFont val="Arial"/>
        <family val="0"/>
        <charset val="1"/>
      </rPr>
      <t xml:space="preserve">70</t>
    </r>
    <r>
      <rPr>
        <sz val="10"/>
        <color rgb="FF0000FF"/>
        <rFont val="Noto Sans CJK SC"/>
        <family val="2"/>
      </rPr>
      <t xml:space="preserve">年</t>
    </r>
    <r>
      <rPr>
        <sz val="10"/>
        <color rgb="FF0000FF"/>
        <rFont val="Arial"/>
        <family val="0"/>
        <charset val="1"/>
      </rPr>
      <t xml:space="preserve">)</t>
    </r>
    <r>
      <rPr>
        <sz val="10"/>
        <color rgb="FF0000FF"/>
        <rFont val="Noto Sans CJK SC"/>
        <family val="2"/>
      </rPr>
      <t xml:space="preserve">・定期建物賃貸借</t>
    </r>
    <r>
      <rPr>
        <sz val="10"/>
        <color rgb="FF0000FF"/>
        <rFont val="Arial"/>
        <family val="0"/>
        <charset val="1"/>
      </rPr>
      <t xml:space="preserve">ML(2032/8</t>
    </r>
    <r>
      <rPr>
        <sz val="10"/>
        <color rgb="FF0000FF"/>
        <rFont val="Noto Sans CJK SC"/>
        <family val="2"/>
      </rPr>
      <t xml:space="preserve">満了</t>
    </r>
    <r>
      <rPr>
        <sz val="10"/>
        <color rgb="FF0000FF"/>
        <rFont val="Arial"/>
        <family val="0"/>
        <charset val="1"/>
      </rPr>
      <t xml:space="preserve">)</t>
    </r>
    <r>
      <rPr>
        <sz val="10"/>
        <color rgb="FF0000FF"/>
        <rFont val="Noto Sans CJK SC"/>
        <family val="2"/>
      </rPr>
      <t xml:space="preserve">。</t>
    </r>
  </si>
  <si>
    <t xml:space="preserve">SHR-112</t>
  </si>
  <si>
    <t xml:space="preserve">プライムメゾン早稲田通り</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</si>
  <si>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R-124</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</si>
  <si>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SHR-113</t>
  </si>
  <si>
    <t xml:space="preserve">エスティメゾン登戸</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</si>
  <si>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R-125</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</si>
  <si>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SHR-114</t>
  </si>
  <si>
    <t xml:space="preserve">エスティメゾン大森</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</si>
  <si>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R-126</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</si>
  <si>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SHR-115</t>
  </si>
  <si>
    <t xml:space="preserve">エスティメゾン門前仲町</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</si>
  <si>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R-127</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</si>
  <si>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SHR-116</t>
  </si>
  <si>
    <t xml:space="preserve">エスティメゾン赤羽Ⅱ</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</si>
  <si>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R-128</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</si>
  <si>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SHR-117</t>
  </si>
  <si>
    <t xml:space="preserve">プライムメゾン湯島</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</si>
  <si>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R-129</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</si>
  <si>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SHR-118</t>
  </si>
  <si>
    <t xml:space="preserve">プライムメゾン中野坂上</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</si>
  <si>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R-130</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</si>
  <si>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SHR-119</t>
  </si>
  <si>
    <t xml:space="preserve">プライムメゾン方南町</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</si>
  <si>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R-131</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</si>
  <si>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SHR-120</t>
  </si>
  <si>
    <t xml:space="preserve">プライムメゾン門前仲町</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</si>
  <si>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R-132</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</si>
  <si>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SHR-121</t>
  </si>
  <si>
    <t xml:space="preserve">プライムメゾン西早稲田</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</si>
  <si>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R-133</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</si>
  <si>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SHR-122</t>
  </si>
  <si>
    <t xml:space="preserve">プライムメゾン浅草イースト</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</si>
  <si>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R-134</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</si>
  <si>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SHR-123</t>
  </si>
  <si>
    <t xml:space="preserve">プライムメゾン桜新町</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</si>
  <si>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R-135</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</si>
  <si>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SHR-124</t>
  </si>
  <si>
    <t xml:space="preserve">エスティメゾン南行徳</t>
  </si>
  <si>
    <t xml:space="preserve">市川市</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</si>
  <si>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R-136</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</si>
  <si>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SHR-125</t>
  </si>
  <si>
    <t xml:space="preserve">プライムメゾン森下ウエスト</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</si>
  <si>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R-137</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</si>
  <si>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SHR-126</t>
  </si>
  <si>
    <t xml:space="preserve">プライムメゾン横浜ウエスト</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</si>
  <si>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R-138</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</si>
  <si>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SHR-127</t>
  </si>
  <si>
    <t xml:space="preserve">エスティメゾン妙典</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</si>
  <si>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R-139</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</si>
  <si>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SHR-128</t>
  </si>
  <si>
    <t xml:space="preserve">エスティメゾン浦和</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</si>
  <si>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R-140</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</si>
  <si>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SHR-129</t>
  </si>
  <si>
    <t xml:space="preserve">エスティメゾン西横浜</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</si>
  <si>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R-141</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</si>
  <si>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SHR-130</t>
  </si>
  <si>
    <t xml:space="preserve">エスティメゾン大塚</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</si>
  <si>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R-142</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</si>
  <si>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SHR-131</t>
  </si>
  <si>
    <t xml:space="preserve">エスティメゾン浦和Ⅱ</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</si>
  <si>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R-143</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</si>
  <si>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SHR-132</t>
  </si>
  <si>
    <t xml:space="preserve">エスティメゾン川越</t>
  </si>
  <si>
    <t xml:space="preserve">川越市</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</si>
  <si>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R-144</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</si>
  <si>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SHR-133</t>
  </si>
  <si>
    <t xml:space="preserve">エスティメゾン八潮</t>
  </si>
  <si>
    <t xml:space="preserve">八潮市</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</si>
  <si>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R-145</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</si>
  <si>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SHR-134</t>
  </si>
  <si>
    <t xml:space="preserve">エスティメゾン川崎ウエスト</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</si>
  <si>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R-146</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</si>
  <si>
    <t xml:space="preserve">SHR-135</t>
  </si>
  <si>
    <t xml:space="preserve">プライムメゾン用賀砧公園</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</si>
  <si>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R-147</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2026/2</t>
    </r>
    <r>
      <rPr>
        <sz val="10"/>
        <color rgb="FF0000FF"/>
        <rFont val="Noto Sans CJK SC"/>
        <family val="2"/>
      </rPr>
      <t xml:space="preserve">取得。</t>
    </r>
  </si>
  <si>
    <t xml:space="preserve">SHR-136</t>
  </si>
  <si>
    <t xml:space="preserve">プライムメゾン蒲田</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</si>
  <si>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R-148</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2026/1</t>
    </r>
    <r>
      <rPr>
        <sz val="10"/>
        <color rgb="FF0000FF"/>
        <rFont val="Noto Sans CJK SC"/>
        <family val="2"/>
      </rPr>
      <t xml:space="preserve">取得。</t>
    </r>
  </si>
  <si>
    <t xml:space="preserve">SHR-137</t>
  </si>
  <si>
    <t xml:space="preserve">プライムメゾン千葉新町</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</si>
  <si>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R-149</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2026/2</t>
    </r>
    <r>
      <rPr>
        <sz val="10"/>
        <color rgb="FF0000FF"/>
        <rFont val="Noto Sans CJK SC"/>
        <family val="2"/>
      </rPr>
      <t xml:space="preserve">取得。</t>
    </r>
  </si>
  <si>
    <t xml:space="preserve">SHR-138</t>
  </si>
  <si>
    <t xml:space="preserve">プライムメゾン入谷</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</si>
  <si>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R-150</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2026/2</t>
    </r>
    <r>
      <rPr>
        <sz val="10"/>
        <color rgb="FF0000FF"/>
        <rFont val="Noto Sans CJK SC"/>
        <family val="2"/>
      </rPr>
      <t xml:space="preserve">取得。</t>
    </r>
  </si>
  <si>
    <t xml:space="preserve">SHR-139</t>
  </si>
  <si>
    <t xml:space="preserve">プライムメゾン清澄白河</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</si>
  <si>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R-151</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2026/1</t>
    </r>
    <r>
      <rPr>
        <sz val="10"/>
        <color rgb="FF0000FF"/>
        <rFont val="Noto Sans CJK SC"/>
        <family val="2"/>
      </rPr>
      <t xml:space="preserve">取得。</t>
    </r>
  </si>
  <si>
    <t xml:space="preserve">SHR-140</t>
  </si>
  <si>
    <t xml:space="preserve">プライムメゾン日本橋馬喰町</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</si>
  <si>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R-152</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2026/2</t>
    </r>
    <r>
      <rPr>
        <sz val="10"/>
        <color rgb="FF0000FF"/>
        <rFont val="Noto Sans CJK SC"/>
        <family val="2"/>
      </rPr>
      <t xml:space="preserve">取得。</t>
    </r>
  </si>
  <si>
    <t xml:space="preserve">SHR-141</t>
  </si>
  <si>
    <t xml:space="preserve">プライムメゾン清澄リバーフロント</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</si>
  <si>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R-153</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2026/2</t>
    </r>
    <r>
      <rPr>
        <sz val="10"/>
        <color rgb="FF0000FF"/>
        <rFont val="Noto Sans CJK SC"/>
        <family val="2"/>
      </rPr>
      <t xml:space="preserve">取得。</t>
    </r>
  </si>
  <si>
    <t xml:space="preserve">SHR-142</t>
  </si>
  <si>
    <t xml:space="preserve">エスティメゾン川口</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</si>
  <si>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R-154</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2026/3</t>
    </r>
    <r>
      <rPr>
        <sz val="10"/>
        <color rgb="FF0000FF"/>
        <rFont val="Noto Sans CJK SC"/>
        <family val="2"/>
      </rPr>
      <t xml:space="preserve">取得。</t>
    </r>
  </si>
  <si>
    <t xml:space="preserve">SHR-143</t>
  </si>
  <si>
    <t xml:space="preserve">エスティメゾン川崎本町</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</si>
  <si>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R-155</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2026/3</t>
    </r>
    <r>
      <rPr>
        <sz val="10"/>
        <color rgb="FF0000FF"/>
        <rFont val="Noto Sans CJK SC"/>
        <family val="2"/>
      </rPr>
      <t xml:space="preserve">取得。</t>
    </r>
  </si>
  <si>
    <t xml:space="preserve">SHR-144</t>
  </si>
  <si>
    <t xml:space="preserve">ザ アイビー オン ボーレン</t>
  </si>
  <si>
    <t xml:space="preserve">米国</t>
  </si>
  <si>
    <t xml:space="preserve">海外（米国）</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</si>
  <si>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A-001</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。米国ワシントン州シアトル・</t>
    </r>
    <r>
      <rPr>
        <sz val="10"/>
        <color rgb="FF0000FF"/>
        <rFont val="Arial"/>
        <family val="0"/>
        <charset val="1"/>
      </rPr>
      <t xml:space="preserve">LLC2</t>
    </r>
    <r>
      <rPr>
        <sz val="10"/>
        <color rgb="FF0000FF"/>
        <rFont val="Noto Sans CJK SC"/>
        <family val="2"/>
      </rPr>
      <t xml:space="preserve">社</t>
    </r>
    <r>
      <rPr>
        <sz val="10"/>
        <color rgb="FF0000FF"/>
        <rFont val="Arial"/>
        <family val="0"/>
        <charset val="1"/>
      </rPr>
      <t xml:space="preserve">(SHR Boren Avenue Partners I/II)</t>
    </r>
    <r>
      <rPr>
        <sz val="10"/>
        <color rgb="FF0000FF"/>
        <rFont val="Noto Sans CJK SC"/>
        <family val="2"/>
      </rPr>
      <t xml:space="preserve">出資経由で保有</t>
    </r>
    <r>
      <rPr>
        <sz val="10"/>
        <color rgb="FF0000FF"/>
        <rFont val="Arial"/>
        <family val="0"/>
        <charset val="1"/>
      </rPr>
      <t xml:space="preserve">(328</t>
    </r>
    <r>
      <rPr>
        <sz val="10"/>
        <color rgb="FF0000FF"/>
        <rFont val="Noto Sans CJK SC"/>
        <family val="2"/>
      </rPr>
      <t xml:space="preserve">百万米ドル</t>
    </r>
    <r>
      <rPr>
        <sz val="10"/>
        <color rgb="FF0000FF"/>
        <rFont val="Arial"/>
        <family val="0"/>
        <charset val="1"/>
      </rPr>
      <t xml:space="preserve">)</t>
    </r>
    <r>
      <rPr>
        <sz val="10"/>
        <color rgb="FF0000FF"/>
        <rFont val="Noto Sans CJK SC"/>
        <family val="2"/>
      </rPr>
      <t xml:space="preserve">。専有部分</t>
    </r>
    <r>
      <rPr>
        <sz val="10"/>
        <color rgb="FF0000FF"/>
        <rFont val="Arial"/>
        <family val="0"/>
        <charset val="1"/>
      </rPr>
      <t xml:space="preserve">5-44F</t>
    </r>
    <r>
      <rPr>
        <sz val="10"/>
        <color rgb="FF0000FF"/>
        <rFont val="Noto Sans CJK SC"/>
        <family val="2"/>
      </rPr>
      <t xml:space="preserve">等・敷地持分</t>
    </r>
    <r>
      <rPr>
        <sz val="10"/>
        <color rgb="FF0000FF"/>
        <rFont val="Arial"/>
        <family val="0"/>
        <charset val="1"/>
      </rPr>
      <t xml:space="preserve">89.51%</t>
    </r>
    <r>
      <rPr>
        <sz val="10"/>
        <color rgb="FF0000FF"/>
        <rFont val="Noto Sans CJK SC"/>
        <family val="2"/>
      </rPr>
      <t xml:space="preserve">。テナント</t>
    </r>
    <r>
      <rPr>
        <sz val="10"/>
        <color rgb="FF0000FF"/>
        <rFont val="Arial"/>
        <family val="0"/>
        <charset val="1"/>
      </rPr>
      <t xml:space="preserve">393</t>
    </r>
    <r>
      <rPr>
        <sz val="10"/>
        <color rgb="FF0000FF"/>
        <rFont val="Noto Sans CJK SC"/>
        <family val="2"/>
      </rPr>
      <t xml:space="preserve">。期末算定</t>
    </r>
    <r>
      <rPr>
        <sz val="10"/>
        <color rgb="FF0000FF"/>
        <rFont val="Arial"/>
        <family val="0"/>
        <charset val="1"/>
      </rPr>
      <t xml:space="preserve">358</t>
    </r>
    <r>
      <rPr>
        <sz val="10"/>
        <color rgb="FF0000FF"/>
        <rFont val="Noto Sans CJK SC"/>
        <family val="2"/>
      </rPr>
      <t xml:space="preserve">百万米ドル</t>
    </r>
    <r>
      <rPr>
        <sz val="10"/>
        <color rgb="FF0000FF"/>
        <rFont val="Arial"/>
        <family val="0"/>
        <charset val="1"/>
      </rPr>
      <t xml:space="preserve">(1</t>
    </r>
    <r>
      <rPr>
        <sz val="10"/>
        <color rgb="FF0000FF"/>
        <rFont val="Noto Sans CJK SC"/>
        <family val="2"/>
      </rPr>
      <t xml:space="preserve">米ドル</t>
    </r>
    <r>
      <rPr>
        <sz val="10"/>
        <color rgb="FF0000FF"/>
        <rFont val="Arial"/>
        <family val="0"/>
        <charset val="1"/>
      </rPr>
      <t xml:space="preserve">=160.39</t>
    </r>
    <r>
      <rPr>
        <sz val="10"/>
        <color rgb="FF0000FF"/>
        <rFont val="Noto Sans CJK SC"/>
        <family val="2"/>
      </rPr>
      <t xml:space="preserve">円換算</t>
    </r>
    <r>
      <rPr>
        <sz val="10"/>
        <color rgb="FF0000FF"/>
        <rFont val="Arial"/>
        <family val="0"/>
        <charset val="1"/>
      </rPr>
      <t xml:space="preserve">)</t>
    </r>
    <r>
      <rPr>
        <sz val="10"/>
        <color rgb="FF0000FF"/>
        <rFont val="Noto Sans CJK SC"/>
        <family val="2"/>
      </rPr>
      <t xml:space="preserve">。</t>
    </r>
  </si>
  <si>
    <t xml:space="preserve">SHR-145</t>
  </si>
  <si>
    <t xml:space="preserve">シティ リッジ</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</si>
  <si>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A-002</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。米国ワシントン</t>
    </r>
    <r>
      <rPr>
        <sz val="10"/>
        <color rgb="FF0000FF"/>
        <rFont val="Arial"/>
        <family val="0"/>
        <charset val="1"/>
      </rPr>
      <t xml:space="preserve">D.C.</t>
    </r>
    <r>
      <rPr>
        <sz val="10"/>
        <color rgb="FF0000FF"/>
        <rFont val="Noto Sans CJK SC"/>
        <family val="2"/>
      </rPr>
      <t xml:space="preserve">・</t>
    </r>
    <r>
      <rPr>
        <sz val="10"/>
        <color rgb="FF0000FF"/>
        <rFont val="Arial"/>
        <family val="0"/>
        <charset val="1"/>
      </rPr>
      <t xml:space="preserve">LLC2</t>
    </r>
    <r>
      <rPr>
        <sz val="10"/>
        <color rgb="FF0000FF"/>
        <rFont val="Noto Sans CJK SC"/>
        <family val="2"/>
      </rPr>
      <t xml:space="preserve">社</t>
    </r>
    <r>
      <rPr>
        <sz val="10"/>
        <color rgb="FF0000FF"/>
        <rFont val="Arial"/>
        <family val="0"/>
        <charset val="1"/>
      </rPr>
      <t xml:space="preserve">(SHR Ridge Square Partners I/II)</t>
    </r>
    <r>
      <rPr>
        <sz val="10"/>
        <color rgb="FF0000FF"/>
        <rFont val="Noto Sans CJK SC"/>
        <family val="2"/>
      </rPr>
      <t xml:space="preserve">出資経由で保有</t>
    </r>
    <r>
      <rPr>
        <sz val="10"/>
        <color rgb="FF0000FF"/>
        <rFont val="Arial"/>
        <family val="0"/>
        <charset val="1"/>
      </rPr>
      <t xml:space="preserve">(578</t>
    </r>
    <r>
      <rPr>
        <sz val="10"/>
        <color rgb="FF0000FF"/>
        <rFont val="Noto Sans CJK SC"/>
        <family val="2"/>
      </rPr>
      <t xml:space="preserve">百万米ドル・</t>
    </r>
    <r>
      <rPr>
        <sz val="10"/>
        <color rgb="FF0000FF"/>
        <rFont val="Arial"/>
        <family val="0"/>
        <charset val="1"/>
      </rPr>
      <t xml:space="preserve">2024/11</t>
    </r>
    <r>
      <rPr>
        <sz val="10"/>
        <color rgb="FF0000FF"/>
        <rFont val="Noto Sans CJK SC"/>
        <family val="2"/>
      </rPr>
      <t xml:space="preserve">と</t>
    </r>
    <r>
      <rPr>
        <sz val="10"/>
        <color rgb="FF0000FF"/>
        <rFont val="Arial"/>
        <family val="0"/>
        <charset val="1"/>
      </rPr>
      <t xml:space="preserve">2025/6</t>
    </r>
    <r>
      <rPr>
        <sz val="10"/>
        <color rgb="FF0000FF"/>
        <rFont val="Noto Sans CJK SC"/>
        <family val="2"/>
      </rPr>
      <t xml:space="preserve">の</t>
    </r>
    <r>
      <rPr>
        <sz val="10"/>
        <color rgb="FF0000FF"/>
        <rFont val="Arial"/>
        <family val="0"/>
        <charset val="1"/>
      </rPr>
      <t xml:space="preserve">2</t>
    </r>
    <r>
      <rPr>
        <sz val="10"/>
        <color rgb="FF0000FF"/>
        <rFont val="Noto Sans CJK SC"/>
        <family val="2"/>
      </rPr>
      <t xml:space="preserve">回取得</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6</t>
    </r>
    <r>
      <rPr>
        <sz val="10"/>
        <color rgb="FF0000FF"/>
        <rFont val="Noto Sans CJK SC"/>
        <family val="2"/>
      </rPr>
      <t xml:space="preserve">棟の住居専有部分</t>
    </r>
    <r>
      <rPr>
        <sz val="10"/>
        <color rgb="FF0000FF"/>
        <rFont val="Arial"/>
        <family val="0"/>
        <charset val="1"/>
      </rPr>
      <t xml:space="preserve">+</t>
    </r>
    <r>
      <rPr>
        <sz val="10"/>
        <color rgb="FF0000FF"/>
        <rFont val="Noto Sans CJK SC"/>
        <family val="2"/>
      </rPr>
      <t xml:space="preserve">入居者用地下駐車場。テナント</t>
    </r>
    <r>
      <rPr>
        <sz val="10"/>
        <color rgb="FF0000FF"/>
        <rFont val="Arial"/>
        <family val="0"/>
        <charset val="1"/>
      </rPr>
      <t xml:space="preserve">640</t>
    </r>
    <r>
      <rPr>
        <sz val="10"/>
        <color rgb="FF0000FF"/>
        <rFont val="Noto Sans CJK SC"/>
        <family val="2"/>
      </rPr>
      <t xml:space="preserve">。期末算定</t>
    </r>
    <r>
      <rPr>
        <sz val="10"/>
        <color rgb="FF0000FF"/>
        <rFont val="Arial"/>
        <family val="0"/>
        <charset val="1"/>
      </rPr>
      <t xml:space="preserve">598</t>
    </r>
    <r>
      <rPr>
        <sz val="10"/>
        <color rgb="FF0000FF"/>
        <rFont val="Noto Sans CJK SC"/>
        <family val="2"/>
      </rPr>
      <t xml:space="preserve">百万米ドル。</t>
    </r>
  </si>
  <si>
    <t xml:space="preserve">SHR-146</t>
  </si>
  <si>
    <t xml:space="preserve">御殿山ＳＨビル</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</si>
  <si>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O-002</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2023/3/29</t>
    </r>
    <r>
      <rPr>
        <sz val="10"/>
        <color rgb="FF0000FF"/>
        <rFont val="Noto Sans CJK SC"/>
        <family val="2"/>
      </rPr>
      <t xml:space="preserve">契約により</t>
    </r>
    <r>
      <rPr>
        <sz val="10"/>
        <color rgb="FF0000FF"/>
        <rFont val="Arial"/>
        <family val="0"/>
        <charset val="1"/>
      </rPr>
      <t xml:space="preserve">10</t>
    </r>
    <r>
      <rPr>
        <sz val="10"/>
        <color rgb="FF0000FF"/>
        <rFont val="Noto Sans CJK SC"/>
        <family val="2"/>
      </rPr>
      <t xml:space="preserve">回均等分割譲渡中</t>
    </r>
    <r>
      <rPr>
        <sz val="10"/>
        <color rgb="FF0000FF"/>
        <rFont val="Arial"/>
        <family val="0"/>
        <charset val="1"/>
      </rPr>
      <t xml:space="preserve">(TIS</t>
    </r>
    <r>
      <rPr>
        <sz val="10"/>
        <color rgb="FF0000FF"/>
        <rFont val="Noto Sans CJK SC"/>
        <family val="2"/>
      </rPr>
      <t xml:space="preserve">株式会社へ・総額</t>
    </r>
    <r>
      <rPr>
        <sz val="10"/>
        <color rgb="FF0000FF"/>
        <rFont val="Arial"/>
        <family val="0"/>
        <charset val="1"/>
      </rPr>
      <t xml:space="preserve">70,000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6</t>
    </r>
    <r>
      <rPr>
        <sz val="10"/>
        <color rgb="FF0000FF"/>
        <rFont val="Noto Sans CJK SC"/>
        <family val="2"/>
      </rPr>
      <t xml:space="preserve">回まで実施済</t>
    </r>
    <r>
      <rPr>
        <sz val="10"/>
        <color rgb="FF0000FF"/>
        <rFont val="Arial"/>
        <family val="0"/>
        <charset val="1"/>
      </rPr>
      <t xml:space="preserve">=</t>
    </r>
    <r>
      <rPr>
        <sz val="10"/>
        <color rgb="FF0000FF"/>
        <rFont val="Noto Sans CJK SC"/>
        <family val="2"/>
      </rPr>
      <t xml:space="preserve">準共有持分</t>
    </r>
    <r>
      <rPr>
        <sz val="10"/>
        <color rgb="FF0000FF"/>
        <rFont val="Arial"/>
        <family val="0"/>
        <charset val="1"/>
      </rPr>
      <t xml:space="preserve">60%</t>
    </r>
    <r>
      <rPr>
        <sz val="10"/>
        <color rgb="FF0000FF"/>
        <rFont val="Noto Sans CJK SC"/>
        <family val="2"/>
      </rPr>
      <t xml:space="preserve">譲渡済・残</t>
    </r>
    <r>
      <rPr>
        <sz val="10"/>
        <color rgb="FF0000FF"/>
        <rFont val="Arial"/>
        <family val="0"/>
        <charset val="1"/>
      </rPr>
      <t xml:space="preserve">40%</t>
    </r>
    <r>
      <rPr>
        <sz val="10"/>
        <color rgb="FF0000FF"/>
        <rFont val="Noto Sans CJK SC"/>
        <family val="2"/>
      </rPr>
      <t xml:space="preserve">保有</t>
    </r>
    <r>
      <rPr>
        <sz val="10"/>
        <color rgb="FF0000FF"/>
        <rFont val="Arial"/>
        <family val="0"/>
        <charset val="1"/>
      </rPr>
      <t xml:space="preserve">(</t>
    </r>
    <r>
      <rPr>
        <sz val="10"/>
        <color rgb="FF0000FF"/>
        <rFont val="Noto Sans CJK SC"/>
        <family val="2"/>
      </rPr>
      <t xml:space="preserve">帳簿・算定・</t>
    </r>
    <r>
      <rPr>
        <sz val="10"/>
        <color rgb="FF0000FF"/>
        <rFont val="Arial"/>
        <family val="0"/>
        <charset val="1"/>
      </rPr>
      <t xml:space="preserve">NLA</t>
    </r>
    <r>
      <rPr>
        <sz val="10"/>
        <color rgb="FF0000FF"/>
        <rFont val="Noto Sans CJK SC"/>
        <family val="2"/>
      </rPr>
      <t xml:space="preserve">は保有持分対応</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7-10</t>
    </r>
    <r>
      <rPr>
        <sz val="10"/>
        <color rgb="FF0000FF"/>
        <rFont val="Noto Sans CJK SC"/>
        <family val="2"/>
      </rPr>
      <t xml:space="preserve">回</t>
    </r>
    <r>
      <rPr>
        <sz val="10"/>
        <color rgb="FF0000FF"/>
        <rFont val="Arial"/>
        <family val="0"/>
        <charset val="1"/>
      </rPr>
      <t xml:space="preserve">(2026/10</t>
    </r>
    <r>
      <rPr>
        <sz val="10"/>
        <color rgb="FF0000FF"/>
        <rFont val="Noto Sans CJK SC"/>
        <family val="2"/>
      </rPr>
      <t xml:space="preserve">末</t>
    </r>
    <r>
      <rPr>
        <sz val="10"/>
        <color rgb="FF0000FF"/>
        <rFont val="Arial"/>
        <family val="0"/>
        <charset val="1"/>
      </rPr>
      <t xml:space="preserve">-2028/4</t>
    </r>
    <r>
      <rPr>
        <sz val="10"/>
        <color rgb="FF0000FF"/>
        <rFont val="Noto Sans CJK SC"/>
        <family val="2"/>
      </rPr>
      <t xml:space="preserve">末</t>
    </r>
    <r>
      <rPr>
        <sz val="10"/>
        <color rgb="FF0000FF"/>
        <rFont val="Arial"/>
        <family val="0"/>
        <charset val="1"/>
      </rPr>
      <t xml:space="preserve">)</t>
    </r>
    <r>
      <rPr>
        <sz val="10"/>
        <color rgb="FF0000FF"/>
        <rFont val="Noto Sans CJK SC"/>
        <family val="2"/>
      </rPr>
      <t xml:space="preserve">で各</t>
    </r>
    <r>
      <rPr>
        <sz val="10"/>
        <color rgb="FF0000FF"/>
        <rFont val="Arial"/>
        <family val="0"/>
        <charset val="1"/>
      </rPr>
      <t xml:space="preserve">7,000</t>
    </r>
    <r>
      <rPr>
        <sz val="10"/>
        <color rgb="FF0000FF"/>
        <rFont val="Noto Sans CJK SC"/>
        <family val="2"/>
      </rPr>
      <t xml:space="preserve">百万円・売却益</t>
    </r>
    <r>
      <rPr>
        <sz val="10"/>
        <color rgb="FF0000FF"/>
        <rFont val="Arial"/>
        <family val="0"/>
        <charset val="1"/>
      </rPr>
      <t xml:space="preserve">2,154/2,168/2,182/2,194</t>
    </r>
    <r>
      <rPr>
        <sz val="10"/>
        <color rgb="FF0000FF"/>
        <rFont val="Noto Sans CJK SC"/>
        <family val="2"/>
      </rPr>
      <t xml:space="preserve">百万円計上見込。</t>
    </r>
  </si>
  <si>
    <t xml:space="preserve">SHR-147</t>
  </si>
  <si>
    <t xml:space="preserve">本町南ガーデンシティ</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</si>
  <si>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O-003</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。積水ハウス本社ビル</t>
    </r>
    <r>
      <rPr>
        <sz val="10"/>
        <color rgb="FF0000FF"/>
        <rFont val="Arial"/>
        <family val="0"/>
        <charset val="1"/>
      </rPr>
      <t xml:space="preserve">(</t>
    </r>
    <r>
      <rPr>
        <sz val="10"/>
        <color rgb="FF0000FF"/>
        <rFont val="Noto Sans CJK SC"/>
        <family val="2"/>
      </rPr>
      <t xml:space="preserve">賃料固定型</t>
    </r>
    <r>
      <rPr>
        <sz val="10"/>
        <color rgb="FF0000FF"/>
        <rFont val="Arial"/>
        <family val="0"/>
        <charset val="1"/>
      </rPr>
      <t xml:space="preserve">ML</t>
    </r>
    <r>
      <rPr>
        <sz val="10"/>
        <color rgb="FF0000FF"/>
        <rFont val="Noto Sans CJK SC"/>
        <family val="2"/>
      </rPr>
      <t xml:space="preserve">・</t>
    </r>
    <r>
      <rPr>
        <sz val="10"/>
        <color rgb="FF0000FF"/>
        <rFont val="Arial"/>
        <family val="0"/>
        <charset val="1"/>
      </rPr>
      <t xml:space="preserve">2026/12</t>
    </r>
    <r>
      <rPr>
        <sz val="10"/>
        <color rgb="FF0000FF"/>
        <rFont val="Noto Sans CJK SC"/>
        <family val="2"/>
      </rPr>
      <t xml:space="preserve">満了</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SHR</t>
    </r>
    <r>
      <rPr>
        <sz val="10"/>
        <color rgb="FF0000FF"/>
        <rFont val="Noto Sans CJK SC"/>
        <family val="2"/>
      </rPr>
      <t xml:space="preserve">最大収益物件</t>
    </r>
    <r>
      <rPr>
        <sz val="10"/>
        <color rgb="FF0000FF"/>
        <rFont val="Arial"/>
        <family val="0"/>
        <charset val="1"/>
      </rPr>
      <t xml:space="preserve">(</t>
    </r>
    <r>
      <rPr>
        <sz val="10"/>
        <color rgb="FF0000FF"/>
        <rFont val="Noto Sans CJK SC"/>
        <family val="2"/>
      </rPr>
      <t xml:space="preserve">総収益の</t>
    </r>
    <r>
      <rPr>
        <sz val="10"/>
        <color rgb="FF0000FF"/>
        <rFont val="Arial"/>
        <family val="0"/>
        <charset val="1"/>
      </rPr>
      <t xml:space="preserve">10.1%)</t>
    </r>
    <r>
      <rPr>
        <sz val="10"/>
        <color rgb="FF0000FF"/>
        <rFont val="Noto Sans CJK SC"/>
        <family val="2"/>
      </rPr>
      <t xml:space="preserve">・主要な不動産に該当。パススルー型</t>
    </r>
    <r>
      <rPr>
        <sz val="10"/>
        <color rgb="FF0000FF"/>
        <rFont val="Arial"/>
        <family val="0"/>
        <charset val="1"/>
      </rPr>
      <t xml:space="preserve">ML(</t>
    </r>
    <r>
      <rPr>
        <sz val="10"/>
        <color rgb="FF0000FF"/>
        <rFont val="Noto Sans CJK SC"/>
        <family val="2"/>
      </rPr>
      <t xml:space="preserve">エンドテナント</t>
    </r>
    <r>
      <rPr>
        <sz val="10"/>
        <color rgb="FF0000FF"/>
        <rFont val="Arial"/>
        <family val="0"/>
        <charset val="1"/>
      </rPr>
      <t xml:space="preserve">17)</t>
    </r>
    <r>
      <rPr>
        <sz val="10"/>
        <color rgb="FF0000FF"/>
        <rFont val="Noto Sans CJK SC"/>
        <family val="2"/>
      </rPr>
      <t xml:space="preserve">。</t>
    </r>
  </si>
  <si>
    <t xml:space="preserve">SHR-148</t>
  </si>
  <si>
    <t xml:space="preserve">ＨＫ淀屋橋ガーデンアベニュー</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</si>
  <si>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O-005</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。区分所有権</t>
    </r>
    <r>
      <rPr>
        <sz val="10"/>
        <color rgb="FF0000FF"/>
        <rFont val="Arial"/>
        <family val="0"/>
        <charset val="1"/>
      </rPr>
      <t xml:space="preserve">(1-6F</t>
    </r>
    <r>
      <rPr>
        <sz val="10"/>
        <color rgb="FF0000FF"/>
        <rFont val="Noto Sans CJK SC"/>
        <family val="2"/>
      </rPr>
      <t xml:space="preserve">・敷地権割合約</t>
    </r>
    <r>
      <rPr>
        <sz val="10"/>
        <color rgb="FF0000FF"/>
        <rFont val="Arial"/>
        <family val="0"/>
        <charset val="1"/>
      </rPr>
      <t xml:space="preserve">40.6%)</t>
    </r>
    <r>
      <rPr>
        <sz val="10"/>
        <color rgb="FF0000FF"/>
        <rFont val="Noto Sans CJK SC"/>
        <family val="2"/>
      </rPr>
      <t xml:space="preserve">・パススルー型</t>
    </r>
    <r>
      <rPr>
        <sz val="10"/>
        <color rgb="FF0000FF"/>
        <rFont val="Arial"/>
        <family val="0"/>
        <charset val="1"/>
      </rPr>
      <t xml:space="preserve">ML(</t>
    </r>
    <r>
      <rPr>
        <sz val="10"/>
        <color rgb="FF0000FF"/>
        <rFont val="Noto Sans CJK SC"/>
        <family val="2"/>
      </rPr>
      <t xml:space="preserve">エンドテナント</t>
    </r>
    <r>
      <rPr>
        <sz val="10"/>
        <color rgb="FF0000FF"/>
        <rFont val="Arial"/>
        <family val="0"/>
        <charset val="1"/>
      </rPr>
      <t xml:space="preserve">7)</t>
    </r>
    <r>
      <rPr>
        <sz val="10"/>
        <color rgb="FF0000FF"/>
        <rFont val="Noto Sans CJK SC"/>
        <family val="2"/>
      </rPr>
      <t xml:space="preserve">。パススルー型</t>
    </r>
    <r>
      <rPr>
        <sz val="10"/>
        <color rgb="FF0000FF"/>
        <rFont val="Arial"/>
        <family val="0"/>
        <charset val="1"/>
      </rPr>
      <t xml:space="preserve">ML(</t>
    </r>
    <r>
      <rPr>
        <sz val="10"/>
        <color rgb="FF0000FF"/>
        <rFont val="Noto Sans CJK SC"/>
        <family val="2"/>
      </rPr>
      <t xml:space="preserve">エンドテナント</t>
    </r>
    <r>
      <rPr>
        <sz val="10"/>
        <color rgb="FF0000FF"/>
        <rFont val="Arial"/>
        <family val="0"/>
        <charset val="1"/>
      </rPr>
      <t xml:space="preserve">7)</t>
    </r>
    <r>
      <rPr>
        <sz val="10"/>
        <color rgb="FF0000FF"/>
        <rFont val="Noto Sans CJK SC"/>
        <family val="2"/>
      </rPr>
      <t xml:space="preserve">。</t>
    </r>
  </si>
  <si>
    <t xml:space="preserve">SHR-149</t>
  </si>
  <si>
    <t xml:space="preserve">広小路ガーデンアベニュー</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</si>
  <si>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O-006</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。パススルー型</t>
    </r>
    <r>
      <rPr>
        <sz val="10"/>
        <color rgb="FF0000FF"/>
        <rFont val="Arial"/>
        <family val="0"/>
        <charset val="1"/>
      </rPr>
      <t xml:space="preserve">ML(</t>
    </r>
    <r>
      <rPr>
        <sz val="10"/>
        <color rgb="FF0000FF"/>
        <rFont val="Noto Sans CJK SC"/>
        <family val="2"/>
      </rPr>
      <t xml:space="preserve">エンドテナント</t>
    </r>
    <r>
      <rPr>
        <sz val="10"/>
        <color rgb="FF0000FF"/>
        <rFont val="Arial"/>
        <family val="0"/>
        <charset val="1"/>
      </rPr>
      <t xml:space="preserve">8)</t>
    </r>
    <r>
      <rPr>
        <sz val="10"/>
        <color rgb="FF0000FF"/>
        <rFont val="Noto Sans CJK SC"/>
        <family val="2"/>
      </rPr>
      <t xml:space="preserve">。パススルー型</t>
    </r>
    <r>
      <rPr>
        <sz val="10"/>
        <color rgb="FF0000FF"/>
        <rFont val="Arial"/>
        <family val="0"/>
        <charset val="1"/>
      </rPr>
      <t xml:space="preserve">ML(</t>
    </r>
    <r>
      <rPr>
        <sz val="10"/>
        <color rgb="FF0000FF"/>
        <rFont val="Noto Sans CJK SC"/>
        <family val="2"/>
      </rPr>
      <t xml:space="preserve">エンドテナント</t>
    </r>
    <r>
      <rPr>
        <sz val="10"/>
        <color rgb="FF0000FF"/>
        <rFont val="Arial"/>
        <family val="0"/>
        <charset val="1"/>
      </rPr>
      <t xml:space="preserve">8)</t>
    </r>
    <r>
      <rPr>
        <sz val="10"/>
        <color rgb="FF0000FF"/>
        <rFont val="Noto Sans CJK SC"/>
        <family val="2"/>
      </rPr>
      <t xml:space="preserve">。</t>
    </r>
  </si>
  <si>
    <t xml:space="preserve">SHR-150</t>
  </si>
  <si>
    <t xml:space="preserve">新宿ヒロセビル</t>
  </si>
  <si>
    <r>
      <rPr>
        <sz val="10"/>
        <color rgb="FF0000FF"/>
        <rFont val="Arial"/>
        <family val="0"/>
        <charset val="1"/>
      </rPr>
      <t xml:space="preserve">SHR</t>
    </r>
    <r>
      <rPr>
        <sz val="10"/>
        <color rgb="FF0000FF"/>
        <rFont val="Noto Sans CJK SC"/>
        <family val="2"/>
      </rPr>
      <t xml:space="preserve">物件番号</t>
    </r>
    <r>
      <rPr>
        <sz val="10"/>
        <color rgb="FF0000FF"/>
        <rFont val="Arial"/>
        <family val="0"/>
        <charset val="1"/>
      </rPr>
      <t xml:space="preserve">O-008</t>
    </r>
    <r>
      <rPr>
        <sz val="10"/>
        <color rgb="FF0000FF"/>
        <rFont val="Noto Sans CJK SC"/>
        <family val="2"/>
      </rPr>
      <t xml:space="preserve">。全物件で積水ハウスグループ等とのマスターリース契約</t>
    </r>
    <r>
      <rPr>
        <sz val="10"/>
        <color rgb="FF0000FF"/>
        <rFont val="Arial"/>
        <family val="0"/>
        <charset val="1"/>
      </rPr>
      <t xml:space="preserve">(</t>
    </r>
    <r>
      <rPr>
        <sz val="10"/>
        <color rgb="FF0000FF"/>
        <rFont val="Noto Sans CJK SC"/>
        <family val="2"/>
      </rPr>
      <t xml:space="preserve">国内住居はテナント</t>
    </r>
    <r>
      <rPr>
        <sz val="10"/>
        <color rgb="FF0000FF"/>
        <rFont val="Arial"/>
        <family val="0"/>
        <charset val="1"/>
      </rPr>
      <t xml:space="preserve">1=ML</t>
    </r>
    <r>
      <rPr>
        <sz val="10"/>
        <color rgb="FF0000FF"/>
        <rFont val="Noto Sans CJK SC"/>
        <family val="2"/>
      </rPr>
      <t xml:space="preserve">会社</t>
    </r>
    <r>
      <rPr>
        <sz val="10"/>
        <color rgb="FF0000FF"/>
        <rFont val="Arial"/>
        <family val="0"/>
        <charset val="1"/>
      </rPr>
      <t xml:space="preserve">)</t>
    </r>
    <r>
      <rPr>
        <sz val="10"/>
        <color rgb="FF0000FF"/>
        <rFont val="Noto Sans CJK SC"/>
        <family val="2"/>
      </rPr>
      <t xml:space="preserve">。物件別の千円単位個別収支</t>
    </r>
    <r>
      <rPr>
        <sz val="10"/>
        <color rgb="FF0000FF"/>
        <rFont val="Arial"/>
        <family val="0"/>
        <charset val="1"/>
      </rPr>
      <t xml:space="preserve">(</t>
    </r>
    <r>
      <rPr>
        <sz val="10"/>
        <color rgb="FF0000FF"/>
        <rFont val="Noto Sans CJK SC"/>
        <family val="2"/>
      </rPr>
      <t xml:space="preserve">費用内訳含む</t>
    </r>
    <r>
      <rPr>
        <sz val="10"/>
        <color rgb="FF0000FF"/>
        <rFont val="Arial"/>
        <family val="0"/>
        <charset val="1"/>
      </rPr>
      <t xml:space="preserve">)</t>
    </r>
    <r>
      <rPr>
        <sz val="10"/>
        <color rgb="FF0000FF"/>
        <rFont val="Noto Sans CJK SC"/>
        <family val="2"/>
      </rPr>
      <t xml:space="preserve">が短信</t>
    </r>
    <r>
      <rPr>
        <sz val="10"/>
        <color rgb="FF0000FF"/>
        <rFont val="Arial"/>
        <family val="0"/>
        <charset val="1"/>
      </rPr>
      <t xml:space="preserve">p.72</t>
    </r>
    <r>
      <rPr>
        <sz val="10"/>
        <color rgb="FF0000FF"/>
        <rFont val="Noto Sans CJK SC"/>
        <family val="2"/>
      </rPr>
      <t xml:space="preserve">以降に開示あり</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t>
    </r>
    <r>
      <rPr>
        <sz val="10"/>
        <color rgb="FF0000FF"/>
        <rFont val="Noto Sans CJK SC"/>
        <family val="2"/>
      </rPr>
      <t xml:space="preserve">は賃貸借状況表の収益</t>
    </r>
    <r>
      <rPr>
        <sz val="10"/>
        <color rgb="FF0000FF"/>
        <rFont val="Arial"/>
        <family val="0"/>
        <charset val="1"/>
      </rPr>
      <t xml:space="preserve">(</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を収録・将来精緻化候補</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2023/12</t>
    </r>
    <r>
      <rPr>
        <sz val="10"/>
        <color rgb="FF0000FF"/>
        <rFont val="Noto Sans CJK SC"/>
        <family val="2"/>
      </rPr>
      <t xml:space="preserve">取得・テナント</t>
    </r>
    <r>
      <rPr>
        <sz val="10"/>
        <color rgb="FF0000FF"/>
        <rFont val="Arial"/>
        <family val="0"/>
        <charset val="1"/>
      </rPr>
      <t xml:space="preserve">3</t>
    </r>
    <r>
      <rPr>
        <sz val="10"/>
        <color rgb="FF0000FF"/>
        <rFont val="Noto Sans CJK SC"/>
        <family val="2"/>
      </rPr>
      <t xml:space="preserve">。ポートフォリオ最古</t>
    </r>
    <r>
      <rPr>
        <sz val="10"/>
        <color rgb="FF0000FF"/>
        <rFont val="Arial"/>
        <family val="0"/>
        <charset val="1"/>
      </rPr>
      <t xml:space="preserve">(1985</t>
    </r>
    <r>
      <rPr>
        <sz val="10"/>
        <color rgb="FF0000FF"/>
        <rFont val="Noto Sans CJK SC"/>
        <family val="2"/>
      </rPr>
      <t xml:space="preserve">年竣工</t>
    </r>
    <r>
      <rPr>
        <sz val="10"/>
        <color rgb="FF0000FF"/>
        <rFont val="Arial"/>
        <family val="0"/>
        <charset val="1"/>
      </rPr>
      <t xml:space="preserve">)</t>
    </r>
    <r>
      <rPr>
        <sz val="10"/>
        <color rgb="FF0000FF"/>
        <rFont val="Noto Sans CJK SC"/>
        <family val="2"/>
      </rPr>
      <t xml:space="preserve">。</t>
    </r>
  </si>
  <si>
    <t xml:space="preserve">MTR-ALL</t>
  </si>
  <si>
    <t xml:space="preserve">（MTR全20物件一括）</t>
  </si>
  <si>
    <r>
      <rPr>
        <sz val="10"/>
        <color rgb="FF0000FF"/>
        <rFont val="Arial"/>
        <family val="0"/>
        <charset val="1"/>
      </rPr>
      <t xml:space="preserve">MTR 2026</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48</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(2026/4/22</t>
    </r>
    <r>
      <rPr>
        <sz val="10"/>
        <color rgb="FF0000FF"/>
        <rFont val="Noto Sans CJK SC"/>
        <family val="2"/>
      </rPr>
      <t xml:space="preserve">公表</t>
    </r>
    <r>
      <rPr>
        <sz val="10"/>
        <color rgb="FF0000FF"/>
        <rFont val="Arial"/>
        <family val="0"/>
        <charset val="1"/>
      </rPr>
      <t xml:space="preserve">)</t>
    </r>
  </si>
  <si>
    <r>
      <rPr>
        <sz val="10"/>
        <color rgb="FF0000FF"/>
        <rFont val="Arial"/>
        <family val="0"/>
        <charset val="1"/>
      </rPr>
      <t xml:space="preserve">MTR</t>
    </r>
    <r>
      <rPr>
        <sz val="10"/>
        <color rgb="FF0000FF"/>
        <rFont val="Noto Sans CJK SC"/>
        <family val="2"/>
      </rPr>
      <t xml:space="preserve">全</t>
    </r>
    <r>
      <rPr>
        <sz val="10"/>
        <color rgb="FF0000FF"/>
        <rFont val="Arial"/>
        <family val="0"/>
        <charset val="1"/>
      </rPr>
      <t xml:space="preserve">20</t>
    </r>
    <r>
      <rPr>
        <sz val="10"/>
        <color rgb="FF0000FF"/>
        <rFont val="Noto Sans CJK SC"/>
        <family val="2"/>
      </rPr>
      <t xml:space="preserve">物件の一括行。取得価格</t>
    </r>
    <r>
      <rPr>
        <sz val="10"/>
        <color rgb="FF0000FF"/>
        <rFont val="Arial"/>
        <family val="0"/>
        <charset val="1"/>
      </rPr>
      <t xml:space="preserve">463,522</t>
    </r>
    <r>
      <rPr>
        <sz val="10"/>
        <color rgb="FF0000FF"/>
        <rFont val="Noto Sans CJK SC"/>
        <family val="2"/>
      </rPr>
      <t xml:space="preserve">百万円・鑑定</t>
    </r>
    <r>
      <rPr>
        <sz val="10"/>
        <color rgb="FF0000FF"/>
        <rFont val="Arial"/>
        <family val="0"/>
        <charset val="1"/>
      </rPr>
      <t xml:space="preserve">536,419</t>
    </r>
    <r>
      <rPr>
        <sz val="10"/>
        <color rgb="FF0000FF"/>
        <rFont val="Noto Sans CJK SC"/>
        <family val="2"/>
      </rPr>
      <t xml:space="preserve">百万円・</t>
    </r>
    <r>
      <rPr>
        <sz val="10"/>
        <color rgb="FF0000FF"/>
        <rFont val="Arial"/>
        <family val="0"/>
        <charset val="1"/>
      </rPr>
      <t xml:space="preserve">NLA506,295.29</t>
    </r>
    <r>
      <rPr>
        <sz val="10"/>
        <color rgb="FF0000FF"/>
        <rFont val="Noto Sans CJK SC"/>
        <family val="2"/>
      </rPr>
      <t xml:space="preserve">㎡・賃貸面積</t>
    </r>
    <r>
      <rPr>
        <sz val="10"/>
        <color rgb="FF0000FF"/>
        <rFont val="Arial"/>
        <family val="0"/>
        <charset val="1"/>
      </rPr>
      <t xml:space="preserve">504,391.32</t>
    </r>
    <r>
      <rPr>
        <sz val="10"/>
        <color rgb="FF0000FF"/>
        <rFont val="Noto Sans CJK SC"/>
        <family val="2"/>
      </rPr>
      <t xml:space="preserve">㎡・テナント総数</t>
    </r>
    <r>
      <rPr>
        <sz val="10"/>
        <color rgb="FF0000FF"/>
        <rFont val="Arial"/>
        <family val="0"/>
        <charset val="1"/>
      </rPr>
      <t xml:space="preserve">122(ML</t>
    </r>
    <r>
      <rPr>
        <sz val="10"/>
        <color rgb="FF0000FF"/>
        <rFont val="Noto Sans CJK SC"/>
        <family val="2"/>
      </rPr>
      <t xml:space="preserve">基準</t>
    </r>
    <r>
      <rPr>
        <sz val="10"/>
        <color rgb="FF0000FF"/>
        <rFont val="Arial"/>
        <family val="0"/>
        <charset val="1"/>
      </rPr>
      <t xml:space="preserve">)</t>
    </r>
    <r>
      <rPr>
        <sz val="10"/>
        <color rgb="FF0000FF"/>
        <rFont val="Noto Sans CJK SC"/>
        <family val="2"/>
      </rPr>
      <t xml:space="preserve">は物件別合算と完全一致、帳簿合算</t>
    </r>
    <r>
      <rPr>
        <sz val="10"/>
        <color rgb="FF0000FF"/>
        <rFont val="Arial"/>
        <family val="0"/>
        <charset val="1"/>
      </rPr>
      <t xml:space="preserve">441,957</t>
    </r>
    <r>
      <rPr>
        <sz val="10"/>
        <color rgb="FF0000FF"/>
        <rFont val="Noto Sans CJK SC"/>
        <family val="2"/>
      </rPr>
      <t xml:space="preserve">は合計</t>
    </r>
    <r>
      <rPr>
        <sz val="10"/>
        <color rgb="FF0000FF"/>
        <rFont val="Arial"/>
        <family val="0"/>
        <charset val="1"/>
      </rPr>
      <t xml:space="preserve">441,966</t>
    </r>
    <r>
      <rPr>
        <sz val="10"/>
        <color rgb="FF0000FF"/>
        <rFont val="Noto Sans CJK SC"/>
        <family val="2"/>
      </rPr>
      <t xml:space="preserve">比</t>
    </r>
    <r>
      <rPr>
        <sz val="10"/>
        <color rgb="FF0000FF"/>
        <rFont val="Arial"/>
        <family val="0"/>
        <charset val="1"/>
      </rPr>
      <t xml:space="preserve">-9=</t>
    </r>
    <r>
      <rPr>
        <sz val="10"/>
        <color rgb="FF0000FF"/>
        <rFont val="Noto Sans CJK SC"/>
        <family val="2"/>
      </rPr>
      <t xml:space="preserve">百万円切捨て累積。稼働</t>
    </r>
    <r>
      <rPr>
        <sz val="10"/>
        <color rgb="FF0000FF"/>
        <rFont val="Arial"/>
        <family val="0"/>
        <charset val="1"/>
      </rPr>
      <t xml:space="preserve">99.6%(</t>
    </r>
    <r>
      <rPr>
        <sz val="10"/>
        <color rgb="FF0000FF"/>
        <rFont val="Noto Sans CJK SC"/>
        <family val="2"/>
      </rPr>
      <t xml:space="preserve">サブリース基準</t>
    </r>
    <r>
      <rPr>
        <sz val="10"/>
        <color rgb="FF0000FF"/>
        <rFont val="Arial"/>
        <family val="0"/>
        <charset val="1"/>
      </rPr>
      <t xml:space="preserve">99.2%)</t>
    </r>
    <r>
      <rPr>
        <sz val="10"/>
        <color rgb="FF0000FF"/>
        <rFont val="Noto Sans CJK SC"/>
        <family val="2"/>
      </rPr>
      <t xml:space="preserve">。</t>
    </r>
    <r>
      <rPr>
        <sz val="10"/>
        <color rgb="FF0000FF"/>
        <rFont val="Arial"/>
        <family val="0"/>
        <charset val="1"/>
      </rPr>
      <t xml:space="preserve">2023/3/1</t>
    </r>
    <r>
      <rPr>
        <sz val="10"/>
        <color rgb="FF0000FF"/>
        <rFont val="Noto Sans CJK SC"/>
        <family val="2"/>
      </rPr>
      <t xml:space="preserve">に森トラスト・ホテルリート投資法人</t>
    </r>
    <r>
      <rPr>
        <sz val="10"/>
        <color rgb="FF0000FF"/>
        <rFont val="Arial"/>
        <family val="0"/>
        <charset val="1"/>
      </rPr>
      <t xml:space="preserve">(MTH)</t>
    </r>
    <r>
      <rPr>
        <sz val="10"/>
        <color rgb="FF0000FF"/>
        <rFont val="Noto Sans CJK SC"/>
        <family val="2"/>
      </rPr>
      <t xml:space="preserve">を吸収合併し森トラスト総合リートから商号変更</t>
    </r>
    <r>
      <rPr>
        <sz val="10"/>
        <color rgb="FF0000FF"/>
        <rFont val="Arial"/>
        <family val="0"/>
        <charset val="1"/>
      </rPr>
      <t xml:space="preserve">(MTH</t>
    </r>
    <r>
      <rPr>
        <sz val="10"/>
        <color rgb="FF0000FF"/>
        <rFont val="Noto Sans CJK SC"/>
        <family val="2"/>
      </rPr>
      <t xml:space="preserve">物件</t>
    </r>
    <r>
      <rPr>
        <sz val="10"/>
        <color rgb="FF0000FF"/>
        <rFont val="Arial"/>
        <family val="0"/>
        <charset val="1"/>
      </rPr>
      <t xml:space="preserve">6</t>
    </r>
    <r>
      <rPr>
        <sz val="10"/>
        <color rgb="FF0000FF"/>
        <rFont val="Noto Sans CJK SC"/>
        <family val="2"/>
      </rPr>
      <t xml:space="preserve">件の取得価格は合併受入価格</t>
    </r>
    <r>
      <rPr>
        <sz val="10"/>
        <color rgb="FF0000FF"/>
        <rFont val="Arial"/>
        <family val="0"/>
        <charset val="1"/>
      </rPr>
      <t xml:space="preserve">=2023/2</t>
    </r>
    <r>
      <rPr>
        <sz val="10"/>
        <color rgb="FF0000FF"/>
        <rFont val="Noto Sans CJK SC"/>
        <family val="2"/>
      </rPr>
      <t xml:space="preserve">期末鑑定評価額・のれん</t>
    </r>
    <r>
      <rPr>
        <sz val="10"/>
        <color rgb="FF0000FF"/>
        <rFont val="Arial"/>
        <family val="0"/>
        <charset val="1"/>
      </rPr>
      <t xml:space="preserve">534</t>
    </r>
    <r>
      <rPr>
        <sz val="10"/>
        <color rgb="FF0000FF"/>
        <rFont val="Noto Sans CJK SC"/>
        <family val="2"/>
      </rPr>
      <t xml:space="preserve">百万円を</t>
    </r>
    <r>
      <rPr>
        <sz val="10"/>
        <color rgb="FF0000FF"/>
        <rFont val="Arial"/>
        <family val="0"/>
        <charset val="1"/>
      </rPr>
      <t xml:space="preserve">20</t>
    </r>
    <r>
      <rPr>
        <sz val="10"/>
        <color rgb="FF0000FF"/>
        <rFont val="Noto Sans CJK SC"/>
        <family val="2"/>
      </rPr>
      <t xml:space="preserve">年均等償却中</t>
    </r>
    <r>
      <rPr>
        <sz val="10"/>
        <color rgb="FF0000FF"/>
        <rFont val="Arial"/>
        <family val="0"/>
        <charset val="1"/>
      </rPr>
      <t xml:space="preserve">)</t>
    </r>
    <r>
      <rPr>
        <sz val="10"/>
        <color rgb="FF0000FF"/>
        <rFont val="Noto Sans CJK SC"/>
        <family val="2"/>
      </rPr>
      <t xml:space="preserve">。用途</t>
    </r>
    <r>
      <rPr>
        <sz val="10"/>
        <color rgb="FF0000FF"/>
        <rFont val="Arial"/>
        <family val="0"/>
        <charset val="1"/>
      </rPr>
      <t xml:space="preserve">: </t>
    </r>
    <r>
      <rPr>
        <sz val="10"/>
        <color rgb="FF0000FF"/>
        <rFont val="Noto Sans CJK SC"/>
        <family val="2"/>
      </rPr>
      <t xml:space="preserve">オフィス</t>
    </r>
    <r>
      <rPr>
        <sz val="10"/>
        <color rgb="FF0000FF"/>
        <rFont val="Arial"/>
        <family val="0"/>
        <charset val="1"/>
      </rPr>
      <t xml:space="preserve">10(272,365)+</t>
    </r>
    <r>
      <rPr>
        <sz val="10"/>
        <color rgb="FF0000FF"/>
        <rFont val="Noto Sans CJK SC"/>
        <family val="2"/>
      </rPr>
      <t xml:space="preserve">ホテル</t>
    </r>
    <r>
      <rPr>
        <sz val="10"/>
        <color rgb="FF0000FF"/>
        <rFont val="Arial"/>
        <family val="0"/>
        <charset val="1"/>
      </rPr>
      <t xml:space="preserve">6(142,217)+</t>
    </r>
    <r>
      <rPr>
        <sz val="10"/>
        <color rgb="FF0000FF"/>
        <rFont val="Noto Sans CJK SC"/>
        <family val="2"/>
      </rPr>
      <t xml:space="preserve">商業</t>
    </r>
    <r>
      <rPr>
        <sz val="10"/>
        <color rgb="FF0000FF"/>
        <rFont val="Arial"/>
        <family val="0"/>
        <charset val="1"/>
      </rPr>
      <t xml:space="preserve">3(45,740)+</t>
    </r>
    <r>
      <rPr>
        <sz val="10"/>
        <color rgb="FF0000FF"/>
        <rFont val="Noto Sans CJK SC"/>
        <family val="2"/>
      </rPr>
      <t xml:space="preserve">住宅</t>
    </r>
    <r>
      <rPr>
        <sz val="10"/>
        <color rgb="FF0000FF"/>
        <rFont val="Arial"/>
        <family val="0"/>
        <charset val="1"/>
      </rPr>
      <t xml:space="preserve">1(3,200)</t>
    </r>
    <r>
      <rPr>
        <sz val="10"/>
        <color rgb="FF0000FF"/>
        <rFont val="Noto Sans CJK SC"/>
        <family val="2"/>
      </rPr>
      <t xml:space="preserve">百万円。スポンサー森トラストへの賃貸が総収益の</t>
    </r>
    <r>
      <rPr>
        <sz val="10"/>
        <color rgb="FF0000FF"/>
        <rFont val="Arial"/>
        <family val="0"/>
        <charset val="1"/>
      </rPr>
      <t xml:space="preserve">50.3%(5,823</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を占めるスポンサー密着型。汐留・神谷町・大崎・</t>
    </r>
    <r>
      <rPr>
        <sz val="10"/>
        <color rgb="FF0000FF"/>
        <rFont val="Arial"/>
        <family val="0"/>
        <charset val="1"/>
      </rPr>
      <t xml:space="preserve">CBM</t>
    </r>
    <r>
      <rPr>
        <sz val="10"/>
        <color rgb="FF0000FF"/>
        <rFont val="Noto Sans CJK SC"/>
        <family val="2"/>
      </rPr>
      <t xml:space="preserve">各物件等に森トラストへの買取優先交渉権付与。主要リスク</t>
    </r>
    <r>
      <rPr>
        <sz val="10"/>
        <color rgb="FF0000FF"/>
        <rFont val="Arial"/>
        <family val="0"/>
        <charset val="1"/>
      </rPr>
      <t xml:space="preserve">: ON</t>
    </r>
    <r>
      <rPr>
        <sz val="10"/>
        <color rgb="FF0000FF"/>
        <rFont val="Noto Sans CJK SC"/>
        <family val="2"/>
      </rPr>
      <t xml:space="preserve">ビル一括賃借人</t>
    </r>
    <r>
      <rPr>
        <sz val="10"/>
        <color rgb="FF0000FF"/>
        <rFont val="Arial"/>
        <family val="0"/>
        <charset val="1"/>
      </rPr>
      <t xml:space="preserve">(</t>
    </r>
    <r>
      <rPr>
        <sz val="10"/>
        <color rgb="FF0000FF"/>
        <rFont val="Noto Sans CJK SC"/>
        <family val="2"/>
      </rPr>
      <t xml:space="preserve">神戸製鋼所</t>
    </r>
    <r>
      <rPr>
        <sz val="10"/>
        <color rgb="FF0000FF"/>
        <rFont val="Arial"/>
        <family val="0"/>
        <charset val="1"/>
      </rPr>
      <t xml:space="preserve">)</t>
    </r>
    <r>
      <rPr>
        <sz val="10"/>
        <color rgb="FF0000FF"/>
        <rFont val="Noto Sans CJK SC"/>
        <family val="2"/>
      </rPr>
      <t xml:space="preserve">の</t>
    </r>
    <r>
      <rPr>
        <sz val="10"/>
        <color rgb="FF0000FF"/>
        <rFont val="Arial"/>
        <family val="0"/>
        <charset val="1"/>
      </rPr>
      <t xml:space="preserve">2027/3</t>
    </r>
    <r>
      <rPr>
        <sz val="10"/>
        <color rgb="FF0000FF"/>
        <rFont val="Noto Sans CJK SC"/>
        <family val="2"/>
      </rPr>
      <t xml:space="preserve">解約通知。サンルート新宿は</t>
    </r>
    <r>
      <rPr>
        <sz val="10"/>
        <color rgb="FF0000FF"/>
        <rFont val="Arial"/>
        <family val="0"/>
        <charset val="1"/>
      </rPr>
      <t xml:space="preserve">2027/9</t>
    </r>
    <r>
      <rPr>
        <sz val="10"/>
        <color rgb="FF0000FF"/>
        <rFont val="Noto Sans CJK SC"/>
        <family val="2"/>
      </rPr>
      <t xml:space="preserve">からの新賃料</t>
    </r>
    <r>
      <rPr>
        <sz val="10"/>
        <color rgb="FF0000FF"/>
        <rFont val="Arial"/>
        <family val="0"/>
        <charset val="1"/>
      </rPr>
      <t xml:space="preserve">(</t>
    </r>
    <r>
      <rPr>
        <sz val="10"/>
        <color rgb="FF0000FF"/>
        <rFont val="Noto Sans CJK SC"/>
        <family val="2"/>
      </rPr>
      <t xml:space="preserve">固定月</t>
    </r>
    <r>
      <rPr>
        <sz val="10"/>
        <color rgb="FF0000FF"/>
        <rFont val="Arial"/>
        <family val="0"/>
        <charset val="1"/>
      </rPr>
      <t xml:space="preserve">160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変動</t>
    </r>
    <r>
      <rPr>
        <sz val="10"/>
        <color rgb="FF0000FF"/>
        <rFont val="Arial"/>
        <family val="0"/>
        <charset val="1"/>
      </rPr>
      <t xml:space="preserve">)</t>
    </r>
    <r>
      <rPr>
        <sz val="10"/>
        <color rgb="FF0000FF"/>
        <rFont val="Noto Sans CJK SC"/>
        <family val="2"/>
      </rPr>
      <t xml:space="preserve">を鑑定に反映し含み益が急拡大。格付</t>
    </r>
    <r>
      <rPr>
        <sz val="10"/>
        <color rgb="FF0000FF"/>
        <rFont val="Arial"/>
        <family val="0"/>
        <charset val="1"/>
      </rPr>
      <t xml:space="preserve">JCR AA(</t>
    </r>
    <r>
      <rPr>
        <sz val="10"/>
        <color rgb="FF0000FF"/>
        <rFont val="Noto Sans CJK SC"/>
        <family val="2"/>
      </rPr>
      <t xml:space="preserve">安定的</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LTV46.8%</t>
    </r>
  </si>
  <si>
    <t xml:space="preserve">MTR-001</t>
  </si>
  <si>
    <t xml:space="preserve">東京汐留ビルディング</t>
  </si>
  <si>
    <t xml:space="preserve">共有持分37.5178%相当を収録(オフィス・店舗はサブリース連動ML・ホテルは固定ML、括弧内サブリーステナント41)。2005年竣工の大規模複合ビル</t>
  </si>
  <si>
    <t xml:space="preserve">MTR-002</t>
  </si>
  <si>
    <t xml:space="preserve">神谷町トラストタワー</t>
  </si>
  <si>
    <t xml:space="preserve">区分所有(7-9F全部+14F持分1/2)。共同運用区画(6-30F)の賃料連動ML(サブリーステナント7)</t>
  </si>
  <si>
    <t xml:space="preserve">MTR-003</t>
  </si>
  <si>
    <r>
      <rPr>
        <sz val="10"/>
        <color rgb="FF0000FF"/>
        <rFont val="Arial"/>
        <family val="0"/>
        <charset val="1"/>
      </rPr>
      <t xml:space="preserve">ON</t>
    </r>
    <r>
      <rPr>
        <sz val="10"/>
        <color rgb="FF0000FF"/>
        <rFont val="Noto Sans CJK SC"/>
        <family val="2"/>
      </rPr>
      <t xml:space="preserve">ビル</t>
    </r>
  </si>
  <si>
    <t xml:space="preserve">収支非開示(テナント同意なし)。開示値: NOI617,840千円・損益551,546千円(差66,294千円=減価償却費)・CAPEX581千円。一括賃借人の神戸製鋼所から2027/3/31付解約通知を受領済(重要リスク)</t>
  </si>
  <si>
    <t xml:space="preserve">MTR-004</t>
  </si>
  <si>
    <t xml:space="preserve">紀尾井町ビル</t>
  </si>
  <si>
    <t xml:space="preserve">区分所有。オフィスはML+サブリース(括弧内76)、住宅はパススルーML</t>
  </si>
  <si>
    <t xml:space="preserve">MTR-005</t>
  </si>
  <si>
    <t xml:space="preserve">大崎MTビル</t>
  </si>
  <si>
    <t xml:space="preserve">共有持分90.788%相当。サブリース連動ML(サブリーステナント21)。ONビルと一体の大崎ビジネスガーデン</t>
  </si>
  <si>
    <t xml:space="preserve">MTR-006</t>
  </si>
  <si>
    <t xml:space="preserve">広尾MTRビル</t>
  </si>
  <si>
    <r>
      <rPr>
        <sz val="11"/>
        <color theme="1"/>
        <rFont val="Calibri"/>
        <family val="2"/>
        <charset val="1"/>
      </rPr>
      <t xml:space="preserve">KDX</t>
    </r>
    <r>
      <rPr>
        <sz val="11"/>
        <color theme="1"/>
        <rFont val="Noto Sans CJK SC"/>
        <family val="2"/>
      </rPr>
      <t xml:space="preserve">物件番号</t>
    </r>
    <r>
      <rPr>
        <sz val="11"/>
        <color theme="1"/>
        <rFont val="Calibri"/>
        <family val="2"/>
        <charset val="1"/>
      </rPr>
      <t xml:space="preserve">B1071</t>
    </r>
    <r>
      <rPr>
        <sz val="11"/>
        <color theme="1"/>
        <rFont val="Noto Sans CJK SC"/>
        <family val="2"/>
      </rPr>
      <t xml:space="preserve">。マスターリース契約によりテナント総数</t>
    </r>
    <r>
      <rPr>
        <sz val="11"/>
        <color theme="1"/>
        <rFont val="Calibri"/>
        <family val="2"/>
        <charset val="1"/>
      </rPr>
      <t xml:space="preserve">1</t>
    </r>
    <r>
      <rPr>
        <sz val="11"/>
        <color theme="1"/>
        <rFont val="Noto Sans CJK SC"/>
        <family val="2"/>
      </rPr>
      <t xml:space="preserve">。所在地・竣工年月・延床面積は短信非掲載のため未収録</t>
    </r>
  </si>
  <si>
    <t xml:space="preserve">MTR-007</t>
  </si>
  <si>
    <t xml:space="preserve">仙台MTビル</t>
  </si>
  <si>
    <t xml:space="preserve">仙台市宮城野区</t>
  </si>
  <si>
    <t xml:space="preserve">サブリース連動ML(サブリーステナント41)。2023-2025年に4回分割取得(森トラストから)</t>
  </si>
  <si>
    <t xml:space="preserve">MTR-008</t>
  </si>
  <si>
    <t xml:space="preserve">御堂筋MTRビル</t>
  </si>
  <si>
    <t xml:space="preserve">パススルーML(サブリーステナント30)</t>
  </si>
  <si>
    <t xml:space="preserve">MTR-009</t>
  </si>
  <si>
    <t xml:space="preserve">天神プライム</t>
  </si>
  <si>
    <t xml:space="preserve">福岡市中央区</t>
  </si>
  <si>
    <r>
      <rPr>
        <sz val="11"/>
        <color theme="1"/>
        <rFont val="Calibri"/>
        <family val="2"/>
        <charset val="1"/>
      </rPr>
      <t xml:space="preserve">KDX</t>
    </r>
    <r>
      <rPr>
        <sz val="11"/>
        <color theme="1"/>
        <rFont val="Noto Sans CJK SC"/>
        <family val="2"/>
      </rPr>
      <t xml:space="preserve">物件番号</t>
    </r>
    <r>
      <rPr>
        <sz val="11"/>
        <color theme="1"/>
        <rFont val="Calibri"/>
        <family val="2"/>
        <charset val="1"/>
      </rPr>
      <t xml:space="preserve">B1074</t>
    </r>
    <r>
      <rPr>
        <sz val="11"/>
        <color theme="1"/>
        <rFont val="Noto Sans CJK SC"/>
        <family val="2"/>
      </rPr>
      <t xml:space="preserve">。マスターリース契約によりテナント総数</t>
    </r>
    <r>
      <rPr>
        <sz val="11"/>
        <color theme="1"/>
        <rFont val="Calibri"/>
        <family val="2"/>
        <charset val="1"/>
      </rPr>
      <t xml:space="preserve">1</t>
    </r>
    <r>
      <rPr>
        <sz val="11"/>
        <color theme="1"/>
        <rFont val="Noto Sans CJK SC"/>
        <family val="2"/>
      </rPr>
      <t xml:space="preserve">。所在地・竣工年月・延床面積は短信非掲載のため未収録</t>
    </r>
  </si>
  <si>
    <t xml:space="preserve">MTR-010</t>
  </si>
  <si>
    <t xml:space="preserve">新横浜TECHビル</t>
  </si>
  <si>
    <t xml:space="preserve">横浜市港北区</t>
  </si>
  <si>
    <r>
      <rPr>
        <sz val="10"/>
        <color rgb="FF0000FF"/>
        <rFont val="Arial"/>
        <family val="0"/>
        <charset val="1"/>
      </rPr>
      <t xml:space="preserve">A</t>
    </r>
    <r>
      <rPr>
        <sz val="10"/>
        <color rgb="FF0000FF"/>
        <rFont val="Noto Sans CJK SC"/>
        <family val="2"/>
      </rPr>
      <t xml:space="preserve">館</t>
    </r>
    <r>
      <rPr>
        <sz val="10"/>
        <color rgb="FF0000FF"/>
        <rFont val="Arial"/>
        <family val="0"/>
        <charset val="1"/>
      </rPr>
      <t xml:space="preserve">1986</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t>
    </r>
    <r>
      <rPr>
        <sz val="10"/>
        <color rgb="FF0000FF"/>
        <rFont val="Arial"/>
        <family val="0"/>
        <charset val="1"/>
      </rPr>
      <t xml:space="preserve">B</t>
    </r>
    <r>
      <rPr>
        <sz val="10"/>
        <color rgb="FF0000FF"/>
        <rFont val="Noto Sans CJK SC"/>
        <family val="2"/>
      </rPr>
      <t xml:space="preserve">館</t>
    </r>
    <r>
      <rPr>
        <sz val="10"/>
        <color rgb="FF0000FF"/>
        <rFont val="Arial"/>
        <family val="0"/>
        <charset val="1"/>
      </rPr>
      <t xml:space="preserve">1988</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月竣工の</t>
    </r>
    <r>
      <rPr>
        <sz val="10"/>
        <color rgb="FF0000FF"/>
        <rFont val="Arial"/>
        <family val="0"/>
        <charset val="1"/>
      </rPr>
      <t xml:space="preserve">2</t>
    </r>
    <r>
      <rPr>
        <sz val="10"/>
        <color rgb="FF0000FF"/>
        <rFont val="Noto Sans CJK SC"/>
        <family val="2"/>
      </rPr>
      <t xml:space="preserve">棟構成</t>
    </r>
    <r>
      <rPr>
        <sz val="10"/>
        <color rgb="FF0000FF"/>
        <rFont val="Arial"/>
        <family val="0"/>
        <charset val="1"/>
      </rPr>
      <t xml:space="preserve">(</t>
    </r>
    <r>
      <rPr>
        <sz val="10"/>
        <color rgb="FF0000FF"/>
        <rFont val="Noto Sans CJK SC"/>
        <family val="2"/>
      </rPr>
      <t xml:space="preserve">竣工年月は</t>
    </r>
    <r>
      <rPr>
        <sz val="10"/>
        <color rgb="FF0000FF"/>
        <rFont val="Arial"/>
        <family val="0"/>
        <charset val="1"/>
      </rPr>
      <t xml:space="preserve">A</t>
    </r>
    <r>
      <rPr>
        <sz val="10"/>
        <color rgb="FF0000FF"/>
        <rFont val="Noto Sans CJK SC"/>
        <family val="2"/>
      </rPr>
      <t xml:space="preserve">館</t>
    </r>
    <r>
      <rPr>
        <sz val="10"/>
        <color rgb="FF0000FF"/>
        <rFont val="Arial"/>
        <family val="0"/>
        <charset val="1"/>
      </rPr>
      <t xml:space="preserve">)</t>
    </r>
  </si>
  <si>
    <t xml:space="preserve">MTR-011</t>
  </si>
  <si>
    <t xml:space="preserve">シャングリ・ラ 東京</t>
  </si>
  <si>
    <t xml:space="preserve">丸の内トラストタワー本館の区分所有(専有22,300.31㎡)。変動賃料(転貸テナント賃料×97%・年間最低保証882.7百万円)。旧MTH合併受入(2023/3/1・受入価格=2023/2期末鑑定)</t>
  </si>
  <si>
    <t xml:space="preserve">MTR-012</t>
  </si>
  <si>
    <t xml:space="preserve">ホテルオークラ神戸</t>
  </si>
  <si>
    <t xml:space="preserve">神戸市中央区</t>
  </si>
  <si>
    <r>
      <rPr>
        <sz val="10"/>
        <color rgb="FF0000FF"/>
        <rFont val="Arial"/>
        <family val="0"/>
        <charset val="1"/>
      </rPr>
      <t xml:space="preserve">PML17.8%</t>
    </r>
    <r>
      <rPr>
        <sz val="10"/>
        <color rgb="FF0000FF"/>
        <rFont val="Noto Sans CJK SC"/>
        <family val="2"/>
      </rPr>
      <t xml:space="preserve">と投資基準</t>
    </r>
    <r>
      <rPr>
        <sz val="10"/>
        <color rgb="FF0000FF"/>
        <rFont val="Arial"/>
        <family val="0"/>
        <charset val="1"/>
      </rPr>
      <t xml:space="preserve">(15%)</t>
    </r>
    <r>
      <rPr>
        <sz val="10"/>
        <color rgb="FF0000FF"/>
        <rFont val="Noto Sans CJK SC"/>
        <family val="2"/>
      </rPr>
      <t xml:space="preserve">超過のため地震保険付保。固定賃料</t>
    </r>
    <r>
      <rPr>
        <sz val="10"/>
        <color rgb="FF0000FF"/>
        <rFont val="Arial"/>
        <family val="0"/>
        <charset val="1"/>
      </rPr>
      <t xml:space="preserve">+</t>
    </r>
    <r>
      <rPr>
        <sz val="10"/>
        <color rgb="FF0000FF"/>
        <rFont val="Noto Sans CJK SC"/>
        <family val="2"/>
      </rPr>
      <t xml:space="preserve">公租公課等連動変動賃料。旧</t>
    </r>
    <r>
      <rPr>
        <sz val="10"/>
        <color rgb="FF0000FF"/>
        <rFont val="Arial"/>
        <family val="0"/>
        <charset val="1"/>
      </rPr>
      <t xml:space="preserve">MTH</t>
    </r>
    <r>
      <rPr>
        <sz val="10"/>
        <color rgb="FF0000FF"/>
        <rFont val="Noto Sans CJK SC"/>
        <family val="2"/>
      </rPr>
      <t xml:space="preserve">合併受入</t>
    </r>
  </si>
  <si>
    <t xml:space="preserve">MTR-013</t>
  </si>
  <si>
    <t xml:space="preserve">ヒルトン小田原リゾート＆スパ</t>
  </si>
  <si>
    <t xml:space="preserve">小田原市</t>
  </si>
  <si>
    <t xml:space="preserve">信託受益権準共有持分50%相当を収録。基準利益連動の完全変動賃料。旧MTH合併受入</t>
  </si>
  <si>
    <t xml:space="preserve">MTR-014</t>
  </si>
  <si>
    <t xml:space="preserve">コートヤード・バイ・マリオット 新大阪ステーション</t>
  </si>
  <si>
    <t xml:space="preserve">大阪市淀川区</t>
  </si>
  <si>
    <t xml:space="preserve">共有持分74%相当。変動賃料(施設別調整営業利益×90%・年間最低保証460百万円)。旧MTH合併受入。当期客室稼働94-97%・ADR23-28千円</t>
  </si>
  <si>
    <t xml:space="preserve">MTR-015</t>
  </si>
  <si>
    <t xml:space="preserve">コートヤード・バイ・マリオット 東京ステーション</t>
  </si>
  <si>
    <t xml:space="preserve">区分所有×準共有持分93.5%相当。変動賃料(同上・最低保証310百万円全体)。旧MTH合併受入。当期ADR32-54千円と急上昇</t>
  </si>
  <si>
    <t xml:space="preserve">MTR-016</t>
  </si>
  <si>
    <t xml:space="preserve">ホテルサンルートプラザ新宿</t>
  </si>
  <si>
    <t xml:space="preserve">固定賃料(月108.7百万円)。2025/12/10付で2027/9以降の新定期借家契約(固定月160百万円+室料連動変動)を締結済→鑑定65,500百万円(取得比2.0倍)に反映。旧MTH合併受入</t>
  </si>
  <si>
    <t xml:space="preserve">MTR-017</t>
  </si>
  <si>
    <t xml:space="preserve">渋谷フラッグ</t>
  </si>
  <si>
    <t xml:space="preserve">収支非開示(テナント同意なし)。開示値: NOI672,686千円・損益656,420千円(差16,266千円=減価償却費)・CAPEX1,659千円。ML+サブリース</t>
  </si>
  <si>
    <t xml:space="preserve">MTR-018</t>
  </si>
  <si>
    <t xml:space="preserve">イトーヨーカドー湘南台店</t>
  </si>
  <si>
    <t xml:space="preserve">イトーヨーカ堂への一棟賃貸(2042年まで40年契約・固定賃料月62.5百万円)</t>
  </si>
  <si>
    <t xml:space="preserve">MTR-019</t>
  </si>
  <si>
    <t xml:space="preserve">フレスポ稲毛</t>
  </si>
  <si>
    <t xml:space="preserve">千葉市稲毛区</t>
  </si>
  <si>
    <t xml:space="preserve">事業用借地の底地のみ(建物なし・減価償却なし)。2002年取得の第1号物件(全体の50%を2012年譲渡済)</t>
  </si>
  <si>
    <t xml:space="preserve">MTR-020</t>
  </si>
  <si>
    <t xml:space="preserve">パークレーンプラザ</t>
  </si>
  <si>
    <t xml:space="preserve">神宮前の高級賃貸住宅(区分所有全部保有)</t>
  </si>
  <si>
    <t xml:space="preserve">SKR-ALL</t>
  </si>
  <si>
    <t xml:space="preserve">（SKR全16物件一括）</t>
  </si>
  <si>
    <r>
      <rPr>
        <sz val="10"/>
        <color rgb="FF0000FF"/>
        <rFont val="Arial"/>
        <family val="0"/>
        <charset val="1"/>
      </rPr>
      <t xml:space="preserve">SKR 2026</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14</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(2026/4/28</t>
    </r>
    <r>
      <rPr>
        <sz val="10"/>
        <color rgb="FF0000FF"/>
        <rFont val="Noto Sans CJK SC"/>
        <family val="2"/>
      </rPr>
      <t xml:space="preserve">公表</t>
    </r>
    <r>
      <rPr>
        <sz val="10"/>
        <color rgb="FF0000FF"/>
        <rFont val="Arial"/>
        <family val="0"/>
        <charset val="1"/>
      </rPr>
      <t xml:space="preserve">)</t>
    </r>
  </si>
  <si>
    <r>
      <rPr>
        <sz val="10"/>
        <color rgb="FF0000FF"/>
        <rFont val="Arial"/>
        <family val="0"/>
        <charset val="1"/>
      </rPr>
      <t xml:space="preserve">SKR</t>
    </r>
    <r>
      <rPr>
        <sz val="10"/>
        <color rgb="FF0000FF"/>
        <rFont val="Noto Sans CJK SC"/>
        <family val="2"/>
      </rPr>
      <t xml:space="preserve">全</t>
    </r>
    <r>
      <rPr>
        <sz val="10"/>
        <color rgb="FF0000FF"/>
        <rFont val="Arial"/>
        <family val="0"/>
        <charset val="1"/>
      </rPr>
      <t xml:space="preserve">16</t>
    </r>
    <r>
      <rPr>
        <sz val="10"/>
        <color rgb="FF0000FF"/>
        <rFont val="Noto Sans CJK SC"/>
        <family val="2"/>
      </rPr>
      <t xml:space="preserve">物件の一括行。取得価格合算</t>
    </r>
    <r>
      <rPr>
        <sz val="10"/>
        <color rgb="FF0000FF"/>
        <rFont val="Arial"/>
        <family val="0"/>
        <charset val="1"/>
      </rPr>
      <t xml:space="preserve">93,936</t>
    </r>
    <r>
      <rPr>
        <sz val="10"/>
        <color rgb="FF0000FF"/>
        <rFont val="Noto Sans CJK SC"/>
        <family val="2"/>
      </rPr>
      <t xml:space="preserve">は合計</t>
    </r>
    <r>
      <rPr>
        <sz val="10"/>
        <color rgb="FF0000FF"/>
        <rFont val="Arial"/>
        <family val="0"/>
        <charset val="1"/>
      </rPr>
      <t xml:space="preserve">93,938</t>
    </r>
    <r>
      <rPr>
        <sz val="10"/>
        <color rgb="FF0000FF"/>
        <rFont val="Noto Sans CJK SC"/>
        <family val="2"/>
      </rPr>
      <t xml:space="preserve">比</t>
    </r>
    <r>
      <rPr>
        <sz val="10"/>
        <color rgb="FF0000FF"/>
        <rFont val="Arial"/>
        <family val="0"/>
        <charset val="1"/>
      </rPr>
      <t xml:space="preserve">-2</t>
    </r>
    <r>
      <rPr>
        <sz val="10"/>
        <color rgb="FF0000FF"/>
        <rFont val="Noto Sans CJK SC"/>
        <family val="2"/>
      </rPr>
      <t xml:space="preserve">、帳簿合算</t>
    </r>
    <r>
      <rPr>
        <sz val="10"/>
        <color rgb="FF0000FF"/>
        <rFont val="Arial"/>
        <family val="0"/>
        <charset val="1"/>
      </rPr>
      <t xml:space="preserve">88,782</t>
    </r>
    <r>
      <rPr>
        <sz val="10"/>
        <color rgb="FF0000FF"/>
        <rFont val="Noto Sans CJK SC"/>
        <family val="2"/>
      </rPr>
      <t xml:space="preserve">は合計</t>
    </r>
    <r>
      <rPr>
        <sz val="10"/>
        <color rgb="FF0000FF"/>
        <rFont val="Arial"/>
        <family val="0"/>
        <charset val="1"/>
      </rPr>
      <t xml:space="preserve">88,790</t>
    </r>
    <r>
      <rPr>
        <sz val="10"/>
        <color rgb="FF0000FF"/>
        <rFont val="Noto Sans CJK SC"/>
        <family val="2"/>
      </rPr>
      <t xml:space="preserve">比</t>
    </r>
    <r>
      <rPr>
        <sz val="10"/>
        <color rgb="FF0000FF"/>
        <rFont val="Arial"/>
        <family val="0"/>
        <charset val="1"/>
      </rPr>
      <t xml:space="preserve">-8=</t>
    </r>
    <r>
      <rPr>
        <sz val="10"/>
        <color rgb="FF0000FF"/>
        <rFont val="Noto Sans CJK SC"/>
        <family val="2"/>
      </rPr>
      <t xml:space="preserve">いずれも百万円未満切捨ての累積。鑑定</t>
    </r>
    <r>
      <rPr>
        <sz val="10"/>
        <color rgb="FF0000FF"/>
        <rFont val="Arial"/>
        <family val="0"/>
        <charset val="1"/>
      </rPr>
      <t xml:space="preserve">96,660</t>
    </r>
    <r>
      <rPr>
        <sz val="10"/>
        <color rgb="FF0000FF"/>
        <rFont val="Noto Sans CJK SC"/>
        <family val="2"/>
      </rPr>
      <t xml:space="preserve">・</t>
    </r>
    <r>
      <rPr>
        <sz val="10"/>
        <color rgb="FF0000FF"/>
        <rFont val="Arial"/>
        <family val="0"/>
        <charset val="1"/>
      </rPr>
      <t xml:space="preserve">NLA100,115.25</t>
    </r>
    <r>
      <rPr>
        <sz val="10"/>
        <color rgb="FF0000FF"/>
        <rFont val="Noto Sans CJK SC"/>
        <family val="2"/>
      </rPr>
      <t xml:space="preserve">㎡・賃貸面積</t>
    </r>
    <r>
      <rPr>
        <sz val="10"/>
        <color rgb="FF0000FF"/>
        <rFont val="Arial"/>
        <family val="0"/>
        <charset val="1"/>
      </rPr>
      <t xml:space="preserve">81,781.86</t>
    </r>
    <r>
      <rPr>
        <sz val="10"/>
        <color rgb="FF0000FF"/>
        <rFont val="Noto Sans CJK SC"/>
        <family val="2"/>
      </rPr>
      <t xml:space="preserve">㎡は完全一致。稼働</t>
    </r>
    <r>
      <rPr>
        <sz val="10"/>
        <color rgb="FF0000FF"/>
        <rFont val="Arial"/>
        <family val="0"/>
        <charset val="1"/>
      </rPr>
      <t xml:space="preserve">81.7%</t>
    </r>
    <r>
      <rPr>
        <sz val="10"/>
        <color rgb="FF0000FF"/>
        <rFont val="Noto Sans CJK SC"/>
        <family val="2"/>
      </rPr>
      <t xml:space="preserve">は福岡グリーンビルディング</t>
    </r>
    <r>
      <rPr>
        <sz val="10"/>
        <color rgb="FF0000FF"/>
        <rFont val="Arial"/>
        <family val="0"/>
        <charset val="1"/>
      </rPr>
      <t xml:space="preserve">(0%)</t>
    </r>
    <r>
      <rPr>
        <sz val="10"/>
        <color rgb="FF0000FF"/>
        <rFont val="Noto Sans CJK SC"/>
        <family val="2"/>
      </rPr>
      <t xml:space="preserve">・大森</t>
    </r>
    <r>
      <rPr>
        <sz val="10"/>
        <color rgb="FF0000FF"/>
        <rFont val="Arial"/>
        <family val="0"/>
        <charset val="1"/>
      </rPr>
      <t xml:space="preserve">(64.0%)</t>
    </r>
    <r>
      <rPr>
        <sz val="10"/>
        <color rgb="FF0000FF"/>
        <rFont val="Noto Sans CJK SC"/>
        <family val="2"/>
      </rPr>
      <t xml:space="preserve">・東陽</t>
    </r>
    <r>
      <rPr>
        <sz val="10"/>
        <color rgb="FF0000FF"/>
        <rFont val="Arial"/>
        <family val="0"/>
        <charset val="1"/>
      </rPr>
      <t xml:space="preserve">(75.1%)</t>
    </r>
    <r>
      <rPr>
        <sz val="10"/>
        <color rgb="FF0000FF"/>
        <rFont val="Noto Sans CJK SC"/>
        <family val="2"/>
      </rPr>
      <t xml:space="preserve">が押し下げ。</t>
    </r>
    <r>
      <rPr>
        <sz val="10"/>
        <color rgb="FF0000FF"/>
        <rFont val="Arial"/>
        <family val="0"/>
        <charset val="1"/>
      </rPr>
      <t xml:space="preserve">2023/10</t>
    </r>
    <r>
      <rPr>
        <sz val="10"/>
        <color rgb="FF0000FF"/>
        <rFont val="Noto Sans CJK SC"/>
        <family val="2"/>
      </rPr>
      <t xml:space="preserve">にオフィス中心型から総合型</t>
    </r>
    <r>
      <rPr>
        <sz val="10"/>
        <color rgb="FF0000FF"/>
        <rFont val="Arial"/>
        <family val="0"/>
        <charset val="1"/>
      </rPr>
      <t xml:space="preserve">REIT</t>
    </r>
    <r>
      <rPr>
        <sz val="10"/>
        <color rgb="FF0000FF"/>
        <rFont val="Noto Sans CJK SC"/>
        <family val="2"/>
      </rPr>
      <t xml:space="preserve">へ転換</t>
    </r>
    <r>
      <rPr>
        <sz val="10"/>
        <color rgb="FF0000FF"/>
        <rFont val="Arial"/>
        <family val="0"/>
        <charset val="1"/>
      </rPr>
      <t xml:space="preserve">(</t>
    </r>
    <r>
      <rPr>
        <sz val="10"/>
        <color rgb="FF0000FF"/>
        <rFont val="Noto Sans CJK SC"/>
        <family val="2"/>
      </rPr>
      <t xml:space="preserve">ホテル</t>
    </r>
    <r>
      <rPr>
        <sz val="10"/>
        <color rgb="FF0000FF"/>
        <rFont val="Arial"/>
        <family val="0"/>
        <charset val="1"/>
      </rPr>
      <t xml:space="preserve">6+</t>
    </r>
    <r>
      <rPr>
        <sz val="10"/>
        <color rgb="FF0000FF"/>
        <rFont val="Noto Sans CJK SC"/>
        <family val="2"/>
      </rPr>
      <t xml:space="preserve">物流</t>
    </r>
    <r>
      <rPr>
        <sz val="10"/>
        <color rgb="FF0000FF"/>
        <rFont val="Arial"/>
        <family val="0"/>
        <charset val="1"/>
      </rPr>
      <t xml:space="preserve">1</t>
    </r>
    <r>
      <rPr>
        <sz val="10"/>
        <color rgb="FF0000FF"/>
        <rFont val="Noto Sans CJK SC"/>
        <family val="2"/>
      </rPr>
      <t xml:space="preserve">を保有</t>
    </r>
    <r>
      <rPr>
        <sz val="10"/>
        <color rgb="FF0000FF"/>
        <rFont val="Arial"/>
        <family val="0"/>
        <charset val="1"/>
      </rPr>
      <t xml:space="preserve">)</t>
    </r>
    <r>
      <rPr>
        <sz val="10"/>
        <color rgb="FF0000FF"/>
        <rFont val="Noto Sans CJK SC"/>
        <family val="2"/>
      </rPr>
      <t xml:space="preserve">。【重要】当期は福岡グリーンビルディングの減損損失</t>
    </r>
    <r>
      <rPr>
        <sz val="10"/>
        <color rgb="FF0000FF"/>
        <rFont val="Arial"/>
        <family val="0"/>
        <charset val="1"/>
      </rPr>
      <t xml:space="preserve">4,933,559</t>
    </r>
    <r>
      <rPr>
        <sz val="10"/>
        <color rgb="FF0000FF"/>
        <rFont val="Noto Sans CJK SC"/>
        <family val="2"/>
      </rPr>
      <t xml:space="preserve">千円計上により当期純損失</t>
    </r>
    <r>
      <rPr>
        <sz val="10"/>
        <color rgb="FF0000FF"/>
        <rFont val="Arial"/>
        <family val="0"/>
        <charset val="1"/>
      </rPr>
      <t xml:space="preserve">4,009</t>
    </r>
    <r>
      <rPr>
        <sz val="10"/>
        <color rgb="FF0000FF"/>
        <rFont val="Noto Sans CJK SC"/>
        <family val="2"/>
      </rPr>
      <t xml:space="preserve">百万円→分配ゼロ・無償減資</t>
    </r>
    <r>
      <rPr>
        <sz val="10"/>
        <color rgb="FF0000FF"/>
        <rFont val="Arial"/>
        <family val="0"/>
        <charset val="1"/>
      </rPr>
      <t xml:space="preserve">(2026/4/28</t>
    </r>
    <r>
      <rPr>
        <sz val="10"/>
        <color rgb="FF0000FF"/>
        <rFont val="Noto Sans CJK SC"/>
        <family val="2"/>
      </rPr>
      <t xml:space="preserve">役員会決議・出資総額等から控除</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Tiger</t>
    </r>
    <r>
      <rPr>
        <sz val="10"/>
        <color rgb="FF0000FF"/>
        <rFont val="Noto Sans CJK SC"/>
        <family val="2"/>
      </rPr>
      <t xml:space="preserve">投資事業有限責任組合・</t>
    </r>
    <r>
      <rPr>
        <sz val="10"/>
        <color rgb="FF0000FF"/>
        <rFont val="Arial"/>
        <family val="0"/>
        <charset val="1"/>
      </rPr>
      <t xml:space="preserve">Lion</t>
    </r>
    <r>
      <rPr>
        <sz val="10"/>
        <color rgb="FF0000FF"/>
        <rFont val="Noto Sans CJK SC"/>
        <family val="2"/>
      </rPr>
      <t xml:space="preserve">投資事業有限責任組合による投資口公開買付け</t>
    </r>
    <r>
      <rPr>
        <sz val="10"/>
        <color rgb="FF0000FF"/>
        <rFont val="Arial"/>
        <family val="0"/>
        <charset val="1"/>
      </rPr>
      <t xml:space="preserve">(2026/1/7</t>
    </r>
    <r>
      <rPr>
        <sz val="10"/>
        <color rgb="FF0000FF"/>
        <rFont val="Noto Sans CJK SC"/>
        <family val="2"/>
      </rPr>
      <t xml:space="preserve">〜</t>
    </r>
    <r>
      <rPr>
        <sz val="10"/>
        <color rgb="FF0000FF"/>
        <rFont val="Arial"/>
        <family val="0"/>
        <charset val="1"/>
      </rPr>
      <t xml:space="preserve">4/28)</t>
    </r>
    <r>
      <rPr>
        <sz val="10"/>
        <color rgb="FF0000FF"/>
        <rFont val="Noto Sans CJK SC"/>
        <family val="2"/>
      </rPr>
      <t xml:space="preserve">に賛同・応募推奨</t>
    </r>
    <r>
      <rPr>
        <sz val="10"/>
        <color rgb="FF0000FF"/>
        <rFont val="Arial"/>
        <family val="0"/>
        <charset val="1"/>
      </rPr>
      <t xml:space="preserve">(</t>
    </r>
    <r>
      <rPr>
        <sz val="10"/>
        <color rgb="FF0000FF"/>
        <rFont val="Noto Sans CJK SC"/>
        <family val="2"/>
      </rPr>
      <t xml:space="preserve">上場廃止前提</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TOB</t>
    </r>
    <r>
      <rPr>
        <sz val="10"/>
        <color rgb="FF0000FF"/>
        <rFont val="Noto Sans CJK SC"/>
        <family val="2"/>
      </rPr>
      <t xml:space="preserve">結果は</t>
    </r>
    <r>
      <rPr>
        <sz val="10"/>
        <color rgb="FF0000FF"/>
        <rFont val="Arial"/>
        <family val="0"/>
        <charset val="1"/>
      </rPr>
      <t xml:space="preserve">2026/5/7</t>
    </r>
    <r>
      <rPr>
        <sz val="10"/>
        <color rgb="FF0000FF"/>
        <rFont val="Noto Sans CJK SC"/>
        <family val="2"/>
      </rPr>
      <t xml:space="preserve">公表。スポンサー</t>
    </r>
    <r>
      <rPr>
        <sz val="10"/>
        <color rgb="FF0000FF"/>
        <rFont val="Arial"/>
        <family val="0"/>
        <charset val="1"/>
      </rPr>
      <t xml:space="preserve">: </t>
    </r>
    <r>
      <rPr>
        <sz val="10"/>
        <color rgb="FF0000FF"/>
        <rFont val="Noto Sans CJK SC"/>
        <family val="2"/>
      </rPr>
      <t xml:space="preserve">サンケイビル</t>
    </r>
    <r>
      <rPr>
        <sz val="10"/>
        <color rgb="FF0000FF"/>
        <rFont val="Arial"/>
        <family val="0"/>
        <charset val="1"/>
      </rPr>
      <t xml:space="preserve">(</t>
    </r>
    <r>
      <rPr>
        <sz val="10"/>
        <color rgb="FF0000FF"/>
        <rFont val="Noto Sans CJK SC"/>
        <family val="2"/>
      </rPr>
      <t xml:space="preserve">フジサンケイグループ</t>
    </r>
    <r>
      <rPr>
        <sz val="10"/>
        <color rgb="FF0000FF"/>
        <rFont val="Arial"/>
        <family val="0"/>
        <charset val="1"/>
      </rPr>
      <t xml:space="preserve">)</t>
    </r>
    <r>
      <rPr>
        <sz val="10"/>
        <color rgb="FF0000FF"/>
        <rFont val="Noto Sans CJK SC"/>
        <family val="2"/>
      </rPr>
      <t xml:space="preserve">。格付</t>
    </r>
    <r>
      <rPr>
        <sz val="10"/>
        <color rgb="FF0000FF"/>
        <rFont val="Arial"/>
        <family val="0"/>
        <charset val="1"/>
      </rPr>
      <t xml:space="preserve">JCR A+(</t>
    </r>
    <r>
      <rPr>
        <sz val="10"/>
        <color rgb="FF0000FF"/>
        <rFont val="Noto Sans CJK SC"/>
        <family val="2"/>
      </rPr>
      <t xml:space="preserve">安定的</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LTV49.8%</t>
    </r>
    <r>
      <rPr>
        <sz val="10"/>
        <color rgb="FF0000FF"/>
        <rFont val="Noto Sans CJK SC"/>
        <family val="2"/>
      </rPr>
      <t xml:space="preserve">。主要テナント</t>
    </r>
    <r>
      <rPr>
        <sz val="10"/>
        <color rgb="FF0000FF"/>
        <rFont val="Arial"/>
        <family val="0"/>
        <charset val="1"/>
      </rPr>
      <t xml:space="preserve">: </t>
    </r>
    <r>
      <rPr>
        <sz val="10"/>
        <color rgb="FF0000FF"/>
        <rFont val="Noto Sans CJK SC"/>
        <family val="2"/>
      </rPr>
      <t xml:space="preserve">日立製作所</t>
    </r>
    <r>
      <rPr>
        <sz val="10"/>
        <color rgb="FF0000FF"/>
        <rFont val="Arial"/>
        <family val="0"/>
        <charset val="1"/>
      </rPr>
      <t xml:space="preserve">644,103</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解約違約金含む</t>
    </r>
    <r>
      <rPr>
        <sz val="10"/>
        <color rgb="FF0000FF"/>
        <rFont val="Arial"/>
        <family val="0"/>
        <charset val="1"/>
      </rPr>
      <t xml:space="preserve">)</t>
    </r>
    <r>
      <rPr>
        <sz val="10"/>
        <color rgb="FF0000FF"/>
        <rFont val="Noto Sans CJK SC"/>
        <family val="2"/>
      </rPr>
      <t xml:space="preserve">・グランビスタホテル</t>
    </r>
    <r>
      <rPr>
        <sz val="10"/>
        <color rgb="FF0000FF"/>
        <rFont val="Arial"/>
        <family val="0"/>
        <charset val="1"/>
      </rPr>
      <t xml:space="preserve">&amp;</t>
    </r>
    <r>
      <rPr>
        <sz val="10"/>
        <color rgb="FF0000FF"/>
        <rFont val="Noto Sans CJK SC"/>
        <family val="2"/>
      </rPr>
      <t xml:space="preserve">リゾート</t>
    </r>
    <r>
      <rPr>
        <sz val="10"/>
        <color rgb="FF0000FF"/>
        <rFont val="Arial"/>
        <family val="0"/>
        <charset val="1"/>
      </rPr>
      <t xml:space="preserve">585,679</t>
    </r>
    <r>
      <rPr>
        <sz val="10"/>
        <color rgb="FF0000FF"/>
        <rFont val="Noto Sans CJK SC"/>
        <family val="2"/>
      </rPr>
      <t xml:space="preserve">千円</t>
    </r>
  </si>
  <si>
    <t xml:space="preserve">SKR-001</t>
  </si>
  <si>
    <r>
      <rPr>
        <sz val="10"/>
        <color rgb="FF0000FF"/>
        <rFont val="Arial"/>
        <family val="0"/>
        <charset val="1"/>
      </rPr>
      <t xml:space="preserve">S-GATE</t>
    </r>
    <r>
      <rPr>
        <sz val="10"/>
        <color rgb="FF0000FF"/>
        <rFont val="Noto Sans CJK SC"/>
        <family val="2"/>
      </rPr>
      <t xml:space="preserve">日本橋本町</t>
    </r>
  </si>
  <si>
    <r>
      <rPr>
        <sz val="11"/>
        <color theme="1"/>
        <rFont val="Calibri"/>
        <family val="2"/>
        <charset val="1"/>
      </rPr>
      <t xml:space="preserve">KDX</t>
    </r>
    <r>
      <rPr>
        <sz val="11"/>
        <color theme="1"/>
        <rFont val="Noto Sans CJK SC"/>
        <family val="2"/>
      </rPr>
      <t xml:space="preserve">物件番号</t>
    </r>
    <r>
      <rPr>
        <sz val="11"/>
        <color theme="1"/>
        <rFont val="Calibri"/>
        <family val="2"/>
        <charset val="1"/>
      </rPr>
      <t xml:space="preserve">B1089</t>
    </r>
    <r>
      <rPr>
        <sz val="11"/>
        <color theme="1"/>
        <rFont val="Noto Sans CJK SC"/>
        <family val="2"/>
      </rPr>
      <t xml:space="preserve">。マスターリース契約によりテナント総数</t>
    </r>
    <r>
      <rPr>
        <sz val="11"/>
        <color theme="1"/>
        <rFont val="Calibri"/>
        <family val="2"/>
        <charset val="1"/>
      </rPr>
      <t xml:space="preserve">1</t>
    </r>
    <r>
      <rPr>
        <sz val="11"/>
        <color theme="1"/>
        <rFont val="Noto Sans CJK SC"/>
        <family val="2"/>
      </rPr>
      <t xml:space="preserve">。所在地・竣工年月・延床面積は短信非掲載のため未収録</t>
    </r>
  </si>
  <si>
    <t xml:space="preserve">SKR-002</t>
  </si>
  <si>
    <r>
      <rPr>
        <sz val="10"/>
        <color rgb="FF0000FF"/>
        <rFont val="Arial"/>
        <family val="0"/>
        <charset val="1"/>
      </rPr>
      <t xml:space="preserve">S-GATE</t>
    </r>
    <r>
      <rPr>
        <sz val="10"/>
        <color rgb="FF0000FF"/>
        <rFont val="Noto Sans CJK SC"/>
        <family val="2"/>
      </rPr>
      <t xml:space="preserve">秋葉原</t>
    </r>
  </si>
  <si>
    <r>
      <rPr>
        <sz val="11"/>
        <color theme="1"/>
        <rFont val="Calibri"/>
        <family val="2"/>
        <charset val="1"/>
      </rPr>
      <t xml:space="preserve">KDX</t>
    </r>
    <r>
      <rPr>
        <sz val="11"/>
        <color theme="1"/>
        <rFont val="Noto Sans CJK SC"/>
        <family val="2"/>
      </rPr>
      <t xml:space="preserve">物件番号</t>
    </r>
    <r>
      <rPr>
        <sz val="11"/>
        <color theme="1"/>
        <rFont val="Calibri"/>
        <family val="2"/>
        <charset val="1"/>
      </rPr>
      <t xml:space="preserve">B1090</t>
    </r>
    <r>
      <rPr>
        <sz val="11"/>
        <color theme="1"/>
        <rFont val="Noto Sans CJK SC"/>
        <family val="2"/>
      </rPr>
      <t xml:space="preserve">。マスターリース契約によりテナント総数</t>
    </r>
    <r>
      <rPr>
        <sz val="11"/>
        <color theme="1"/>
        <rFont val="Calibri"/>
        <family val="2"/>
        <charset val="1"/>
      </rPr>
      <t xml:space="preserve">1</t>
    </r>
    <r>
      <rPr>
        <sz val="11"/>
        <color theme="1"/>
        <rFont val="Noto Sans CJK SC"/>
        <family val="2"/>
      </rPr>
      <t xml:space="preserve">。所在地・竣工年月・延床面積は短信非掲載のため未収録</t>
    </r>
  </si>
  <si>
    <t xml:space="preserve">SKR-003</t>
  </si>
  <si>
    <t xml:space="preserve">日比谷サンケイビル</t>
  </si>
  <si>
    <t xml:space="preserve">スポンサー(サンケイビル)開発物件</t>
  </si>
  <si>
    <t xml:space="preserve">SKR-004</t>
  </si>
  <si>
    <t xml:space="preserve">八丁堀サンケイビル</t>
  </si>
  <si>
    <r>
      <rPr>
        <sz val="10"/>
        <color rgb="FF0000FF"/>
        <rFont val="Arial"/>
        <family val="0"/>
        <charset val="1"/>
      </rPr>
      <t xml:space="preserve">1965</t>
    </r>
    <r>
      <rPr>
        <sz val="10"/>
        <color rgb="FF0000FF"/>
        <rFont val="Noto Sans CJK SC"/>
        <family val="2"/>
      </rPr>
      <t xml:space="preserve">年竣工で</t>
    </r>
    <r>
      <rPr>
        <sz val="10"/>
        <color rgb="FF0000FF"/>
        <rFont val="Arial"/>
        <family val="0"/>
        <charset val="1"/>
      </rPr>
      <t xml:space="preserve">DB</t>
    </r>
    <r>
      <rPr>
        <sz val="10"/>
        <color rgb="FF0000FF"/>
        <rFont val="Noto Sans CJK SC"/>
        <family val="2"/>
      </rPr>
      <t xml:space="preserve">中最古級の建物</t>
    </r>
  </si>
  <si>
    <t xml:space="preserve">SKR-005</t>
  </si>
  <si>
    <t xml:space="preserve">東陽パークビル</t>
  </si>
  <si>
    <r>
      <rPr>
        <sz val="11"/>
        <color theme="1"/>
        <rFont val="Calibri"/>
        <family val="2"/>
        <charset val="1"/>
      </rPr>
      <t xml:space="preserve">KDX</t>
    </r>
    <r>
      <rPr>
        <sz val="11"/>
        <color theme="1"/>
        <rFont val="Noto Sans CJK SC"/>
        <family val="2"/>
      </rPr>
      <t xml:space="preserve">物件番号</t>
    </r>
    <r>
      <rPr>
        <sz val="11"/>
        <color theme="1"/>
        <rFont val="Calibri"/>
        <family val="2"/>
        <charset val="1"/>
      </rPr>
      <t xml:space="preserve">B1093</t>
    </r>
    <r>
      <rPr>
        <sz val="11"/>
        <color theme="1"/>
        <rFont val="Noto Sans CJK SC"/>
        <family val="2"/>
      </rPr>
      <t xml:space="preserve">。マスターリース契約によりテナント総数</t>
    </r>
    <r>
      <rPr>
        <sz val="11"/>
        <color theme="1"/>
        <rFont val="Calibri"/>
        <family val="2"/>
        <charset val="1"/>
      </rPr>
      <t xml:space="preserve">1</t>
    </r>
    <r>
      <rPr>
        <sz val="11"/>
        <color theme="1"/>
        <rFont val="Noto Sans CJK SC"/>
        <family val="2"/>
      </rPr>
      <t xml:space="preserve">。所在地・竣工年月・延床面積は短信非掲載のため未収録</t>
    </r>
  </si>
  <si>
    <t xml:space="preserve">SKR-006</t>
  </si>
  <si>
    <t xml:space="preserve">大森パークビル</t>
  </si>
  <si>
    <r>
      <rPr>
        <sz val="11"/>
        <color theme="1"/>
        <rFont val="Calibri"/>
        <family val="2"/>
        <charset val="1"/>
      </rPr>
      <t xml:space="preserve">KDX</t>
    </r>
    <r>
      <rPr>
        <sz val="11"/>
        <color theme="1"/>
        <rFont val="Noto Sans CJK SC"/>
        <family val="2"/>
      </rPr>
      <t xml:space="preserve">物件番号</t>
    </r>
    <r>
      <rPr>
        <sz val="11"/>
        <color theme="1"/>
        <rFont val="Calibri"/>
        <family val="2"/>
        <charset val="1"/>
      </rPr>
      <t xml:space="preserve">B1094</t>
    </r>
    <r>
      <rPr>
        <sz val="11"/>
        <color theme="1"/>
        <rFont val="Noto Sans CJK SC"/>
        <family val="2"/>
      </rPr>
      <t xml:space="preserve">。マスターリース契約によりテナント総数</t>
    </r>
    <r>
      <rPr>
        <sz val="11"/>
        <color theme="1"/>
        <rFont val="Calibri"/>
        <family val="2"/>
        <charset val="1"/>
      </rPr>
      <t xml:space="preserve">1</t>
    </r>
    <r>
      <rPr>
        <sz val="11"/>
        <color theme="1"/>
        <rFont val="Noto Sans CJK SC"/>
        <family val="2"/>
      </rPr>
      <t xml:space="preserve">。所在地・竣工年月・延床面積は短信非掲載のため未収録</t>
    </r>
  </si>
  <si>
    <t xml:space="preserve">SKR-007</t>
  </si>
  <si>
    <r>
      <rPr>
        <sz val="10"/>
        <color rgb="FF0000FF"/>
        <rFont val="Arial"/>
        <family val="0"/>
        <charset val="1"/>
      </rPr>
      <t xml:space="preserve">S-GATE</t>
    </r>
    <r>
      <rPr>
        <sz val="10"/>
        <color rgb="FF0000FF"/>
        <rFont val="Noto Sans CJK SC"/>
        <family val="2"/>
      </rPr>
      <t xml:space="preserve">赤坂</t>
    </r>
  </si>
  <si>
    <t xml:space="preserve">総賃料収入・敷金は非開示</t>
  </si>
  <si>
    <t xml:space="preserve">SKR-008</t>
  </si>
  <si>
    <t xml:space="preserve">宮崎台ガーデンオフィス</t>
  </si>
  <si>
    <t xml:space="preserve">川崎市宮前区</t>
  </si>
  <si>
    <r>
      <rPr>
        <sz val="11"/>
        <color theme="1"/>
        <rFont val="Calibri"/>
        <family val="2"/>
        <charset val="1"/>
      </rPr>
      <t xml:space="preserve">KDX</t>
    </r>
    <r>
      <rPr>
        <sz val="11"/>
        <color theme="1"/>
        <rFont val="Noto Sans CJK SC"/>
        <family val="2"/>
      </rPr>
      <t xml:space="preserve">物件番号</t>
    </r>
    <r>
      <rPr>
        <sz val="11"/>
        <color theme="1"/>
        <rFont val="Calibri"/>
        <family val="2"/>
        <charset val="1"/>
      </rPr>
      <t xml:space="preserve">B1096</t>
    </r>
    <r>
      <rPr>
        <sz val="11"/>
        <color theme="1"/>
        <rFont val="Noto Sans CJK SC"/>
        <family val="2"/>
      </rPr>
      <t xml:space="preserve">。マスターリース契約によりテナント総数</t>
    </r>
    <r>
      <rPr>
        <sz val="11"/>
        <color theme="1"/>
        <rFont val="Calibri"/>
        <family val="2"/>
        <charset val="1"/>
      </rPr>
      <t xml:space="preserve">1</t>
    </r>
    <r>
      <rPr>
        <sz val="11"/>
        <color theme="1"/>
        <rFont val="Noto Sans CJK SC"/>
        <family val="2"/>
      </rPr>
      <t xml:space="preserve">。所在地・竣工年月・延床面積は短信非掲載のため未収録</t>
    </r>
  </si>
  <si>
    <t xml:space="preserve">SKR-009</t>
  </si>
  <si>
    <t xml:space="preserve">福岡グリーンビルディング</t>
  </si>
  <si>
    <t xml:space="preserve">福岡市早良区</t>
  </si>
  <si>
    <r>
      <rPr>
        <sz val="10"/>
        <color rgb="FF0000FF"/>
        <rFont val="Arial"/>
        <family val="0"/>
        <charset val="1"/>
      </rPr>
      <t xml:space="preserve">2026/2/1</t>
    </r>
    <r>
      <rPr>
        <sz val="10"/>
        <color rgb="FF0000FF"/>
        <rFont val="Noto Sans CJK SC"/>
        <family val="2"/>
      </rPr>
      <t xml:space="preserve">に「日立九州ビル」から名称変更。主要テナント日立製作所が</t>
    </r>
    <r>
      <rPr>
        <sz val="10"/>
        <color rgb="FF0000FF"/>
        <rFont val="Arial"/>
        <family val="0"/>
        <charset val="1"/>
      </rPr>
      <t xml:space="preserve">2025/9/30</t>
    </r>
    <r>
      <rPr>
        <sz val="10"/>
        <color rgb="FF0000FF"/>
        <rFont val="Noto Sans CJK SC"/>
        <family val="2"/>
      </rPr>
      <t xml:space="preserve">付で合意解約</t>
    </r>
    <r>
      <rPr>
        <sz val="10"/>
        <color rgb="FF0000FF"/>
        <rFont val="Arial"/>
        <family val="0"/>
        <charset val="1"/>
      </rPr>
      <t xml:space="preserve">(</t>
    </r>
    <r>
      <rPr>
        <sz val="10"/>
        <color rgb="FF0000FF"/>
        <rFont val="Noto Sans CJK SC"/>
        <family val="2"/>
      </rPr>
      <t xml:space="preserve">解約違約金</t>
    </r>
    <r>
      <rPr>
        <sz val="10"/>
        <color rgb="FF0000FF"/>
        <rFont val="Arial"/>
        <family val="0"/>
        <charset val="1"/>
      </rPr>
      <t xml:space="preserve">582,338</t>
    </r>
    <r>
      <rPr>
        <sz val="10"/>
        <color rgb="FF0000FF"/>
        <rFont val="Noto Sans CJK SC"/>
        <family val="2"/>
      </rPr>
      <t xml:space="preserve">千円収受</t>
    </r>
    <r>
      <rPr>
        <sz val="10"/>
        <color rgb="FF0000FF"/>
        <rFont val="Arial"/>
        <family val="0"/>
        <charset val="1"/>
      </rPr>
      <t xml:space="preserve">)</t>
    </r>
    <r>
      <rPr>
        <sz val="10"/>
        <color rgb="FF0000FF"/>
        <rFont val="Noto Sans CJK SC"/>
        <family val="2"/>
      </rPr>
      <t xml:space="preserve">し稼働</t>
    </r>
    <r>
      <rPr>
        <sz val="10"/>
        <color rgb="FF0000FF"/>
        <rFont val="Arial"/>
        <family val="0"/>
        <charset val="1"/>
      </rPr>
      <t xml:space="preserve">0%</t>
    </r>
    <r>
      <rPr>
        <sz val="10"/>
        <color rgb="FF0000FF"/>
        <rFont val="Noto Sans CJK SC"/>
        <family val="2"/>
      </rPr>
      <t xml:space="preserve">。当期に減損損失</t>
    </r>
    <r>
      <rPr>
        <sz val="10"/>
        <color rgb="FF0000FF"/>
        <rFont val="Arial"/>
        <family val="0"/>
        <charset val="1"/>
      </rPr>
      <t xml:space="preserve">4,933,559</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信託土地</t>
    </r>
    <r>
      <rPr>
        <sz val="10"/>
        <color rgb="FF0000FF"/>
        <rFont val="Arial"/>
        <family val="0"/>
        <charset val="1"/>
      </rPr>
      <t xml:space="preserve">4,163,598+</t>
    </r>
    <r>
      <rPr>
        <sz val="10"/>
        <color rgb="FF0000FF"/>
        <rFont val="Noto Sans CJK SC"/>
        <family val="2"/>
      </rPr>
      <t xml:space="preserve">信託建物</t>
    </r>
    <r>
      <rPr>
        <sz val="10"/>
        <color rgb="FF0000FF"/>
        <rFont val="Arial"/>
        <family val="0"/>
        <charset val="1"/>
      </rPr>
      <t xml:space="preserve">750,484</t>
    </r>
    <r>
      <rPr>
        <sz val="10"/>
        <color rgb="FF0000FF"/>
        <rFont val="Noto Sans CJK SC"/>
        <family val="2"/>
      </rPr>
      <t xml:space="preserve">等</t>
    </r>
    <r>
      <rPr>
        <sz val="10"/>
        <color rgb="FF0000FF"/>
        <rFont val="Arial"/>
        <family val="0"/>
        <charset val="1"/>
      </rPr>
      <t xml:space="preserve">)</t>
    </r>
    <r>
      <rPr>
        <sz val="10"/>
        <color rgb="FF0000FF"/>
        <rFont val="Noto Sans CJK SC"/>
        <family val="2"/>
      </rPr>
      <t xml:space="preserve">を計上し帳簿価額を回収可能価額まで減額。</t>
    </r>
    <r>
      <rPr>
        <sz val="10"/>
        <color rgb="FF0000FF"/>
        <rFont val="Arial"/>
        <family val="0"/>
        <charset val="1"/>
      </rPr>
      <t xml:space="preserve">2026/8</t>
    </r>
    <r>
      <rPr>
        <sz val="10"/>
        <color rgb="FF0000FF"/>
        <rFont val="Noto Sans CJK SC"/>
        <family val="2"/>
      </rPr>
      <t xml:space="preserve">期に原状回復工事精算金収入等</t>
    </r>
    <r>
      <rPr>
        <sz val="10"/>
        <color rgb="FF0000FF"/>
        <rFont val="Arial"/>
        <family val="0"/>
        <charset val="1"/>
      </rPr>
      <t xml:space="preserve">1,419</t>
    </r>
    <r>
      <rPr>
        <sz val="10"/>
        <color rgb="FF0000FF"/>
        <rFont val="Noto Sans CJK SC"/>
        <family val="2"/>
      </rPr>
      <t xml:space="preserve">百万円計上、マルチテナント化工事</t>
    </r>
    <r>
      <rPr>
        <sz val="10"/>
        <color rgb="FF0000FF"/>
        <rFont val="Arial"/>
        <family val="0"/>
        <charset val="1"/>
      </rPr>
      <t xml:space="preserve">(276</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は</t>
    </r>
    <r>
      <rPr>
        <sz val="10"/>
        <color rgb="FF0000FF"/>
        <rFont val="Arial"/>
        <family val="0"/>
        <charset val="1"/>
      </rPr>
      <t xml:space="preserve">2026/9-2027/2</t>
    </r>
    <r>
      <rPr>
        <sz val="10"/>
        <color rgb="FF0000FF"/>
        <rFont val="Noto Sans CJK SC"/>
        <family val="2"/>
      </rPr>
      <t xml:space="preserve">予定でリテナント完了又は売却は</t>
    </r>
    <r>
      <rPr>
        <sz val="10"/>
        <color rgb="FF0000FF"/>
        <rFont val="Arial"/>
        <family val="0"/>
        <charset val="1"/>
      </rPr>
      <t xml:space="preserve">2027/2</t>
    </r>
    <r>
      <rPr>
        <sz val="10"/>
        <color rgb="FF0000FF"/>
        <rFont val="Noto Sans CJK SC"/>
        <family val="2"/>
      </rPr>
      <t xml:space="preserve">期中も未完の見通し</t>
    </r>
  </si>
  <si>
    <t xml:space="preserve">SKR-010</t>
  </si>
  <si>
    <t xml:space="preserve">ホテルインターゲート東京 京橋</t>
  </si>
  <si>
    <r>
      <rPr>
        <sz val="11"/>
        <color theme="1"/>
        <rFont val="Calibri"/>
        <family val="2"/>
        <charset val="1"/>
      </rPr>
      <t xml:space="preserve">KDX</t>
    </r>
    <r>
      <rPr>
        <sz val="11"/>
        <color theme="1"/>
        <rFont val="Noto Sans CJK SC"/>
        <family val="2"/>
      </rPr>
      <t xml:space="preserve">物件番号</t>
    </r>
    <r>
      <rPr>
        <sz val="11"/>
        <color theme="1"/>
        <rFont val="Calibri"/>
        <family val="2"/>
        <charset val="1"/>
      </rPr>
      <t xml:space="preserve">B1098</t>
    </r>
    <r>
      <rPr>
        <sz val="11"/>
        <color theme="1"/>
        <rFont val="Noto Sans CJK SC"/>
        <family val="2"/>
      </rPr>
      <t xml:space="preserve">。マスターリース契約によりテナント総数</t>
    </r>
    <r>
      <rPr>
        <sz val="11"/>
        <color theme="1"/>
        <rFont val="Calibri"/>
        <family val="2"/>
        <charset val="1"/>
      </rPr>
      <t xml:space="preserve">1</t>
    </r>
    <r>
      <rPr>
        <sz val="11"/>
        <color theme="1"/>
        <rFont val="Noto Sans CJK SC"/>
        <family val="2"/>
      </rPr>
      <t xml:space="preserve">。所在地・竣工年月・延床面積は短信非掲載のため未収録</t>
    </r>
  </si>
  <si>
    <t xml:space="preserve">SKR-011</t>
  </si>
  <si>
    <t xml:space="preserve">ホテルインターゲート広島</t>
  </si>
  <si>
    <t xml:space="preserve">広島市中区</t>
  </si>
  <si>
    <r>
      <rPr>
        <sz val="11"/>
        <color theme="1"/>
        <rFont val="Calibri"/>
        <family val="2"/>
        <charset val="1"/>
      </rPr>
      <t xml:space="preserve">KDX</t>
    </r>
    <r>
      <rPr>
        <sz val="11"/>
        <color theme="1"/>
        <rFont val="Noto Sans CJK SC"/>
        <family val="2"/>
      </rPr>
      <t xml:space="preserve">物件番号</t>
    </r>
    <r>
      <rPr>
        <sz val="11"/>
        <color theme="1"/>
        <rFont val="Calibri"/>
        <family val="2"/>
        <charset val="1"/>
      </rPr>
      <t xml:space="preserve">B1099</t>
    </r>
    <r>
      <rPr>
        <sz val="11"/>
        <color theme="1"/>
        <rFont val="Noto Sans CJK SC"/>
        <family val="2"/>
      </rPr>
      <t xml:space="preserve">。マスターリース契約によりテナント総数</t>
    </r>
    <r>
      <rPr>
        <sz val="11"/>
        <color theme="1"/>
        <rFont val="Calibri"/>
        <family val="2"/>
        <charset val="1"/>
      </rPr>
      <t xml:space="preserve">1</t>
    </r>
    <r>
      <rPr>
        <sz val="11"/>
        <color theme="1"/>
        <rFont val="Noto Sans CJK SC"/>
        <family val="2"/>
      </rPr>
      <t xml:space="preserve">。所在地・竣工年月・延床面積は短信非掲載のため未収録</t>
    </r>
  </si>
  <si>
    <t xml:space="preserve">SKR-012</t>
  </si>
  <si>
    <r>
      <rPr>
        <sz val="10"/>
        <color rgb="FF0000FF"/>
        <rFont val="Arial"/>
        <family val="0"/>
        <charset val="1"/>
      </rPr>
      <t xml:space="preserve">SANKEILOGI</t>
    </r>
    <r>
      <rPr>
        <sz val="10"/>
        <color rgb="FF0000FF"/>
        <rFont val="Noto Sans CJK SC"/>
        <family val="2"/>
      </rPr>
      <t xml:space="preserve">摂津</t>
    </r>
  </si>
  <si>
    <t xml:space="preserve">物流</t>
  </si>
  <si>
    <t xml:space="preserve">摂津市</t>
  </si>
  <si>
    <t xml:space="preserve">定期建物賃貸借契約・固定賃料</t>
  </si>
  <si>
    <t xml:space="preserve">SKR-013</t>
  </si>
  <si>
    <t xml:space="preserve">ホテルインターゲート京都 四条新町</t>
  </si>
  <si>
    <t xml:space="preserve">京都市中京区</t>
  </si>
  <si>
    <t xml:space="preserve">固定+変動賃料併用</t>
  </si>
  <si>
    <t xml:space="preserve">SKR-014</t>
  </si>
  <si>
    <t xml:space="preserve">ホテルインターゲート金沢</t>
  </si>
  <si>
    <t xml:space="preserve">SKR-015</t>
  </si>
  <si>
    <t xml:space="preserve">グリッズプレミアムホテル大阪なんば</t>
  </si>
  <si>
    <t xml:space="preserve">大阪市浪速区</t>
  </si>
  <si>
    <t xml:space="preserve">総賃料収入は非開示。固定+変動賃料併用</t>
  </si>
  <si>
    <t xml:space="preserve">SKR-016</t>
  </si>
  <si>
    <t xml:space="preserve">ベッセルホテルカンパーナすすきの</t>
  </si>
  <si>
    <t xml:space="preserve">札幌市中央区</t>
  </si>
  <si>
    <t xml:space="preserve">共有持分40%相当の数値を収録</t>
  </si>
  <si>
    <t xml:space="preserve">KDX-ALL</t>
  </si>
  <si>
    <t xml:space="preserve">【KDXポートフォリオ全体】</t>
  </si>
  <si>
    <t xml:space="preserve">総合型（オフィス・住宅・商業ほか）</t>
  </si>
  <si>
    <r>
      <rPr>
        <sz val="10"/>
        <color rgb="FF0000FF"/>
        <rFont val="Arial"/>
        <family val="0"/>
        <charset val="1"/>
      </rPr>
      <t xml:space="preserve">343</t>
    </r>
    <r>
      <rPr>
        <sz val="10"/>
        <color rgb="FF0000FF"/>
        <rFont val="Noto Sans CJK SC"/>
        <family val="2"/>
      </rPr>
      <t xml:space="preserve">物件（</t>
    </r>
    <r>
      <rPr>
        <sz val="10"/>
        <color rgb="FF0000FF"/>
        <rFont val="Arial"/>
        <family val="0"/>
        <charset val="1"/>
      </rPr>
      <t xml:space="preserve">2026/4/30</t>
    </r>
    <r>
      <rPr>
        <sz val="10"/>
        <color rgb="FF0000FF"/>
        <rFont val="Noto Sans CJK SC"/>
        <family val="2"/>
      </rPr>
      <t xml:space="preserve">時点）</t>
    </r>
  </si>
  <si>
    <r>
      <rPr>
        <sz val="10"/>
        <color rgb="FF0000FF"/>
        <rFont val="Arial"/>
        <family val="0"/>
        <charset val="1"/>
      </rPr>
      <t xml:space="preserve">KDX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42</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(2026/6/17</t>
    </r>
    <r>
      <rPr>
        <sz val="10"/>
        <color rgb="FF0000FF"/>
        <rFont val="Noto Sans CJK SC"/>
        <family val="2"/>
      </rPr>
      <t xml:space="preserve">公表</t>
    </r>
    <r>
      <rPr>
        <sz val="10"/>
        <color rgb="FF0000FF"/>
        <rFont val="Arial"/>
        <family val="0"/>
        <charset val="1"/>
      </rPr>
      <t xml:space="preserve">)</t>
    </r>
  </si>
  <si>
    <r>
      <rPr>
        <sz val="10"/>
        <color rgb="FF0000FF"/>
        <rFont val="Arial"/>
        <family val="0"/>
        <charset val="1"/>
      </rPr>
      <t xml:space="preserve">2023/11</t>
    </r>
    <r>
      <rPr>
        <sz val="10"/>
        <color rgb="FF0000FF"/>
        <rFont val="Noto Sans CJK SC"/>
        <family val="2"/>
      </rPr>
      <t xml:space="preserve">に旧</t>
    </r>
    <r>
      <rPr>
        <sz val="10"/>
        <color rgb="FF0000FF"/>
        <rFont val="Arial"/>
        <family val="0"/>
        <charset val="1"/>
      </rPr>
      <t xml:space="preserve">KDX</t>
    </r>
    <r>
      <rPr>
        <sz val="10"/>
        <color rgb="FF0000FF"/>
        <rFont val="Noto Sans CJK SC"/>
        <family val="2"/>
      </rPr>
      <t xml:space="preserve">オフィス投資法人</t>
    </r>
    <r>
      <rPr>
        <sz val="10"/>
        <color rgb="FF0000FF"/>
        <rFont val="Arial"/>
        <family val="0"/>
        <charset val="1"/>
      </rPr>
      <t xml:space="preserve">(8972)</t>
    </r>
    <r>
      <rPr>
        <sz val="10"/>
        <color rgb="FF0000FF"/>
        <rFont val="Noto Sans CJK SC"/>
        <family val="2"/>
      </rPr>
      <t xml:space="preserve">・ケネディクス・レジデンシャル・ネクスト</t>
    </r>
    <r>
      <rPr>
        <sz val="10"/>
        <color rgb="FF0000FF"/>
        <rFont val="Arial"/>
        <family val="0"/>
        <charset val="1"/>
      </rPr>
      <t xml:space="preserve">(3278)</t>
    </r>
    <r>
      <rPr>
        <sz val="10"/>
        <color rgb="FF0000FF"/>
        <rFont val="Noto Sans CJK SC"/>
        <family val="2"/>
      </rPr>
      <t xml:space="preserve">・ケネディクス商業リート</t>
    </r>
    <r>
      <rPr>
        <sz val="10"/>
        <color rgb="FF0000FF"/>
        <rFont val="Arial"/>
        <family val="0"/>
        <charset val="1"/>
      </rPr>
      <t xml:space="preserve">(3453)</t>
    </r>
    <r>
      <rPr>
        <sz val="10"/>
        <color rgb="FF0000FF"/>
        <rFont val="Noto Sans CJK SC"/>
        <family val="2"/>
      </rPr>
      <t xml:space="preserve">の</t>
    </r>
    <r>
      <rPr>
        <sz val="10"/>
        <color rgb="FF0000FF"/>
        <rFont val="Arial"/>
        <family val="0"/>
        <charset val="1"/>
      </rPr>
      <t xml:space="preserve">3</t>
    </r>
    <r>
      <rPr>
        <sz val="10"/>
        <color rgb="FF0000FF"/>
        <rFont val="Noto Sans CJK SC"/>
        <family val="2"/>
      </rPr>
      <t xml:space="preserve">リート合併で誕生した国内最大級の総合型リート。期末</t>
    </r>
    <r>
      <rPr>
        <sz val="10"/>
        <color rgb="FF0000FF"/>
        <rFont val="Arial"/>
        <family val="0"/>
        <charset val="1"/>
      </rPr>
      <t xml:space="preserve">343</t>
    </r>
    <r>
      <rPr>
        <sz val="10"/>
        <color rgb="FF0000FF"/>
        <rFont val="Noto Sans CJK SC"/>
        <family val="2"/>
      </rPr>
      <t xml:space="preserve">物件・取得価格合計</t>
    </r>
    <r>
      <rPr>
        <sz val="10"/>
        <color rgb="FF0000FF"/>
        <rFont val="Arial"/>
        <family val="0"/>
        <charset val="1"/>
      </rPr>
      <t xml:space="preserve">1,218,978</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本</t>
    </r>
    <r>
      <rPr>
        <sz val="10"/>
        <color rgb="FF0000FF"/>
        <rFont val="Arial"/>
        <family val="0"/>
        <charset val="1"/>
      </rPr>
      <t xml:space="preserve">DB16</t>
    </r>
    <r>
      <rPr>
        <sz val="10"/>
        <color rgb="FF0000FF"/>
        <rFont val="Noto Sans CJK SC"/>
        <family val="2"/>
      </rPr>
      <t xml:space="preserve">法人中最大。用途別内訳</t>
    </r>
    <r>
      <rPr>
        <sz val="10"/>
        <color rgb="FF0000FF"/>
        <rFont val="Arial"/>
        <family val="0"/>
        <charset val="1"/>
      </rPr>
      <t xml:space="preserve">(</t>
    </r>
    <r>
      <rPr>
        <sz val="10"/>
        <color rgb="FF0000FF"/>
        <rFont val="Noto Sans CJK SC"/>
        <family val="2"/>
      </rPr>
      <t xml:space="preserve">取得百万円</t>
    </r>
    <r>
      <rPr>
        <sz val="10"/>
        <color rgb="FF0000FF"/>
        <rFont val="Arial"/>
        <family val="0"/>
        <charset val="1"/>
      </rPr>
      <t xml:space="preserve">): </t>
    </r>
    <r>
      <rPr>
        <sz val="10"/>
        <color rgb="FF0000FF"/>
        <rFont val="Noto Sans CJK SC"/>
        <family val="2"/>
      </rPr>
      <t xml:space="preserve">オフィス</t>
    </r>
    <r>
      <rPr>
        <sz val="10"/>
        <color rgb="FF0000FF"/>
        <rFont val="Arial"/>
        <family val="0"/>
        <charset val="1"/>
      </rPr>
      <t xml:space="preserve">86</t>
    </r>
    <r>
      <rPr>
        <sz val="10"/>
        <color rgb="FF0000FF"/>
        <rFont val="Noto Sans CJK SC"/>
        <family val="2"/>
      </rPr>
      <t xml:space="preserve">物件</t>
    </r>
    <r>
      <rPr>
        <sz val="10"/>
        <color rgb="FF0000FF"/>
        <rFont val="Arial"/>
        <family val="0"/>
        <charset val="1"/>
      </rPr>
      <t xml:space="preserve">413,162/</t>
    </r>
    <r>
      <rPr>
        <sz val="10"/>
        <color rgb="FF0000FF"/>
        <rFont val="Noto Sans CJK SC"/>
        <family val="2"/>
      </rPr>
      <t xml:space="preserve">居住</t>
    </r>
    <r>
      <rPr>
        <sz val="10"/>
        <color rgb="FF0000FF"/>
        <rFont val="Arial"/>
        <family val="0"/>
        <charset val="1"/>
      </rPr>
      <t xml:space="preserve">135</t>
    </r>
    <r>
      <rPr>
        <sz val="10"/>
        <color rgb="FF0000FF"/>
        <rFont val="Noto Sans CJK SC"/>
        <family val="2"/>
      </rPr>
      <t xml:space="preserve">物件</t>
    </r>
    <r>
      <rPr>
        <sz val="10"/>
        <color rgb="FF0000FF"/>
        <rFont val="Arial"/>
        <family val="0"/>
        <charset val="1"/>
      </rPr>
      <t xml:space="preserve">314,834/</t>
    </r>
    <r>
      <rPr>
        <sz val="10"/>
        <color rgb="FF0000FF"/>
        <rFont val="Noto Sans CJK SC"/>
        <family val="2"/>
      </rPr>
      <t xml:space="preserve">商業</t>
    </r>
    <r>
      <rPr>
        <sz val="10"/>
        <color rgb="FF0000FF"/>
        <rFont val="Arial"/>
        <family val="0"/>
        <charset val="1"/>
      </rPr>
      <t xml:space="preserve">60</t>
    </r>
    <r>
      <rPr>
        <sz val="10"/>
        <color rgb="FF0000FF"/>
        <rFont val="Noto Sans CJK SC"/>
        <family val="2"/>
      </rPr>
      <t xml:space="preserve">物件</t>
    </r>
    <r>
      <rPr>
        <sz val="10"/>
        <color rgb="FF0000FF"/>
        <rFont val="Arial"/>
        <family val="0"/>
        <charset val="1"/>
      </rPr>
      <t xml:space="preserve">301,885/</t>
    </r>
    <r>
      <rPr>
        <sz val="10"/>
        <color rgb="FF0000FF"/>
        <rFont val="Noto Sans CJK SC"/>
        <family val="2"/>
      </rPr>
      <t xml:space="preserve">物流</t>
    </r>
    <r>
      <rPr>
        <sz val="10"/>
        <color rgb="FF0000FF"/>
        <rFont val="Arial"/>
        <family val="0"/>
        <charset val="1"/>
      </rPr>
      <t xml:space="preserve">14</t>
    </r>
    <r>
      <rPr>
        <sz val="10"/>
        <color rgb="FF0000FF"/>
        <rFont val="Noto Sans CJK SC"/>
        <family val="2"/>
      </rPr>
      <t xml:space="preserve">物件</t>
    </r>
    <r>
      <rPr>
        <sz val="10"/>
        <color rgb="FF0000FF"/>
        <rFont val="Arial"/>
        <family val="0"/>
        <charset val="1"/>
      </rPr>
      <t xml:space="preserve">43,759/</t>
    </r>
    <r>
      <rPr>
        <sz val="10"/>
        <color rgb="FF0000FF"/>
        <rFont val="Noto Sans CJK SC"/>
        <family val="2"/>
      </rPr>
      <t xml:space="preserve">宿泊</t>
    </r>
    <r>
      <rPr>
        <sz val="10"/>
        <color rgb="FF0000FF"/>
        <rFont val="Arial"/>
        <family val="0"/>
        <charset val="1"/>
      </rPr>
      <t xml:space="preserve">6</t>
    </r>
    <r>
      <rPr>
        <sz val="10"/>
        <color rgb="FF0000FF"/>
        <rFont val="Noto Sans CJK SC"/>
        <family val="2"/>
      </rPr>
      <t xml:space="preserve">物件</t>
    </r>
    <r>
      <rPr>
        <sz val="10"/>
        <color rgb="FF0000FF"/>
        <rFont val="Arial"/>
        <family val="0"/>
        <charset val="1"/>
      </rPr>
      <t xml:space="preserve">56,060/</t>
    </r>
    <r>
      <rPr>
        <sz val="10"/>
        <color rgb="FF0000FF"/>
        <rFont val="Noto Sans CJK SC"/>
        <family val="2"/>
      </rPr>
      <t xml:space="preserve">ヘルスケア</t>
    </r>
    <r>
      <rPr>
        <sz val="10"/>
        <color rgb="FF0000FF"/>
        <rFont val="Arial"/>
        <family val="0"/>
        <charset val="1"/>
      </rPr>
      <t xml:space="preserve">42</t>
    </r>
    <r>
      <rPr>
        <sz val="10"/>
        <color rgb="FF0000FF"/>
        <rFont val="Noto Sans CJK SC"/>
        <family val="2"/>
      </rPr>
      <t xml:space="preserve">物件</t>
    </r>
    <r>
      <rPr>
        <sz val="10"/>
        <color rgb="FF0000FF"/>
        <rFont val="Arial"/>
        <family val="0"/>
        <charset val="1"/>
      </rPr>
      <t xml:space="preserve">89,278</t>
    </r>
    <r>
      <rPr>
        <sz val="10"/>
        <color rgb="FF0000FF"/>
        <rFont val="Noto Sans CJK SC"/>
        <family val="2"/>
      </rPr>
      <t xml:space="preserve">。帳簿</t>
    </r>
    <r>
      <rPr>
        <sz val="10"/>
        <color rgb="FF0000FF"/>
        <rFont val="Arial"/>
        <family val="0"/>
        <charset val="1"/>
      </rPr>
      <t xml:space="preserve">1,194,401/</t>
    </r>
    <r>
      <rPr>
        <sz val="10"/>
        <color rgb="FF0000FF"/>
        <rFont val="Noto Sans CJK SC"/>
        <family val="2"/>
      </rPr>
      <t xml:space="preserve">期末鑑定</t>
    </r>
    <r>
      <rPr>
        <sz val="10"/>
        <color rgb="FF0000FF"/>
        <rFont val="Arial"/>
        <family val="0"/>
        <charset val="1"/>
      </rPr>
      <t xml:space="preserve">1,342,000</t>
    </r>
    <r>
      <rPr>
        <sz val="10"/>
        <color rgb="FF0000FF"/>
        <rFont val="Noto Sans CJK SC"/>
        <family val="2"/>
      </rPr>
      <t xml:space="preserve">百万円。</t>
    </r>
    <r>
      <rPr>
        <sz val="10"/>
        <color rgb="FF0000FF"/>
        <rFont val="Arial"/>
        <family val="0"/>
        <charset val="1"/>
      </rPr>
      <t xml:space="preserve">NLA2,313,854.89</t>
    </r>
    <r>
      <rPr>
        <sz val="10"/>
        <color rgb="FF0000FF"/>
        <rFont val="Noto Sans CJK SC"/>
        <family val="2"/>
      </rPr>
      <t xml:space="preserve">㎡・稼働</t>
    </r>
    <r>
      <rPr>
        <sz val="10"/>
        <color rgb="FF0000FF"/>
        <rFont val="Arial"/>
        <family val="0"/>
        <charset val="1"/>
      </rPr>
      <t xml:space="preserve">98.6%</t>
    </r>
    <r>
      <rPr>
        <sz val="10"/>
        <color rgb="FF0000FF"/>
        <rFont val="Noto Sans CJK SC"/>
        <family val="2"/>
      </rPr>
      <t xml:space="preserve">・テナント</t>
    </r>
    <r>
      <rPr>
        <sz val="10"/>
        <color rgb="FF0000FF"/>
        <rFont val="Arial"/>
        <family val="0"/>
        <charset val="1"/>
      </rPr>
      <t xml:space="preserve">2,027</t>
    </r>
    <r>
      <rPr>
        <sz val="10"/>
        <color rgb="FF0000FF"/>
        <rFont val="Noto Sans CJK SC"/>
        <family val="2"/>
      </rPr>
      <t xml:space="preserve">。【原資料の切捨て表示に関する注記】物件別</t>
    </r>
    <r>
      <rPr>
        <sz val="10"/>
        <color rgb="FF0000FF"/>
        <rFont val="Arial"/>
        <family val="0"/>
        <charset val="1"/>
      </rPr>
      <t xml:space="preserve">(</t>
    </r>
    <r>
      <rPr>
        <sz val="10"/>
        <color rgb="FF0000FF"/>
        <rFont val="Noto Sans CJK SC"/>
        <family val="2"/>
      </rPr>
      <t xml:space="preserve">百万円未満切捨て</t>
    </r>
    <r>
      <rPr>
        <sz val="10"/>
        <color rgb="FF0000FF"/>
        <rFont val="Arial"/>
        <family val="0"/>
        <charset val="1"/>
      </rPr>
      <t xml:space="preserve">)</t>
    </r>
    <r>
      <rPr>
        <sz val="10"/>
        <color rgb="FF0000FF"/>
        <rFont val="Noto Sans CJK SC"/>
        <family val="2"/>
      </rPr>
      <t xml:space="preserve">の合算は用途別小計より僅少に小さい</t>
    </r>
    <r>
      <rPr>
        <sz val="10"/>
        <color rgb="FF0000FF"/>
        <rFont val="Arial"/>
        <family val="0"/>
        <charset val="1"/>
      </rPr>
      <t xml:space="preserve">(</t>
    </r>
    <r>
      <rPr>
        <sz val="10"/>
        <color rgb="FF0000FF"/>
        <rFont val="Noto Sans CJK SC"/>
        <family val="2"/>
      </rPr>
      <t xml:space="preserve">オフィスで取得</t>
    </r>
    <r>
      <rPr>
        <sz val="10"/>
        <color rgb="FF0000FF"/>
        <rFont val="Arial"/>
        <family val="0"/>
        <charset val="1"/>
      </rPr>
      <t xml:space="preserve">-2</t>
    </r>
    <r>
      <rPr>
        <sz val="10"/>
        <color rgb="FF0000FF"/>
        <rFont val="Noto Sans CJK SC"/>
        <family val="2"/>
      </rPr>
      <t xml:space="preserve">・帳簿</t>
    </r>
    <r>
      <rPr>
        <sz val="10"/>
        <color rgb="FF0000FF"/>
        <rFont val="Arial"/>
        <family val="0"/>
        <charset val="1"/>
      </rPr>
      <t xml:space="preserve">-45</t>
    </r>
    <r>
      <rPr>
        <sz val="10"/>
        <color rgb="FF0000FF"/>
        <rFont val="Noto Sans CJK SC"/>
        <family val="2"/>
      </rPr>
      <t xml:space="preserve">百万円等</t>
    </r>
    <r>
      <rPr>
        <sz val="10"/>
        <color rgb="FF0000FF"/>
        <rFont val="Arial"/>
        <family val="0"/>
        <charset val="1"/>
      </rPr>
      <t xml:space="preserve">=</t>
    </r>
    <r>
      <rPr>
        <sz val="10"/>
        <color rgb="FF0000FF"/>
        <rFont val="Noto Sans CJK SC"/>
        <family val="2"/>
      </rPr>
      <t xml:space="preserve">切捨て累積・</t>
    </r>
    <r>
      <rPr>
        <sz val="10"/>
        <color rgb="FF0000FF"/>
        <rFont val="Arial"/>
        <family val="0"/>
        <charset val="1"/>
      </rPr>
      <t xml:space="preserve">SHR</t>
    </r>
    <r>
      <rPr>
        <sz val="10"/>
        <color rgb="FF0000FF"/>
        <rFont val="Noto Sans CJK SC"/>
        <family val="2"/>
      </rPr>
      <t xml:space="preserve">で機械照合確定済みと同パターン。帳簿は物件別合算</t>
    </r>
    <r>
      <rPr>
        <sz val="10"/>
        <color rgb="FF0000FF"/>
        <rFont val="Arial"/>
        <family val="0"/>
        <charset val="1"/>
      </rPr>
      <t xml:space="preserve">1,194,234&lt;</t>
    </r>
    <r>
      <rPr>
        <sz val="10"/>
        <color rgb="FF0000FF"/>
        <rFont val="Noto Sans CJK SC"/>
        <family val="2"/>
      </rPr>
      <t xml:space="preserve">用途別小計合算</t>
    </r>
    <r>
      <rPr>
        <sz val="10"/>
        <color rgb="FF0000FF"/>
        <rFont val="Arial"/>
        <family val="0"/>
        <charset val="1"/>
      </rPr>
      <t xml:space="preserve">1,194,399&lt;</t>
    </r>
    <r>
      <rPr>
        <sz val="10"/>
        <color rgb="FF0000FF"/>
        <rFont val="Noto Sans CJK SC"/>
        <family val="2"/>
      </rPr>
      <t xml:space="preserve">総合計欄</t>
    </r>
    <r>
      <rPr>
        <sz val="10"/>
        <color rgb="FF0000FF"/>
        <rFont val="Arial"/>
        <family val="0"/>
        <charset val="1"/>
      </rPr>
      <t xml:space="preserve">1,194,401</t>
    </r>
    <r>
      <rPr>
        <sz val="10"/>
        <color rgb="FF0000FF"/>
        <rFont val="Noto Sans CJK SC"/>
        <family val="2"/>
      </rPr>
      <t xml:space="preserve">の</t>
    </r>
    <r>
      <rPr>
        <sz val="10"/>
        <color rgb="FF0000FF"/>
        <rFont val="Arial"/>
        <family val="0"/>
        <charset val="1"/>
      </rPr>
      <t xml:space="preserve">3</t>
    </r>
    <r>
      <rPr>
        <sz val="10"/>
        <color rgb="FF0000FF"/>
        <rFont val="Noto Sans CJK SC"/>
        <family val="2"/>
      </rPr>
      <t xml:space="preserve">層切捨て構造で計</t>
    </r>
    <r>
      <rPr>
        <sz val="10"/>
        <color rgb="FF0000FF"/>
        <rFont val="Arial"/>
        <family val="0"/>
        <charset val="1"/>
      </rPr>
      <t xml:space="preserve">167</t>
    </r>
    <r>
      <rPr>
        <sz val="10"/>
        <color rgb="FF0000FF"/>
        <rFont val="Noto Sans CJK SC"/>
        <family val="2"/>
      </rPr>
      <t xml:space="preserve">百万円差、取得は</t>
    </r>
    <r>
      <rPr>
        <sz val="10"/>
        <color rgb="FF0000FF"/>
        <rFont val="Arial"/>
        <family val="0"/>
        <charset val="1"/>
      </rPr>
      <t xml:space="preserve">-2</t>
    </r>
    <r>
      <rPr>
        <sz val="10"/>
        <color rgb="FF0000FF"/>
        <rFont val="Noto Sans CJK SC"/>
        <family val="2"/>
      </rPr>
      <t xml:space="preserve">のみ、鑑定・テナント総数は全層完全一致</t>
    </r>
    <r>
      <rPr>
        <sz val="10"/>
        <color rgb="FF0000FF"/>
        <rFont val="Arial"/>
        <family val="0"/>
        <charset val="1"/>
      </rPr>
      <t xml:space="preserve">)</t>
    </r>
    <r>
      <rPr>
        <sz val="10"/>
        <color rgb="FF0000FF"/>
        <rFont val="Noto Sans CJK SC"/>
        <family val="2"/>
      </rPr>
      <t xml:space="preserve">。鑑定・</t>
    </r>
    <r>
      <rPr>
        <sz val="10"/>
        <color rgb="FF0000FF"/>
        <rFont val="Arial"/>
        <family val="0"/>
        <charset val="1"/>
      </rPr>
      <t xml:space="preserve">NLA</t>
    </r>
    <r>
      <rPr>
        <sz val="10"/>
        <color rgb="FF0000FF"/>
        <rFont val="Noto Sans CJK SC"/>
        <family val="2"/>
      </rPr>
      <t xml:space="preserve">・テナント数は完全一致。期中譲渡</t>
    </r>
    <r>
      <rPr>
        <sz val="10"/>
        <color rgb="FF0000FF"/>
        <rFont val="Arial"/>
        <family val="0"/>
        <charset val="1"/>
      </rPr>
      <t xml:space="preserve">: </t>
    </r>
    <r>
      <rPr>
        <sz val="10"/>
        <color rgb="FF0000FF"/>
        <rFont val="Noto Sans CJK SC"/>
        <family val="2"/>
      </rPr>
      <t xml:space="preserve">新都心丸善ビル</t>
    </r>
    <r>
      <rPr>
        <sz val="10"/>
        <color rgb="FF0000FF"/>
        <rFont val="Arial"/>
        <family val="0"/>
        <charset val="1"/>
      </rPr>
      <t xml:space="preserve">(2025/12/1)</t>
    </r>
    <r>
      <rPr>
        <sz val="10"/>
        <color rgb="FF0000FF"/>
        <rFont val="Noto Sans CJK SC"/>
        <family val="2"/>
      </rPr>
      <t xml:space="preserve">・</t>
    </r>
    <r>
      <rPr>
        <sz val="10"/>
        <color rgb="FF0000FF"/>
        <rFont val="Arial"/>
        <family val="0"/>
        <charset val="1"/>
      </rPr>
      <t xml:space="preserve">KDX</t>
    </r>
    <r>
      <rPr>
        <sz val="10"/>
        <color rgb="FF0000FF"/>
        <rFont val="Noto Sans CJK SC"/>
        <family val="2"/>
      </rPr>
      <t xml:space="preserve">宇都宮ビル</t>
    </r>
    <r>
      <rPr>
        <sz val="10"/>
        <color rgb="FF0000FF"/>
        <rFont val="Arial"/>
        <family val="0"/>
        <charset val="1"/>
      </rPr>
      <t xml:space="preserve">(2026/3/31)</t>
    </r>
    <r>
      <rPr>
        <sz val="10"/>
        <color rgb="FF0000FF"/>
        <rFont val="Noto Sans CJK SC"/>
        <family val="2"/>
      </rPr>
      <t xml:space="preserve">。</t>
    </r>
    <r>
      <rPr>
        <sz val="10"/>
        <color rgb="FF0000FF"/>
        <rFont val="Arial"/>
        <family val="0"/>
        <charset val="1"/>
      </rPr>
      <t xml:space="preserve">2026/7/1</t>
    </r>
    <r>
      <rPr>
        <sz val="10"/>
        <color rgb="FF0000FF"/>
        <rFont val="Noto Sans CJK SC"/>
        <family val="2"/>
      </rPr>
      <t xml:space="preserve">現在</t>
    </r>
    <r>
      <rPr>
        <sz val="10"/>
        <color rgb="FF0000FF"/>
        <rFont val="Arial"/>
        <family val="0"/>
        <charset val="1"/>
      </rPr>
      <t xml:space="preserve">345</t>
    </r>
    <r>
      <rPr>
        <sz val="10"/>
        <color rgb="FF0000FF"/>
        <rFont val="Noto Sans CJK SC"/>
        <family val="2"/>
      </rPr>
      <t xml:space="preserve">物件・</t>
    </r>
    <r>
      <rPr>
        <sz val="10"/>
        <color rgb="FF0000FF"/>
        <rFont val="Arial"/>
        <family val="0"/>
        <charset val="1"/>
      </rPr>
      <t xml:space="preserve">12,264</t>
    </r>
    <r>
      <rPr>
        <sz val="10"/>
        <color rgb="FF0000FF"/>
        <rFont val="Noto Sans CJK SC"/>
        <family val="2"/>
      </rPr>
      <t xml:space="preserve">億円</t>
    </r>
    <r>
      <rPr>
        <sz val="10"/>
        <color rgb="FF0000FF"/>
        <rFont val="Arial"/>
        <family val="0"/>
        <charset val="1"/>
      </rPr>
      <t xml:space="preserve">(</t>
    </r>
    <r>
      <rPr>
        <sz val="10"/>
        <color rgb="FF0000FF"/>
        <rFont val="Noto Sans CJK SC"/>
        <family val="2"/>
      </rPr>
      <t xml:space="preserve">公式サイト</t>
    </r>
    <r>
      <rPr>
        <sz val="10"/>
        <color rgb="FF0000FF"/>
        <rFont val="Arial"/>
        <family val="0"/>
        <charset val="1"/>
      </rPr>
      <t xml:space="preserve">)</t>
    </r>
    <r>
      <rPr>
        <sz val="10"/>
        <color rgb="FF0000FF"/>
        <rFont val="Noto Sans CJK SC"/>
        <family val="2"/>
      </rPr>
      <t xml:space="preserve">。商業の</t>
    </r>
    <r>
      <rPr>
        <sz val="10"/>
        <color rgb="FF0000FF"/>
        <rFont val="Arial"/>
        <family val="0"/>
        <charset val="1"/>
      </rPr>
      <t xml:space="preserve">NLA</t>
    </r>
    <r>
      <rPr>
        <sz val="10"/>
        <color rgb="FF0000FF"/>
        <rFont val="Noto Sans CJK SC"/>
        <family val="2"/>
      </rPr>
      <t xml:space="preserve">非開示</t>
    </r>
    <r>
      <rPr>
        <sz val="10"/>
        <color rgb="FF0000FF"/>
        <rFont val="Arial"/>
        <family val="0"/>
        <charset val="1"/>
      </rPr>
      <t xml:space="preserve">4</t>
    </r>
    <r>
      <rPr>
        <sz val="10"/>
        <color rgb="FF0000FF"/>
        <rFont val="Noto Sans CJK SC"/>
        <family val="2"/>
      </rPr>
      <t xml:space="preserve">物件</t>
    </r>
    <r>
      <rPr>
        <sz val="10"/>
        <color rgb="FF0000FF"/>
        <rFont val="Arial"/>
        <family val="0"/>
        <charset val="1"/>
      </rPr>
      <t xml:space="preserve">(</t>
    </r>
    <r>
      <rPr>
        <sz val="10"/>
        <color rgb="FF0000FF"/>
        <rFont val="Noto Sans CJK SC"/>
        <family val="2"/>
      </rPr>
      <t xml:space="preserve">ヨークタウン北金目・</t>
    </r>
    <r>
      <rPr>
        <sz val="10"/>
        <color rgb="FF0000FF"/>
        <rFont val="Arial"/>
        <family val="0"/>
        <charset val="1"/>
      </rPr>
      <t xml:space="preserve">DCM</t>
    </r>
    <r>
      <rPr>
        <sz val="10"/>
        <color rgb="FF0000FF"/>
        <rFont val="Noto Sans CJK SC"/>
        <family val="2"/>
      </rPr>
      <t xml:space="preserve">中川富田・ゼビオ青森中央・西友楽市守谷の各底地等</t>
    </r>
    <r>
      <rPr>
        <sz val="10"/>
        <color rgb="FF0000FF"/>
        <rFont val="Arial"/>
        <family val="0"/>
        <charset val="1"/>
      </rPr>
      <t xml:space="preserve">)</t>
    </r>
    <r>
      <rPr>
        <sz val="10"/>
        <color rgb="FF0000FF"/>
        <rFont val="Noto Sans CJK SC"/>
        <family val="2"/>
      </rPr>
      <t xml:space="preserve">は物件行の</t>
    </r>
    <r>
      <rPr>
        <sz val="10"/>
        <color rgb="FF0000FF"/>
        <rFont val="Arial"/>
        <family val="0"/>
        <charset val="1"/>
      </rPr>
      <t xml:space="preserve">NLA</t>
    </r>
    <r>
      <rPr>
        <sz val="10"/>
        <color rgb="FF0000FF"/>
        <rFont val="Noto Sans CJK SC"/>
        <family val="2"/>
      </rPr>
      <t xml:space="preserve">空欄だが用途小計には保有持分相当が反映</t>
    </r>
    <r>
      <rPr>
        <sz val="10"/>
        <color rgb="FF0000FF"/>
        <rFont val="Arial"/>
        <family val="0"/>
        <charset val="1"/>
      </rPr>
      <t xml:space="preserve">(</t>
    </r>
    <r>
      <rPr>
        <sz val="10"/>
        <color rgb="FF0000FF"/>
        <rFont val="Noto Sans CJK SC"/>
        <family val="2"/>
      </rPr>
      <t xml:space="preserve">注</t>
    </r>
    <r>
      <rPr>
        <sz val="10"/>
        <color rgb="FF0000FF"/>
        <rFont val="Arial"/>
        <family val="0"/>
        <charset val="1"/>
      </rPr>
      <t xml:space="preserve">10)</t>
    </r>
    <r>
      <rPr>
        <sz val="10"/>
        <color rgb="FF0000FF"/>
        <rFont val="Noto Sans CJK SC"/>
        <family val="2"/>
      </rPr>
      <t xml:space="preserve">。期後</t>
    </r>
    <r>
      <rPr>
        <sz val="10"/>
        <color rgb="FF0000FF"/>
        <rFont val="Arial"/>
        <family val="0"/>
        <charset val="1"/>
      </rPr>
      <t xml:space="preserve">: 2026/6/8</t>
    </r>
    <r>
      <rPr>
        <sz val="10"/>
        <color rgb="FF0000FF"/>
        <rFont val="Noto Sans CJK SC"/>
        <family val="2"/>
      </rPr>
      <t xml:space="preserve">にライフ高殿店</t>
    </r>
    <r>
      <rPr>
        <sz val="10"/>
        <color rgb="FF0000FF"/>
        <rFont val="Arial"/>
        <family val="0"/>
        <charset val="1"/>
      </rPr>
      <t xml:space="preserve">(</t>
    </r>
    <r>
      <rPr>
        <sz val="10"/>
        <color rgb="FF0000FF"/>
        <rFont val="Noto Sans CJK SC"/>
        <family val="2"/>
      </rPr>
      <t xml:space="preserve">底地</t>
    </r>
    <r>
      <rPr>
        <sz val="10"/>
        <color rgb="FF0000FF"/>
        <rFont val="Arial"/>
        <family val="0"/>
        <charset val="1"/>
      </rPr>
      <t xml:space="preserve">)</t>
    </r>
    <r>
      <rPr>
        <sz val="10"/>
        <color rgb="FF0000FF"/>
        <rFont val="Noto Sans CJK SC"/>
        <family val="2"/>
      </rPr>
      <t xml:space="preserve">の譲渡契約締結</t>
    </r>
    <r>
      <rPr>
        <sz val="10"/>
        <color rgb="FF0000FF"/>
        <rFont val="Arial"/>
        <family val="0"/>
        <charset val="1"/>
      </rPr>
      <t xml:space="preserve">(2026/12/1</t>
    </r>
    <r>
      <rPr>
        <sz val="10"/>
        <color rgb="FF0000FF"/>
        <rFont val="Noto Sans CJK SC"/>
        <family val="2"/>
      </rPr>
      <t xml:space="preserve">予定・</t>
    </r>
    <r>
      <rPr>
        <sz val="10"/>
        <color rgb="FF0000FF"/>
        <rFont val="Arial"/>
        <family val="0"/>
        <charset val="1"/>
      </rPr>
      <t xml:space="preserve">3,690</t>
    </r>
    <r>
      <rPr>
        <sz val="10"/>
        <color rgb="FF0000FF"/>
        <rFont val="Noto Sans CJK SC"/>
        <family val="2"/>
      </rPr>
      <t xml:space="preserve">百万円・阪急阪神リートへ・売却益</t>
    </r>
    <r>
      <rPr>
        <sz val="10"/>
        <color rgb="FF0000FF"/>
        <rFont val="Arial"/>
        <family val="0"/>
        <charset val="1"/>
      </rPr>
      <t xml:space="preserve">289</t>
    </r>
    <r>
      <rPr>
        <sz val="10"/>
        <color rgb="FF0000FF"/>
        <rFont val="Noto Sans CJK SC"/>
        <family val="2"/>
      </rPr>
      <t xml:space="preserve">百万円見込</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2026/6/25</t>
    </r>
    <r>
      <rPr>
        <sz val="10"/>
        <color rgb="FF0000FF"/>
        <rFont val="Noto Sans CJK SC"/>
        <family val="2"/>
      </rPr>
      <t xml:space="preserve">に居住</t>
    </r>
    <r>
      <rPr>
        <sz val="10"/>
        <color rgb="FF0000FF"/>
        <rFont val="Arial"/>
        <family val="0"/>
        <charset val="1"/>
      </rPr>
      <t xml:space="preserve">1+</t>
    </r>
    <r>
      <rPr>
        <sz val="10"/>
        <color rgb="FF0000FF"/>
        <rFont val="Noto Sans CJK SC"/>
        <family val="2"/>
      </rPr>
      <t xml:space="preserve">物流</t>
    </r>
    <r>
      <rPr>
        <sz val="10"/>
        <color rgb="FF0000FF"/>
        <rFont val="Arial"/>
        <family val="0"/>
        <charset val="1"/>
      </rPr>
      <t xml:space="preserve">1</t>
    </r>
    <r>
      <rPr>
        <sz val="10"/>
        <color rgb="FF0000FF"/>
        <rFont val="Noto Sans CJK SC"/>
        <family val="2"/>
      </rPr>
      <t xml:space="preserve">取得と商業</t>
    </r>
    <r>
      <rPr>
        <sz val="10"/>
        <color rgb="FF0000FF"/>
        <rFont val="Arial"/>
        <family val="0"/>
        <charset val="1"/>
      </rPr>
      <t xml:space="preserve">(</t>
    </r>
    <r>
      <rPr>
        <sz val="10"/>
        <color rgb="FF0000FF"/>
        <rFont val="Noto Sans CJK SC"/>
        <family val="2"/>
      </rPr>
      <t xml:space="preserve">底地</t>
    </r>
    <r>
      <rPr>
        <sz val="10"/>
        <color rgb="FF0000FF"/>
        <rFont val="Arial"/>
        <family val="0"/>
        <charset val="1"/>
      </rPr>
      <t xml:space="preserve">)2</t>
    </r>
    <r>
      <rPr>
        <sz val="10"/>
        <color rgb="FF0000FF"/>
        <rFont val="Noto Sans CJK SC"/>
        <family val="2"/>
      </rPr>
      <t xml:space="preserve">譲渡を公表→</t>
    </r>
    <r>
      <rPr>
        <sz val="10"/>
        <color rgb="FF0000FF"/>
        <rFont val="Arial"/>
        <family val="0"/>
        <charset val="1"/>
      </rPr>
      <t xml:space="preserve">2026/7/1</t>
    </r>
    <r>
      <rPr>
        <sz val="10"/>
        <color rgb="FF0000FF"/>
        <rFont val="Noto Sans CJK SC"/>
        <family val="2"/>
      </rPr>
      <t xml:space="preserve">現在</t>
    </r>
    <r>
      <rPr>
        <sz val="10"/>
        <color rgb="FF0000FF"/>
        <rFont val="Arial"/>
        <family val="0"/>
        <charset val="1"/>
      </rPr>
      <t xml:space="preserve">345</t>
    </r>
    <r>
      <rPr>
        <sz val="10"/>
        <color rgb="FF0000FF"/>
        <rFont val="Noto Sans CJK SC"/>
        <family val="2"/>
      </rPr>
      <t xml:space="preserve">物件・</t>
    </r>
    <r>
      <rPr>
        <sz val="10"/>
        <color rgb="FF0000FF"/>
        <rFont val="Arial"/>
        <family val="0"/>
        <charset val="1"/>
      </rPr>
      <t xml:space="preserve">12,264</t>
    </r>
    <r>
      <rPr>
        <sz val="10"/>
        <color rgb="FF0000FF"/>
        <rFont val="Noto Sans CJK SC"/>
        <family val="2"/>
      </rPr>
      <t xml:space="preserve">億円、</t>
    </r>
    <r>
      <rPr>
        <sz val="10"/>
        <color rgb="FF0000FF"/>
        <rFont val="Arial"/>
        <family val="0"/>
        <charset val="1"/>
      </rPr>
      <t xml:space="preserve">2026/6/17</t>
    </r>
    <r>
      <rPr>
        <sz val="10"/>
        <color rgb="FF0000FF"/>
        <rFont val="Noto Sans CJK SC"/>
        <family val="2"/>
      </rPr>
      <t xml:space="preserve">決議の自己投資口取得</t>
    </r>
    <r>
      <rPr>
        <sz val="10"/>
        <color rgb="FF0000FF"/>
        <rFont val="Arial"/>
        <family val="0"/>
        <charset val="1"/>
      </rPr>
      <t xml:space="preserve">(</t>
    </r>
    <r>
      <rPr>
        <sz val="10"/>
        <color rgb="FF0000FF"/>
        <rFont val="Noto Sans CJK SC"/>
        <family val="2"/>
      </rPr>
      <t xml:space="preserve">上限</t>
    </r>
    <r>
      <rPr>
        <sz val="10"/>
        <color rgb="FF0000FF"/>
        <rFont val="Arial"/>
        <family val="0"/>
        <charset val="1"/>
      </rPr>
      <t xml:space="preserve">50,000</t>
    </r>
    <r>
      <rPr>
        <sz val="10"/>
        <color rgb="FF0000FF"/>
        <rFont val="Noto Sans CJK SC"/>
        <family val="2"/>
      </rPr>
      <t xml:space="preserve">口・</t>
    </r>
    <r>
      <rPr>
        <sz val="10"/>
        <color rgb="FF0000FF"/>
        <rFont val="Arial"/>
        <family val="0"/>
        <charset val="1"/>
      </rPr>
      <t xml:space="preserve">6,000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は</t>
    </r>
    <r>
      <rPr>
        <sz val="10"/>
        <color rgb="FF0000FF"/>
        <rFont val="Arial"/>
        <family val="0"/>
        <charset val="1"/>
      </rPr>
      <t xml:space="preserve">2026/8/3</t>
    </r>
    <r>
      <rPr>
        <sz val="10"/>
        <color rgb="FF0000FF"/>
        <rFont val="Noto Sans CJK SC"/>
        <family val="2"/>
      </rPr>
      <t xml:space="preserve">完了公表</t>
    </r>
  </si>
  <si>
    <t xml:space="preserve">KDX-001</t>
  </si>
  <si>
    <r>
      <rPr>
        <sz val="10"/>
        <color rgb="FF0000FF"/>
        <rFont val="Arial"/>
        <family val="0"/>
        <charset val="1"/>
      </rPr>
      <t xml:space="preserve">KDX</t>
    </r>
    <r>
      <rPr>
        <sz val="10"/>
        <color rgb="FF0000FF"/>
        <rFont val="Noto Sans CJK SC"/>
        <family val="2"/>
      </rPr>
      <t xml:space="preserve">東茅場町三洋ビル</t>
    </r>
  </si>
  <si>
    <t xml:space="preserve">東京経済圏（KDX区分）</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</si>
  <si>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A1002</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</si>
  <si>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KDX-002</t>
  </si>
  <si>
    <r>
      <rPr>
        <sz val="10"/>
        <color rgb="FF0000FF"/>
        <rFont val="Arial"/>
        <family val="0"/>
        <charset val="1"/>
      </rPr>
      <t xml:space="preserve">KDX</t>
    </r>
    <r>
      <rPr>
        <sz val="10"/>
        <color rgb="FF0000FF"/>
        <rFont val="Noto Sans CJK SC"/>
        <family val="2"/>
      </rPr>
      <t xml:space="preserve">八丁堀ビル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</si>
  <si>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A1003</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</si>
  <si>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KDX-003</t>
  </si>
  <si>
    <r>
      <rPr>
        <sz val="10"/>
        <color rgb="FF0000FF"/>
        <rFont val="Arial"/>
        <family val="0"/>
        <charset val="1"/>
      </rPr>
      <t xml:space="preserve">KDX</t>
    </r>
    <r>
      <rPr>
        <sz val="10"/>
        <color rgb="FF0000FF"/>
        <rFont val="Noto Sans CJK SC"/>
        <family val="2"/>
      </rPr>
      <t xml:space="preserve">中野坂上ビル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</si>
  <si>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A1004</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</si>
  <si>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KDX-004</t>
  </si>
  <si>
    <r>
      <rPr>
        <sz val="10"/>
        <color rgb="FF0000FF"/>
        <rFont val="Arial"/>
        <family val="0"/>
        <charset val="1"/>
      </rPr>
      <t xml:space="preserve">KDX</t>
    </r>
    <r>
      <rPr>
        <sz val="10"/>
        <color rgb="FF0000FF"/>
        <rFont val="Noto Sans CJK SC"/>
        <family val="2"/>
      </rPr>
      <t xml:space="preserve">南青山ビル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</si>
  <si>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A1005</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</si>
  <si>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KDX-005</t>
  </si>
  <si>
    <r>
      <rPr>
        <sz val="10"/>
        <color rgb="FF0000FF"/>
        <rFont val="Arial"/>
        <family val="0"/>
        <charset val="1"/>
      </rPr>
      <t xml:space="preserve">KDX</t>
    </r>
    <r>
      <rPr>
        <sz val="10"/>
        <color rgb="FF0000FF"/>
        <rFont val="Noto Sans CJK SC"/>
        <family val="2"/>
      </rPr>
      <t xml:space="preserve">神田北口ビル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</si>
  <si>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A1006</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</si>
  <si>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KDX-006</t>
  </si>
  <si>
    <r>
      <rPr>
        <sz val="10"/>
        <color rgb="FF0000FF"/>
        <rFont val="Arial"/>
        <family val="0"/>
        <charset val="1"/>
      </rPr>
      <t xml:space="preserve">KDX</t>
    </r>
    <r>
      <rPr>
        <sz val="10"/>
        <color rgb="FF0000FF"/>
        <rFont val="Noto Sans CJK SC"/>
        <family val="2"/>
      </rPr>
      <t xml:space="preserve">代々木ビル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</si>
  <si>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A1007</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</si>
  <si>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KDX-007</t>
  </si>
  <si>
    <r>
      <rPr>
        <sz val="10"/>
        <color rgb="FF0000FF"/>
        <rFont val="Arial"/>
        <family val="0"/>
        <charset val="1"/>
      </rPr>
      <t xml:space="preserve">KDX</t>
    </r>
    <r>
      <rPr>
        <sz val="10"/>
        <color rgb="FF0000FF"/>
        <rFont val="Noto Sans CJK SC"/>
        <family val="2"/>
      </rPr>
      <t xml:space="preserve">麹町ビル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</si>
  <si>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A1008</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</si>
  <si>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KDX-008</t>
  </si>
  <si>
    <r>
      <rPr>
        <sz val="10"/>
        <color rgb="FF0000FF"/>
        <rFont val="Arial"/>
        <family val="0"/>
        <charset val="1"/>
      </rPr>
      <t xml:space="preserve">KDX</t>
    </r>
    <r>
      <rPr>
        <sz val="10"/>
        <color rgb="FF0000FF"/>
        <rFont val="Noto Sans CJK SC"/>
        <family val="2"/>
      </rPr>
      <t xml:space="preserve">船橋ビル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</si>
  <si>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A1009</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</si>
  <si>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KDX-009</t>
  </si>
  <si>
    <r>
      <rPr>
        <sz val="10"/>
        <color rgb="FF0000FF"/>
        <rFont val="Arial"/>
        <family val="0"/>
        <charset val="1"/>
      </rPr>
      <t xml:space="preserve">KDX</t>
    </r>
    <r>
      <rPr>
        <sz val="10"/>
        <color rgb="FF0000FF"/>
        <rFont val="Noto Sans CJK SC"/>
        <family val="2"/>
      </rPr>
      <t xml:space="preserve">横浜リバーサイド</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</si>
  <si>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A1010</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</si>
  <si>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KDX-010</t>
  </si>
  <si>
    <r>
      <rPr>
        <sz val="10"/>
        <color rgb="FF0000FF"/>
        <rFont val="Arial"/>
        <family val="0"/>
        <charset val="1"/>
      </rPr>
      <t xml:space="preserve">KDX</t>
    </r>
    <r>
      <rPr>
        <sz val="10"/>
        <color rgb="FF0000FF"/>
        <rFont val="Noto Sans CJK SC"/>
        <family val="2"/>
      </rPr>
      <t xml:space="preserve">恵比寿ビル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</si>
  <si>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A1011</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</si>
  <si>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KDX-011</t>
  </si>
  <si>
    <r>
      <rPr>
        <sz val="10"/>
        <color rgb="FF0000FF"/>
        <rFont val="Arial"/>
        <family val="0"/>
        <charset val="1"/>
      </rPr>
      <t xml:space="preserve">KDX</t>
    </r>
    <r>
      <rPr>
        <sz val="10"/>
        <color rgb="FF0000FF"/>
        <rFont val="Noto Sans CJK SC"/>
        <family val="2"/>
      </rPr>
      <t xml:space="preserve">新橋ビル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</si>
  <si>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A1012</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</si>
  <si>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KDX-012</t>
  </si>
  <si>
    <r>
      <rPr>
        <sz val="10"/>
        <color rgb="FF0000FF"/>
        <rFont val="Arial"/>
        <family val="0"/>
        <charset val="1"/>
      </rPr>
      <t xml:space="preserve">KDX</t>
    </r>
    <r>
      <rPr>
        <sz val="10"/>
        <color rgb="FF0000FF"/>
        <rFont val="Noto Sans CJK SC"/>
        <family val="2"/>
      </rPr>
      <t xml:space="preserve">浜松町ビル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</si>
  <si>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A1013</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</si>
  <si>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KDX-013</t>
  </si>
  <si>
    <r>
      <rPr>
        <sz val="10"/>
        <color rgb="FF0000FF"/>
        <rFont val="Arial"/>
        <family val="0"/>
        <charset val="1"/>
      </rPr>
      <t xml:space="preserve">KDX</t>
    </r>
    <r>
      <rPr>
        <sz val="10"/>
        <color rgb="FF0000FF"/>
        <rFont val="Noto Sans CJK SC"/>
        <family val="2"/>
      </rPr>
      <t xml:space="preserve">茅場町ビル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</si>
  <si>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A1014</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</si>
  <si>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KDX-014</t>
  </si>
  <si>
    <r>
      <rPr>
        <sz val="10"/>
        <color rgb="FF0000FF"/>
        <rFont val="Arial"/>
        <family val="0"/>
        <charset val="1"/>
      </rPr>
      <t xml:space="preserve">KDX</t>
    </r>
    <r>
      <rPr>
        <sz val="10"/>
        <color rgb="FF0000FF"/>
        <rFont val="Noto Sans CJK SC"/>
        <family val="2"/>
      </rPr>
      <t xml:space="preserve">新横浜ビル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</si>
  <si>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A1015</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</si>
  <si>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KDX-015</t>
  </si>
  <si>
    <r>
      <rPr>
        <sz val="10"/>
        <color rgb="FF0000FF"/>
        <rFont val="Arial"/>
        <family val="0"/>
        <charset val="1"/>
      </rPr>
      <t xml:space="preserve">KDX</t>
    </r>
    <r>
      <rPr>
        <sz val="10"/>
        <color rgb="FF0000FF"/>
        <rFont val="Noto Sans CJK SC"/>
        <family val="2"/>
      </rPr>
      <t xml:space="preserve">鍛冶町ビル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</si>
  <si>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A1016</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</si>
  <si>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KDX-016</t>
  </si>
  <si>
    <r>
      <rPr>
        <sz val="10"/>
        <color rgb="FF0000FF"/>
        <rFont val="Arial"/>
        <family val="0"/>
        <charset val="1"/>
      </rPr>
      <t xml:space="preserve">KDX</t>
    </r>
    <r>
      <rPr>
        <sz val="10"/>
        <color rgb="FF0000FF"/>
        <rFont val="Noto Sans CJK SC"/>
        <family val="2"/>
      </rPr>
      <t xml:space="preserve">東新宿ビル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</si>
  <si>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A1017</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</si>
  <si>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KDX-017</t>
  </si>
  <si>
    <r>
      <rPr>
        <sz val="10"/>
        <color rgb="FF0000FF"/>
        <rFont val="Arial"/>
        <family val="0"/>
        <charset val="1"/>
      </rPr>
      <t xml:space="preserve">KDX</t>
    </r>
    <r>
      <rPr>
        <sz val="10"/>
        <color rgb="FF0000FF"/>
        <rFont val="Noto Sans CJK SC"/>
        <family val="2"/>
      </rPr>
      <t xml:space="preserve">西五反田ビル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</si>
  <si>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A1018</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</si>
  <si>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KDX-018</t>
  </si>
  <si>
    <r>
      <rPr>
        <sz val="10"/>
        <color rgb="FF0000FF"/>
        <rFont val="Arial"/>
        <family val="0"/>
        <charset val="1"/>
      </rPr>
      <t xml:space="preserve">KDX</t>
    </r>
    <r>
      <rPr>
        <sz val="10"/>
        <color rgb="FF0000FF"/>
        <rFont val="Noto Sans CJK SC"/>
        <family val="2"/>
      </rPr>
      <t xml:space="preserve">芝大門ビル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</si>
  <si>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A1020</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</si>
  <si>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KDX-019</t>
  </si>
  <si>
    <r>
      <rPr>
        <sz val="10"/>
        <color rgb="FF0000FF"/>
        <rFont val="Arial"/>
        <family val="0"/>
        <charset val="1"/>
      </rPr>
      <t xml:space="preserve">KDX</t>
    </r>
    <r>
      <rPr>
        <sz val="10"/>
        <color rgb="FF0000FF"/>
        <rFont val="Noto Sans CJK SC"/>
        <family val="2"/>
      </rPr>
      <t xml:space="preserve">御徒町ビル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</si>
  <si>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A1021</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</si>
  <si>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KDX-020</t>
  </si>
  <si>
    <r>
      <rPr>
        <sz val="10"/>
        <color rgb="FF0000FF"/>
        <rFont val="Arial"/>
        <family val="0"/>
        <charset val="1"/>
      </rPr>
      <t xml:space="preserve">KDX</t>
    </r>
    <r>
      <rPr>
        <sz val="10"/>
        <color rgb="FF0000FF"/>
        <rFont val="Noto Sans CJK SC"/>
        <family val="2"/>
      </rPr>
      <t xml:space="preserve">八王子ビル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</si>
  <si>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A1022</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</si>
  <si>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KDX-021</t>
  </si>
  <si>
    <r>
      <rPr>
        <sz val="10"/>
        <color rgb="FF0000FF"/>
        <rFont val="Arial"/>
        <family val="0"/>
        <charset val="1"/>
      </rPr>
      <t xml:space="preserve">KDX</t>
    </r>
    <r>
      <rPr>
        <sz val="10"/>
        <color rgb="FF0000FF"/>
        <rFont val="Noto Sans CJK SC"/>
        <family val="2"/>
      </rPr>
      <t xml:space="preserve">御茶ノ水ビル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</si>
  <si>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A1023</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</si>
  <si>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KDX-022</t>
  </si>
  <si>
    <r>
      <rPr>
        <sz val="10"/>
        <color rgb="FF0000FF"/>
        <rFont val="Arial"/>
        <family val="0"/>
        <charset val="1"/>
      </rPr>
      <t xml:space="preserve">KDX</t>
    </r>
    <r>
      <rPr>
        <sz val="10"/>
        <color rgb="FF0000FF"/>
        <rFont val="Noto Sans CJK SC"/>
        <family val="2"/>
      </rPr>
      <t xml:space="preserve">西新宿ビル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</si>
  <si>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A1024</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</si>
  <si>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KDX-023</t>
  </si>
  <si>
    <t xml:space="preserve">飛栄九段北ビル</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</si>
  <si>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A1026</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</si>
  <si>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KDX-024</t>
  </si>
  <si>
    <r>
      <rPr>
        <sz val="10"/>
        <color rgb="FF0000FF"/>
        <rFont val="Arial"/>
        <family val="0"/>
        <charset val="1"/>
      </rPr>
      <t xml:space="preserve">KDX</t>
    </r>
    <r>
      <rPr>
        <sz val="10"/>
        <color rgb="FF0000FF"/>
        <rFont val="Noto Sans CJK SC"/>
        <family val="2"/>
      </rPr>
      <t xml:space="preserve">浜町中ノ橋ビル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</si>
  <si>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A1027</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</si>
  <si>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KDX-025</t>
  </si>
  <si>
    <t xml:space="preserve">新都心丸善ビル</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</si>
  <si>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A1028</t>
    </r>
    <r>
      <rPr>
        <sz val="10"/>
        <color rgb="FF0000FF"/>
        <rFont val="Noto Sans CJK SC"/>
        <family val="2"/>
      </rPr>
      <t xml:space="preserve">。</t>
    </r>
    <r>
      <rPr>
        <sz val="10"/>
        <color rgb="FF0000FF"/>
        <rFont val="Arial"/>
        <family val="0"/>
        <charset val="1"/>
      </rPr>
      <t xml:space="preserve">2025/12/1</t>
    </r>
    <r>
      <rPr>
        <sz val="10"/>
        <color rgb="FF0000FF"/>
        <rFont val="Noto Sans CJK SC"/>
        <family val="2"/>
      </rPr>
      <t xml:space="preserve">譲渡</t>
    </r>
    <r>
      <rPr>
        <sz val="10"/>
        <color rgb="FF0000FF"/>
        <rFont val="Arial"/>
        <family val="0"/>
        <charset val="1"/>
      </rPr>
      <t xml:space="preserve">(</t>
    </r>
    <r>
      <rPr>
        <sz val="10"/>
        <color rgb="FF0000FF"/>
        <rFont val="Noto Sans CJK SC"/>
        <family val="2"/>
      </rPr>
      <t xml:space="preserve">新都心丸善ビル</t>
    </r>
    <r>
      <rPr>
        <sz val="10"/>
        <color rgb="FF0000FF"/>
        <rFont val="Arial"/>
        <family val="0"/>
        <charset val="1"/>
      </rPr>
      <t xml:space="preserve">)</t>
    </r>
    <r>
      <rPr>
        <sz val="10"/>
        <color rgb="FF0000FF"/>
        <rFont val="Noto Sans CJK SC"/>
        <family val="2"/>
      </rPr>
      <t xml:space="preserve">。当期収入</t>
    </r>
    <r>
      <rPr>
        <sz val="10"/>
        <color rgb="FF0000FF"/>
        <rFont val="Arial"/>
        <family val="0"/>
        <charset val="1"/>
      </rPr>
      <t xml:space="preserve">43</t>
    </r>
    <r>
      <rPr>
        <sz val="10"/>
        <color rgb="FF0000FF"/>
        <rFont val="Noto Sans CJK SC"/>
        <family val="2"/>
      </rPr>
      <t xml:space="preserve">百万円のみ物件別表に掲載。期末保有物件でないため基本情報は非掲載</t>
    </r>
  </si>
  <si>
    <t xml:space="preserve">KDX-026</t>
  </si>
  <si>
    <r>
      <rPr>
        <sz val="10"/>
        <color rgb="FF0000FF"/>
        <rFont val="Arial"/>
        <family val="0"/>
        <charset val="1"/>
      </rPr>
      <t xml:space="preserve">KDX</t>
    </r>
    <r>
      <rPr>
        <sz val="10"/>
        <color rgb="FF0000FF"/>
        <rFont val="Noto Sans CJK SC"/>
        <family val="2"/>
      </rPr>
      <t xml:space="preserve">神保町ビル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</si>
  <si>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A1029</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</si>
  <si>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KDX-027</t>
  </si>
  <si>
    <r>
      <rPr>
        <sz val="10"/>
        <color rgb="FF0000FF"/>
        <rFont val="Arial"/>
        <family val="0"/>
        <charset val="1"/>
      </rPr>
      <t xml:space="preserve">KDX</t>
    </r>
    <r>
      <rPr>
        <sz val="10"/>
        <color rgb="FF0000FF"/>
        <rFont val="Noto Sans CJK SC"/>
        <family val="2"/>
      </rPr>
      <t xml:space="preserve">晴海ビル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</si>
  <si>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A1031</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</si>
  <si>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KDX-028</t>
  </si>
  <si>
    <r>
      <rPr>
        <sz val="10"/>
        <color rgb="FF0000FF"/>
        <rFont val="Arial"/>
        <family val="0"/>
        <charset val="1"/>
      </rPr>
      <t xml:space="preserve">KDX</t>
    </r>
    <r>
      <rPr>
        <sz val="10"/>
        <color rgb="FF0000FF"/>
        <rFont val="Noto Sans CJK SC"/>
        <family val="2"/>
      </rPr>
      <t xml:space="preserve">文京小石川ビル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</si>
  <si>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A1032</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</si>
  <si>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KDX-029</t>
  </si>
  <si>
    <r>
      <rPr>
        <sz val="10"/>
        <color rgb="FF0000FF"/>
        <rFont val="Arial"/>
        <family val="0"/>
        <charset val="1"/>
      </rPr>
      <t xml:space="preserve">KDX</t>
    </r>
    <r>
      <rPr>
        <sz val="10"/>
        <color rgb="FF0000FF"/>
        <rFont val="Noto Sans CJK SC"/>
        <family val="2"/>
      </rPr>
      <t xml:space="preserve">五反田ビル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</si>
  <si>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A1033</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</si>
  <si>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KDX-030</t>
  </si>
  <si>
    <r>
      <rPr>
        <sz val="10"/>
        <color rgb="FF0000FF"/>
        <rFont val="Arial"/>
        <family val="0"/>
        <charset val="1"/>
      </rPr>
      <t xml:space="preserve">KDX</t>
    </r>
    <r>
      <rPr>
        <sz val="10"/>
        <color rgb="FF0000FF"/>
        <rFont val="Noto Sans CJK SC"/>
        <family val="2"/>
      </rPr>
      <t xml:space="preserve">日本橋</t>
    </r>
    <r>
      <rPr>
        <sz val="10"/>
        <color rgb="FF0000FF"/>
        <rFont val="Arial"/>
        <family val="0"/>
        <charset val="1"/>
      </rPr>
      <t xml:space="preserve">216</t>
    </r>
    <r>
      <rPr>
        <sz val="10"/>
        <color rgb="FF0000FF"/>
        <rFont val="Noto Sans CJK SC"/>
        <family val="2"/>
      </rPr>
      <t xml:space="preserve">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</si>
  <si>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A1034</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</si>
  <si>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KDX-031</t>
  </si>
  <si>
    <r>
      <rPr>
        <sz val="10"/>
        <color rgb="FF0000FF"/>
        <rFont val="Arial"/>
        <family val="0"/>
        <charset val="1"/>
      </rPr>
      <t xml:space="preserve">KDX</t>
    </r>
    <r>
      <rPr>
        <sz val="10"/>
        <color rgb="FF0000FF"/>
        <rFont val="Noto Sans CJK SC"/>
        <family val="2"/>
      </rPr>
      <t xml:space="preserve">新宿ビル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</si>
  <si>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A1035</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</si>
  <si>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KDX-032</t>
  </si>
  <si>
    <r>
      <rPr>
        <sz val="10"/>
        <color rgb="FF0000FF"/>
        <rFont val="Arial"/>
        <family val="0"/>
        <charset val="1"/>
      </rPr>
      <t xml:space="preserve">KDX</t>
    </r>
    <r>
      <rPr>
        <sz val="10"/>
        <color rgb="FF0000FF"/>
        <rFont val="Noto Sans CJK SC"/>
        <family val="2"/>
      </rPr>
      <t xml:space="preserve">銀座一丁目ビル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</si>
  <si>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A1036</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</si>
  <si>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KDX-033</t>
  </si>
  <si>
    <r>
      <rPr>
        <sz val="10"/>
        <color rgb="FF0000FF"/>
        <rFont val="Arial"/>
        <family val="0"/>
        <charset val="1"/>
      </rPr>
      <t xml:space="preserve">KDX</t>
    </r>
    <r>
      <rPr>
        <sz val="10"/>
        <color rgb="FF0000FF"/>
        <rFont val="Noto Sans CJK SC"/>
        <family val="2"/>
      </rPr>
      <t xml:space="preserve">飯田橋ビル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</si>
  <si>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A1037</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</si>
  <si>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KDX-034</t>
  </si>
  <si>
    <r>
      <rPr>
        <sz val="10"/>
        <color rgb="FF0000FF"/>
        <rFont val="Arial"/>
        <family val="0"/>
        <charset val="1"/>
      </rPr>
      <t xml:space="preserve">KDX</t>
    </r>
    <r>
      <rPr>
        <sz val="10"/>
        <color rgb="FF0000FF"/>
        <rFont val="Noto Sans CJK SC"/>
        <family val="2"/>
      </rPr>
      <t xml:space="preserve">箱崎ビル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</si>
  <si>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A1039</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</si>
  <si>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KDX-035</t>
  </si>
  <si>
    <r>
      <rPr>
        <sz val="10"/>
        <color rgb="FF0000FF"/>
        <rFont val="Arial"/>
        <family val="0"/>
        <charset val="1"/>
      </rPr>
      <t xml:space="preserve">KDX</t>
    </r>
    <r>
      <rPr>
        <sz val="10"/>
        <color rgb="FF0000FF"/>
        <rFont val="Noto Sans CJK SC"/>
        <family val="2"/>
      </rPr>
      <t xml:space="preserve">立川駅前ビル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</si>
  <si>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A1040</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</si>
  <si>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KDX-036</t>
  </si>
  <si>
    <r>
      <rPr>
        <sz val="10"/>
        <color rgb="FF0000FF"/>
        <rFont val="Arial"/>
        <family val="0"/>
        <charset val="1"/>
      </rPr>
      <t xml:space="preserve">KDX</t>
    </r>
    <r>
      <rPr>
        <sz val="10"/>
        <color rgb="FF0000FF"/>
        <rFont val="Noto Sans CJK SC"/>
        <family val="2"/>
      </rPr>
      <t xml:space="preserve">府中ビル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</si>
  <si>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A1041</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</si>
  <si>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KDX-037</t>
  </si>
  <si>
    <r>
      <rPr>
        <sz val="10"/>
        <color rgb="FF0000FF"/>
        <rFont val="Arial"/>
        <family val="0"/>
        <charset val="1"/>
      </rPr>
      <t xml:space="preserve">KDX</t>
    </r>
    <r>
      <rPr>
        <sz val="10"/>
        <color rgb="FF0000FF"/>
        <rFont val="Noto Sans CJK SC"/>
        <family val="2"/>
      </rPr>
      <t xml:space="preserve">春日ビル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</si>
  <si>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A1042</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</si>
  <si>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KDX-038</t>
  </si>
  <si>
    <r>
      <rPr>
        <sz val="10"/>
        <color rgb="FF0000FF"/>
        <rFont val="Arial"/>
        <family val="0"/>
        <charset val="1"/>
      </rPr>
      <t xml:space="preserve">KDX</t>
    </r>
    <r>
      <rPr>
        <sz val="10"/>
        <color rgb="FF0000FF"/>
        <rFont val="Noto Sans CJK SC"/>
        <family val="2"/>
      </rPr>
      <t xml:space="preserve">中目黒ビル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</si>
  <si>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A1043</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</si>
  <si>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KDX-039</t>
  </si>
  <si>
    <r>
      <rPr>
        <sz val="10"/>
        <color rgb="FF0000FF"/>
        <rFont val="Arial"/>
        <family val="0"/>
        <charset val="1"/>
      </rPr>
      <t xml:space="preserve">KDX</t>
    </r>
    <r>
      <rPr>
        <sz val="10"/>
        <color rgb="FF0000FF"/>
        <rFont val="Noto Sans CJK SC"/>
        <family val="2"/>
      </rPr>
      <t xml:space="preserve">大宮ビル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</si>
  <si>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A1044</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</si>
  <si>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KDX-040</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</si>
  <si>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A1045</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</si>
  <si>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KDX-041</t>
  </si>
  <si>
    <r>
      <rPr>
        <sz val="10"/>
        <color rgb="FF0000FF"/>
        <rFont val="Arial"/>
        <family val="0"/>
        <charset val="1"/>
      </rPr>
      <t xml:space="preserve">KDX</t>
    </r>
    <r>
      <rPr>
        <sz val="10"/>
        <color rgb="FF0000FF"/>
        <rFont val="Noto Sans CJK SC"/>
        <family val="2"/>
      </rPr>
      <t xml:space="preserve">新宿六丁目ビル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</si>
  <si>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A1046</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</si>
  <si>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KDX-042</t>
  </si>
  <si>
    <r>
      <rPr>
        <sz val="10"/>
        <color rgb="FF0000FF"/>
        <rFont val="Arial"/>
        <family val="0"/>
        <charset val="1"/>
      </rPr>
      <t xml:space="preserve">KDX</t>
    </r>
    <r>
      <rPr>
        <sz val="10"/>
        <color rgb="FF0000FF"/>
        <rFont val="Noto Sans CJK SC"/>
        <family val="2"/>
      </rPr>
      <t xml:space="preserve">池袋ビル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</si>
  <si>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A1047</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</si>
  <si>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KDX-043</t>
  </si>
  <si>
    <r>
      <rPr>
        <sz val="10"/>
        <color rgb="FF0000FF"/>
        <rFont val="Arial"/>
        <family val="0"/>
        <charset val="1"/>
      </rPr>
      <t xml:space="preserve">KDX</t>
    </r>
    <r>
      <rPr>
        <sz val="10"/>
        <color rgb="FF0000FF"/>
        <rFont val="Noto Sans CJK SC"/>
        <family val="2"/>
      </rPr>
      <t xml:space="preserve">三田ビル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</si>
  <si>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A1048</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</si>
  <si>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KDX-044</t>
  </si>
  <si>
    <r>
      <rPr>
        <sz val="10"/>
        <color rgb="FF0000FF"/>
        <rFont val="Arial"/>
        <family val="0"/>
        <charset val="1"/>
      </rPr>
      <t xml:space="preserve">KDX</t>
    </r>
    <r>
      <rPr>
        <sz val="10"/>
        <color rgb="FF0000FF"/>
        <rFont val="Noto Sans CJK SC"/>
        <family val="2"/>
      </rPr>
      <t xml:space="preserve">高輪台ビル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</si>
  <si>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A1049</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</si>
  <si>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KDX-045</t>
  </si>
  <si>
    <r>
      <rPr>
        <sz val="10"/>
        <color rgb="FF0000FF"/>
        <rFont val="Arial"/>
        <family val="0"/>
        <charset val="1"/>
      </rPr>
      <t xml:space="preserve">KDX</t>
    </r>
    <r>
      <rPr>
        <sz val="10"/>
        <color rgb="FF0000FF"/>
        <rFont val="Noto Sans CJK SC"/>
        <family val="2"/>
      </rPr>
      <t xml:space="preserve">秋葉原ビル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</si>
  <si>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A1050</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</si>
  <si>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KDX-046</t>
  </si>
  <si>
    <r>
      <rPr>
        <sz val="10"/>
        <color rgb="FF0000FF"/>
        <rFont val="Arial"/>
        <family val="0"/>
        <charset val="1"/>
      </rPr>
      <t xml:space="preserve">KDX</t>
    </r>
    <r>
      <rPr>
        <sz val="10"/>
        <color rgb="FF0000FF"/>
        <rFont val="Noto Sans CJK SC"/>
        <family val="2"/>
      </rPr>
      <t xml:space="preserve">飯田橋スクエア</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</si>
  <si>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A1051</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</si>
  <si>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KDX-047</t>
  </si>
  <si>
    <r>
      <rPr>
        <sz val="10"/>
        <color rgb="FF0000FF"/>
        <rFont val="Arial"/>
        <family val="0"/>
        <charset val="1"/>
      </rPr>
      <t xml:space="preserve">KDX</t>
    </r>
    <r>
      <rPr>
        <sz val="10"/>
        <color rgb="FF0000FF"/>
        <rFont val="Noto Sans CJK SC"/>
        <family val="2"/>
      </rPr>
      <t xml:space="preserve">武蔵小杉ビル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</si>
  <si>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A1052</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</si>
  <si>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KDX-048</t>
  </si>
  <si>
    <t xml:space="preserve">新宿6丁目ビル(底地)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</si>
  <si>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A1053</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</si>
  <si>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KDX-049</t>
  </si>
  <si>
    <r>
      <rPr>
        <sz val="10"/>
        <color rgb="FF0000FF"/>
        <rFont val="Arial"/>
        <family val="0"/>
        <charset val="1"/>
      </rPr>
      <t xml:space="preserve">KDX</t>
    </r>
    <r>
      <rPr>
        <sz val="10"/>
        <color rgb="FF0000FF"/>
        <rFont val="Noto Sans CJK SC"/>
        <family val="2"/>
      </rPr>
      <t xml:space="preserve">豊洲グランスクエア</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</si>
  <si>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A1054</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</si>
  <si>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KDX-050</t>
  </si>
  <si>
    <r>
      <rPr>
        <sz val="10"/>
        <color rgb="FF0000FF"/>
        <rFont val="Arial"/>
        <family val="0"/>
        <charset val="1"/>
      </rPr>
      <t xml:space="preserve">KDX</t>
    </r>
    <r>
      <rPr>
        <sz val="10"/>
        <color rgb="FF0000FF"/>
        <rFont val="Noto Sans CJK SC"/>
        <family val="2"/>
      </rPr>
      <t xml:space="preserve">高田馬場ビル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</si>
  <si>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A1055</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</si>
  <si>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KDX-051</t>
  </si>
  <si>
    <r>
      <rPr>
        <sz val="10"/>
        <color rgb="FF0000FF"/>
        <rFont val="Arial"/>
        <family val="0"/>
        <charset val="1"/>
      </rPr>
      <t xml:space="preserve">KDX</t>
    </r>
    <r>
      <rPr>
        <sz val="10"/>
        <color rgb="FF0000FF"/>
        <rFont val="Noto Sans CJK SC"/>
        <family val="2"/>
      </rPr>
      <t xml:space="preserve">池袋ウエストビル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</si>
  <si>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A1056</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</si>
  <si>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KDX-052</t>
  </si>
  <si>
    <r>
      <rPr>
        <sz val="10"/>
        <color rgb="FF0000FF"/>
        <rFont val="Arial"/>
        <family val="0"/>
        <charset val="1"/>
      </rPr>
      <t xml:space="preserve">KDX</t>
    </r>
    <r>
      <rPr>
        <sz val="10"/>
        <color rgb="FF0000FF"/>
        <rFont val="Noto Sans CJK SC"/>
        <family val="2"/>
      </rPr>
      <t xml:space="preserve">横浜ビル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</si>
  <si>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A1057</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</si>
  <si>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KDX-053</t>
  </si>
  <si>
    <r>
      <rPr>
        <sz val="10"/>
        <color rgb="FF0000FF"/>
        <rFont val="Arial"/>
        <family val="0"/>
        <charset val="1"/>
      </rPr>
      <t xml:space="preserve">KDX</t>
    </r>
    <r>
      <rPr>
        <sz val="10"/>
        <color rgb="FF0000FF"/>
        <rFont val="Noto Sans CJK SC"/>
        <family val="2"/>
      </rPr>
      <t xml:space="preserve">横浜西口ビル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</si>
  <si>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A1058</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</si>
  <si>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KDX-054</t>
  </si>
  <si>
    <r>
      <rPr>
        <sz val="10"/>
        <color rgb="FF0000FF"/>
        <rFont val="Arial"/>
        <family val="0"/>
        <charset val="1"/>
      </rPr>
      <t xml:space="preserve">KDX</t>
    </r>
    <r>
      <rPr>
        <sz val="10"/>
        <color rgb="FF0000FF"/>
        <rFont val="Noto Sans CJK SC"/>
        <family val="2"/>
      </rPr>
      <t xml:space="preserve">銀座イーストビル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</si>
  <si>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A1059</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</si>
  <si>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KDX-055</t>
  </si>
  <si>
    <t xml:space="preserve">ぺんてるビル</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</si>
  <si>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A1060</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</si>
  <si>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KDX-056</t>
  </si>
  <si>
    <r>
      <rPr>
        <sz val="10"/>
        <color rgb="FF0000FF"/>
        <rFont val="Arial"/>
        <family val="0"/>
        <charset val="1"/>
      </rPr>
      <t xml:space="preserve">KDX</t>
    </r>
    <r>
      <rPr>
        <sz val="10"/>
        <color rgb="FF0000FF"/>
        <rFont val="Noto Sans CJK SC"/>
        <family val="2"/>
      </rPr>
      <t xml:space="preserve">浜松町センタービル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</si>
  <si>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A1061</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</si>
  <si>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KDX-057</t>
  </si>
  <si>
    <r>
      <rPr>
        <sz val="10"/>
        <color rgb="FF0000FF"/>
        <rFont val="Arial"/>
        <family val="0"/>
        <charset val="1"/>
      </rPr>
      <t xml:space="preserve">KDX</t>
    </r>
    <r>
      <rPr>
        <sz val="10"/>
        <color rgb="FF0000FF"/>
        <rFont val="Noto Sans CJK SC"/>
        <family val="2"/>
      </rPr>
      <t xml:space="preserve">虎ノ門一丁目ビル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</si>
  <si>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A1062</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</si>
  <si>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KDX-058</t>
  </si>
  <si>
    <r>
      <rPr>
        <sz val="10"/>
        <color rgb="FF0000FF"/>
        <rFont val="Arial"/>
        <family val="0"/>
        <charset val="1"/>
      </rPr>
      <t xml:space="preserve">KDX</t>
    </r>
    <r>
      <rPr>
        <sz val="10"/>
        <color rgb="FF0000FF"/>
        <rFont val="Noto Sans CJK SC"/>
        <family val="2"/>
      </rPr>
      <t xml:space="preserve">新日本橋駅前ビル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</si>
  <si>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A1063</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</si>
  <si>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KDX-059</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</si>
  <si>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A1064</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</si>
  <si>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KDX-060</t>
  </si>
  <si>
    <r>
      <rPr>
        <sz val="10"/>
        <color rgb="FF0000FF"/>
        <rFont val="Arial"/>
        <family val="0"/>
        <charset val="1"/>
      </rPr>
      <t xml:space="preserve">KDX</t>
    </r>
    <r>
      <rPr>
        <sz val="10"/>
        <color rgb="FF0000FF"/>
        <rFont val="Noto Sans CJK SC"/>
        <family val="2"/>
      </rPr>
      <t xml:space="preserve">西新橋ビル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</si>
  <si>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A1065</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</si>
  <si>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KDX-061</t>
  </si>
  <si>
    <r>
      <rPr>
        <sz val="10"/>
        <color rgb="FF0000FF"/>
        <rFont val="Arial"/>
        <family val="0"/>
        <charset val="1"/>
      </rPr>
      <t xml:space="preserve">BR</t>
    </r>
    <r>
      <rPr>
        <sz val="10"/>
        <color rgb="FF0000FF"/>
        <rFont val="Noto Sans CJK SC"/>
        <family val="2"/>
      </rPr>
      <t xml:space="preserve">五反田</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</si>
  <si>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A1066</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</si>
  <si>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KDX-062</t>
  </si>
  <si>
    <r>
      <rPr>
        <sz val="10"/>
        <color rgb="FF0000FF"/>
        <rFont val="Arial"/>
        <family val="0"/>
        <charset val="1"/>
      </rPr>
      <t xml:space="preserve">KDX</t>
    </r>
    <r>
      <rPr>
        <sz val="10"/>
        <color rgb="FF0000FF"/>
        <rFont val="Noto Sans CJK SC"/>
        <family val="2"/>
      </rPr>
      <t xml:space="preserve">渋谷南平台ビル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</si>
  <si>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A1067</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</si>
  <si>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KDX-063</t>
  </si>
  <si>
    <r>
      <rPr>
        <sz val="10"/>
        <color rgb="FF0000FF"/>
        <rFont val="Arial"/>
        <family val="0"/>
        <charset val="1"/>
      </rPr>
      <t xml:space="preserve">KDX</t>
    </r>
    <r>
      <rPr>
        <sz val="10"/>
        <color rgb="FF0000FF"/>
        <rFont val="Noto Sans CJK SC"/>
        <family val="2"/>
      </rPr>
      <t xml:space="preserve">横浜みなとみらいタワー</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</si>
  <si>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A1068</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</si>
  <si>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KDX-064</t>
  </si>
  <si>
    <r>
      <rPr>
        <sz val="10"/>
        <color rgb="FF0000FF"/>
        <rFont val="Arial"/>
        <family val="0"/>
        <charset val="1"/>
      </rPr>
      <t xml:space="preserve">KDX</t>
    </r>
    <r>
      <rPr>
        <sz val="10"/>
        <color rgb="FF0000FF"/>
        <rFont val="Noto Sans CJK SC"/>
        <family val="2"/>
      </rPr>
      <t xml:space="preserve">横浜関内ビル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</si>
  <si>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A1069</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</si>
  <si>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KDX-065</t>
  </si>
  <si>
    <r>
      <rPr>
        <sz val="10"/>
        <color rgb="FF0000FF"/>
        <rFont val="Arial"/>
        <family val="0"/>
        <charset val="1"/>
      </rPr>
      <t xml:space="preserve">KDX</t>
    </r>
    <r>
      <rPr>
        <sz val="10"/>
        <color rgb="FF0000FF"/>
        <rFont val="Noto Sans CJK SC"/>
        <family val="2"/>
      </rPr>
      <t xml:space="preserve">浜松町プレイス</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</si>
  <si>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A1070</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</si>
  <si>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KDX-066</t>
  </si>
  <si>
    <r>
      <rPr>
        <sz val="10"/>
        <color rgb="FF0000FF"/>
        <rFont val="Arial"/>
        <family val="0"/>
        <charset val="1"/>
      </rPr>
      <t xml:space="preserve">KDX</t>
    </r>
    <r>
      <rPr>
        <sz val="10"/>
        <color rgb="FF0000FF"/>
        <rFont val="Noto Sans CJK SC"/>
        <family val="2"/>
      </rPr>
      <t xml:space="preserve">調布ビル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</si>
  <si>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A1071</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</si>
  <si>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KDX-067</t>
  </si>
  <si>
    <r>
      <rPr>
        <sz val="10"/>
        <color rgb="FF0000FF"/>
        <rFont val="Arial"/>
        <family val="0"/>
        <charset val="1"/>
      </rPr>
      <t xml:space="preserve">KDX</t>
    </r>
    <r>
      <rPr>
        <sz val="10"/>
        <color rgb="FF0000FF"/>
        <rFont val="Noto Sans CJK SC"/>
        <family val="2"/>
      </rPr>
      <t xml:space="preserve">神田駅前ビル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</si>
  <si>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A1072</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</si>
  <si>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KDX-068</t>
  </si>
  <si>
    <r>
      <rPr>
        <sz val="10"/>
        <color rgb="FF0000FF"/>
        <rFont val="Arial"/>
        <family val="0"/>
        <charset val="1"/>
      </rPr>
      <t xml:space="preserve">KDX</t>
    </r>
    <r>
      <rPr>
        <sz val="10"/>
        <color rgb="FF0000FF"/>
        <rFont val="Noto Sans CJK SC"/>
        <family val="2"/>
      </rPr>
      <t xml:space="preserve">新橋駅前ビル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</si>
  <si>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A1073</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</si>
  <si>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KDX-069</t>
  </si>
  <si>
    <r>
      <rPr>
        <sz val="10"/>
        <color rgb="FF0000FF"/>
        <rFont val="Arial"/>
        <family val="0"/>
        <charset val="1"/>
      </rPr>
      <t xml:space="preserve">KDX</t>
    </r>
    <r>
      <rPr>
        <sz val="10"/>
        <color rgb="FF0000FF"/>
        <rFont val="Noto Sans CJK SC"/>
        <family val="2"/>
      </rPr>
      <t xml:space="preserve">江戸橋ビル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</si>
  <si>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A1074</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</si>
  <si>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KDX-070</t>
  </si>
  <si>
    <t xml:space="preserve">ポルタス・センタービル</t>
  </si>
  <si>
    <t xml:space="preserve">地方経済圏（KDX区分）</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</si>
  <si>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A2001</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</si>
  <si>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KDX-071</t>
  </si>
  <si>
    <r>
      <rPr>
        <sz val="10"/>
        <color rgb="FF0000FF"/>
        <rFont val="Arial"/>
        <family val="0"/>
        <charset val="1"/>
      </rPr>
      <t xml:space="preserve">KDX</t>
    </r>
    <r>
      <rPr>
        <sz val="10"/>
        <color rgb="FF0000FF"/>
        <rFont val="Noto Sans CJK SC"/>
        <family val="2"/>
      </rPr>
      <t xml:space="preserve">烏丸ビル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</si>
  <si>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A2002</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</si>
  <si>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KDX-072</t>
  </si>
  <si>
    <r>
      <rPr>
        <sz val="10"/>
        <color rgb="FF0000FF"/>
        <rFont val="Arial"/>
        <family val="0"/>
        <charset val="1"/>
      </rPr>
      <t xml:space="preserve">KDX</t>
    </r>
    <r>
      <rPr>
        <sz val="10"/>
        <color rgb="FF0000FF"/>
        <rFont val="Noto Sans CJK SC"/>
        <family val="2"/>
      </rPr>
      <t xml:space="preserve">仙台ビル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</si>
  <si>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A2003</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</si>
  <si>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KDX-073</t>
  </si>
  <si>
    <r>
      <rPr>
        <sz val="10"/>
        <color rgb="FF0000FF"/>
        <rFont val="Arial"/>
        <family val="0"/>
        <charset val="1"/>
      </rPr>
      <t xml:space="preserve">KDX</t>
    </r>
    <r>
      <rPr>
        <sz val="10"/>
        <color rgb="FF0000FF"/>
        <rFont val="Noto Sans CJK SC"/>
        <family val="2"/>
      </rPr>
      <t xml:space="preserve">博多南ビル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</si>
  <si>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A2004</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</si>
  <si>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KDX-074</t>
  </si>
  <si>
    <r>
      <rPr>
        <sz val="10"/>
        <color rgb="FF0000FF"/>
        <rFont val="Arial"/>
        <family val="0"/>
        <charset val="1"/>
      </rPr>
      <t xml:space="preserve">KDX</t>
    </r>
    <r>
      <rPr>
        <sz val="10"/>
        <color rgb="FF0000FF"/>
        <rFont val="Noto Sans CJK SC"/>
        <family val="2"/>
      </rPr>
      <t xml:space="preserve">小林道修町ビル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</si>
  <si>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A2006</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</si>
  <si>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KDX-075</t>
  </si>
  <si>
    <r>
      <rPr>
        <sz val="10"/>
        <color rgb="FF0000FF"/>
        <rFont val="Arial"/>
        <family val="0"/>
        <charset val="1"/>
      </rPr>
      <t xml:space="preserve">KDX</t>
    </r>
    <r>
      <rPr>
        <sz val="10"/>
        <color rgb="FF0000FF"/>
        <rFont val="Noto Sans CJK SC"/>
        <family val="2"/>
      </rPr>
      <t xml:space="preserve">札幌ビル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</si>
  <si>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A2007</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</si>
  <si>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KDX-076</t>
  </si>
  <si>
    <r>
      <rPr>
        <sz val="10"/>
        <color rgb="FF0000FF"/>
        <rFont val="Arial"/>
        <family val="0"/>
        <charset val="1"/>
      </rPr>
      <t xml:space="preserve">KDX</t>
    </r>
    <r>
      <rPr>
        <sz val="10"/>
        <color rgb="FF0000FF"/>
        <rFont val="Noto Sans CJK SC"/>
        <family val="2"/>
      </rPr>
      <t xml:space="preserve">名古屋駅前ビル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</si>
  <si>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A2008</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</si>
  <si>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KDX-077</t>
  </si>
  <si>
    <r>
      <rPr>
        <sz val="10"/>
        <color rgb="FF0000FF"/>
        <rFont val="Arial"/>
        <family val="0"/>
        <charset val="1"/>
      </rPr>
      <t xml:space="preserve">KDX</t>
    </r>
    <r>
      <rPr>
        <sz val="10"/>
        <color rgb="FF0000FF"/>
        <rFont val="Noto Sans CJK SC"/>
        <family val="2"/>
      </rPr>
      <t xml:space="preserve">東梅田ビル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</si>
  <si>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A2009</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</si>
  <si>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KDX-078</t>
  </si>
  <si>
    <r>
      <rPr>
        <sz val="10"/>
        <color rgb="FF0000FF"/>
        <rFont val="Arial"/>
        <family val="0"/>
        <charset val="1"/>
      </rPr>
      <t xml:space="preserve">KDX</t>
    </r>
    <r>
      <rPr>
        <sz val="10"/>
        <color rgb="FF0000FF"/>
        <rFont val="Noto Sans CJK SC"/>
        <family val="2"/>
      </rPr>
      <t xml:space="preserve">宇都宮ビル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</si>
  <si>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A2010</t>
    </r>
    <r>
      <rPr>
        <sz val="10"/>
        <color rgb="FF0000FF"/>
        <rFont val="Noto Sans CJK SC"/>
        <family val="2"/>
      </rPr>
      <t xml:space="preserve">。</t>
    </r>
    <r>
      <rPr>
        <sz val="10"/>
        <color rgb="FF0000FF"/>
        <rFont val="Arial"/>
        <family val="0"/>
        <charset val="1"/>
      </rPr>
      <t xml:space="preserve">2026/3/31</t>
    </r>
    <r>
      <rPr>
        <sz val="10"/>
        <color rgb="FF0000FF"/>
        <rFont val="Noto Sans CJK SC"/>
        <family val="2"/>
      </rPr>
      <t xml:space="preserve">譲渡</t>
    </r>
    <r>
      <rPr>
        <sz val="10"/>
        <color rgb="FF0000FF"/>
        <rFont val="Arial"/>
        <family val="0"/>
        <charset val="1"/>
      </rPr>
      <t xml:space="preserve">(KDX</t>
    </r>
    <r>
      <rPr>
        <sz val="10"/>
        <color rgb="FF0000FF"/>
        <rFont val="Noto Sans CJK SC"/>
        <family val="2"/>
      </rPr>
      <t xml:space="preserve">宇都宮ビル</t>
    </r>
    <r>
      <rPr>
        <sz val="10"/>
        <color rgb="FF0000FF"/>
        <rFont val="Arial"/>
        <family val="0"/>
        <charset val="1"/>
      </rPr>
      <t xml:space="preserve">)</t>
    </r>
    <r>
      <rPr>
        <sz val="10"/>
        <color rgb="FF0000FF"/>
        <rFont val="Noto Sans CJK SC"/>
        <family val="2"/>
      </rPr>
      <t xml:space="preserve">。当期収入</t>
    </r>
    <r>
      <rPr>
        <sz val="10"/>
        <color rgb="FF0000FF"/>
        <rFont val="Arial"/>
        <family val="0"/>
        <charset val="1"/>
      </rPr>
      <t xml:space="preserve">134</t>
    </r>
    <r>
      <rPr>
        <sz val="10"/>
        <color rgb="FF0000FF"/>
        <rFont val="Noto Sans CJK SC"/>
        <family val="2"/>
      </rPr>
      <t xml:space="preserve">百万円のみ物件別表に掲載。期末保有物件でないため基本情報は非掲載</t>
    </r>
  </si>
  <si>
    <t xml:space="preserve">KDX-079</t>
  </si>
  <si>
    <r>
      <rPr>
        <sz val="10"/>
        <color rgb="FF0000FF"/>
        <rFont val="Arial"/>
        <family val="0"/>
        <charset val="1"/>
      </rPr>
      <t xml:space="preserve">KDX</t>
    </r>
    <r>
      <rPr>
        <sz val="10"/>
        <color rgb="FF0000FF"/>
        <rFont val="Noto Sans CJK SC"/>
        <family val="2"/>
      </rPr>
      <t xml:space="preserve">広島ビル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</si>
  <si>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A2011</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</si>
  <si>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KDX-080</t>
  </si>
  <si>
    <t xml:space="preserve">千里ライフサイエンスセンタービル</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</si>
  <si>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A2012</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</si>
  <si>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KDX-081</t>
  </si>
  <si>
    <r>
      <rPr>
        <sz val="10"/>
        <color rgb="FF0000FF"/>
        <rFont val="Arial"/>
        <family val="0"/>
        <charset val="1"/>
      </rPr>
      <t xml:space="preserve">KDX</t>
    </r>
    <r>
      <rPr>
        <sz val="10"/>
        <color rgb="FF0000FF"/>
        <rFont val="Noto Sans CJK SC"/>
        <family val="2"/>
      </rPr>
      <t xml:space="preserve">南本町ビル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</si>
  <si>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A2013</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</si>
  <si>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KDX-082</t>
  </si>
  <si>
    <r>
      <rPr>
        <sz val="10"/>
        <color rgb="FF0000FF"/>
        <rFont val="Arial"/>
        <family val="0"/>
        <charset val="1"/>
      </rPr>
      <t xml:space="preserve">KDX</t>
    </r>
    <r>
      <rPr>
        <sz val="10"/>
        <color rgb="FF0000FF"/>
        <rFont val="Noto Sans CJK SC"/>
        <family val="2"/>
      </rPr>
      <t xml:space="preserve">桜通ビル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</si>
  <si>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A2014</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</si>
  <si>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KDX-083</t>
  </si>
  <si>
    <r>
      <rPr>
        <sz val="10"/>
        <color rgb="FF0000FF"/>
        <rFont val="Arial"/>
        <family val="0"/>
        <charset val="1"/>
      </rPr>
      <t xml:space="preserve">KDX</t>
    </r>
    <r>
      <rPr>
        <sz val="10"/>
        <color rgb="FF0000FF"/>
        <rFont val="Noto Sans CJK SC"/>
        <family val="2"/>
      </rPr>
      <t xml:space="preserve">新大阪ビル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</si>
  <si>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A2015</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</si>
  <si>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KDX-084</t>
  </si>
  <si>
    <r>
      <rPr>
        <sz val="10"/>
        <color rgb="FF0000FF"/>
        <rFont val="Arial"/>
        <family val="0"/>
        <charset val="1"/>
      </rPr>
      <t xml:space="preserve">KDX</t>
    </r>
    <r>
      <rPr>
        <sz val="10"/>
        <color rgb="FF0000FF"/>
        <rFont val="Noto Sans CJK SC"/>
        <family val="2"/>
      </rPr>
      <t xml:space="preserve">名古屋日銀前ビル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</si>
  <si>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A2016</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</si>
  <si>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KDX-085</t>
  </si>
  <si>
    <r>
      <rPr>
        <sz val="10"/>
        <color rgb="FF0000FF"/>
        <rFont val="Arial"/>
        <family val="0"/>
        <charset val="1"/>
      </rPr>
      <t xml:space="preserve">KDX</t>
    </r>
    <r>
      <rPr>
        <sz val="10"/>
        <color rgb="FF0000FF"/>
        <rFont val="Noto Sans CJK SC"/>
        <family val="2"/>
      </rPr>
      <t xml:space="preserve">札幌北口ビル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</si>
  <si>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A2017</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</si>
  <si>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KDX-086</t>
  </si>
  <si>
    <r>
      <rPr>
        <sz val="10"/>
        <color rgb="FF0000FF"/>
        <rFont val="Arial"/>
        <family val="0"/>
        <charset val="1"/>
      </rPr>
      <t xml:space="preserve">KDX</t>
    </r>
    <r>
      <rPr>
        <sz val="10"/>
        <color rgb="FF0000FF"/>
        <rFont val="Noto Sans CJK SC"/>
        <family val="2"/>
      </rPr>
      <t xml:space="preserve">土佐堀ビル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</si>
  <si>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A2018</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</si>
  <si>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KDX-087</t>
  </si>
  <si>
    <r>
      <rPr>
        <sz val="10"/>
        <color rgb="FF0000FF"/>
        <rFont val="Arial"/>
        <family val="0"/>
        <charset val="1"/>
      </rPr>
      <t xml:space="preserve">KDX</t>
    </r>
    <r>
      <rPr>
        <sz val="10"/>
        <color rgb="FF0000FF"/>
        <rFont val="Noto Sans CJK SC"/>
        <family val="2"/>
      </rPr>
      <t xml:space="preserve">仙台本町ビル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</si>
  <si>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A2019</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</si>
  <si>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KDX-088</t>
  </si>
  <si>
    <r>
      <rPr>
        <sz val="10"/>
        <color rgb="FF0000FF"/>
        <rFont val="Arial"/>
        <family val="0"/>
        <charset val="1"/>
      </rPr>
      <t xml:space="preserve">KDX</t>
    </r>
    <r>
      <rPr>
        <sz val="10"/>
        <color rgb="FF0000FF"/>
        <rFont val="Noto Sans CJK SC"/>
        <family val="2"/>
      </rPr>
      <t xml:space="preserve">神戸ビル</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</si>
  <si>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A2020</t>
    </r>
    <r>
      <rPr>
        <sz val="10"/>
        <color rgb="FF0000FF"/>
        <rFont val="Noto Sans CJK SC"/>
        <family val="2"/>
      </rPr>
      <t xml:space="preserve">。所在地・竣工年月・延床面積は短信非掲載のため未収録</t>
    </r>
    <r>
      <rPr>
        <sz val="10"/>
        <color rgb="FF0000FF"/>
        <rFont val="Arial"/>
        <family val="0"/>
        <charset val="1"/>
      </rPr>
      <t xml:space="preserve">(</t>
    </r>
    <r>
      <rPr>
        <sz val="10"/>
        <color rgb="FF0000FF"/>
        <rFont val="Noto Sans CJK SC"/>
        <family val="2"/>
      </rPr>
      <t xml:space="preserve">個別物件データブック</t>
    </r>
    <r>
      <rPr>
        <sz val="10"/>
        <color rgb="FF0000FF"/>
        <rFont val="Arial"/>
        <family val="0"/>
        <charset val="1"/>
      </rPr>
      <t xml:space="preserve">xlsx</t>
    </r>
    <r>
      <rPr>
        <sz val="10"/>
        <color rgb="FF0000FF"/>
        <rFont val="Noto Sans CJK SC"/>
        <family val="2"/>
      </rPr>
      <t xml:space="preserve">別綴で公表</t>
    </r>
    <r>
      <rPr>
        <sz val="10"/>
        <color rgb="FF0000FF"/>
        <rFont val="Arial"/>
        <family val="0"/>
        <charset val="1"/>
      </rPr>
      <t xml:space="preserve">)</t>
    </r>
    <r>
      <rPr>
        <sz val="10"/>
        <color rgb="FF0000FF"/>
        <rFont val="Noto Sans CJK SC"/>
        <family val="2"/>
      </rPr>
      <t xml:space="preserve">。エリア区分は短信開示の</t>
    </r>
    <r>
      <rPr>
        <sz val="10"/>
        <color rgb="FF0000FF"/>
        <rFont val="Arial"/>
        <family val="0"/>
        <charset val="1"/>
      </rPr>
      <t xml:space="preserve">2</t>
    </r>
    <r>
      <rPr>
        <sz val="10"/>
        <color rgb="FF0000FF"/>
        <rFont val="Noto Sans CJK SC"/>
        <family val="2"/>
      </rPr>
      <t xml:space="preserve">区分</t>
    </r>
    <r>
      <rPr>
        <sz val="10"/>
        <color rgb="FF0000FF"/>
        <rFont val="Arial"/>
        <family val="0"/>
        <charset val="1"/>
      </rPr>
      <t xml:space="preserve">(</t>
    </r>
    <r>
      <rPr>
        <sz val="10"/>
        <color rgb="FF0000FF"/>
        <rFont val="Noto Sans CJK SC"/>
        <family val="2"/>
      </rPr>
      <t xml:space="preserve">東京経済圏</t>
    </r>
    <r>
      <rPr>
        <sz val="10"/>
        <color rgb="FF0000FF"/>
        <rFont val="Arial"/>
        <family val="0"/>
        <charset val="1"/>
      </rPr>
      <t xml:space="preserve">/</t>
    </r>
    <r>
      <rPr>
        <sz val="10"/>
        <color rgb="FF0000FF"/>
        <rFont val="Noto Sans CJK SC"/>
        <family val="2"/>
      </rPr>
      <t xml:space="preserve">地方経済圏</t>
    </r>
    <r>
      <rPr>
        <sz val="10"/>
        <color rgb="FF0000FF"/>
        <rFont val="Arial"/>
        <family val="0"/>
        <charset val="1"/>
      </rPr>
      <t xml:space="preserve">)</t>
    </r>
    <r>
      <rPr>
        <sz val="10"/>
        <color rgb="FF0000FF"/>
        <rFont val="Noto Sans CJK SC"/>
        <family val="2"/>
      </rPr>
      <t xml:space="preserve">を収録</t>
    </r>
  </si>
  <si>
    <t xml:space="preserve">KDX-089</t>
  </si>
  <si>
    <r>
      <rPr>
        <sz val="10"/>
        <color rgb="FF0000FF"/>
        <rFont val="Arial"/>
        <family val="0"/>
        <charset val="1"/>
      </rPr>
      <t xml:space="preserve">KDX</t>
    </r>
    <r>
      <rPr>
        <sz val="10"/>
        <color rgb="FF0000FF"/>
        <rFont val="Noto Sans CJK SC"/>
        <family val="2"/>
      </rPr>
      <t xml:space="preserve">代官山レジデンス</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</si>
  <si>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B1001</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</si>
  <si>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KDX-090</t>
  </si>
  <si>
    <r>
      <rPr>
        <sz val="10"/>
        <color rgb="FF0000FF"/>
        <rFont val="Arial"/>
        <family val="0"/>
        <charset val="1"/>
      </rPr>
      <t xml:space="preserve">KDX</t>
    </r>
    <r>
      <rPr>
        <sz val="10"/>
        <color rgb="FF0000FF"/>
        <rFont val="Noto Sans CJK SC"/>
        <family val="2"/>
      </rPr>
      <t xml:space="preserve">志村坂上レジデンス</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</si>
  <si>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B1002</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</si>
  <si>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KDX-091</t>
  </si>
  <si>
    <r>
      <rPr>
        <sz val="10"/>
        <color rgb="FF0000FF"/>
        <rFont val="Arial"/>
        <family val="0"/>
        <charset val="1"/>
      </rPr>
      <t xml:space="preserve">KDX</t>
    </r>
    <r>
      <rPr>
        <sz val="10"/>
        <color rgb="FF0000FF"/>
        <rFont val="Noto Sans CJK SC"/>
        <family val="2"/>
      </rPr>
      <t xml:space="preserve">大伝馬レジデンス</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</si>
  <si>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B1003</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</si>
  <si>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KDX-092</t>
  </si>
  <si>
    <r>
      <rPr>
        <sz val="10"/>
        <color rgb="FF0000FF"/>
        <rFont val="Arial"/>
        <family val="0"/>
        <charset val="1"/>
      </rPr>
      <t xml:space="preserve">KDX</t>
    </r>
    <r>
      <rPr>
        <sz val="10"/>
        <color rgb="FF0000FF"/>
        <rFont val="Noto Sans CJK SC"/>
        <family val="2"/>
      </rPr>
      <t xml:space="preserve">文京千石レジデンス</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</si>
  <si>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B1004</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</si>
  <si>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KDX-093</t>
  </si>
  <si>
    <r>
      <rPr>
        <sz val="10"/>
        <color rgb="FF0000FF"/>
        <rFont val="Arial"/>
        <family val="0"/>
        <charset val="1"/>
      </rPr>
      <t xml:space="preserve">KDX</t>
    </r>
    <r>
      <rPr>
        <sz val="10"/>
        <color rgb="FF0000FF"/>
        <rFont val="Noto Sans CJK SC"/>
        <family val="2"/>
      </rPr>
      <t xml:space="preserve">千葉中央レジデンス</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</si>
  <si>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B1005</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</si>
  <si>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KDX-094</t>
  </si>
  <si>
    <r>
      <rPr>
        <sz val="10"/>
        <color rgb="FF0000FF"/>
        <rFont val="Arial"/>
        <family val="0"/>
        <charset val="1"/>
      </rPr>
      <t xml:space="preserve">KDX</t>
    </r>
    <r>
      <rPr>
        <sz val="10"/>
        <color rgb="FF0000FF"/>
        <rFont val="Noto Sans CJK SC"/>
        <family val="2"/>
      </rPr>
      <t xml:space="preserve">川口幸町レジデンス</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</si>
  <si>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B1006</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</si>
  <si>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KDX-095</t>
  </si>
  <si>
    <r>
      <rPr>
        <sz val="10"/>
        <color rgb="FF0000FF"/>
        <rFont val="Arial"/>
        <family val="0"/>
        <charset val="1"/>
      </rPr>
      <t xml:space="preserve">KDX</t>
    </r>
    <r>
      <rPr>
        <sz val="10"/>
        <color rgb="FF0000FF"/>
        <rFont val="Noto Sans CJK SC"/>
        <family val="2"/>
      </rPr>
      <t xml:space="preserve">岩本町レジデンス</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</si>
  <si>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B1007</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</si>
  <si>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KDX-096</t>
  </si>
  <si>
    <r>
      <rPr>
        <sz val="10"/>
        <color rgb="FF0000FF"/>
        <rFont val="Arial"/>
        <family val="0"/>
        <charset val="1"/>
      </rPr>
      <t xml:space="preserve">KDX</t>
    </r>
    <r>
      <rPr>
        <sz val="10"/>
        <color rgb="FF0000FF"/>
        <rFont val="Noto Sans CJK SC"/>
        <family val="2"/>
      </rPr>
      <t xml:space="preserve">吾妻橋レジデンス</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</si>
  <si>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B1008</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</si>
  <si>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KDX-097</t>
  </si>
  <si>
    <r>
      <rPr>
        <sz val="10"/>
        <color rgb="FF0000FF"/>
        <rFont val="Arial"/>
        <family val="0"/>
        <charset val="1"/>
      </rPr>
      <t xml:space="preserve">KDX</t>
    </r>
    <r>
      <rPr>
        <sz val="10"/>
        <color rgb="FF0000FF"/>
        <rFont val="Noto Sans CJK SC"/>
        <family val="2"/>
      </rPr>
      <t xml:space="preserve">レジデンス東新宿</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</si>
  <si>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B1010</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</si>
  <si>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KDX-098</t>
  </si>
  <si>
    <r>
      <rPr>
        <sz val="10"/>
        <color rgb="FF0000FF"/>
        <rFont val="Arial"/>
        <family val="0"/>
        <charset val="1"/>
      </rPr>
      <t xml:space="preserve">KDX</t>
    </r>
    <r>
      <rPr>
        <sz val="10"/>
        <color rgb="FF0000FF"/>
        <rFont val="Noto Sans CJK SC"/>
        <family val="2"/>
      </rPr>
      <t xml:space="preserve">レジデンス日本橋水天宮</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</si>
  <si>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B1011</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</si>
  <si>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KDX-099</t>
  </si>
  <si>
    <r>
      <rPr>
        <sz val="10"/>
        <color rgb="FF0000FF"/>
        <rFont val="Arial"/>
        <family val="0"/>
        <charset val="1"/>
      </rPr>
      <t xml:space="preserve">KDX</t>
    </r>
    <r>
      <rPr>
        <sz val="10"/>
        <color rgb="FF0000FF"/>
        <rFont val="Noto Sans CJK SC"/>
        <family val="2"/>
      </rPr>
      <t xml:space="preserve">レジデンス白金</t>
    </r>
    <r>
      <rPr>
        <sz val="10"/>
        <color rgb="FF0000FF"/>
        <rFont val="Arial"/>
        <family val="0"/>
        <charset val="1"/>
      </rPr>
      <t xml:space="preserve">I</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</si>
  <si>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B1012</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</si>
  <si>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KDX-100</t>
  </si>
  <si>
    <r>
      <rPr>
        <sz val="10"/>
        <color rgb="FF0000FF"/>
        <rFont val="Arial"/>
        <family val="0"/>
        <charset val="1"/>
      </rPr>
      <t xml:space="preserve">KDX</t>
    </r>
    <r>
      <rPr>
        <sz val="10"/>
        <color rgb="FF0000FF"/>
        <rFont val="Noto Sans CJK SC"/>
        <family val="2"/>
      </rPr>
      <t xml:space="preserve">レジデンス白金</t>
    </r>
    <r>
      <rPr>
        <sz val="10"/>
        <color rgb="FF0000FF"/>
        <rFont val="Arial"/>
        <family val="0"/>
        <charset val="1"/>
      </rPr>
      <t xml:space="preserve">II</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</si>
  <si>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B1013</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</si>
  <si>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KDX-101</t>
  </si>
  <si>
    <r>
      <rPr>
        <sz val="10"/>
        <color rgb="FF0000FF"/>
        <rFont val="Arial"/>
        <family val="0"/>
        <charset val="1"/>
      </rPr>
      <t xml:space="preserve">KDX</t>
    </r>
    <r>
      <rPr>
        <sz val="10"/>
        <color rgb="FF0000FF"/>
        <rFont val="Noto Sans CJK SC"/>
        <family val="2"/>
      </rPr>
      <t xml:space="preserve">レジデンス四谷</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</si>
  <si>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B1014</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</si>
  <si>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KDX-102</t>
  </si>
  <si>
    <r>
      <rPr>
        <sz val="10"/>
        <color rgb="FF0000FF"/>
        <rFont val="Arial"/>
        <family val="0"/>
        <charset val="1"/>
      </rPr>
      <t xml:space="preserve">KDX</t>
    </r>
    <r>
      <rPr>
        <sz val="10"/>
        <color rgb="FF0000FF"/>
        <rFont val="Noto Sans CJK SC"/>
        <family val="2"/>
      </rPr>
      <t xml:space="preserve">レジデンス南麻布</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</si>
  <si>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B1015</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</si>
  <si>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KDX-103</t>
  </si>
  <si>
    <r>
      <rPr>
        <sz val="10"/>
        <color rgb="FF0000FF"/>
        <rFont val="Arial"/>
        <family val="0"/>
        <charset val="1"/>
      </rPr>
      <t xml:space="preserve">KDX</t>
    </r>
    <r>
      <rPr>
        <sz val="10"/>
        <color rgb="FF0000FF"/>
        <rFont val="Noto Sans CJK SC"/>
        <family val="2"/>
      </rPr>
      <t xml:space="preserve">レジデンス南青山</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</si>
  <si>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B1016</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</si>
  <si>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KDX-104</t>
  </si>
  <si>
    <r>
      <rPr>
        <sz val="10"/>
        <color rgb="FF0000FF"/>
        <rFont val="Arial"/>
        <family val="0"/>
        <charset val="1"/>
      </rPr>
      <t xml:space="preserve">KDX</t>
    </r>
    <r>
      <rPr>
        <sz val="10"/>
        <color rgb="FF0000FF"/>
        <rFont val="Noto Sans CJK SC"/>
        <family val="2"/>
      </rPr>
      <t xml:space="preserve">レジデンス芝公園</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</si>
  <si>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B1017</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</si>
  <si>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KDX-105</t>
  </si>
  <si>
    <r>
      <rPr>
        <sz val="10"/>
        <color rgb="FF0000FF"/>
        <rFont val="Arial"/>
        <family val="0"/>
        <charset val="1"/>
      </rPr>
      <t xml:space="preserve">KDX</t>
    </r>
    <r>
      <rPr>
        <sz val="10"/>
        <color rgb="FF0000FF"/>
        <rFont val="Noto Sans CJK SC"/>
        <family val="2"/>
      </rPr>
      <t xml:space="preserve">レジデンス町田</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</si>
  <si>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B1018</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</si>
  <si>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KDX-106</t>
  </si>
  <si>
    <r>
      <rPr>
        <sz val="10"/>
        <color rgb="FF0000FF"/>
        <rFont val="Arial"/>
        <family val="0"/>
        <charset val="1"/>
      </rPr>
      <t xml:space="preserve">KDX</t>
    </r>
    <r>
      <rPr>
        <sz val="10"/>
        <color rgb="FF0000FF"/>
        <rFont val="Noto Sans CJK SC"/>
        <family val="2"/>
      </rPr>
      <t xml:space="preserve">レジデンス麻布イースト</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</si>
  <si>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B1019</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</si>
  <si>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KDX-107</t>
  </si>
  <si>
    <r>
      <rPr>
        <sz val="10"/>
        <color rgb="FF0000FF"/>
        <rFont val="Arial"/>
        <family val="0"/>
        <charset val="1"/>
      </rPr>
      <t xml:space="preserve">KDX</t>
    </r>
    <r>
      <rPr>
        <sz val="10"/>
        <color rgb="FF0000FF"/>
        <rFont val="Noto Sans CJK SC"/>
        <family val="2"/>
      </rPr>
      <t xml:space="preserve">レジデンス西原</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</si>
  <si>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B1020</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</si>
  <si>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KDX-108</t>
  </si>
  <si>
    <r>
      <rPr>
        <sz val="10"/>
        <color rgb="FF0000FF"/>
        <rFont val="Arial"/>
        <family val="0"/>
        <charset val="1"/>
      </rPr>
      <t xml:space="preserve">KDX</t>
    </r>
    <r>
      <rPr>
        <sz val="10"/>
        <color rgb="FF0000FF"/>
        <rFont val="Noto Sans CJK SC"/>
        <family val="2"/>
      </rPr>
      <t xml:space="preserve">レジデンス二子玉川</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</si>
  <si>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B1021</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</si>
  <si>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KDX-109</t>
  </si>
  <si>
    <r>
      <rPr>
        <sz val="10"/>
        <color rgb="FF0000FF"/>
        <rFont val="Arial"/>
        <family val="0"/>
        <charset val="1"/>
      </rPr>
      <t xml:space="preserve">KDX</t>
    </r>
    <r>
      <rPr>
        <sz val="10"/>
        <color rgb="FF0000FF"/>
        <rFont val="Noto Sans CJK SC"/>
        <family val="2"/>
      </rPr>
      <t xml:space="preserve">レジデンス西新宿</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</si>
  <si>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B1022</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</si>
  <si>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KDX-110</t>
  </si>
  <si>
    <t xml:space="preserve">ラフィネ南馬込</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</si>
  <si>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B1023</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</si>
  <si>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KDX-111</t>
  </si>
  <si>
    <r>
      <rPr>
        <sz val="10"/>
        <color rgb="FF0000FF"/>
        <rFont val="Arial"/>
        <family val="0"/>
        <charset val="1"/>
      </rPr>
      <t xml:space="preserve">KDX</t>
    </r>
    <r>
      <rPr>
        <sz val="10"/>
        <color rgb="FF0000FF"/>
        <rFont val="Noto Sans CJK SC"/>
        <family val="2"/>
      </rPr>
      <t xml:space="preserve">レジデンス雪谷大塚</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</si>
  <si>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B1024</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</si>
  <si>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KDX-112</t>
  </si>
  <si>
    <r>
      <rPr>
        <sz val="10"/>
        <color rgb="FF0000FF"/>
        <rFont val="Arial"/>
        <family val="0"/>
        <charset val="1"/>
      </rPr>
      <t xml:space="preserve">KDX</t>
    </r>
    <r>
      <rPr>
        <sz val="10"/>
        <color rgb="FF0000FF"/>
        <rFont val="Noto Sans CJK SC"/>
        <family val="2"/>
      </rPr>
      <t xml:space="preserve">レジデンス日本橋箱崎</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</si>
  <si>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B1025</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</si>
  <si>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KDX-113</t>
  </si>
  <si>
    <r>
      <rPr>
        <sz val="10"/>
        <color rgb="FF0000FF"/>
        <rFont val="Arial"/>
        <family val="0"/>
        <charset val="1"/>
      </rPr>
      <t xml:space="preserve">KDX</t>
    </r>
    <r>
      <rPr>
        <sz val="10"/>
        <color rgb="FF0000FF"/>
        <rFont val="Noto Sans CJK SC"/>
        <family val="2"/>
      </rPr>
      <t xml:space="preserve">レジデンス田園調布</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</si>
  <si>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B1026</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</si>
  <si>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KDX-114</t>
  </si>
  <si>
    <r>
      <rPr>
        <sz val="10"/>
        <color rgb="FF0000FF"/>
        <rFont val="Arial"/>
        <family val="0"/>
        <charset val="1"/>
      </rPr>
      <t xml:space="preserve">KDX</t>
    </r>
    <r>
      <rPr>
        <sz val="10"/>
        <color rgb="FF0000FF"/>
        <rFont val="Noto Sans CJK SC"/>
        <family val="2"/>
      </rPr>
      <t xml:space="preserve">レジデンス駒沢公園</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</si>
  <si>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B1027</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</si>
  <si>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KDX-115</t>
  </si>
  <si>
    <r>
      <rPr>
        <sz val="10"/>
        <color rgb="FF0000FF"/>
        <rFont val="Arial"/>
        <family val="0"/>
        <charset val="1"/>
      </rPr>
      <t xml:space="preserve">KDX</t>
    </r>
    <r>
      <rPr>
        <sz val="10"/>
        <color rgb="FF0000FF"/>
        <rFont val="Noto Sans CJK SC"/>
        <family val="2"/>
      </rPr>
      <t xml:space="preserve">レジデンス代官山</t>
    </r>
    <r>
      <rPr>
        <sz val="10"/>
        <color rgb="FF0000FF"/>
        <rFont val="Arial"/>
        <family val="0"/>
        <charset val="1"/>
      </rPr>
      <t xml:space="preserve">II</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</si>
  <si>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B1028</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</si>
  <si>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KDX-116</t>
  </si>
  <si>
    <r>
      <rPr>
        <sz val="10"/>
        <color rgb="FF0000FF"/>
        <rFont val="Arial"/>
        <family val="0"/>
        <charset val="1"/>
      </rPr>
      <t xml:space="preserve">KDX</t>
    </r>
    <r>
      <rPr>
        <sz val="10"/>
        <color rgb="FF0000FF"/>
        <rFont val="Noto Sans CJK SC"/>
        <family val="2"/>
      </rPr>
      <t xml:space="preserve">レジデンス高輪</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</si>
  <si>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B1029</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</si>
  <si>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KDX-117</t>
  </si>
  <si>
    <r>
      <rPr>
        <sz val="10"/>
        <color rgb="FF0000FF"/>
        <rFont val="Arial"/>
        <family val="0"/>
        <charset val="1"/>
      </rPr>
      <t xml:space="preserve">KDX</t>
    </r>
    <r>
      <rPr>
        <sz val="10"/>
        <color rgb="FF0000FF"/>
        <rFont val="Noto Sans CJK SC"/>
        <family val="2"/>
      </rPr>
      <t xml:space="preserve">レジデンス宮前平</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</si>
  <si>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B1030</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</si>
  <si>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KDX-118</t>
  </si>
  <si>
    <r>
      <rPr>
        <sz val="10"/>
        <color rgb="FF0000FF"/>
        <rFont val="Arial"/>
        <family val="0"/>
        <charset val="1"/>
      </rPr>
      <t xml:space="preserve">KDX</t>
    </r>
    <r>
      <rPr>
        <sz val="10"/>
        <color rgb="FF0000FF"/>
        <rFont val="Noto Sans CJK SC"/>
        <family val="2"/>
      </rPr>
      <t xml:space="preserve">レジデンス御徒町</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</si>
  <si>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B1031</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</si>
  <si>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KDX-119</t>
  </si>
  <si>
    <r>
      <rPr>
        <sz val="10"/>
        <color rgb="FF0000FF"/>
        <rFont val="Arial"/>
        <family val="0"/>
        <charset val="1"/>
      </rPr>
      <t xml:space="preserve">KDX</t>
    </r>
    <r>
      <rPr>
        <sz val="10"/>
        <color rgb="FF0000FF"/>
        <rFont val="Noto Sans CJK SC"/>
        <family val="2"/>
      </rPr>
      <t xml:space="preserve">レジデンス元浅草</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</si>
  <si>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B1032</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</si>
  <si>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KDX-120</t>
  </si>
  <si>
    <r>
      <rPr>
        <sz val="10"/>
        <color rgb="FF0000FF"/>
        <rFont val="Arial"/>
        <family val="0"/>
        <charset val="1"/>
      </rPr>
      <t xml:space="preserve">KDX</t>
    </r>
    <r>
      <rPr>
        <sz val="10"/>
        <color rgb="FF0000FF"/>
        <rFont val="Noto Sans CJK SC"/>
        <family val="2"/>
      </rPr>
      <t xml:space="preserve">レジデンス門前仲町</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</si>
  <si>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B1033</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</si>
  <si>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KDX-121</t>
  </si>
  <si>
    <r>
      <rPr>
        <sz val="10"/>
        <color rgb="FF0000FF"/>
        <rFont val="Arial"/>
        <family val="0"/>
        <charset val="1"/>
      </rPr>
      <t xml:space="preserve">KDX</t>
    </r>
    <r>
      <rPr>
        <sz val="10"/>
        <color rgb="FF0000FF"/>
        <rFont val="Noto Sans CJK SC"/>
        <family val="2"/>
      </rPr>
      <t xml:space="preserve">レジデンス三宿</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</si>
  <si>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B1034</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</si>
  <si>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KDX-122</t>
  </si>
  <si>
    <r>
      <rPr>
        <sz val="10"/>
        <color rgb="FF0000FF"/>
        <rFont val="Arial"/>
        <family val="0"/>
        <charset val="1"/>
      </rPr>
      <t xml:space="preserve">KDX</t>
    </r>
    <r>
      <rPr>
        <sz val="10"/>
        <color rgb="FF0000FF"/>
        <rFont val="Noto Sans CJK SC"/>
        <family val="2"/>
      </rPr>
      <t xml:space="preserve">レジデンス横浜関内</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</si>
  <si>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B1035</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</si>
  <si>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KDX-123</t>
  </si>
  <si>
    <r>
      <rPr>
        <sz val="10"/>
        <color rgb="FF0000FF"/>
        <rFont val="Arial"/>
        <family val="0"/>
        <charset val="1"/>
      </rPr>
      <t xml:space="preserve">KDX</t>
    </r>
    <r>
      <rPr>
        <sz val="10"/>
        <color rgb="FF0000FF"/>
        <rFont val="Noto Sans CJK SC"/>
        <family val="2"/>
      </rPr>
      <t xml:space="preserve">レジデンス神楽坂</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</si>
  <si>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B1036</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</si>
  <si>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KDX-124</t>
  </si>
  <si>
    <r>
      <rPr>
        <sz val="10"/>
        <color rgb="FF0000FF"/>
        <rFont val="Arial"/>
        <family val="0"/>
        <charset val="1"/>
      </rPr>
      <t xml:space="preserve">KDX</t>
    </r>
    <r>
      <rPr>
        <sz val="10"/>
        <color rgb="FF0000FF"/>
        <rFont val="Noto Sans CJK SC"/>
        <family val="2"/>
      </rPr>
      <t xml:space="preserve">レジデンス多摩川</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</si>
  <si>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B1037</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</si>
  <si>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KDX-125</t>
  </si>
  <si>
    <r>
      <rPr>
        <sz val="10"/>
        <color rgb="FF0000FF"/>
        <rFont val="Arial"/>
        <family val="0"/>
        <charset val="1"/>
      </rPr>
      <t xml:space="preserve">KDX</t>
    </r>
    <r>
      <rPr>
        <sz val="10"/>
        <color rgb="FF0000FF"/>
        <rFont val="Noto Sans CJK SC"/>
        <family val="2"/>
      </rPr>
      <t xml:space="preserve">レジデンス用賀</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</si>
  <si>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B1038</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</si>
  <si>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KDX-126</t>
  </si>
  <si>
    <r>
      <rPr>
        <sz val="10"/>
        <color rgb="FF0000FF"/>
        <rFont val="Arial"/>
        <family val="0"/>
        <charset val="1"/>
      </rPr>
      <t xml:space="preserve">KDX</t>
    </r>
    <r>
      <rPr>
        <sz val="10"/>
        <color rgb="FF0000FF"/>
        <rFont val="Noto Sans CJK SC"/>
        <family val="2"/>
      </rPr>
      <t xml:space="preserve">レジデンス板橋本町</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</si>
  <si>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B1039</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</si>
  <si>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KDX-127</t>
  </si>
  <si>
    <r>
      <rPr>
        <sz val="10"/>
        <color rgb="FF0000FF"/>
        <rFont val="Arial"/>
        <family val="0"/>
        <charset val="1"/>
      </rPr>
      <t xml:space="preserve">KDX</t>
    </r>
    <r>
      <rPr>
        <sz val="10"/>
        <color rgb="FF0000FF"/>
        <rFont val="Noto Sans CJK SC"/>
        <family val="2"/>
      </rPr>
      <t xml:space="preserve">レジデンス錦糸町</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</si>
  <si>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B1042</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</si>
  <si>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KDX-128</t>
  </si>
  <si>
    <r>
      <rPr>
        <sz val="10"/>
        <color rgb="FF0000FF"/>
        <rFont val="Arial"/>
        <family val="0"/>
        <charset val="1"/>
      </rPr>
      <t xml:space="preserve">KDX</t>
    </r>
    <r>
      <rPr>
        <sz val="10"/>
        <color rgb="FF0000FF"/>
        <rFont val="Noto Sans CJK SC"/>
        <family val="2"/>
      </rPr>
      <t xml:space="preserve">レジデンス戸越</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</si>
  <si>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B1043</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</si>
  <si>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KDX-129</t>
  </si>
  <si>
    <r>
      <rPr>
        <sz val="10"/>
        <color rgb="FF0000FF"/>
        <rFont val="Arial"/>
        <family val="0"/>
        <charset val="1"/>
      </rPr>
      <t xml:space="preserve">KDX</t>
    </r>
    <r>
      <rPr>
        <sz val="10"/>
        <color rgb="FF0000FF"/>
        <rFont val="Noto Sans CJK SC"/>
        <family val="2"/>
      </rPr>
      <t xml:space="preserve">レジデンス大山</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</si>
  <si>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B1044</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</si>
  <si>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KDX-130</t>
  </si>
  <si>
    <r>
      <rPr>
        <sz val="10"/>
        <color rgb="FF0000FF"/>
        <rFont val="Arial"/>
        <family val="0"/>
        <charset val="1"/>
      </rPr>
      <t xml:space="preserve">KDX</t>
    </r>
    <r>
      <rPr>
        <sz val="10"/>
        <color rgb="FF0000FF"/>
        <rFont val="Noto Sans CJK SC"/>
        <family val="2"/>
      </rPr>
      <t xml:space="preserve">レジデンス品川シーサイド</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</si>
  <si>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B1045</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</si>
  <si>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KDX-131</t>
  </si>
  <si>
    <r>
      <rPr>
        <sz val="10"/>
        <color rgb="FF0000FF"/>
        <rFont val="Arial"/>
        <family val="0"/>
        <charset val="1"/>
      </rPr>
      <t xml:space="preserve">KDX</t>
    </r>
    <r>
      <rPr>
        <sz val="10"/>
        <color rgb="FF0000FF"/>
        <rFont val="Noto Sans CJK SC"/>
        <family val="2"/>
      </rPr>
      <t xml:space="preserve">レジデンス大島</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</si>
  <si>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B1046</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</si>
  <si>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KDX-132</t>
  </si>
  <si>
    <r>
      <rPr>
        <sz val="10"/>
        <color rgb="FF0000FF"/>
        <rFont val="Arial"/>
        <family val="0"/>
        <charset val="1"/>
      </rPr>
      <t xml:space="preserve">KDX</t>
    </r>
    <r>
      <rPr>
        <sz val="10"/>
        <color rgb="FF0000FF"/>
        <rFont val="Noto Sans CJK SC"/>
        <family val="2"/>
      </rPr>
      <t xml:space="preserve">レジデンス自由が丘</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</si>
  <si>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B1047</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</si>
  <si>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KDX-133</t>
  </si>
  <si>
    <r>
      <rPr>
        <sz val="10"/>
        <color rgb="FF0000FF"/>
        <rFont val="Arial"/>
        <family val="0"/>
        <charset val="1"/>
      </rPr>
      <t xml:space="preserve">KDX</t>
    </r>
    <r>
      <rPr>
        <sz val="10"/>
        <color rgb="FF0000FF"/>
        <rFont val="Noto Sans CJK SC"/>
        <family val="2"/>
      </rPr>
      <t xml:space="preserve">レジデンス日本橋浜町</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</si>
  <si>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B1048</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</si>
  <si>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KDX-134</t>
  </si>
  <si>
    <r>
      <rPr>
        <sz val="10"/>
        <color rgb="FF0000FF"/>
        <rFont val="Arial"/>
        <family val="0"/>
        <charset val="1"/>
      </rPr>
      <t xml:space="preserve">KDX</t>
    </r>
    <r>
      <rPr>
        <sz val="10"/>
        <color rgb="FF0000FF"/>
        <rFont val="Noto Sans CJK SC"/>
        <family val="2"/>
      </rPr>
      <t xml:space="preserve">レジデンス日本橋人形町</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</si>
  <si>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B1049</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</si>
  <si>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KDX-135</t>
  </si>
  <si>
    <r>
      <rPr>
        <sz val="10"/>
        <color rgb="FF0000FF"/>
        <rFont val="Arial"/>
        <family val="0"/>
        <charset val="1"/>
      </rPr>
      <t xml:space="preserve">KDX</t>
    </r>
    <r>
      <rPr>
        <sz val="10"/>
        <color rgb="FF0000FF"/>
        <rFont val="Noto Sans CJK SC"/>
        <family val="2"/>
      </rPr>
      <t xml:space="preserve">レジデンス半蔵門</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</si>
  <si>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B1050</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</si>
  <si>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KDX-136</t>
  </si>
  <si>
    <r>
      <rPr>
        <sz val="10"/>
        <color rgb="FF0000FF"/>
        <rFont val="Arial"/>
        <family val="0"/>
        <charset val="1"/>
      </rPr>
      <t xml:space="preserve">KDX</t>
    </r>
    <r>
      <rPr>
        <sz val="10"/>
        <color rgb="FF0000FF"/>
        <rFont val="Noto Sans CJK SC"/>
        <family val="2"/>
      </rPr>
      <t xml:space="preserve">レジデンス立川</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</si>
  <si>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B1051</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</si>
  <si>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KDX-137</t>
  </si>
  <si>
    <r>
      <rPr>
        <sz val="10"/>
        <color rgb="FF0000FF"/>
        <rFont val="Arial"/>
        <family val="0"/>
        <charset val="1"/>
      </rPr>
      <t xml:space="preserve">KDX</t>
    </r>
    <r>
      <rPr>
        <sz val="10"/>
        <color rgb="FF0000FF"/>
        <rFont val="Noto Sans CJK SC"/>
        <family val="2"/>
      </rPr>
      <t xml:space="preserve">レジデンス千駄木</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</si>
  <si>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B1052</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</si>
  <si>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KDX-138</t>
  </si>
  <si>
    <r>
      <rPr>
        <sz val="10"/>
        <color rgb="FF0000FF"/>
        <rFont val="Arial"/>
        <family val="0"/>
        <charset val="1"/>
      </rPr>
      <t xml:space="preserve">KDX</t>
    </r>
    <r>
      <rPr>
        <sz val="10"/>
        <color rgb="FF0000FF"/>
        <rFont val="Noto Sans CJK SC"/>
        <family val="2"/>
      </rPr>
      <t xml:space="preserve">レジデンス神楽坂通</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</si>
  <si>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B1053</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</si>
  <si>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KDX-139</t>
  </si>
  <si>
    <r>
      <rPr>
        <sz val="10"/>
        <color rgb="FF0000FF"/>
        <rFont val="Arial"/>
        <family val="0"/>
        <charset val="1"/>
      </rPr>
      <t xml:space="preserve">KDX</t>
    </r>
    <r>
      <rPr>
        <sz val="10"/>
        <color rgb="FF0000FF"/>
        <rFont val="Noto Sans CJK SC"/>
        <family val="2"/>
      </rPr>
      <t xml:space="preserve">レジデンス秋葉原</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</si>
  <si>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B1054</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</si>
  <si>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KDX-140</t>
  </si>
  <si>
    <r>
      <rPr>
        <sz val="10"/>
        <color rgb="FF0000FF"/>
        <rFont val="Arial"/>
        <family val="0"/>
        <charset val="1"/>
      </rPr>
      <t xml:space="preserve">KDX</t>
    </r>
    <r>
      <rPr>
        <sz val="10"/>
        <color rgb="FF0000FF"/>
        <rFont val="Noto Sans CJK SC"/>
        <family val="2"/>
      </rPr>
      <t xml:space="preserve">レジデンス成城</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</si>
  <si>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B1055</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</si>
  <si>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KDX-141</t>
  </si>
  <si>
    <r>
      <rPr>
        <sz val="10"/>
        <color rgb="FF0000FF"/>
        <rFont val="Arial"/>
        <family val="0"/>
        <charset val="1"/>
      </rPr>
      <t xml:space="preserve">KDX</t>
    </r>
    <r>
      <rPr>
        <sz val="10"/>
        <color rgb="FF0000FF"/>
        <rFont val="Noto Sans CJK SC"/>
        <family val="2"/>
      </rPr>
      <t xml:space="preserve">レジデンス鶴見</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</si>
  <si>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B1056</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</si>
  <si>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KDX-142</t>
  </si>
  <si>
    <r>
      <rPr>
        <sz val="10"/>
        <color rgb="FF0000FF"/>
        <rFont val="Arial"/>
        <family val="0"/>
        <charset val="1"/>
      </rPr>
      <t xml:space="preserve">KDX</t>
    </r>
    <r>
      <rPr>
        <sz val="10"/>
        <color rgb="FF0000FF"/>
        <rFont val="Noto Sans CJK SC"/>
        <family val="2"/>
      </rPr>
      <t xml:space="preserve">レジデンス入谷</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</si>
  <si>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B1057</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</si>
  <si>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KDX-143</t>
  </si>
  <si>
    <r>
      <rPr>
        <sz val="10"/>
        <color rgb="FF0000FF"/>
        <rFont val="Arial"/>
        <family val="0"/>
        <charset val="1"/>
      </rPr>
      <t xml:space="preserve">KDX</t>
    </r>
    <r>
      <rPr>
        <sz val="10"/>
        <color rgb="FF0000FF"/>
        <rFont val="Noto Sans CJK SC"/>
        <family val="2"/>
      </rPr>
      <t xml:space="preserve">レジデンス秋葉原</t>
    </r>
    <r>
      <rPr>
        <sz val="10"/>
        <color rgb="FF0000FF"/>
        <rFont val="Arial"/>
        <family val="0"/>
        <charset val="1"/>
      </rPr>
      <t xml:space="preserve">II</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</si>
  <si>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B1058</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</si>
  <si>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KDX-144</t>
  </si>
  <si>
    <r>
      <rPr>
        <sz val="10"/>
        <color rgb="FF0000FF"/>
        <rFont val="Arial"/>
        <family val="0"/>
        <charset val="1"/>
      </rPr>
      <t xml:space="preserve">KDX</t>
    </r>
    <r>
      <rPr>
        <sz val="10"/>
        <color rgb="FF0000FF"/>
        <rFont val="Noto Sans CJK SC"/>
        <family val="2"/>
      </rPr>
      <t xml:space="preserve">レジデンス森下千歳</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</si>
  <si>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B1059</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</si>
  <si>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KDX-145</t>
  </si>
  <si>
    <r>
      <rPr>
        <sz val="10"/>
        <color rgb="FF0000FF"/>
        <rFont val="Arial"/>
        <family val="0"/>
        <charset val="1"/>
      </rPr>
      <t xml:space="preserve">KDX</t>
    </r>
    <r>
      <rPr>
        <sz val="10"/>
        <color rgb="FF0000FF"/>
        <rFont val="Noto Sans CJK SC"/>
        <family val="2"/>
      </rPr>
      <t xml:space="preserve">レジデンス赤坂</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</si>
  <si>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B1060</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</si>
  <si>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KDX-146</t>
  </si>
  <si>
    <r>
      <rPr>
        <sz val="10"/>
        <color rgb="FF0000FF"/>
        <rFont val="Arial"/>
        <family val="0"/>
        <charset val="1"/>
      </rPr>
      <t xml:space="preserve">KDX</t>
    </r>
    <r>
      <rPr>
        <sz val="10"/>
        <color rgb="FF0000FF"/>
        <rFont val="Noto Sans CJK SC"/>
        <family val="2"/>
      </rPr>
      <t xml:space="preserve">レジデンス神田</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</si>
  <si>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B1061</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</si>
  <si>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KDX-147</t>
  </si>
  <si>
    <r>
      <rPr>
        <sz val="10"/>
        <color rgb="FF0000FF"/>
        <rFont val="Arial"/>
        <family val="0"/>
        <charset val="1"/>
      </rPr>
      <t xml:space="preserve">KDX</t>
    </r>
    <r>
      <rPr>
        <sz val="10"/>
        <color rgb="FF0000FF"/>
        <rFont val="Noto Sans CJK SC"/>
        <family val="2"/>
      </rPr>
      <t xml:space="preserve">レジデンス恵比寿</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</si>
  <si>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B1062</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</si>
  <si>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KDX-148</t>
  </si>
  <si>
    <r>
      <rPr>
        <sz val="10"/>
        <color rgb="FF0000FF"/>
        <rFont val="Arial"/>
        <family val="0"/>
        <charset val="1"/>
      </rPr>
      <t xml:space="preserve">KDX</t>
    </r>
    <r>
      <rPr>
        <sz val="10"/>
        <color rgb="FF0000FF"/>
        <rFont val="Noto Sans CJK SC"/>
        <family val="2"/>
      </rPr>
      <t xml:space="preserve">レジデンス西麻布</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</si>
  <si>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B1063</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</si>
  <si>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KDX-149</t>
  </si>
  <si>
    <r>
      <rPr>
        <sz val="10"/>
        <color rgb="FF0000FF"/>
        <rFont val="Arial"/>
        <family val="0"/>
        <charset val="1"/>
      </rPr>
      <t xml:space="preserve">KDX</t>
    </r>
    <r>
      <rPr>
        <sz val="10"/>
        <color rgb="FF0000FF"/>
        <rFont val="Noto Sans CJK SC"/>
        <family val="2"/>
      </rPr>
      <t xml:space="preserve">レジデンス麻布仙台坂</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</si>
  <si>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B1064</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</si>
  <si>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KDX-150</t>
  </si>
  <si>
    <r>
      <rPr>
        <sz val="10"/>
        <color rgb="FF0000FF"/>
        <rFont val="Arial"/>
        <family val="0"/>
        <charset val="1"/>
      </rPr>
      <t xml:space="preserve">KDX</t>
    </r>
    <r>
      <rPr>
        <sz val="10"/>
        <color rgb="FF0000FF"/>
        <rFont val="Noto Sans CJK SC"/>
        <family val="2"/>
      </rPr>
      <t xml:space="preserve">レジデンス文京湯島</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</si>
  <si>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B1065</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</si>
  <si>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KDX-151</t>
  </si>
  <si>
    <r>
      <rPr>
        <sz val="10"/>
        <color rgb="FF0000FF"/>
        <rFont val="Arial"/>
        <family val="0"/>
        <charset val="1"/>
      </rPr>
      <t xml:space="preserve">KDX</t>
    </r>
    <r>
      <rPr>
        <sz val="10"/>
        <color rgb="FF0000FF"/>
        <rFont val="Noto Sans CJK SC"/>
        <family val="2"/>
      </rPr>
      <t xml:space="preserve">レジデンス早稲田鶴巻</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</si>
  <si>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B1066</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</si>
  <si>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KDX-152</t>
  </si>
  <si>
    <r>
      <rPr>
        <sz val="10"/>
        <color rgb="FF0000FF"/>
        <rFont val="Arial"/>
        <family val="0"/>
        <charset val="1"/>
      </rPr>
      <t xml:space="preserve">KDX</t>
    </r>
    <r>
      <rPr>
        <sz val="10"/>
        <color rgb="FF0000FF"/>
        <rFont val="Noto Sans CJK SC"/>
        <family val="2"/>
      </rPr>
      <t xml:space="preserve">レジデンス上石神井</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</si>
  <si>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B1067</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</si>
  <si>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KDX-153</t>
  </si>
  <si>
    <r>
      <rPr>
        <sz val="10"/>
        <color rgb="FF0000FF"/>
        <rFont val="Arial"/>
        <family val="0"/>
        <charset val="1"/>
      </rPr>
      <t xml:space="preserve">KDX</t>
    </r>
    <r>
      <rPr>
        <sz val="10"/>
        <color rgb="FF0000FF"/>
        <rFont val="Noto Sans CJK SC"/>
        <family val="2"/>
      </rPr>
      <t xml:space="preserve">レジデンス西馬込</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</si>
  <si>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B1068</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</si>
  <si>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KDX-154</t>
  </si>
  <si>
    <r>
      <rPr>
        <sz val="10"/>
        <color rgb="FF0000FF"/>
        <rFont val="Arial"/>
        <family val="0"/>
        <charset val="1"/>
      </rPr>
      <t xml:space="preserve">KDX</t>
    </r>
    <r>
      <rPr>
        <sz val="10"/>
        <color rgb="FF0000FF"/>
        <rFont val="Noto Sans CJK SC"/>
        <family val="2"/>
      </rPr>
      <t xml:space="preserve">レジデンス両国</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</si>
  <si>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B1069</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</si>
  <si>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KDX-155</t>
  </si>
  <si>
    <r>
      <rPr>
        <sz val="10"/>
        <color rgb="FF0000FF"/>
        <rFont val="Arial"/>
        <family val="0"/>
        <charset val="1"/>
      </rPr>
      <t xml:space="preserve">KDX</t>
    </r>
    <r>
      <rPr>
        <sz val="10"/>
        <color rgb="FF0000FF"/>
        <rFont val="Noto Sans CJK SC"/>
        <family val="2"/>
      </rPr>
      <t xml:space="preserve">レジデンス桜上水</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</si>
  <si>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B1070</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</si>
  <si>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KDX-156</t>
  </si>
  <si>
    <r>
      <rPr>
        <sz val="10"/>
        <color rgb="FF0000FF"/>
        <rFont val="Arial"/>
        <family val="0"/>
        <charset val="1"/>
      </rPr>
      <t xml:space="preserve">KDX</t>
    </r>
    <r>
      <rPr>
        <sz val="10"/>
        <color rgb="FF0000FF"/>
        <rFont val="Noto Sans CJK SC"/>
        <family val="2"/>
      </rPr>
      <t xml:space="preserve">レジデンス新大塚</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</si>
  <si>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B1071</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</si>
  <si>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KDX-157</t>
  </si>
  <si>
    <r>
      <rPr>
        <sz val="10"/>
        <color rgb="FF0000FF"/>
        <rFont val="Arial"/>
        <family val="0"/>
        <charset val="1"/>
      </rPr>
      <t xml:space="preserve">KDX</t>
    </r>
    <r>
      <rPr>
        <sz val="10"/>
        <color rgb="FF0000FF"/>
        <rFont val="Noto Sans CJK SC"/>
        <family val="2"/>
      </rPr>
      <t xml:space="preserve">レジデンス豊洲</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</si>
  <si>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B1072</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</si>
  <si>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KDX-158</t>
  </si>
  <si>
    <r>
      <rPr>
        <sz val="10"/>
        <color rgb="FF0000FF"/>
        <rFont val="Arial"/>
        <family val="0"/>
        <charset val="1"/>
      </rPr>
      <t xml:space="preserve">KDX</t>
    </r>
    <r>
      <rPr>
        <sz val="10"/>
        <color rgb="FF0000FF"/>
        <rFont val="Noto Sans CJK SC"/>
        <family val="2"/>
      </rPr>
      <t xml:space="preserve">レジデンス日吉</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</si>
  <si>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B1073</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</si>
  <si>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KDX-159</t>
  </si>
  <si>
    <r>
      <rPr>
        <sz val="10"/>
        <color rgb="FF0000FF"/>
        <rFont val="Arial"/>
        <family val="0"/>
        <charset val="1"/>
      </rPr>
      <t xml:space="preserve">KDX</t>
    </r>
    <r>
      <rPr>
        <sz val="10"/>
        <color rgb="FF0000FF"/>
        <rFont val="Noto Sans CJK SC"/>
        <family val="2"/>
      </rPr>
      <t xml:space="preserve">レジデンス阿佐ヶ谷</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</si>
  <si>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B1074</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</si>
  <si>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KDX-160</t>
  </si>
  <si>
    <r>
      <rPr>
        <sz val="10"/>
        <color rgb="FF0000FF"/>
        <rFont val="Arial"/>
        <family val="0"/>
        <charset val="1"/>
      </rPr>
      <t xml:space="preserve">KDX</t>
    </r>
    <r>
      <rPr>
        <sz val="10"/>
        <color rgb="FF0000FF"/>
        <rFont val="Noto Sans CJK SC"/>
        <family val="2"/>
      </rPr>
      <t xml:space="preserve">レジデンス上北沢</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</si>
  <si>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B1075</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</si>
  <si>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KDX-161</t>
  </si>
  <si>
    <r>
      <rPr>
        <sz val="10"/>
        <color rgb="FF0000FF"/>
        <rFont val="Arial"/>
        <family val="0"/>
        <charset val="1"/>
      </rPr>
      <t xml:space="preserve">KDX</t>
    </r>
    <r>
      <rPr>
        <sz val="10"/>
        <color rgb="FF0000FF"/>
        <rFont val="Noto Sans CJK SC"/>
        <family val="2"/>
      </rPr>
      <t xml:space="preserve">レジデンス上野毛</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</si>
  <si>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B1076</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</si>
  <si>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KDX-162</t>
  </si>
  <si>
    <r>
      <rPr>
        <sz val="10"/>
        <color rgb="FF0000FF"/>
        <rFont val="Arial"/>
        <family val="0"/>
        <charset val="1"/>
      </rPr>
      <t xml:space="preserve">KDX</t>
    </r>
    <r>
      <rPr>
        <sz val="10"/>
        <color rgb="FF0000FF"/>
        <rFont val="Noto Sans CJK SC"/>
        <family val="2"/>
      </rPr>
      <t xml:space="preserve">レジデンス東浅草</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</si>
  <si>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B1077</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</si>
  <si>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KDX-163</t>
  </si>
  <si>
    <r>
      <rPr>
        <sz val="10"/>
        <color rgb="FF0000FF"/>
        <rFont val="Arial"/>
        <family val="0"/>
        <charset val="1"/>
      </rPr>
      <t xml:space="preserve">KDX</t>
    </r>
    <r>
      <rPr>
        <sz val="10"/>
        <color rgb="FF0000FF"/>
        <rFont val="Noto Sans CJK SC"/>
        <family val="2"/>
      </rPr>
      <t xml:space="preserve">レジデンス西船橋</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</si>
  <si>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B1078</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</si>
  <si>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KDX-164</t>
  </si>
  <si>
    <r>
      <rPr>
        <sz val="10"/>
        <color rgb="FF0000FF"/>
        <rFont val="Arial"/>
        <family val="0"/>
        <charset val="1"/>
      </rPr>
      <t xml:space="preserve">KDX</t>
    </r>
    <r>
      <rPr>
        <sz val="10"/>
        <color rgb="FF0000FF"/>
        <rFont val="Noto Sans CJK SC"/>
        <family val="2"/>
      </rPr>
      <t xml:space="preserve">レジデンス阿佐ヶ谷</t>
    </r>
    <r>
      <rPr>
        <sz val="10"/>
        <color rgb="FF0000FF"/>
        <rFont val="Arial"/>
        <family val="0"/>
        <charset val="1"/>
      </rPr>
      <t xml:space="preserve">II</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</si>
  <si>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B1079</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</si>
  <si>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KDX-165</t>
  </si>
  <si>
    <r>
      <rPr>
        <sz val="10"/>
        <color rgb="FF0000FF"/>
        <rFont val="Arial"/>
        <family val="0"/>
        <charset val="1"/>
      </rPr>
      <t xml:space="preserve">KDX</t>
    </r>
    <r>
      <rPr>
        <sz val="10"/>
        <color rgb="FF0000FF"/>
        <rFont val="Noto Sans CJK SC"/>
        <family val="2"/>
      </rPr>
      <t xml:space="preserve">レジデンス幡ヶ谷</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</si>
  <si>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B1080</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</si>
  <si>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KDX-166</t>
  </si>
  <si>
    <r>
      <rPr>
        <sz val="10"/>
        <color rgb="FF0000FF"/>
        <rFont val="Arial"/>
        <family val="0"/>
        <charset val="1"/>
      </rPr>
      <t xml:space="preserve">KDX</t>
    </r>
    <r>
      <rPr>
        <sz val="10"/>
        <color rgb="FF0000FF"/>
        <rFont val="Noto Sans CJK SC"/>
        <family val="2"/>
      </rPr>
      <t xml:space="preserve">レジデンス蒲田南</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</si>
  <si>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B1082</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</si>
  <si>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KDX-167</t>
  </si>
  <si>
    <r>
      <rPr>
        <sz val="10"/>
        <color rgb="FF0000FF"/>
        <rFont val="Arial"/>
        <family val="0"/>
        <charset val="1"/>
      </rPr>
      <t xml:space="preserve">KDX</t>
    </r>
    <r>
      <rPr>
        <sz val="10"/>
        <color rgb="FF0000FF"/>
        <rFont val="Noto Sans CJK SC"/>
        <family val="2"/>
      </rPr>
      <t xml:space="preserve">レジデンス三鷹</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</si>
  <si>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B1084</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</si>
  <si>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KDX-168</t>
  </si>
  <si>
    <r>
      <rPr>
        <sz val="10"/>
        <color rgb="FF0000FF"/>
        <rFont val="Arial"/>
        <family val="0"/>
        <charset val="1"/>
      </rPr>
      <t xml:space="preserve">KDX</t>
    </r>
    <r>
      <rPr>
        <sz val="10"/>
        <color rgb="FF0000FF"/>
        <rFont val="Noto Sans CJK SC"/>
        <family val="2"/>
      </rPr>
      <t xml:space="preserve">レジデンス中延</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</si>
  <si>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B1085</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</si>
  <si>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KDX-169</t>
  </si>
  <si>
    <r>
      <rPr>
        <sz val="10"/>
        <color rgb="FF0000FF"/>
        <rFont val="Arial"/>
        <family val="0"/>
        <charset val="1"/>
      </rPr>
      <t xml:space="preserve">KDX</t>
    </r>
    <r>
      <rPr>
        <sz val="10"/>
        <color rgb="FF0000FF"/>
        <rFont val="Noto Sans CJK SC"/>
        <family val="2"/>
      </rPr>
      <t xml:space="preserve">レジデンス市川</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</si>
  <si>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B1086</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</si>
  <si>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KDX-170</t>
  </si>
  <si>
    <r>
      <rPr>
        <sz val="10"/>
        <color rgb="FF0000FF"/>
        <rFont val="Arial"/>
        <family val="0"/>
        <charset val="1"/>
      </rPr>
      <t xml:space="preserve">KDX</t>
    </r>
    <r>
      <rPr>
        <sz val="10"/>
        <color rgb="FF0000FF"/>
        <rFont val="Noto Sans CJK SC"/>
        <family val="2"/>
      </rPr>
      <t xml:space="preserve">レジデンス八丁堀</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</si>
  <si>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B1087</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</si>
  <si>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KDX-171</t>
  </si>
  <si>
    <r>
      <rPr>
        <sz val="10"/>
        <color rgb="FF0000FF"/>
        <rFont val="Arial"/>
        <family val="0"/>
        <charset val="1"/>
      </rPr>
      <t xml:space="preserve">KDX</t>
    </r>
    <r>
      <rPr>
        <sz val="10"/>
        <color rgb="FF0000FF"/>
        <rFont val="Noto Sans CJK SC"/>
        <family val="2"/>
      </rPr>
      <t xml:space="preserve">レジデンス中板橋</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</si>
  <si>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B1088</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</si>
  <si>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KDX-172</t>
  </si>
  <si>
    <t xml:space="preserve">コスモハイム元住吉</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</si>
  <si>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B1089</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</si>
  <si>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KDX-173</t>
  </si>
  <si>
    <r>
      <rPr>
        <sz val="10"/>
        <color rgb="FF0000FF"/>
        <rFont val="Arial"/>
        <family val="0"/>
        <charset val="1"/>
      </rPr>
      <t xml:space="preserve">KDX</t>
    </r>
    <r>
      <rPr>
        <sz val="10"/>
        <color rgb="FF0000FF"/>
        <rFont val="Noto Sans CJK SC"/>
        <family val="2"/>
      </rPr>
      <t xml:space="preserve">レジデンス湘南台</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</si>
  <si>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B1090</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</si>
  <si>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KDX-174</t>
  </si>
  <si>
    <r>
      <rPr>
        <sz val="10"/>
        <color rgb="FF0000FF"/>
        <rFont val="Arial"/>
        <family val="0"/>
        <charset val="1"/>
      </rPr>
      <t xml:space="preserve">KDX</t>
    </r>
    <r>
      <rPr>
        <sz val="10"/>
        <color rgb="FF0000FF"/>
        <rFont val="Noto Sans CJK SC"/>
        <family val="2"/>
      </rPr>
      <t xml:space="preserve">レジデンス池袋ウエスト</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</si>
  <si>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B1091</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</si>
  <si>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KDX-175</t>
  </si>
  <si>
    <r>
      <rPr>
        <sz val="10"/>
        <color rgb="FF0000FF"/>
        <rFont val="Arial"/>
        <family val="0"/>
        <charset val="1"/>
      </rPr>
      <t xml:space="preserve">KDX</t>
    </r>
    <r>
      <rPr>
        <sz val="10"/>
        <color rgb="FF0000FF"/>
        <rFont val="Noto Sans CJK SC"/>
        <family val="2"/>
      </rPr>
      <t xml:space="preserve">レジデンス天王町</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</si>
  <si>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B1092</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</si>
  <si>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KDX-176</t>
  </si>
  <si>
    <r>
      <rPr>
        <sz val="10"/>
        <color rgb="FF0000FF"/>
        <rFont val="Arial"/>
        <family val="0"/>
        <charset val="1"/>
      </rPr>
      <t xml:space="preserve">KDX</t>
    </r>
    <r>
      <rPr>
        <sz val="10"/>
        <color rgb="FF0000FF"/>
        <rFont val="Noto Sans CJK SC"/>
        <family val="2"/>
      </rPr>
      <t xml:space="preserve">レジデンス川崎</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</si>
  <si>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B1093</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</si>
  <si>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KDX-177</t>
  </si>
  <si>
    <r>
      <rPr>
        <sz val="10"/>
        <color rgb="FF0000FF"/>
        <rFont val="Arial"/>
        <family val="0"/>
        <charset val="1"/>
      </rPr>
      <t xml:space="preserve">KDX</t>
    </r>
    <r>
      <rPr>
        <sz val="10"/>
        <color rgb="FF0000FF"/>
        <rFont val="Noto Sans CJK SC"/>
        <family val="2"/>
      </rPr>
      <t xml:space="preserve">レジデンス蒲田南</t>
    </r>
    <r>
      <rPr>
        <sz val="10"/>
        <color rgb="FF0000FF"/>
        <rFont val="Arial"/>
        <family val="0"/>
        <charset val="1"/>
      </rPr>
      <t xml:space="preserve">II</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</si>
  <si>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B1094</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</si>
  <si>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KDX-178</t>
  </si>
  <si>
    <r>
      <rPr>
        <sz val="10"/>
        <color rgb="FF0000FF"/>
        <rFont val="Arial"/>
        <family val="0"/>
        <charset val="1"/>
      </rPr>
      <t xml:space="preserve">KDX</t>
    </r>
    <r>
      <rPr>
        <sz val="10"/>
        <color rgb="FF0000FF"/>
        <rFont val="Noto Sans CJK SC"/>
        <family val="2"/>
      </rPr>
      <t xml:space="preserve">レジデンス上石神井</t>
    </r>
    <r>
      <rPr>
        <sz val="10"/>
        <color rgb="FF0000FF"/>
        <rFont val="Arial"/>
        <family val="0"/>
        <charset val="1"/>
      </rPr>
      <t xml:space="preserve">II</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</si>
  <si>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B1095</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</si>
  <si>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KDX-179</t>
  </si>
  <si>
    <r>
      <rPr>
        <sz val="10"/>
        <color rgb="FF0000FF"/>
        <rFont val="Arial"/>
        <family val="0"/>
        <charset val="1"/>
      </rPr>
      <t xml:space="preserve">KDX</t>
    </r>
    <r>
      <rPr>
        <sz val="10"/>
        <color rgb="FF0000FF"/>
        <rFont val="Noto Sans CJK SC"/>
        <family val="2"/>
      </rPr>
      <t xml:space="preserve">レジデンス津田沼</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</si>
  <si>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B1096</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</si>
  <si>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KDX-180</t>
  </si>
  <si>
    <r>
      <rPr>
        <sz val="10"/>
        <color rgb="FF0000FF"/>
        <rFont val="Arial"/>
        <family val="0"/>
        <charset val="1"/>
      </rPr>
      <t xml:space="preserve">KDX</t>
    </r>
    <r>
      <rPr>
        <sz val="10"/>
        <color rgb="FF0000FF"/>
        <rFont val="Noto Sans CJK SC"/>
        <family val="2"/>
      </rPr>
      <t xml:space="preserve">レジデンス横濱紅葉坂</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</si>
  <si>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B1097</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</si>
  <si>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KDX-181</t>
  </si>
  <si>
    <r>
      <rPr>
        <sz val="10"/>
        <color rgb="FF0000FF"/>
        <rFont val="Arial"/>
        <family val="0"/>
        <charset val="1"/>
      </rPr>
      <t xml:space="preserve">KDX</t>
    </r>
    <r>
      <rPr>
        <sz val="10"/>
        <color rgb="FF0000FF"/>
        <rFont val="Noto Sans CJK SC"/>
        <family val="2"/>
      </rPr>
      <t xml:space="preserve">レジデンス梅島</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</si>
  <si>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B1098</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</si>
  <si>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KDX-182</t>
  </si>
  <si>
    <r>
      <rPr>
        <sz val="10"/>
        <color rgb="FF0000FF"/>
        <rFont val="Arial"/>
        <family val="0"/>
        <charset val="1"/>
      </rPr>
      <t xml:space="preserve">KDX</t>
    </r>
    <r>
      <rPr>
        <sz val="10"/>
        <color rgb="FF0000FF"/>
        <rFont val="Noto Sans CJK SC"/>
        <family val="2"/>
      </rPr>
      <t xml:space="preserve">レジデンス溝の口</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</si>
  <si>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B1099</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</si>
  <si>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KDX-183</t>
  </si>
  <si>
    <r>
      <rPr>
        <sz val="10"/>
        <color rgb="FF0000FF"/>
        <rFont val="Arial"/>
        <family val="0"/>
        <charset val="1"/>
      </rPr>
      <t xml:space="preserve">KDX</t>
    </r>
    <r>
      <rPr>
        <sz val="10"/>
        <color rgb="FF0000FF"/>
        <rFont val="Noto Sans CJK SC"/>
        <family val="2"/>
      </rPr>
      <t xml:space="preserve">レジデンス津田沼</t>
    </r>
    <r>
      <rPr>
        <sz val="10"/>
        <color rgb="FF0000FF"/>
        <rFont val="Arial"/>
        <family val="0"/>
        <charset val="1"/>
      </rPr>
      <t xml:space="preserve">II</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</si>
  <si>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B1100</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</si>
  <si>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KDX-184</t>
  </si>
  <si>
    <r>
      <rPr>
        <sz val="10"/>
        <color rgb="FF0000FF"/>
        <rFont val="Arial"/>
        <family val="0"/>
        <charset val="1"/>
      </rPr>
      <t xml:space="preserve">KDX</t>
    </r>
    <r>
      <rPr>
        <sz val="10"/>
        <color rgb="FF0000FF"/>
        <rFont val="Noto Sans CJK SC"/>
        <family val="2"/>
      </rPr>
      <t xml:space="preserve">レジデンス八王子大塚</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</si>
  <si>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B1101</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</si>
  <si>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KDX-185</t>
  </si>
  <si>
    <r>
      <rPr>
        <sz val="10"/>
        <color rgb="FF0000FF"/>
        <rFont val="Arial"/>
        <family val="0"/>
        <charset val="1"/>
      </rPr>
      <t xml:space="preserve">KDX</t>
    </r>
    <r>
      <rPr>
        <sz val="10"/>
        <color rgb="FF0000FF"/>
        <rFont val="Noto Sans CJK SC"/>
        <family val="2"/>
      </rPr>
      <t xml:space="preserve">レジデンス尾山台</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</si>
  <si>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B1102</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</si>
  <si>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KDX-186</t>
  </si>
  <si>
    <r>
      <rPr>
        <sz val="10"/>
        <color rgb="FF0000FF"/>
        <rFont val="Arial"/>
        <family val="0"/>
        <charset val="1"/>
      </rPr>
      <t xml:space="preserve">KDX</t>
    </r>
    <r>
      <rPr>
        <sz val="10"/>
        <color rgb="FF0000FF"/>
        <rFont val="Noto Sans CJK SC"/>
        <family val="2"/>
      </rPr>
      <t xml:space="preserve">レジデンス浅草</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</si>
  <si>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B1103</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</si>
  <si>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KDX-187</t>
  </si>
  <si>
    <t xml:space="preserve">リバーシティ21イーストタワーズⅡ</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</si>
  <si>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B1104</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</si>
  <si>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KDX-188</t>
  </si>
  <si>
    <r>
      <rPr>
        <sz val="10"/>
        <color rgb="FF0000FF"/>
        <rFont val="Arial"/>
        <family val="0"/>
        <charset val="1"/>
      </rPr>
      <t xml:space="preserve">KDX</t>
    </r>
    <r>
      <rPr>
        <sz val="10"/>
        <color rgb="FF0000FF"/>
        <rFont val="Noto Sans CJK SC"/>
        <family val="2"/>
      </rPr>
      <t xml:space="preserve">レジデンス池袋要町</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</si>
  <si>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B1105</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</si>
  <si>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KDX-189</t>
  </si>
  <si>
    <r>
      <rPr>
        <sz val="10"/>
        <color rgb="FF0000FF"/>
        <rFont val="Arial"/>
        <family val="0"/>
        <charset val="1"/>
      </rPr>
      <t xml:space="preserve">KDX</t>
    </r>
    <r>
      <rPr>
        <sz val="10"/>
        <color rgb="FF0000FF"/>
        <rFont val="Noto Sans CJK SC"/>
        <family val="2"/>
      </rPr>
      <t xml:space="preserve">レジデンス東雪谷</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</si>
  <si>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B1106</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</si>
  <si>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KDX-190</t>
  </si>
  <si>
    <r>
      <rPr>
        <sz val="10"/>
        <color rgb="FF0000FF"/>
        <rFont val="Arial"/>
        <family val="0"/>
        <charset val="1"/>
      </rPr>
      <t xml:space="preserve">KDX</t>
    </r>
    <r>
      <rPr>
        <sz val="10"/>
        <color rgb="FF0000FF"/>
        <rFont val="Noto Sans CJK SC"/>
        <family val="2"/>
      </rPr>
      <t xml:space="preserve">レジデンス杉並方南町</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</si>
  <si>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B1107</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</si>
  <si>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KDX-191</t>
  </si>
  <si>
    <r>
      <rPr>
        <sz val="10"/>
        <color rgb="FF0000FF"/>
        <rFont val="Arial"/>
        <family val="0"/>
        <charset val="1"/>
      </rPr>
      <t xml:space="preserve">KDX</t>
    </r>
    <r>
      <rPr>
        <sz val="10"/>
        <color rgb="FF0000FF"/>
        <rFont val="Noto Sans CJK SC"/>
        <family val="2"/>
      </rPr>
      <t xml:space="preserve">レジデンス瑞江</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</si>
  <si>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B1108</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。所在地・竣工年月・延床面積は短信非掲載のため未収録。当期</t>
    </r>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取得価格</t>
    </r>
    <r>
      <rPr>
        <sz val="10"/>
        <color rgb="FF0000FF"/>
        <rFont val="Arial"/>
        <family val="0"/>
        <charset val="1"/>
      </rPr>
      <t xml:space="preserve">2,550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のため収入は取得日以降のみ</t>
    </r>
  </si>
  <si>
    <t xml:space="preserve">KDX-192</t>
  </si>
  <si>
    <r>
      <rPr>
        <sz val="10"/>
        <color rgb="FF0000FF"/>
        <rFont val="Arial"/>
        <family val="0"/>
        <charset val="1"/>
      </rPr>
      <t xml:space="preserve">KDX</t>
    </r>
    <r>
      <rPr>
        <sz val="10"/>
        <color rgb="FF0000FF"/>
        <rFont val="Noto Sans CJK SC"/>
        <family val="2"/>
      </rPr>
      <t xml:space="preserve">堺筋本町レジデンス</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</si>
  <si>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B2001</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</si>
  <si>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KDX-193</t>
  </si>
  <si>
    <r>
      <rPr>
        <sz val="10"/>
        <color rgb="FF0000FF"/>
        <rFont val="Arial"/>
        <family val="0"/>
        <charset val="1"/>
      </rPr>
      <t xml:space="preserve">KDX</t>
    </r>
    <r>
      <rPr>
        <sz val="10"/>
        <color rgb="FF0000FF"/>
        <rFont val="Noto Sans CJK SC"/>
        <family val="2"/>
      </rPr>
      <t xml:space="preserve">清水レジデンス</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</si>
  <si>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B2002</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</si>
  <si>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KDX-194</t>
  </si>
  <si>
    <r>
      <rPr>
        <sz val="10"/>
        <color rgb="FF0000FF"/>
        <rFont val="Arial"/>
        <family val="0"/>
        <charset val="1"/>
      </rPr>
      <t xml:space="preserve">KDX</t>
    </r>
    <r>
      <rPr>
        <sz val="10"/>
        <color rgb="FF0000FF"/>
        <rFont val="Noto Sans CJK SC"/>
        <family val="2"/>
      </rPr>
      <t xml:space="preserve">宝塚レジデンス</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</si>
  <si>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B2003</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</si>
  <si>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KDX-195</t>
  </si>
  <si>
    <r>
      <rPr>
        <sz val="10"/>
        <color rgb="FF0000FF"/>
        <rFont val="Arial"/>
        <family val="0"/>
        <charset val="1"/>
      </rPr>
      <t xml:space="preserve">KDX</t>
    </r>
    <r>
      <rPr>
        <sz val="10"/>
        <color rgb="FF0000FF"/>
        <rFont val="Noto Sans CJK SC"/>
        <family val="2"/>
      </rPr>
      <t xml:space="preserve">千早レジデンス</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</si>
  <si>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B2004</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</si>
  <si>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KDX-196</t>
  </si>
  <si>
    <r>
      <rPr>
        <sz val="10"/>
        <color rgb="FF0000FF"/>
        <rFont val="Arial"/>
        <family val="0"/>
        <charset val="1"/>
      </rPr>
      <t xml:space="preserve">KDX</t>
    </r>
    <r>
      <rPr>
        <sz val="10"/>
        <color rgb="FF0000FF"/>
        <rFont val="Noto Sans CJK SC"/>
        <family val="2"/>
      </rPr>
      <t xml:space="preserve">泉レジデンス</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</si>
  <si>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B2005</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</si>
  <si>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KDX-197</t>
  </si>
  <si>
    <r>
      <rPr>
        <sz val="10"/>
        <color rgb="FF0000FF"/>
        <rFont val="Arial"/>
        <family val="0"/>
        <charset val="1"/>
      </rPr>
      <t xml:space="preserve">KDX</t>
    </r>
    <r>
      <rPr>
        <sz val="10"/>
        <color rgb="FF0000FF"/>
        <rFont val="Noto Sans CJK SC"/>
        <family val="2"/>
      </rPr>
      <t xml:space="preserve">定禅寺通レジデンス</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</si>
  <si>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B2006</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</si>
  <si>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KDX-198</t>
  </si>
  <si>
    <r>
      <rPr>
        <sz val="10"/>
        <color rgb="FF0000FF"/>
        <rFont val="Arial"/>
        <family val="0"/>
        <charset val="1"/>
      </rPr>
      <t xml:space="preserve">KDX</t>
    </r>
    <r>
      <rPr>
        <sz val="10"/>
        <color rgb="FF0000FF"/>
        <rFont val="Noto Sans CJK SC"/>
        <family val="2"/>
      </rPr>
      <t xml:space="preserve">レジデンス東桜</t>
    </r>
    <r>
      <rPr>
        <sz val="10"/>
        <color rgb="FF0000FF"/>
        <rFont val="Arial"/>
        <family val="0"/>
        <charset val="1"/>
      </rPr>
      <t xml:space="preserve">I</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</si>
  <si>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B2007</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</si>
  <si>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KDX-199</t>
  </si>
  <si>
    <t xml:space="preserve">芦屋ロイヤルホームズ</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</si>
  <si>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B2008</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</si>
  <si>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KDX-200</t>
  </si>
  <si>
    <r>
      <rPr>
        <sz val="10"/>
        <color rgb="FF0000FF"/>
        <rFont val="Arial"/>
        <family val="0"/>
        <charset val="1"/>
      </rPr>
      <t xml:space="preserve">KDX</t>
    </r>
    <r>
      <rPr>
        <sz val="10"/>
        <color rgb="FF0000FF"/>
        <rFont val="Noto Sans CJK SC"/>
        <family val="2"/>
      </rPr>
      <t xml:space="preserve">レジデンス難波</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</si>
  <si>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B2009</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</si>
  <si>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KDX-201</t>
  </si>
  <si>
    <r>
      <rPr>
        <sz val="10"/>
        <color rgb="FF0000FF"/>
        <rFont val="Arial"/>
        <family val="0"/>
        <charset val="1"/>
      </rPr>
      <t xml:space="preserve">KDX</t>
    </r>
    <r>
      <rPr>
        <sz val="10"/>
        <color rgb="FF0000FF"/>
        <rFont val="Noto Sans CJK SC"/>
        <family val="2"/>
      </rPr>
      <t xml:space="preserve">レジデンス難波南</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</si>
  <si>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B2010</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</si>
  <si>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KDX-202</t>
  </si>
  <si>
    <r>
      <rPr>
        <sz val="10"/>
        <color rgb="FF0000FF"/>
        <rFont val="Arial"/>
        <family val="0"/>
        <charset val="1"/>
      </rPr>
      <t xml:space="preserve">KDX</t>
    </r>
    <r>
      <rPr>
        <sz val="10"/>
        <color rgb="FF0000FF"/>
        <rFont val="Noto Sans CJK SC"/>
        <family val="2"/>
      </rPr>
      <t xml:space="preserve">レジデンス茨木</t>
    </r>
    <r>
      <rPr>
        <sz val="10"/>
        <color rgb="FF0000FF"/>
        <rFont val="Arial"/>
        <family val="0"/>
        <charset val="1"/>
      </rPr>
      <t xml:space="preserve">I</t>
    </r>
    <r>
      <rPr>
        <sz val="10"/>
        <color rgb="FF0000FF"/>
        <rFont val="Noto Sans CJK SC"/>
        <family val="2"/>
      </rPr>
      <t xml:space="preserve">・</t>
    </r>
    <r>
      <rPr>
        <sz val="10"/>
        <color rgb="FF0000FF"/>
        <rFont val="Arial"/>
        <family val="0"/>
        <charset val="1"/>
      </rPr>
      <t xml:space="preserve">II</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</si>
  <si>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B2011</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</si>
  <si>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KDX-203</t>
  </si>
  <si>
    <r>
      <rPr>
        <sz val="10"/>
        <color rgb="FF0000FF"/>
        <rFont val="Arial"/>
        <family val="0"/>
        <charset val="1"/>
      </rPr>
      <t xml:space="preserve">KDX</t>
    </r>
    <r>
      <rPr>
        <sz val="10"/>
        <color rgb="FF0000FF"/>
        <rFont val="Noto Sans CJK SC"/>
        <family val="2"/>
      </rPr>
      <t xml:space="preserve">レジデンス三宮</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</si>
  <si>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B2012</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</si>
  <si>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KDX-204</t>
  </si>
  <si>
    <r>
      <rPr>
        <sz val="10"/>
        <color rgb="FF0000FF"/>
        <rFont val="Arial"/>
        <family val="0"/>
        <charset val="1"/>
      </rPr>
      <t xml:space="preserve">KDX</t>
    </r>
    <r>
      <rPr>
        <sz val="10"/>
        <color rgb="FF0000FF"/>
        <rFont val="Noto Sans CJK SC"/>
        <family val="2"/>
      </rPr>
      <t xml:space="preserve">レジデンス菊水四条</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</si>
  <si>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B2013</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</si>
  <si>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KDX-205</t>
  </si>
  <si>
    <r>
      <rPr>
        <sz val="10"/>
        <color rgb="FF0000FF"/>
        <rFont val="Arial"/>
        <family val="0"/>
        <charset val="1"/>
      </rPr>
      <t xml:space="preserve">KDX</t>
    </r>
    <r>
      <rPr>
        <sz val="10"/>
        <color rgb="FF0000FF"/>
        <rFont val="Noto Sans CJK SC"/>
        <family val="2"/>
      </rPr>
      <t xml:space="preserve">レジデンス大通公園</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</si>
  <si>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B2014</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</si>
  <si>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KDX-206</t>
  </si>
  <si>
    <r>
      <rPr>
        <sz val="10"/>
        <color rgb="FF0000FF"/>
        <rFont val="Arial"/>
        <family val="0"/>
        <charset val="1"/>
      </rPr>
      <t xml:space="preserve">KDX</t>
    </r>
    <r>
      <rPr>
        <sz val="10"/>
        <color rgb="FF0000FF"/>
        <rFont val="Noto Sans CJK SC"/>
        <family val="2"/>
      </rPr>
      <t xml:space="preserve">レジデンス神宮前</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</si>
  <si>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B2015</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</si>
  <si>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KDX-207</t>
  </si>
  <si>
    <r>
      <rPr>
        <sz val="10"/>
        <color rgb="FF0000FF"/>
        <rFont val="Arial"/>
        <family val="0"/>
        <charset val="1"/>
      </rPr>
      <t xml:space="preserve">KDX</t>
    </r>
    <r>
      <rPr>
        <sz val="10"/>
        <color rgb="FF0000FF"/>
        <rFont val="Noto Sans CJK SC"/>
        <family val="2"/>
      </rPr>
      <t xml:space="preserve">レジデンス天神東</t>
    </r>
    <r>
      <rPr>
        <sz val="10"/>
        <color rgb="FF0000FF"/>
        <rFont val="Arial"/>
        <family val="0"/>
        <charset val="1"/>
      </rPr>
      <t xml:space="preserve">II</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</si>
  <si>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B2016</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</si>
  <si>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KDX-208</t>
  </si>
  <si>
    <r>
      <rPr>
        <sz val="10"/>
        <color rgb="FF0000FF"/>
        <rFont val="Arial"/>
        <family val="0"/>
        <charset val="1"/>
      </rPr>
      <t xml:space="preserve">KDX</t>
    </r>
    <r>
      <rPr>
        <sz val="10"/>
        <color rgb="FF0000FF"/>
        <rFont val="Noto Sans CJK SC"/>
        <family val="2"/>
      </rPr>
      <t xml:space="preserve">レジデンス平尾浄水町</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</si>
  <si>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B2017</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</si>
  <si>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KDX-209</t>
  </si>
  <si>
    <r>
      <rPr>
        <sz val="10"/>
        <color rgb="FF0000FF"/>
        <rFont val="Arial"/>
        <family val="0"/>
        <charset val="1"/>
      </rPr>
      <t xml:space="preserve">KDX</t>
    </r>
    <r>
      <rPr>
        <sz val="10"/>
        <color rgb="FF0000FF"/>
        <rFont val="Noto Sans CJK SC"/>
        <family val="2"/>
      </rPr>
      <t xml:space="preserve">レジデンス西公園</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</si>
  <si>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B2018</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</si>
  <si>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KDX-210</t>
  </si>
  <si>
    <r>
      <rPr>
        <sz val="10"/>
        <color rgb="FF0000FF"/>
        <rFont val="Arial"/>
        <family val="0"/>
        <charset val="1"/>
      </rPr>
      <t xml:space="preserve">KDX</t>
    </r>
    <r>
      <rPr>
        <sz val="10"/>
        <color rgb="FF0000FF"/>
        <rFont val="Noto Sans CJK SC"/>
        <family val="2"/>
      </rPr>
      <t xml:space="preserve">レジデンス豊中南</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</si>
  <si>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B2019</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</si>
  <si>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KDX-211</t>
  </si>
  <si>
    <r>
      <rPr>
        <sz val="10"/>
        <color rgb="FF0000FF"/>
        <rFont val="Arial"/>
        <family val="0"/>
        <charset val="1"/>
      </rPr>
      <t xml:space="preserve">KDX</t>
    </r>
    <r>
      <rPr>
        <sz val="10"/>
        <color rgb="FF0000FF"/>
        <rFont val="Noto Sans CJK SC"/>
        <family val="2"/>
      </rPr>
      <t xml:space="preserve">レジデンス西大路</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</si>
  <si>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B2020</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</si>
  <si>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KDX-212</t>
  </si>
  <si>
    <r>
      <rPr>
        <sz val="10"/>
        <color rgb="FF0000FF"/>
        <rFont val="Arial"/>
        <family val="0"/>
        <charset val="1"/>
      </rPr>
      <t xml:space="preserve">KDX</t>
    </r>
    <r>
      <rPr>
        <sz val="10"/>
        <color rgb="FF0000FF"/>
        <rFont val="Noto Sans CJK SC"/>
        <family val="2"/>
      </rPr>
      <t xml:space="preserve">レジデンス甲南山手</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</si>
  <si>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B2026</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</si>
  <si>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KDX-213</t>
  </si>
  <si>
    <r>
      <rPr>
        <sz val="10"/>
        <color rgb="FF0000FF"/>
        <rFont val="Arial"/>
        <family val="0"/>
        <charset val="1"/>
      </rPr>
      <t xml:space="preserve">KDX</t>
    </r>
    <r>
      <rPr>
        <sz val="10"/>
        <color rgb="FF0000FF"/>
        <rFont val="Noto Sans CJK SC"/>
        <family val="2"/>
      </rPr>
      <t xml:space="preserve">レジデンス本町橋</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</si>
  <si>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B2028</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</si>
  <si>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KDX-214</t>
  </si>
  <si>
    <r>
      <rPr>
        <sz val="10"/>
        <color rgb="FF0000FF"/>
        <rFont val="Arial"/>
        <family val="0"/>
        <charset val="1"/>
      </rPr>
      <t xml:space="preserve">KDX</t>
    </r>
    <r>
      <rPr>
        <sz val="10"/>
        <color rgb="FF0000FF"/>
        <rFont val="Noto Sans CJK SC"/>
        <family val="2"/>
      </rPr>
      <t xml:space="preserve">レジデンス大濠ハーバービュータワー</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</si>
  <si>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B2029</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</si>
  <si>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KDX-215</t>
  </si>
  <si>
    <r>
      <rPr>
        <sz val="10"/>
        <color rgb="FF0000FF"/>
        <rFont val="Arial"/>
        <family val="0"/>
        <charset val="1"/>
      </rPr>
      <t xml:space="preserve">KDX</t>
    </r>
    <r>
      <rPr>
        <sz val="10"/>
        <color rgb="FF0000FF"/>
        <rFont val="Noto Sans CJK SC"/>
        <family val="2"/>
      </rPr>
      <t xml:space="preserve">レジデンス南草津</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</si>
  <si>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B2030</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</si>
  <si>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KDX-216</t>
  </si>
  <si>
    <r>
      <rPr>
        <sz val="10"/>
        <color rgb="FF0000FF"/>
        <rFont val="Arial"/>
        <family val="0"/>
        <charset val="1"/>
      </rPr>
      <t xml:space="preserve">KDX</t>
    </r>
    <r>
      <rPr>
        <sz val="10"/>
        <color rgb="FF0000FF"/>
        <rFont val="Noto Sans CJK SC"/>
        <family val="2"/>
      </rPr>
      <t xml:space="preserve">レジデンス南三条</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</si>
  <si>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B2031</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</si>
  <si>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KDX-217</t>
  </si>
  <si>
    <t xml:space="preserve">セレニテ北久宝寺</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</si>
  <si>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B2032</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</si>
  <si>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KDX-218</t>
  </si>
  <si>
    <t xml:space="preserve">セレニテ西宮本町</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</si>
  <si>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B2033</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</si>
  <si>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KDX-219</t>
  </si>
  <si>
    <r>
      <rPr>
        <sz val="10"/>
        <color rgb="FF0000FF"/>
        <rFont val="Arial"/>
        <family val="0"/>
        <charset val="1"/>
      </rPr>
      <t xml:space="preserve">KDX</t>
    </r>
    <r>
      <rPr>
        <sz val="10"/>
        <color rgb="FF0000FF"/>
        <rFont val="Noto Sans CJK SC"/>
        <family val="2"/>
      </rPr>
      <t xml:space="preserve">レジデンス西新</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</si>
  <si>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B2034</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</si>
  <si>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KDX-220</t>
  </si>
  <si>
    <r>
      <rPr>
        <sz val="10"/>
        <color rgb="FF0000FF"/>
        <rFont val="Arial"/>
        <family val="0"/>
        <charset val="1"/>
      </rPr>
      <t xml:space="preserve">KDX</t>
    </r>
    <r>
      <rPr>
        <sz val="10"/>
        <color rgb="FF0000FF"/>
        <rFont val="Noto Sans CJK SC"/>
        <family val="2"/>
      </rPr>
      <t xml:space="preserve">レジデンス夙川ヒルズ</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</si>
  <si>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B2035</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</si>
  <si>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KDX-221</t>
  </si>
  <si>
    <t xml:space="preserve">セレニテ神戸元町</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</si>
  <si>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B2036</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</si>
  <si>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KDX-222</t>
  </si>
  <si>
    <r>
      <rPr>
        <sz val="10"/>
        <color rgb="FF0000FF"/>
        <rFont val="Arial"/>
        <family val="0"/>
        <charset val="1"/>
      </rPr>
      <t xml:space="preserve">KDX</t>
    </r>
    <r>
      <rPr>
        <sz val="10"/>
        <color rgb="FF0000FF"/>
        <rFont val="Noto Sans CJK SC"/>
        <family val="2"/>
      </rPr>
      <t xml:space="preserve">レジデンス仙台駅東</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</si>
  <si>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B2037</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</si>
  <si>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KDX-223</t>
  </si>
  <si>
    <t xml:space="preserve">セレニテ甲子園プリエ</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</si>
  <si>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B2038</t>
    </r>
    <r>
      <rPr>
        <sz val="10"/>
        <color rgb="FF0000FF"/>
        <rFont val="Noto Sans CJK SC"/>
        <family val="2"/>
      </rPr>
      <t xml:space="preserve">。マスターリース契約によりテナント総数</t>
    </r>
    <r>
      <rPr>
        <sz val="10"/>
        <color rgb="FF0000FF"/>
        <rFont val="Arial"/>
        <family val="0"/>
        <charset val="1"/>
      </rPr>
      <t xml:space="preserve">1</t>
    </r>
    <r>
      <rPr>
        <sz val="10"/>
        <color rgb="FF0000FF"/>
        <rFont val="Noto Sans CJK SC"/>
        <family val="2"/>
      </rPr>
      <t xml:space="preserve">。所在地・竣工年月・延床面積は短信非掲載のため未収録</t>
    </r>
  </si>
  <si>
    <t xml:space="preserve">KDX-224</t>
  </si>
  <si>
    <t xml:space="preserve">銀座四丁目タワー</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</si>
  <si>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C1001</t>
    </r>
    <r>
      <rPr>
        <sz val="10"/>
        <color rgb="FF0000FF"/>
        <rFont val="Noto Sans CJK SC"/>
        <family val="2"/>
      </rPr>
      <t xml:space="preserve">。所在地・竣工年月・延床面積は短信非掲載のため未収録</t>
    </r>
  </si>
  <si>
    <t xml:space="preserve">KDX-225</t>
  </si>
  <si>
    <r>
      <rPr>
        <sz val="10"/>
        <color rgb="FF0000FF"/>
        <rFont val="Arial"/>
        <family val="0"/>
        <charset val="1"/>
      </rPr>
      <t xml:space="preserve">MONA</t>
    </r>
    <r>
      <rPr>
        <sz val="10"/>
        <color rgb="FF0000FF"/>
        <rFont val="Noto Sans CJK SC"/>
        <family val="2"/>
      </rPr>
      <t xml:space="preserve">新浦安</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</si>
  <si>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C1002</t>
    </r>
    <r>
      <rPr>
        <sz val="10"/>
        <color rgb="FF0000FF"/>
        <rFont val="Noto Sans CJK SC"/>
        <family val="2"/>
      </rPr>
      <t xml:space="preserve">。所在地・竣工年月・延床面積は短信非掲載のため未収録</t>
    </r>
  </si>
  <si>
    <t xml:space="preserve">KDX-226</t>
  </si>
  <si>
    <t xml:space="preserve">パサージオ西新井</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</si>
  <si>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C1003</t>
    </r>
    <r>
      <rPr>
        <sz val="10"/>
        <color rgb="FF0000FF"/>
        <rFont val="Noto Sans CJK SC"/>
        <family val="2"/>
      </rPr>
      <t xml:space="preserve">。所在地・竣工年月・延床面積は短信非掲載のため未収録</t>
    </r>
  </si>
  <si>
    <t xml:space="preserve">KDX-227</t>
  </si>
  <si>
    <t xml:space="preserve">ウニクス伊奈</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</si>
  <si>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C1004</t>
    </r>
    <r>
      <rPr>
        <sz val="10"/>
        <color rgb="FF0000FF"/>
        <rFont val="Noto Sans CJK SC"/>
        <family val="2"/>
      </rPr>
      <t xml:space="preserve">。所在地・竣工年月・延床面積は短信非掲載のため未収録</t>
    </r>
  </si>
  <si>
    <t xml:space="preserve">KDX-228</t>
  </si>
  <si>
    <t xml:space="preserve">ヨークタウン北金目</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</si>
  <si>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C1005</t>
    </r>
    <r>
      <rPr>
        <sz val="10"/>
        <color rgb="FF0000FF"/>
        <rFont val="Noto Sans CJK SC"/>
        <family val="2"/>
      </rPr>
      <t xml:space="preserve">。所在地・竣工年月・延床面積は短信非掲載のため未収録。賃貸可能面積もテナント等同意なく非開示</t>
    </r>
    <r>
      <rPr>
        <sz val="10"/>
        <color rgb="FF0000FF"/>
        <rFont val="Arial"/>
        <family val="0"/>
        <charset val="1"/>
      </rPr>
      <t xml:space="preserve">(</t>
    </r>
    <r>
      <rPr>
        <sz val="10"/>
        <color rgb="FF0000FF"/>
        <rFont val="Noto Sans CJK SC"/>
        <family val="2"/>
      </rPr>
      <t xml:space="preserve">用途小計値には保有持分相当が反映</t>
    </r>
    <r>
      <rPr>
        <sz val="10"/>
        <color rgb="FF0000FF"/>
        <rFont val="Arial"/>
        <family val="0"/>
        <charset val="1"/>
      </rPr>
      <t xml:space="preserve">)</t>
    </r>
  </si>
  <si>
    <t xml:space="preserve">KDX-229</t>
  </si>
  <si>
    <t xml:space="preserve">ウニクス吉川</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</si>
  <si>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C1006</t>
    </r>
    <r>
      <rPr>
        <sz val="10"/>
        <color rgb="FF0000FF"/>
        <rFont val="Noto Sans CJK SC"/>
        <family val="2"/>
      </rPr>
      <t xml:space="preserve">。所在地・竣工年月・延床面積は短信非掲載のため未収録</t>
    </r>
  </si>
  <si>
    <t xml:space="preserve">KDX-230</t>
  </si>
  <si>
    <t xml:space="preserve">スポーツクラブルネサンス富士見台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</si>
  <si>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C1007</t>
    </r>
    <r>
      <rPr>
        <sz val="10"/>
        <color rgb="FF0000FF"/>
        <rFont val="Noto Sans CJK SC"/>
        <family val="2"/>
      </rPr>
      <t xml:space="preserve">。所在地・竣工年月・延床面積は短信非掲載のため未収録</t>
    </r>
  </si>
  <si>
    <t xml:space="preserve">KDX-231</t>
  </si>
  <si>
    <t xml:space="preserve">スーパービバホーム岩槻店(底地)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</si>
  <si>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C1008</t>
    </r>
    <r>
      <rPr>
        <sz val="10"/>
        <color rgb="FF0000FF"/>
        <rFont val="Noto Sans CJK SC"/>
        <family val="2"/>
      </rPr>
      <t xml:space="preserve">。所在地・竣工年月・延床面積は短信非掲載のため未収録</t>
    </r>
  </si>
  <si>
    <t xml:space="preserve">KDX-232</t>
  </si>
  <si>
    <t xml:space="preserve">ウニクス上里(底地)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</si>
  <si>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C1009</t>
    </r>
    <r>
      <rPr>
        <sz val="10"/>
        <color rgb="FF0000FF"/>
        <rFont val="Noto Sans CJK SC"/>
        <family val="2"/>
      </rPr>
      <t xml:space="preserve">。所在地・竣工年月・延床面積は短信非掲載のため未収録</t>
    </r>
  </si>
  <si>
    <t xml:space="preserve">KDX-233</t>
  </si>
  <si>
    <t xml:space="preserve">ウニクス鴻巣(底地)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</si>
  <si>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C1010</t>
    </r>
    <r>
      <rPr>
        <sz val="10"/>
        <color rgb="FF0000FF"/>
        <rFont val="Noto Sans CJK SC"/>
        <family val="2"/>
      </rPr>
      <t xml:space="preserve">。所在地・竣工年月・延床面積は短信非掲載のため未収録</t>
    </r>
  </si>
  <si>
    <t xml:space="preserve">KDX-234</t>
  </si>
  <si>
    <t xml:space="preserve">いなげや横浜南本宿店(底地)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</si>
  <si>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C1011</t>
    </r>
    <r>
      <rPr>
        <sz val="10"/>
        <color rgb="FF0000FF"/>
        <rFont val="Noto Sans CJK SC"/>
        <family val="2"/>
      </rPr>
      <t xml:space="preserve">。所在地・竣工年月・延床面積は短信非掲載のため未収録</t>
    </r>
  </si>
  <si>
    <t xml:space="preserve">KDX-235</t>
  </si>
  <si>
    <t xml:space="preserve">セントラルウェルネスクラブ長津田みなみ台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</si>
  <si>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C1012</t>
    </r>
    <r>
      <rPr>
        <sz val="10"/>
        <color rgb="FF0000FF"/>
        <rFont val="Noto Sans CJK SC"/>
        <family val="2"/>
      </rPr>
      <t xml:space="preserve">。所在地・竣工年月・延床面積は短信非掲載のため未収録</t>
    </r>
  </si>
  <si>
    <t xml:space="preserve">KDX-236</t>
  </si>
  <si>
    <t xml:space="preserve">仲町台東急ストア</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</si>
  <si>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C1013</t>
    </r>
    <r>
      <rPr>
        <sz val="10"/>
        <color rgb="FF0000FF"/>
        <rFont val="Noto Sans CJK SC"/>
        <family val="2"/>
      </rPr>
      <t xml:space="preserve">。所在地・竣工年月・延床面積は短信非掲載のため未収録</t>
    </r>
  </si>
  <si>
    <t xml:space="preserve">KDX-237</t>
  </si>
  <si>
    <t xml:space="preserve">ライフ亀戸店</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</si>
  <si>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C1014</t>
    </r>
    <r>
      <rPr>
        <sz val="10"/>
        <color rgb="FF0000FF"/>
        <rFont val="Noto Sans CJK SC"/>
        <family val="2"/>
      </rPr>
      <t xml:space="preserve">。所在地・竣工年月・延床面積は短信非掲載のため未収録</t>
    </r>
  </si>
  <si>
    <t xml:space="preserve">KDX-238</t>
  </si>
  <si>
    <t xml:space="preserve">戸塚深谷ショッピングセンター(底地)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</si>
  <si>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C1015</t>
    </r>
    <r>
      <rPr>
        <sz val="10"/>
        <color rgb="FF0000FF"/>
        <rFont val="Noto Sans CJK SC"/>
        <family val="2"/>
      </rPr>
      <t xml:space="preserve">。所在地・竣工年月・延床面積は短信非掲載のため未収録</t>
    </r>
  </si>
  <si>
    <t xml:space="preserve">KDX-239</t>
  </si>
  <si>
    <t xml:space="preserve">ゆめまち習志野台モール</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</si>
  <si>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C1016</t>
    </r>
    <r>
      <rPr>
        <sz val="10"/>
        <color rgb="FF0000FF"/>
        <rFont val="Noto Sans CJK SC"/>
        <family val="2"/>
      </rPr>
      <t xml:space="preserve">。所在地・竣工年月・延床面積は短信非掲載のため未収録</t>
    </r>
  </si>
  <si>
    <t xml:space="preserve">KDX-240</t>
  </si>
  <si>
    <t xml:space="preserve">ラウンドワン市川鬼高店</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</si>
  <si>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C1017</t>
    </r>
    <r>
      <rPr>
        <sz val="10"/>
        <color rgb="FF0000FF"/>
        <rFont val="Noto Sans CJK SC"/>
        <family val="2"/>
      </rPr>
      <t xml:space="preserve">。所在地・竣工年月・延床面積は短信非掲載のため未収録</t>
    </r>
  </si>
  <si>
    <t xml:space="preserve">KDX-241</t>
  </si>
  <si>
    <t xml:space="preserve">かわまち矢作モール</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</si>
  <si>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C1018</t>
    </r>
    <r>
      <rPr>
        <sz val="10"/>
        <color rgb="FF0000FF"/>
        <rFont val="Noto Sans CJK SC"/>
        <family val="2"/>
      </rPr>
      <t xml:space="preserve">。所在地・竣工年月・延床面積は短信非掲載のため未収録</t>
    </r>
  </si>
  <si>
    <t xml:space="preserve">KDX-242</t>
  </si>
  <si>
    <t xml:space="preserve">オオゼキときわ台店</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</si>
  <si>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C1019</t>
    </r>
    <r>
      <rPr>
        <sz val="10"/>
        <color rgb="FF0000FF"/>
        <rFont val="Noto Sans CJK SC"/>
        <family val="2"/>
      </rPr>
      <t xml:space="preserve">。所在地・竣工年月・延床面積は短信非掲載のため未収録</t>
    </r>
  </si>
  <si>
    <t xml:space="preserve">KDX-243</t>
  </si>
  <si>
    <t xml:space="preserve">もねの里モール</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</si>
  <si>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C1021</t>
    </r>
    <r>
      <rPr>
        <sz val="10"/>
        <color rgb="FF0000FF"/>
        <rFont val="Noto Sans CJK SC"/>
        <family val="2"/>
      </rPr>
      <t xml:space="preserve">。所在地・竣工年月・延床面積は短信非掲載のため未収録</t>
    </r>
  </si>
  <si>
    <t xml:space="preserve">KDX-244</t>
  </si>
  <si>
    <t xml:space="preserve">アクロスプラザ浦安東野(底地)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</si>
  <si>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C1022</t>
    </r>
    <r>
      <rPr>
        <sz val="10"/>
        <color rgb="FF0000FF"/>
        <rFont val="Noto Sans CJK SC"/>
        <family val="2"/>
      </rPr>
      <t xml:space="preserve">。所在地・竣工年月・延床面積は短信非掲載のため未収録</t>
    </r>
  </si>
  <si>
    <t xml:space="preserve">KDX-245</t>
  </si>
  <si>
    <t xml:space="preserve">アピタテラス横浜綱島</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</si>
  <si>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C1023</t>
    </r>
    <r>
      <rPr>
        <sz val="10"/>
        <color rgb="FF0000FF"/>
        <rFont val="Noto Sans CJK SC"/>
        <family val="2"/>
      </rPr>
      <t xml:space="preserve">。所在地・竣工年月・延床面積は短信非掲載のため未収録</t>
    </r>
  </si>
  <si>
    <t xml:space="preserve">KDX-246</t>
  </si>
  <si>
    <t xml:space="preserve">カルサ平塚</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</si>
  <si>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C1024</t>
    </r>
    <r>
      <rPr>
        <sz val="10"/>
        <color rgb="FF0000FF"/>
        <rFont val="Noto Sans CJK SC"/>
        <family val="2"/>
      </rPr>
      <t xml:space="preserve">。所在地・竣工年月・延床面積は短信非掲載のため未収録</t>
    </r>
  </si>
  <si>
    <t xml:space="preserve">KDX-247</t>
  </si>
  <si>
    <t xml:space="preserve">コンフォートマーケット西馬込店</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</si>
  <si>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C1025</t>
    </r>
    <r>
      <rPr>
        <sz val="10"/>
        <color rgb="FF0000FF"/>
        <rFont val="Noto Sans CJK SC"/>
        <family val="2"/>
      </rPr>
      <t xml:space="preserve">。所在地・竣工年月・延床面積は短信非掲載のため未収録</t>
    </r>
  </si>
  <si>
    <t xml:space="preserve">KDX-248</t>
  </si>
  <si>
    <t xml:space="preserve">ウニクス浦和美園(底地)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</si>
  <si>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C1026</t>
    </r>
    <r>
      <rPr>
        <sz val="10"/>
        <color rgb="FF0000FF"/>
        <rFont val="Noto Sans CJK SC"/>
        <family val="2"/>
      </rPr>
      <t xml:space="preserve">。所在地・竣工年月・延床面積は短信非掲載のため未収録</t>
    </r>
  </si>
  <si>
    <t xml:space="preserve">KDX-249</t>
  </si>
  <si>
    <t xml:space="preserve">キテラタウン調布</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</si>
  <si>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C1027</t>
    </r>
    <r>
      <rPr>
        <sz val="10"/>
        <color rgb="FF0000FF"/>
        <rFont val="Noto Sans CJK SC"/>
        <family val="2"/>
      </rPr>
      <t xml:space="preserve">。所在地・竣工年月・延床面積は短信非掲載のため未収録</t>
    </r>
  </si>
  <si>
    <t xml:space="preserve">KDX-250</t>
  </si>
  <si>
    <t xml:space="preserve">キテラプラザ青葉台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</si>
  <si>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C1028</t>
    </r>
    <r>
      <rPr>
        <sz val="10"/>
        <color rgb="FF0000FF"/>
        <rFont val="Noto Sans CJK SC"/>
        <family val="2"/>
      </rPr>
      <t xml:space="preserve">。所在地・竣工年月・延床面積は短信非掲載のため未収録</t>
    </r>
  </si>
  <si>
    <t xml:space="preserve">KDX-251</t>
  </si>
  <si>
    <t xml:space="preserve">東松山ショッピングセンター</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</si>
  <si>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C1029</t>
    </r>
    <r>
      <rPr>
        <sz val="10"/>
        <color rgb="FF0000FF"/>
        <rFont val="Noto Sans CJK SC"/>
        <family val="2"/>
      </rPr>
      <t xml:space="preserve">。所在地・竣工年月・延床面積は短信非掲載のため未収録</t>
    </r>
  </si>
  <si>
    <t xml:space="preserve">KDX-252</t>
  </si>
  <si>
    <t xml:space="preserve">ヨークマート東道野辺店</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</si>
  <si>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C1030</t>
    </r>
    <r>
      <rPr>
        <sz val="10"/>
        <color rgb="FF0000FF"/>
        <rFont val="Noto Sans CJK SC"/>
        <family val="2"/>
      </rPr>
      <t xml:space="preserve">。所在地・竣工年月・延床面積は短信非掲載のため未収録</t>
    </r>
  </si>
  <si>
    <t xml:space="preserve">KDX-253</t>
  </si>
  <si>
    <t xml:space="preserve">いなげや新ゆりヨネッティー王禅寺前店</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</si>
  <si>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C1031</t>
    </r>
    <r>
      <rPr>
        <sz val="10"/>
        <color rgb="FF0000FF"/>
        <rFont val="Noto Sans CJK SC"/>
        <family val="2"/>
      </rPr>
      <t xml:space="preserve">。所在地・竣工年月・延床面積は短信非掲載のため未収録</t>
    </r>
  </si>
  <si>
    <t xml:space="preserve">KDX-254</t>
  </si>
  <si>
    <t xml:space="preserve">イーアス高尾</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</si>
  <si>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C1032</t>
    </r>
    <r>
      <rPr>
        <sz val="10"/>
        <color rgb="FF0000FF"/>
        <rFont val="Noto Sans CJK SC"/>
        <family val="2"/>
      </rPr>
      <t xml:space="preserve">。所在地・竣工年月・延床面積は短信非掲載のため未収録。当期</t>
    </r>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取得価格</t>
    </r>
    <r>
      <rPr>
        <sz val="10"/>
        <color rgb="FF0000FF"/>
        <rFont val="Arial"/>
        <family val="0"/>
        <charset val="1"/>
      </rPr>
      <t xml:space="preserve">26,300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2026/4/3</t>
    </r>
    <r>
      <rPr>
        <sz val="10"/>
        <color rgb="FF0000FF"/>
        <rFont val="Noto Sans CJK SC"/>
        <family val="2"/>
      </rPr>
      <t xml:space="preserve">に「イーアス高尾」から「ヨロッカ春日井」へ名称変更したのは</t>
    </r>
    <r>
      <rPr>
        <sz val="10"/>
        <color rgb="FF0000FF"/>
        <rFont val="Arial"/>
        <family val="0"/>
        <charset val="1"/>
      </rPr>
      <t xml:space="preserve">C2031</t>
    </r>
    <r>
      <rPr>
        <sz val="10"/>
        <color rgb="FF0000FF"/>
        <rFont val="Noto Sans CJK SC"/>
        <family val="2"/>
      </rPr>
      <t xml:space="preserve">であり本物件は取得時名称のまま</t>
    </r>
  </si>
  <si>
    <t xml:space="preserve">KDX-255</t>
  </si>
  <si>
    <t xml:space="preserve">ロゼオ水戸</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</si>
  <si>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C2001</t>
    </r>
    <r>
      <rPr>
        <sz val="10"/>
        <color rgb="FF0000FF"/>
        <rFont val="Noto Sans CJK SC"/>
        <family val="2"/>
      </rPr>
      <t xml:space="preserve">。所在地・竣工年月・延床面積は短信非掲載のため未収録</t>
    </r>
  </si>
  <si>
    <t xml:space="preserve">KDX-256</t>
  </si>
  <si>
    <t xml:space="preserve">ブルメール舞多聞</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</si>
  <si>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C2002</t>
    </r>
    <r>
      <rPr>
        <sz val="10"/>
        <color rgb="FF0000FF"/>
        <rFont val="Noto Sans CJK SC"/>
        <family val="2"/>
      </rPr>
      <t xml:space="preserve">。所在地・竣工年月・延床面積は短信非掲載のため未収録</t>
    </r>
  </si>
  <si>
    <t xml:space="preserve">KDX-257</t>
  </si>
  <si>
    <t xml:space="preserve">ライフ高殿店(底地)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</si>
  <si>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C2003</t>
    </r>
    <r>
      <rPr>
        <sz val="10"/>
        <color rgb="FF0000FF"/>
        <rFont val="Noto Sans CJK SC"/>
        <family val="2"/>
      </rPr>
      <t xml:space="preserve">。所在地・竣工年月・延床面積は短信非掲載のため未収録。期後</t>
    </r>
    <r>
      <rPr>
        <sz val="10"/>
        <color rgb="FF0000FF"/>
        <rFont val="Arial"/>
        <family val="0"/>
        <charset val="1"/>
      </rPr>
      <t xml:space="preserve">2026/6/8</t>
    </r>
    <r>
      <rPr>
        <sz val="10"/>
        <color rgb="FF0000FF"/>
        <rFont val="Noto Sans CJK SC"/>
        <family val="2"/>
      </rPr>
      <t xml:space="preserve">売買契約締結・</t>
    </r>
    <r>
      <rPr>
        <sz val="10"/>
        <color rgb="FF0000FF"/>
        <rFont val="Arial"/>
        <family val="0"/>
        <charset val="1"/>
      </rPr>
      <t xml:space="preserve">2026/12/1</t>
    </r>
    <r>
      <rPr>
        <sz val="10"/>
        <color rgb="FF0000FF"/>
        <rFont val="Noto Sans CJK SC"/>
        <family val="2"/>
      </rPr>
      <t xml:space="preserve">に阪急阪神リート投資法人へ譲渡予定</t>
    </r>
    <r>
      <rPr>
        <sz val="10"/>
        <color rgb="FF0000FF"/>
        <rFont val="Arial"/>
        <family val="0"/>
        <charset val="1"/>
      </rPr>
      <t xml:space="preserve">(</t>
    </r>
    <r>
      <rPr>
        <sz val="10"/>
        <color rgb="FF0000FF"/>
        <rFont val="Noto Sans CJK SC"/>
        <family val="2"/>
      </rPr>
      <t xml:space="preserve">譲渡予定価格</t>
    </r>
    <r>
      <rPr>
        <sz val="10"/>
        <color rgb="FF0000FF"/>
        <rFont val="Arial"/>
        <family val="0"/>
        <charset val="1"/>
      </rPr>
      <t xml:space="preserve">3,690</t>
    </r>
    <r>
      <rPr>
        <sz val="10"/>
        <color rgb="FF0000FF"/>
        <rFont val="Noto Sans CJK SC"/>
        <family val="2"/>
      </rPr>
      <t xml:space="preserve">百万円・フォワードコミットメント</t>
    </r>
    <r>
      <rPr>
        <sz val="10"/>
        <color rgb="FF0000FF"/>
        <rFont val="Arial"/>
        <family val="0"/>
        <charset val="1"/>
      </rPr>
      <t xml:space="preserve">)</t>
    </r>
  </si>
  <si>
    <t xml:space="preserve">KDX-258</t>
  </si>
  <si>
    <r>
      <rPr>
        <sz val="10"/>
        <color rgb="FF0000FF"/>
        <rFont val="Arial"/>
        <family val="0"/>
        <charset val="1"/>
      </rPr>
      <t xml:space="preserve">DCM</t>
    </r>
    <r>
      <rPr>
        <sz val="10"/>
        <color rgb="FF0000FF"/>
        <rFont val="Noto Sans CJK SC"/>
        <family val="2"/>
      </rPr>
      <t xml:space="preserve">中川富田店</t>
    </r>
    <r>
      <rPr>
        <sz val="10"/>
        <color rgb="FF0000FF"/>
        <rFont val="Arial"/>
        <family val="0"/>
        <charset val="1"/>
      </rPr>
      <t xml:space="preserve">(</t>
    </r>
    <r>
      <rPr>
        <sz val="10"/>
        <color rgb="FF0000FF"/>
        <rFont val="Noto Sans CJK SC"/>
        <family val="2"/>
      </rPr>
      <t xml:space="preserve">底地</t>
    </r>
    <r>
      <rPr>
        <sz val="10"/>
        <color rgb="FF0000FF"/>
        <rFont val="Arial"/>
        <family val="0"/>
        <charset val="1"/>
      </rPr>
      <t xml:space="preserve">)</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</si>
  <si>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C2004</t>
    </r>
    <r>
      <rPr>
        <sz val="10"/>
        <color rgb="FF0000FF"/>
        <rFont val="Noto Sans CJK SC"/>
        <family val="2"/>
      </rPr>
      <t xml:space="preserve">。所在地・竣工年月・延床面積は短信非掲載のため未収録。賃貸可能面積もテナント等同意なく非開示</t>
    </r>
    <r>
      <rPr>
        <sz val="10"/>
        <color rgb="FF0000FF"/>
        <rFont val="Arial"/>
        <family val="0"/>
        <charset val="1"/>
      </rPr>
      <t xml:space="preserve">(</t>
    </r>
    <r>
      <rPr>
        <sz val="10"/>
        <color rgb="FF0000FF"/>
        <rFont val="Noto Sans CJK SC"/>
        <family val="2"/>
      </rPr>
      <t xml:space="preserve">用途小計値には保有持分相当が反映</t>
    </r>
    <r>
      <rPr>
        <sz val="10"/>
        <color rgb="FF0000FF"/>
        <rFont val="Arial"/>
        <family val="0"/>
        <charset val="1"/>
      </rPr>
      <t xml:space="preserve">)</t>
    </r>
  </si>
  <si>
    <t xml:space="preserve">KDX-259</t>
  </si>
  <si>
    <r>
      <rPr>
        <sz val="10"/>
        <color rgb="FF0000FF"/>
        <rFont val="Arial"/>
        <family val="0"/>
        <charset val="1"/>
      </rPr>
      <t xml:space="preserve">DCM</t>
    </r>
    <r>
      <rPr>
        <sz val="10"/>
        <color rgb="FF0000FF"/>
        <rFont val="Noto Sans CJK SC"/>
        <family val="2"/>
      </rPr>
      <t xml:space="preserve">・</t>
    </r>
    <r>
      <rPr>
        <sz val="10"/>
        <color rgb="FF0000FF"/>
        <rFont val="Arial"/>
        <family val="0"/>
        <charset val="1"/>
      </rPr>
      <t xml:space="preserve">MEGA</t>
    </r>
    <r>
      <rPr>
        <sz val="10"/>
        <color rgb="FF0000FF"/>
        <rFont val="Noto Sans CJK SC"/>
        <family val="2"/>
      </rPr>
      <t xml:space="preserve">ドン・キホーテ</t>
    </r>
    <r>
      <rPr>
        <sz val="10"/>
        <color rgb="FF0000FF"/>
        <rFont val="Arial"/>
        <family val="0"/>
        <charset val="1"/>
      </rPr>
      <t xml:space="preserve">UNY</t>
    </r>
    <r>
      <rPr>
        <sz val="10"/>
        <color rgb="FF0000FF"/>
        <rFont val="Noto Sans CJK SC"/>
        <family val="2"/>
      </rPr>
      <t xml:space="preserve">近江八幡店</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</si>
  <si>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C2005</t>
    </r>
    <r>
      <rPr>
        <sz val="10"/>
        <color rgb="FF0000FF"/>
        <rFont val="Noto Sans CJK SC"/>
        <family val="2"/>
      </rPr>
      <t xml:space="preserve">。所在地・竣工年月・延床面積は短信非掲載のため未収録</t>
    </r>
  </si>
  <si>
    <t xml:space="preserve">KDX-260</t>
  </si>
  <si>
    <t xml:space="preserve">バロー一宮西店</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</si>
  <si>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C2006</t>
    </r>
    <r>
      <rPr>
        <sz val="10"/>
        <color rgb="FF0000FF"/>
        <rFont val="Noto Sans CJK SC"/>
        <family val="2"/>
      </rPr>
      <t xml:space="preserve">。所在地・竣工年月・延床面積は短信非掲載のため未収録</t>
    </r>
  </si>
  <si>
    <t xml:space="preserve">KDX-261</t>
  </si>
  <si>
    <t xml:space="preserve">サニー野間店</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</si>
  <si>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C2007</t>
    </r>
    <r>
      <rPr>
        <sz val="10"/>
        <color rgb="FF0000FF"/>
        <rFont val="Noto Sans CJK SC"/>
        <family val="2"/>
      </rPr>
      <t xml:space="preserve">。所在地・竣工年月・延床面積は短信非掲載のため未収録</t>
    </r>
  </si>
  <si>
    <t xml:space="preserve">KDX-262</t>
  </si>
  <si>
    <t xml:space="preserve">ケーズデンキ青森本店</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</si>
  <si>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C2008</t>
    </r>
    <r>
      <rPr>
        <sz val="10"/>
        <color rgb="FF0000FF"/>
        <rFont val="Noto Sans CJK SC"/>
        <family val="2"/>
      </rPr>
      <t xml:space="preserve">。所在地・竣工年月・延床面積は短信非掲載のため未収録</t>
    </r>
  </si>
  <si>
    <t xml:space="preserve">KDX-263</t>
  </si>
  <si>
    <t xml:space="preserve">スーパースポーツゼビオ青森中央店</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</si>
  <si>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C2009</t>
    </r>
    <r>
      <rPr>
        <sz val="10"/>
        <color rgb="FF0000FF"/>
        <rFont val="Noto Sans CJK SC"/>
        <family val="2"/>
      </rPr>
      <t xml:space="preserve">。所在地・竣工年月・延床面積は短信非掲載のため未収録。賃貸可能面積もテナント等同意なく非開示</t>
    </r>
    <r>
      <rPr>
        <sz val="10"/>
        <color rgb="FF0000FF"/>
        <rFont val="Arial"/>
        <family val="0"/>
        <charset val="1"/>
      </rPr>
      <t xml:space="preserve">(</t>
    </r>
    <r>
      <rPr>
        <sz val="10"/>
        <color rgb="FF0000FF"/>
        <rFont val="Noto Sans CJK SC"/>
        <family val="2"/>
      </rPr>
      <t xml:space="preserve">用途小計値には保有持分相当が反映</t>
    </r>
    <r>
      <rPr>
        <sz val="10"/>
        <color rgb="FF0000FF"/>
        <rFont val="Arial"/>
        <family val="0"/>
        <charset val="1"/>
      </rPr>
      <t xml:space="preserve">)</t>
    </r>
  </si>
  <si>
    <t xml:space="preserve">KDX-264</t>
  </si>
  <si>
    <t xml:space="preserve">ブルメールHAT神戸</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</si>
  <si>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C2010</t>
    </r>
    <r>
      <rPr>
        <sz val="10"/>
        <color rgb="FF0000FF"/>
        <rFont val="Noto Sans CJK SC"/>
        <family val="2"/>
      </rPr>
      <t xml:space="preserve">。所在地・竣工年月・延床面積は短信非掲載のため未収録</t>
    </r>
  </si>
  <si>
    <t xml:space="preserve">KDX-265</t>
  </si>
  <si>
    <t xml:space="preserve">アシコタウンあしかが</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</si>
  <si>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C2013</t>
    </r>
    <r>
      <rPr>
        <sz val="10"/>
        <color rgb="FF0000FF"/>
        <rFont val="Noto Sans CJK SC"/>
        <family val="2"/>
      </rPr>
      <t xml:space="preserve">。所在地・竣工年月・延床面積は短信非掲載のため未収録</t>
    </r>
  </si>
  <si>
    <t xml:space="preserve">KDX-266</t>
  </si>
  <si>
    <t xml:space="preserve">ヨークタウン新田東</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</si>
  <si>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C2014</t>
    </r>
    <r>
      <rPr>
        <sz val="10"/>
        <color rgb="FF0000FF"/>
        <rFont val="Noto Sans CJK SC"/>
        <family val="2"/>
      </rPr>
      <t xml:space="preserve">。所在地・竣工年月・延床面積は短信非掲載のため未収録</t>
    </r>
  </si>
  <si>
    <t xml:space="preserve">KDX-267</t>
  </si>
  <si>
    <t xml:space="preserve">カスミテクノパーク桜店</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</si>
  <si>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C2015</t>
    </r>
    <r>
      <rPr>
        <sz val="10"/>
        <color rgb="FF0000FF"/>
        <rFont val="Noto Sans CJK SC"/>
        <family val="2"/>
      </rPr>
      <t xml:space="preserve">。所在地・竣工年月・延床面積は短信非掲載のため未収録</t>
    </r>
  </si>
  <si>
    <t xml:space="preserve">KDX-268</t>
  </si>
  <si>
    <t xml:space="preserve">ライフ西天下茶屋店</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</si>
  <si>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C2016</t>
    </r>
    <r>
      <rPr>
        <sz val="10"/>
        <color rgb="FF0000FF"/>
        <rFont val="Noto Sans CJK SC"/>
        <family val="2"/>
      </rPr>
      <t xml:space="preserve">。所在地・竣工年月・延床面積は短信非掲載のため未収録</t>
    </r>
  </si>
  <si>
    <t xml:space="preserve">KDX-269</t>
  </si>
  <si>
    <t xml:space="preserve">ホームセンターコーナン砂田橋店</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</si>
  <si>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C2017</t>
    </r>
    <r>
      <rPr>
        <sz val="10"/>
        <color rgb="FF0000FF"/>
        <rFont val="Noto Sans CJK SC"/>
        <family val="2"/>
      </rPr>
      <t xml:space="preserve">。所在地・竣工年月・延床面積は短信非掲載のため未収録</t>
    </r>
  </si>
  <si>
    <t xml:space="preserve">KDX-270</t>
  </si>
  <si>
    <t xml:space="preserve">ミリオンタウン塚口(底地)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</si>
  <si>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C2018</t>
    </r>
    <r>
      <rPr>
        <sz val="10"/>
        <color rgb="FF0000FF"/>
        <rFont val="Noto Sans CJK SC"/>
        <family val="2"/>
      </rPr>
      <t xml:space="preserve">。所在地・竣工年月・延床面積は短信非掲載のため未収録</t>
    </r>
  </si>
  <si>
    <t xml:space="preserve">KDX-271</t>
  </si>
  <si>
    <t xml:space="preserve">ピーワンプラザ天王</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</si>
  <si>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C2019</t>
    </r>
    <r>
      <rPr>
        <sz val="10"/>
        <color rgb="FF0000FF"/>
        <rFont val="Noto Sans CJK SC"/>
        <family val="2"/>
      </rPr>
      <t xml:space="preserve">。所在地・竣工年月・延床面積は短信非掲載のため未収録</t>
    </r>
  </si>
  <si>
    <t xml:space="preserve">KDX-272</t>
  </si>
  <si>
    <t xml:space="preserve">西友楽市守谷店(底地)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</si>
  <si>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C2020</t>
    </r>
    <r>
      <rPr>
        <sz val="10"/>
        <color rgb="FF0000FF"/>
        <rFont val="Noto Sans CJK SC"/>
        <family val="2"/>
      </rPr>
      <t xml:space="preserve">。所在地・竣工年月・延床面積は短信非掲載のため未収録。賃貸可能面積もテナント等同意なく非開示</t>
    </r>
    <r>
      <rPr>
        <sz val="10"/>
        <color rgb="FF0000FF"/>
        <rFont val="Arial"/>
        <family val="0"/>
        <charset val="1"/>
      </rPr>
      <t xml:space="preserve">(</t>
    </r>
    <r>
      <rPr>
        <sz val="10"/>
        <color rgb="FF0000FF"/>
        <rFont val="Noto Sans CJK SC"/>
        <family val="2"/>
      </rPr>
      <t xml:space="preserve">用途小計値には保有持分相当が反映</t>
    </r>
    <r>
      <rPr>
        <sz val="10"/>
        <color rgb="FF0000FF"/>
        <rFont val="Arial"/>
        <family val="0"/>
        <charset val="1"/>
      </rPr>
      <t xml:space="preserve">)</t>
    </r>
  </si>
  <si>
    <t xml:space="preserve">KDX-273</t>
  </si>
  <si>
    <t xml:space="preserve">ラウンドワンスタジアム博多・半道橋店</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</si>
  <si>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C2021</t>
    </r>
    <r>
      <rPr>
        <sz val="10"/>
        <color rgb="FF0000FF"/>
        <rFont val="Noto Sans CJK SC"/>
        <family val="2"/>
      </rPr>
      <t xml:space="preserve">。所在地・竣工年月・延床面積は短信非掲載のため未収録</t>
    </r>
  </si>
  <si>
    <t xml:space="preserve">KDX-274</t>
  </si>
  <si>
    <t xml:space="preserve">久留米西ショッピングセンター</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</si>
  <si>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C2022</t>
    </r>
    <r>
      <rPr>
        <sz val="10"/>
        <color rgb="FF0000FF"/>
        <rFont val="Noto Sans CJK SC"/>
        <family val="2"/>
      </rPr>
      <t xml:space="preserve">。所在地・竣工年月・延床面積は短信非掲載のため未収録</t>
    </r>
  </si>
  <si>
    <t xml:space="preserve">KDX-275</t>
  </si>
  <si>
    <t xml:space="preserve">サンストリート浜北</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</si>
  <si>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C2023</t>
    </r>
    <r>
      <rPr>
        <sz val="10"/>
        <color rgb="FF0000FF"/>
        <rFont val="Noto Sans CJK SC"/>
        <family val="2"/>
      </rPr>
      <t xml:space="preserve">。所在地・竣工年月・延床面積は短信非掲載のため未収録</t>
    </r>
  </si>
  <si>
    <t xml:space="preserve">KDX-276</t>
  </si>
  <si>
    <t xml:space="preserve">コストコホールセール札幌倉庫店</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</si>
  <si>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C2025</t>
    </r>
    <r>
      <rPr>
        <sz val="10"/>
        <color rgb="FF0000FF"/>
        <rFont val="Noto Sans CJK SC"/>
        <family val="2"/>
      </rPr>
      <t xml:space="preserve">。所在地・竣工年月・延床面積は短信非掲載のため未収録</t>
    </r>
  </si>
  <si>
    <t xml:space="preserve">KDX-277</t>
  </si>
  <si>
    <t xml:space="preserve">羽曳が丘ショッピングセンター</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</si>
  <si>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C2026</t>
    </r>
    <r>
      <rPr>
        <sz val="10"/>
        <color rgb="FF0000FF"/>
        <rFont val="Noto Sans CJK SC"/>
        <family val="2"/>
      </rPr>
      <t xml:space="preserve">。所在地・竣工年月・延床面積は短信非掲載のため未収録</t>
    </r>
  </si>
  <si>
    <t xml:space="preserve">KDX-278</t>
  </si>
  <si>
    <t xml:space="preserve">バロー中志段味店(底地)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</si>
  <si>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C2027</t>
    </r>
    <r>
      <rPr>
        <sz val="10"/>
        <color rgb="FF0000FF"/>
        <rFont val="Noto Sans CJK SC"/>
        <family val="2"/>
      </rPr>
      <t xml:space="preserve">。所在地・竣工年月・延床面積は短信非掲載のため未収録</t>
    </r>
  </si>
  <si>
    <t xml:space="preserve">KDX-279</t>
  </si>
  <si>
    <t xml:space="preserve">メラード大開</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</si>
  <si>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C2028</t>
    </r>
    <r>
      <rPr>
        <sz val="10"/>
        <color rgb="FF0000FF"/>
        <rFont val="Noto Sans CJK SC"/>
        <family val="2"/>
      </rPr>
      <t xml:space="preserve">。所在地・竣工年月・延床面積は短信非掲載のため未収録</t>
    </r>
  </si>
  <si>
    <t xml:space="preserve">KDX-280</t>
  </si>
  <si>
    <t xml:space="preserve">キテラタウン福岡長浜</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</si>
  <si>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C2029</t>
    </r>
    <r>
      <rPr>
        <sz val="10"/>
        <color rgb="FF0000FF"/>
        <rFont val="Noto Sans CJK SC"/>
        <family val="2"/>
      </rPr>
      <t xml:space="preserve">。所在地・竣工年月・延床面積は短信非掲載のため未収録</t>
    </r>
  </si>
  <si>
    <t xml:space="preserve">KDX-281</t>
  </si>
  <si>
    <t xml:space="preserve">コープさっぽろ春光店</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</si>
  <si>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C2030</t>
    </r>
    <r>
      <rPr>
        <sz val="10"/>
        <color rgb="FF0000FF"/>
        <rFont val="Noto Sans CJK SC"/>
        <family val="2"/>
      </rPr>
      <t xml:space="preserve">。所在地・竣工年月・延床面積は短信非掲載のため未収録</t>
    </r>
  </si>
  <si>
    <t xml:space="preserve">KDX-282</t>
  </si>
  <si>
    <t xml:space="preserve">ヨロッカ春日井</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</si>
  <si>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C2031</t>
    </r>
    <r>
      <rPr>
        <sz val="10"/>
        <color rgb="FF0000FF"/>
        <rFont val="Noto Sans CJK SC"/>
        <family val="2"/>
      </rPr>
      <t xml:space="preserve">。所在地・竣工年月・延床面積は短信非掲載のため未収録。</t>
    </r>
    <r>
      <rPr>
        <sz val="10"/>
        <color rgb="FF0000FF"/>
        <rFont val="Arial"/>
        <family val="0"/>
        <charset val="1"/>
      </rPr>
      <t xml:space="preserve">2026/4/3</t>
    </r>
    <r>
      <rPr>
        <sz val="10"/>
        <color rgb="FF0000FF"/>
        <rFont val="Noto Sans CJK SC"/>
        <family val="2"/>
      </rPr>
      <t xml:space="preserve">に「イーアス春日井」から名称変更</t>
    </r>
  </si>
  <si>
    <t xml:space="preserve">KDX-283</t>
  </si>
  <si>
    <t xml:space="preserve">コーナン新市店（底地）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</si>
  <si>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C2032</t>
    </r>
    <r>
      <rPr>
        <sz val="10"/>
        <color rgb="FF0000FF"/>
        <rFont val="Noto Sans CJK SC"/>
        <family val="2"/>
      </rPr>
      <t xml:space="preserve">。所在地・竣工年月・延床面積は短信非掲載のため未収録</t>
    </r>
  </si>
  <si>
    <t xml:space="preserve">KDX-284</t>
  </si>
  <si>
    <t xml:space="preserve">武蔵嵐山配送センター</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</si>
  <si>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D1001</t>
    </r>
    <r>
      <rPr>
        <sz val="10"/>
        <color rgb="FF0000FF"/>
        <rFont val="Noto Sans CJK SC"/>
        <family val="2"/>
      </rPr>
      <t xml:space="preserve">。所在地・竣工年月・延床面積は短信非掲載のため未収録</t>
    </r>
  </si>
  <si>
    <t xml:space="preserve">KDX-285</t>
  </si>
  <si>
    <t xml:space="preserve">座間配送センター</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</si>
  <si>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D1002</t>
    </r>
    <r>
      <rPr>
        <sz val="10"/>
        <color rgb="FF0000FF"/>
        <rFont val="Noto Sans CJK SC"/>
        <family val="2"/>
      </rPr>
      <t xml:space="preserve">。所在地・竣工年月・延床面積は短信非掲載のため未収録</t>
    </r>
  </si>
  <si>
    <t xml:space="preserve">KDX-286</t>
  </si>
  <si>
    <t xml:space="preserve">追浜配送センター</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</si>
  <si>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D1003</t>
    </r>
    <r>
      <rPr>
        <sz val="10"/>
        <color rgb="FF0000FF"/>
        <rFont val="Noto Sans CJK SC"/>
        <family val="2"/>
      </rPr>
      <t xml:space="preserve">。所在地・竣工年月・延床面積は短信非掲載のため未収録</t>
    </r>
  </si>
  <si>
    <t xml:space="preserve">KDX-287</t>
  </si>
  <si>
    <t xml:space="preserve">横浜上郷配送センター</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</si>
  <si>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D1004</t>
    </r>
    <r>
      <rPr>
        <sz val="10"/>
        <color rgb="FF0000FF"/>
        <rFont val="Noto Sans CJK SC"/>
        <family val="2"/>
      </rPr>
      <t xml:space="preserve">。所在地・竣工年月・延床面積は短信非掲載のため未収録</t>
    </r>
  </si>
  <si>
    <t xml:space="preserve">KDX-288</t>
  </si>
  <si>
    <t xml:space="preserve">行田配送センター</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</si>
  <si>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D1005</t>
    </r>
    <r>
      <rPr>
        <sz val="10"/>
        <color rgb="FF0000FF"/>
        <rFont val="Noto Sans CJK SC"/>
        <family val="2"/>
      </rPr>
      <t xml:space="preserve">。所在地・竣工年月・延床面積は短信非掲載のため未収録。稼働率</t>
    </r>
    <r>
      <rPr>
        <sz val="10"/>
        <color rgb="FF0000FF"/>
        <rFont val="Arial"/>
        <family val="0"/>
        <charset val="1"/>
      </rPr>
      <t xml:space="preserve">49.7%</t>
    </r>
    <r>
      <rPr>
        <sz val="10"/>
        <color rgb="FF0000FF"/>
        <rFont val="Noto Sans CJK SC"/>
        <family val="2"/>
      </rPr>
      <t xml:space="preserve">と低位</t>
    </r>
  </si>
  <si>
    <t xml:space="preserve">KDX-289</t>
  </si>
  <si>
    <t xml:space="preserve">新宿西落合配送センター</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</si>
  <si>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D1006</t>
    </r>
    <r>
      <rPr>
        <sz val="10"/>
        <color rgb="FF0000FF"/>
        <rFont val="Noto Sans CJK SC"/>
        <family val="2"/>
      </rPr>
      <t xml:space="preserve">。所在地・竣工年月・延床面積は短信非掲載のため未収録</t>
    </r>
  </si>
  <si>
    <t xml:space="preserve">KDX-290</t>
  </si>
  <si>
    <t xml:space="preserve">千葉北配送センター</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</si>
  <si>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D1007</t>
    </r>
    <r>
      <rPr>
        <sz val="10"/>
        <color rgb="FF0000FF"/>
        <rFont val="Noto Sans CJK SC"/>
        <family val="2"/>
      </rPr>
      <t xml:space="preserve">。所在地・竣工年月・延床面積は短信非掲載のため未収録</t>
    </r>
  </si>
  <si>
    <t xml:space="preserve">KDX-291</t>
  </si>
  <si>
    <t xml:space="preserve">デリア食品昭島配送センター(底地)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</si>
  <si>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D1008</t>
    </r>
    <r>
      <rPr>
        <sz val="10"/>
        <color rgb="FF0000FF"/>
        <rFont val="Noto Sans CJK SC"/>
        <family val="2"/>
      </rPr>
      <t xml:space="preserve">。所在地・竣工年月・延床面積は短信非掲載のため未収録。</t>
    </r>
    <r>
      <rPr>
        <sz val="10"/>
        <color rgb="FF0000FF"/>
        <rFont val="Arial"/>
        <family val="0"/>
        <charset val="1"/>
      </rPr>
      <t xml:space="preserve">2026/5/1</t>
    </r>
    <r>
      <rPr>
        <sz val="10"/>
        <color rgb="FF0000FF"/>
        <rFont val="Noto Sans CJK SC"/>
        <family val="2"/>
      </rPr>
      <t xml:space="preserve">に「旬菜デリ昭島配送センター</t>
    </r>
    <r>
      <rPr>
        <sz val="10"/>
        <color rgb="FF0000FF"/>
        <rFont val="Arial"/>
        <family val="0"/>
        <charset val="1"/>
      </rPr>
      <t xml:space="preserve">(</t>
    </r>
    <r>
      <rPr>
        <sz val="10"/>
        <color rgb="FF0000FF"/>
        <rFont val="Noto Sans CJK SC"/>
        <family val="2"/>
      </rPr>
      <t xml:space="preserve">底地</t>
    </r>
    <r>
      <rPr>
        <sz val="10"/>
        <color rgb="FF0000FF"/>
        <rFont val="Arial"/>
        <family val="0"/>
        <charset val="1"/>
      </rPr>
      <t xml:space="preserve">)</t>
    </r>
    <r>
      <rPr>
        <sz val="10"/>
        <color rgb="FF0000FF"/>
        <rFont val="Noto Sans CJK SC"/>
        <family val="2"/>
      </rPr>
      <t xml:space="preserve">」から名称変更</t>
    </r>
  </si>
  <si>
    <t xml:space="preserve">KDX-292</t>
  </si>
  <si>
    <r>
      <rPr>
        <sz val="10"/>
        <color rgb="FF0000FF"/>
        <rFont val="Arial"/>
        <family val="0"/>
        <charset val="1"/>
      </rPr>
      <t xml:space="preserve">KDX</t>
    </r>
    <r>
      <rPr>
        <sz val="10"/>
        <color rgb="FF0000FF"/>
        <rFont val="Noto Sans CJK SC"/>
        <family val="2"/>
      </rPr>
      <t xml:space="preserve">ロジスティクス海老名中央</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</si>
  <si>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D1009</t>
    </r>
    <r>
      <rPr>
        <sz val="10"/>
        <color rgb="FF0000FF"/>
        <rFont val="Noto Sans CJK SC"/>
        <family val="2"/>
      </rPr>
      <t xml:space="preserve">。所在地・竣工年月・延床面積は短信非掲載のため未収録</t>
    </r>
  </si>
  <si>
    <t xml:space="preserve">KDX-293</t>
  </si>
  <si>
    <r>
      <rPr>
        <sz val="10"/>
        <color rgb="FF0000FF"/>
        <rFont val="Arial"/>
        <family val="0"/>
        <charset val="1"/>
      </rPr>
      <t xml:space="preserve">KDX</t>
    </r>
    <r>
      <rPr>
        <sz val="10"/>
        <color rgb="FF0000FF"/>
        <rFont val="Noto Sans CJK SC"/>
        <family val="2"/>
      </rPr>
      <t xml:space="preserve">ロジスティクス昭島Ⅰ</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</si>
  <si>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D1010</t>
    </r>
    <r>
      <rPr>
        <sz val="10"/>
        <color rgb="FF0000FF"/>
        <rFont val="Noto Sans CJK SC"/>
        <family val="2"/>
      </rPr>
      <t xml:space="preserve">。所在地・竣工年月・延床面積は短信非掲載のため未収録。当期</t>
    </r>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取得</t>
    </r>
    <r>
      <rPr>
        <sz val="10"/>
        <color rgb="FF0000FF"/>
        <rFont val="Arial"/>
        <family val="0"/>
        <charset val="1"/>
      </rPr>
      <t xml:space="preserve">(</t>
    </r>
    <r>
      <rPr>
        <sz val="10"/>
        <color rgb="FF0000FF"/>
        <rFont val="Noto Sans CJK SC"/>
        <family val="2"/>
      </rPr>
      <t xml:space="preserve">取得価格</t>
    </r>
    <r>
      <rPr>
        <sz val="10"/>
        <color rgb="FF0000FF"/>
        <rFont val="Arial"/>
        <family val="0"/>
        <charset val="1"/>
      </rPr>
      <t xml:space="preserve">6,137</t>
    </r>
    <r>
      <rPr>
        <sz val="10"/>
        <color rgb="FF0000FF"/>
        <rFont val="Noto Sans CJK SC"/>
        <family val="2"/>
      </rPr>
      <t xml:space="preserve">百万円</t>
    </r>
    <r>
      <rPr>
        <sz val="10"/>
        <color rgb="FF0000FF"/>
        <rFont val="Arial"/>
        <family val="0"/>
        <charset val="1"/>
      </rPr>
      <t xml:space="preserve">)</t>
    </r>
  </si>
  <si>
    <t xml:space="preserve">KDX-294</t>
  </si>
  <si>
    <t xml:space="preserve">天理配送センター</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</si>
  <si>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D2002</t>
    </r>
    <r>
      <rPr>
        <sz val="10"/>
        <color rgb="FF0000FF"/>
        <rFont val="Noto Sans CJK SC"/>
        <family val="2"/>
      </rPr>
      <t xml:space="preserve">。所在地・竣工年月・延床面積は短信非掲載のため未収録</t>
    </r>
  </si>
  <si>
    <t xml:space="preserve">KDX-295</t>
  </si>
  <si>
    <t xml:space="preserve">プリマハム近畿センター</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</si>
  <si>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D2003</t>
    </r>
    <r>
      <rPr>
        <sz val="10"/>
        <color rgb="FF0000FF"/>
        <rFont val="Noto Sans CJK SC"/>
        <family val="2"/>
      </rPr>
      <t xml:space="preserve">。所在地・竣工年月・延床面積は短信非掲載のため未収録</t>
    </r>
  </si>
  <si>
    <t xml:space="preserve">KDX-296</t>
  </si>
  <si>
    <r>
      <rPr>
        <sz val="10"/>
        <color rgb="FF0000FF"/>
        <rFont val="Arial"/>
        <family val="0"/>
        <charset val="1"/>
      </rPr>
      <t xml:space="preserve">KDX</t>
    </r>
    <r>
      <rPr>
        <sz val="10"/>
        <color rgb="FF0000FF"/>
        <rFont val="Noto Sans CJK SC"/>
        <family val="2"/>
      </rPr>
      <t xml:space="preserve">広島呉配送センター</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</si>
  <si>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D2004</t>
    </r>
    <r>
      <rPr>
        <sz val="10"/>
        <color rgb="FF0000FF"/>
        <rFont val="Noto Sans CJK SC"/>
        <family val="2"/>
      </rPr>
      <t xml:space="preserve">。所在地・竣工年月・延床面積は短信非掲載のため未収録</t>
    </r>
  </si>
  <si>
    <t xml:space="preserve">KDX-297</t>
  </si>
  <si>
    <r>
      <rPr>
        <sz val="10"/>
        <color rgb="FF0000FF"/>
        <rFont val="Arial"/>
        <family val="0"/>
        <charset val="1"/>
      </rPr>
      <t xml:space="preserve">KDX</t>
    </r>
    <r>
      <rPr>
        <sz val="10"/>
        <color rgb="FF0000FF"/>
        <rFont val="Noto Sans CJK SC"/>
        <family val="2"/>
      </rPr>
      <t xml:space="preserve">ロジスティクス恩田原</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</si>
  <si>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D2005</t>
    </r>
    <r>
      <rPr>
        <sz val="10"/>
        <color rgb="FF0000FF"/>
        <rFont val="Noto Sans CJK SC"/>
        <family val="2"/>
      </rPr>
      <t xml:space="preserve">。所在地・竣工年月・延床面積は短信非掲載のため未収録</t>
    </r>
  </si>
  <si>
    <t xml:space="preserve">KDX-298</t>
  </si>
  <si>
    <t xml:space="preserve">ホテルリブマックス横浜駅西口</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</si>
  <si>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E1001</t>
    </r>
    <r>
      <rPr>
        <sz val="10"/>
        <color rgb="FF0000FF"/>
        <rFont val="Noto Sans CJK SC"/>
        <family val="2"/>
      </rPr>
      <t xml:space="preserve">。所在地・竣工年月・延床面積は短信非掲載のため未収録</t>
    </r>
  </si>
  <si>
    <t xml:space="preserve">KDX-299</t>
  </si>
  <si>
    <t xml:space="preserve">ホテルリブマックス東京大塚駅前</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</si>
  <si>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E1002</t>
    </r>
    <r>
      <rPr>
        <sz val="10"/>
        <color rgb="FF0000FF"/>
        <rFont val="Noto Sans CJK SC"/>
        <family val="2"/>
      </rPr>
      <t xml:space="preserve">。所在地・竣工年月・延床面積は短信非掲載のため未収録</t>
    </r>
  </si>
  <si>
    <t xml:space="preserve">KDX-300</t>
  </si>
  <si>
    <t xml:space="preserve">レム六本木ビル</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</si>
  <si>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E1003</t>
    </r>
    <r>
      <rPr>
        <sz val="10"/>
        <color rgb="FF0000FF"/>
        <rFont val="Noto Sans CJK SC"/>
        <family val="2"/>
      </rPr>
      <t xml:space="preserve">。所在地・竣工年月・延床面積は短信非掲載のため未収録</t>
    </r>
  </si>
  <si>
    <t xml:space="preserve">KDX-301</t>
  </si>
  <si>
    <t xml:space="preserve">沖縄プリンスホテルオーシャンビューぎのわん</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</si>
  <si>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E2001</t>
    </r>
    <r>
      <rPr>
        <sz val="10"/>
        <color rgb="FF0000FF"/>
        <rFont val="Noto Sans CJK SC"/>
        <family val="2"/>
      </rPr>
      <t xml:space="preserve">。所在地・竣工年月・延床面積は短信非掲載のため未収録</t>
    </r>
  </si>
  <si>
    <t xml:space="preserve">KDX-302</t>
  </si>
  <si>
    <t xml:space="preserve">新大阪江坂 東急REIホテル</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</si>
  <si>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E2002</t>
    </r>
    <r>
      <rPr>
        <sz val="10"/>
        <color rgb="FF0000FF"/>
        <rFont val="Noto Sans CJK SC"/>
        <family val="2"/>
      </rPr>
      <t xml:space="preserve">。所在地・竣工年月・延床面積は短信非掲載のため未収録</t>
    </r>
  </si>
  <si>
    <t xml:space="preserve">KDX-303</t>
  </si>
  <si>
    <t xml:space="preserve">ホテルJALシティ名古屋錦</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</si>
  <si>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E2003</t>
    </r>
    <r>
      <rPr>
        <sz val="10"/>
        <color rgb="FF0000FF"/>
        <rFont val="Noto Sans CJK SC"/>
        <family val="2"/>
      </rPr>
      <t xml:space="preserve">。所在地・竣工年月・延床面積は短信非掲載のため未収録</t>
    </r>
  </si>
  <si>
    <t xml:space="preserve">KDX-304</t>
  </si>
  <si>
    <t xml:space="preserve">ジョイステージ八王子</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</si>
  <si>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F1001</t>
    </r>
    <r>
      <rPr>
        <sz val="10"/>
        <color rgb="FF0000FF"/>
        <rFont val="Noto Sans CJK SC"/>
        <family val="2"/>
      </rPr>
      <t xml:space="preserve">。所在地・竣工年月・延床面積は短信非掲載のため未収録</t>
    </r>
  </si>
  <si>
    <t xml:space="preserve">KDX-305</t>
  </si>
  <si>
    <t xml:space="preserve">ニチイホームたまプラーザ</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</si>
  <si>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F1002</t>
    </r>
    <r>
      <rPr>
        <sz val="10"/>
        <color rgb="FF0000FF"/>
        <rFont val="Noto Sans CJK SC"/>
        <family val="2"/>
      </rPr>
      <t xml:space="preserve">。所在地・竣工年月・延床面積は短信非掲載のため未収録</t>
    </r>
  </si>
  <si>
    <t xml:space="preserve">KDX-306</t>
  </si>
  <si>
    <t xml:space="preserve">ニチイホーム中野南台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</si>
  <si>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F1003</t>
    </r>
    <r>
      <rPr>
        <sz val="10"/>
        <color rgb="FF0000FF"/>
        <rFont val="Noto Sans CJK SC"/>
        <family val="2"/>
      </rPr>
      <t xml:space="preserve">。所在地・竣工年月・延床面積は短信非掲載のため未収録</t>
    </r>
  </si>
  <si>
    <t xml:space="preserve">KDX-307</t>
  </si>
  <si>
    <t xml:space="preserve">ゆいま～る聖ヶ丘</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</si>
  <si>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F1004</t>
    </r>
    <r>
      <rPr>
        <sz val="10"/>
        <color rgb="FF0000FF"/>
        <rFont val="Noto Sans CJK SC"/>
        <family val="2"/>
      </rPr>
      <t xml:space="preserve">。所在地・竣工年月・延床面積は短信非掲載のため未収録</t>
    </r>
  </si>
  <si>
    <t xml:space="preserve">KDX-308</t>
  </si>
  <si>
    <t xml:space="preserve">イリーゼ蒲田・悠生苑</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</si>
  <si>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F1005</t>
    </r>
    <r>
      <rPr>
        <sz val="10"/>
        <color rgb="FF0000FF"/>
        <rFont val="Noto Sans CJK SC"/>
        <family val="2"/>
      </rPr>
      <t xml:space="preserve">。所在地・竣工年月・延床面積は短信非掲載のため未収録</t>
    </r>
  </si>
  <si>
    <t xml:space="preserve">KDX-309</t>
  </si>
  <si>
    <t xml:space="preserve">プレザングラン大田多摩川</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</si>
  <si>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F1006</t>
    </r>
    <r>
      <rPr>
        <sz val="10"/>
        <color rgb="FF0000FF"/>
        <rFont val="Noto Sans CJK SC"/>
        <family val="2"/>
      </rPr>
      <t xml:space="preserve">。所在地・竣工年月・延床面積は短信非掲載のため未収録</t>
    </r>
  </si>
  <si>
    <t xml:space="preserve">KDX-310</t>
  </si>
  <si>
    <t xml:space="preserve">ツクイ・サンシャイン町田</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</si>
  <si>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F1007</t>
    </r>
    <r>
      <rPr>
        <sz val="10"/>
        <color rgb="FF0000FF"/>
        <rFont val="Noto Sans CJK SC"/>
        <family val="2"/>
      </rPr>
      <t xml:space="preserve">。所在地・竣工年月・延床面積は短信非掲載のため未収録</t>
    </r>
  </si>
  <si>
    <t xml:space="preserve">KDX-311</t>
  </si>
  <si>
    <t xml:space="preserve">せらび恵比寿</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</si>
  <si>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F1008</t>
    </r>
    <r>
      <rPr>
        <sz val="10"/>
        <color rgb="FF0000FF"/>
        <rFont val="Noto Sans CJK SC"/>
        <family val="2"/>
      </rPr>
      <t xml:space="preserve">。所在地・竣工年月・延床面積は短信非掲載のため未収録</t>
    </r>
  </si>
  <si>
    <t xml:space="preserve">KDX-312</t>
  </si>
  <si>
    <r>
      <rPr>
        <sz val="10"/>
        <color rgb="FF0000FF"/>
        <rFont val="Arial"/>
        <family val="0"/>
        <charset val="1"/>
      </rPr>
      <t xml:space="preserve">SOMPO</t>
    </r>
    <r>
      <rPr>
        <sz val="10"/>
        <color rgb="FF0000FF"/>
        <rFont val="Noto Sans CJK SC"/>
        <family val="2"/>
      </rPr>
      <t xml:space="preserve">ケア そんぽの家</t>
    </r>
    <r>
      <rPr>
        <sz val="10"/>
        <color rgb="FF0000FF"/>
        <rFont val="Arial"/>
        <family val="0"/>
        <charset val="1"/>
      </rPr>
      <t xml:space="preserve">S</t>
    </r>
    <r>
      <rPr>
        <sz val="10"/>
        <color rgb="FF0000FF"/>
        <rFont val="Noto Sans CJK SC"/>
        <family val="2"/>
      </rPr>
      <t xml:space="preserve">ふじみ野</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</si>
  <si>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F1009</t>
    </r>
    <r>
      <rPr>
        <sz val="10"/>
        <color rgb="FF0000FF"/>
        <rFont val="Noto Sans CJK SC"/>
        <family val="2"/>
      </rPr>
      <t xml:space="preserve">。所在地・竣工年月・延床面積は短信非掲載のため未収録</t>
    </r>
  </si>
  <si>
    <t xml:space="preserve">KDX-313</t>
  </si>
  <si>
    <r>
      <rPr>
        <sz val="10"/>
        <color rgb="FF0000FF"/>
        <rFont val="Arial"/>
        <family val="0"/>
        <charset val="1"/>
      </rPr>
      <t xml:space="preserve">SOMPO</t>
    </r>
    <r>
      <rPr>
        <sz val="10"/>
        <color rgb="FF0000FF"/>
        <rFont val="Noto Sans CJK SC"/>
        <family val="2"/>
      </rPr>
      <t xml:space="preserve">ケア ラヴィーレレジデンス川崎新町</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</si>
  <si>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F1010</t>
    </r>
    <r>
      <rPr>
        <sz val="10"/>
        <color rgb="FF0000FF"/>
        <rFont val="Noto Sans CJK SC"/>
        <family val="2"/>
      </rPr>
      <t xml:space="preserve">。所在地・竣工年月・延床面積は短信非掲載のため未収録</t>
    </r>
  </si>
  <si>
    <t xml:space="preserve">KDX-314</t>
  </si>
  <si>
    <t xml:space="preserve">ツクイ・サンシャイン足立</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</si>
  <si>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F1011</t>
    </r>
    <r>
      <rPr>
        <sz val="10"/>
        <color rgb="FF0000FF"/>
        <rFont val="Noto Sans CJK SC"/>
        <family val="2"/>
      </rPr>
      <t xml:space="preserve">。所在地・竣工年月・延床面積は短信非掲載のため未収録</t>
    </r>
  </si>
  <si>
    <t xml:space="preserve">KDX-315</t>
  </si>
  <si>
    <r>
      <rPr>
        <sz val="10"/>
        <color rgb="FF0000FF"/>
        <rFont val="Arial"/>
        <family val="0"/>
        <charset val="1"/>
      </rPr>
      <t xml:space="preserve">SOMPO</t>
    </r>
    <r>
      <rPr>
        <sz val="10"/>
        <color rgb="FF0000FF"/>
        <rFont val="Noto Sans CJK SC"/>
        <family val="2"/>
      </rPr>
      <t xml:space="preserve">ケア ラヴィーレ一之江</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</si>
  <si>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F1012</t>
    </r>
    <r>
      <rPr>
        <sz val="10"/>
        <color rgb="FF0000FF"/>
        <rFont val="Noto Sans CJK SC"/>
        <family val="2"/>
      </rPr>
      <t xml:space="preserve">。所在地・竣工年月・延床面積は短信非掲載のため未収録</t>
    </r>
  </si>
  <si>
    <t xml:space="preserve">KDX-316</t>
  </si>
  <si>
    <t xml:space="preserve">ニチイホーム八幡山</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</si>
  <si>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F1013</t>
    </r>
    <r>
      <rPr>
        <sz val="10"/>
        <color rgb="FF0000FF"/>
        <rFont val="Noto Sans CJK SC"/>
        <family val="2"/>
      </rPr>
      <t xml:space="preserve">。所在地・竣工年月・延床面積は短信非掲載のため未収録</t>
    </r>
  </si>
  <si>
    <t xml:space="preserve">KDX-317</t>
  </si>
  <si>
    <t xml:space="preserve">サニーライフ立川</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</si>
  <si>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F1014</t>
    </r>
    <r>
      <rPr>
        <sz val="10"/>
        <color rgb="FF0000FF"/>
        <rFont val="Noto Sans CJK SC"/>
        <family val="2"/>
      </rPr>
      <t xml:space="preserve">。所在地・竣工年月・延床面積は短信非掲載のため未収録</t>
    </r>
  </si>
  <si>
    <t xml:space="preserve">KDX-318</t>
  </si>
  <si>
    <t xml:space="preserve">リハビリホームボンセジュール南千束</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</si>
  <si>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F1015</t>
    </r>
    <r>
      <rPr>
        <sz val="10"/>
        <color rgb="FF0000FF"/>
        <rFont val="Noto Sans CJK SC"/>
        <family val="2"/>
      </rPr>
      <t xml:space="preserve">。所在地・竣工年月・延床面積は短信非掲載のため未収録</t>
    </r>
  </si>
  <si>
    <t xml:space="preserve">KDX-319</t>
  </si>
  <si>
    <t xml:space="preserve">イリーゼ練馬光が丘</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</si>
  <si>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F1016</t>
    </r>
    <r>
      <rPr>
        <sz val="10"/>
        <color rgb="FF0000FF"/>
        <rFont val="Noto Sans CJK SC"/>
        <family val="2"/>
      </rPr>
      <t xml:space="preserve">。所在地・竣工年月・延床面積は短信非掲載のため未収録</t>
    </r>
  </si>
  <si>
    <t xml:space="preserve">KDX-320</t>
  </si>
  <si>
    <r>
      <rPr>
        <sz val="10"/>
        <color rgb="FF0000FF"/>
        <rFont val="Arial"/>
        <family val="0"/>
        <charset val="1"/>
      </rPr>
      <t xml:space="preserve">SOMPO</t>
    </r>
    <r>
      <rPr>
        <sz val="10"/>
        <color rgb="FF0000FF"/>
        <rFont val="Noto Sans CJK SC"/>
        <family val="2"/>
      </rPr>
      <t xml:space="preserve">ケア ラヴィーレ元住吉</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</si>
  <si>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F1017</t>
    </r>
    <r>
      <rPr>
        <sz val="10"/>
        <color rgb="FF0000FF"/>
        <rFont val="Noto Sans CJK SC"/>
        <family val="2"/>
      </rPr>
      <t xml:space="preserve">。所在地・竣工年月・延床面積は短信非掲載のため未収録</t>
    </r>
  </si>
  <si>
    <t xml:space="preserve">KDX-321</t>
  </si>
  <si>
    <t xml:space="preserve">ニチイホーム碑文谷</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</si>
  <si>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F1018</t>
    </r>
    <r>
      <rPr>
        <sz val="10"/>
        <color rgb="FF0000FF"/>
        <rFont val="Noto Sans CJK SC"/>
        <family val="2"/>
      </rPr>
      <t xml:space="preserve">。所在地・竣工年月・延床面積は短信非掲載のため未収録</t>
    </r>
  </si>
  <si>
    <t xml:space="preserve">KDX-322</t>
  </si>
  <si>
    <t xml:space="preserve">アクティバ琵琶</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</si>
  <si>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F2001</t>
    </r>
    <r>
      <rPr>
        <sz val="10"/>
        <color rgb="FF0000FF"/>
        <rFont val="Noto Sans CJK SC"/>
        <family val="2"/>
      </rPr>
      <t xml:space="preserve">。所在地・竣工年月・延床面積は短信非掲載のため未収録</t>
    </r>
  </si>
  <si>
    <t xml:space="preserve">KDX-323</t>
  </si>
  <si>
    <t xml:space="preserve">天</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</si>
  <si>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F2002</t>
    </r>
    <r>
      <rPr>
        <sz val="10"/>
        <color rgb="FF0000FF"/>
        <rFont val="Noto Sans CJK SC"/>
        <family val="2"/>
      </rPr>
      <t xml:space="preserve">。所在地・竣工年月・延床面積は短信非掲載のため未収録</t>
    </r>
  </si>
  <si>
    <t xml:space="preserve">KDX-324</t>
  </si>
  <si>
    <r>
      <rPr>
        <sz val="10"/>
        <color rgb="FF0000FF"/>
        <rFont val="Arial"/>
        <family val="0"/>
        <charset val="1"/>
      </rPr>
      <t xml:space="preserve">SOMPO</t>
    </r>
    <r>
      <rPr>
        <sz val="10"/>
        <color rgb="FF0000FF"/>
        <rFont val="Noto Sans CJK SC"/>
        <family val="2"/>
      </rPr>
      <t xml:space="preserve">ケア ラヴィーレ神戸垂水</t>
    </r>
  </si>
  <si>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F2003</t>
    </r>
    <r>
      <rPr>
        <sz val="10"/>
        <color rgb="FF0000FF"/>
        <rFont val="Noto Sans CJK SC"/>
        <family val="2"/>
      </rPr>
      <t xml:space="preserve">。所在地・竣工年月・延床面積は短信非掲載のため未収録</t>
    </r>
  </si>
  <si>
    <t xml:space="preserve">KDX-325</t>
  </si>
  <si>
    <t xml:space="preserve">いざりえ恵庭ビル</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</si>
  <si>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F2004</t>
    </r>
    <r>
      <rPr>
        <sz val="10"/>
        <color rgb="FF0000FF"/>
        <rFont val="Noto Sans CJK SC"/>
        <family val="2"/>
      </rPr>
      <t xml:space="preserve">。所在地・竣工年月・延床面積は短信非掲載のため未収録</t>
    </r>
  </si>
  <si>
    <t xml:space="preserve">KDX-326</t>
  </si>
  <si>
    <t xml:space="preserve">グランヒルズおがわらこ</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</si>
  <si>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F2005</t>
    </r>
    <r>
      <rPr>
        <sz val="10"/>
        <color rgb="FF0000FF"/>
        <rFont val="Noto Sans CJK SC"/>
        <family val="2"/>
      </rPr>
      <t xml:space="preserve">。所在地・竣工年月・延床面積は短信非掲載のため未収録</t>
    </r>
  </si>
  <si>
    <t xml:space="preserve">KDX-327</t>
  </si>
  <si>
    <t xml:space="preserve">リハビリホームグランダ門戸厄神</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</si>
  <si>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F2006</t>
    </r>
    <r>
      <rPr>
        <sz val="10"/>
        <color rgb="FF0000FF"/>
        <rFont val="Noto Sans CJK SC"/>
        <family val="2"/>
      </rPr>
      <t xml:space="preserve">。所在地・竣工年月・延床面積は短信非掲載のため未収録</t>
    </r>
  </si>
  <si>
    <t xml:space="preserve">KDX-328</t>
  </si>
  <si>
    <t xml:space="preserve">さわやか桜弐番館</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</si>
  <si>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F2007</t>
    </r>
    <r>
      <rPr>
        <sz val="10"/>
        <color rgb="FF0000FF"/>
        <rFont val="Noto Sans CJK SC"/>
        <family val="2"/>
      </rPr>
      <t xml:space="preserve">。所在地・竣工年月・延床面積は短信非掲載のため未収録</t>
    </r>
  </si>
  <si>
    <t xml:space="preserve">KDX-329</t>
  </si>
  <si>
    <t xml:space="preserve">エクセレント西宮</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</si>
  <si>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F2008</t>
    </r>
    <r>
      <rPr>
        <sz val="10"/>
        <color rgb="FF0000FF"/>
        <rFont val="Noto Sans CJK SC"/>
        <family val="2"/>
      </rPr>
      <t xml:space="preserve">。所在地・竣工年月・延床面積は短信非掲載のため未収録</t>
    </r>
  </si>
  <si>
    <t xml:space="preserve">KDX-330</t>
  </si>
  <si>
    <t xml:space="preserve">イリーゼ西岡</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</si>
  <si>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F2009</t>
    </r>
    <r>
      <rPr>
        <sz val="10"/>
        <color rgb="FF0000FF"/>
        <rFont val="Noto Sans CJK SC"/>
        <family val="2"/>
      </rPr>
      <t xml:space="preserve">。所在地・竣工年月・延床面積は短信非掲載のため未収録</t>
    </r>
  </si>
  <si>
    <t xml:space="preserve">KDX-331</t>
  </si>
  <si>
    <t xml:space="preserve">エクセレント北野</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</si>
  <si>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F2010</t>
    </r>
    <r>
      <rPr>
        <sz val="10"/>
        <color rgb="FF0000FF"/>
        <rFont val="Noto Sans CJK SC"/>
        <family val="2"/>
      </rPr>
      <t xml:space="preserve">。所在地・竣工年月・延床面積は短信非掲載のため未収録</t>
    </r>
  </si>
  <si>
    <t xml:space="preserve">KDX-332</t>
  </si>
  <si>
    <t xml:space="preserve">アネシス寺田町</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</si>
  <si>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F2011</t>
    </r>
    <r>
      <rPr>
        <sz val="10"/>
        <color rgb="FF0000FF"/>
        <rFont val="Noto Sans CJK SC"/>
        <family val="2"/>
      </rPr>
      <t xml:space="preserve">。所在地・竣工年月・延床面積は短信非掲載のため未収録</t>
    </r>
  </si>
  <si>
    <t xml:space="preserve">KDX-333</t>
  </si>
  <si>
    <t xml:space="preserve">オラージュ須磨</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</si>
  <si>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F2012</t>
    </r>
    <r>
      <rPr>
        <sz val="10"/>
        <color rgb="FF0000FF"/>
        <rFont val="Noto Sans CJK SC"/>
        <family val="2"/>
      </rPr>
      <t xml:space="preserve">。所在地・竣工年月・延床面積は短信非掲載のため未収録</t>
    </r>
  </si>
  <si>
    <t xml:space="preserve">KDX-334</t>
  </si>
  <si>
    <t xml:space="preserve">ロココリハ</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</si>
  <si>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F2013</t>
    </r>
    <r>
      <rPr>
        <sz val="10"/>
        <color rgb="FF0000FF"/>
        <rFont val="Noto Sans CJK SC"/>
        <family val="2"/>
      </rPr>
      <t xml:space="preserve">。所在地・竣工年月・延床面積は短信非掲載のため未収録</t>
    </r>
  </si>
  <si>
    <t xml:space="preserve">KDX-335</t>
  </si>
  <si>
    <t xml:space="preserve">カネディアンヒル</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</si>
  <si>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F2014</t>
    </r>
    <r>
      <rPr>
        <sz val="10"/>
        <color rgb="FF0000FF"/>
        <rFont val="Noto Sans CJK SC"/>
        <family val="2"/>
      </rPr>
      <t xml:space="preserve">。所在地・竣工年月・延床面積は短信非掲載のため未収録</t>
    </r>
  </si>
  <si>
    <t xml:space="preserve">KDX-336</t>
  </si>
  <si>
    <t xml:space="preserve">アネシス兵庫</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</si>
  <si>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F2015</t>
    </r>
    <r>
      <rPr>
        <sz val="10"/>
        <color rgb="FF0000FF"/>
        <rFont val="Noto Sans CJK SC"/>
        <family val="2"/>
      </rPr>
      <t xml:space="preserve">。所在地・竣工年月・延床面積は短信非掲載のため未収録</t>
    </r>
  </si>
  <si>
    <t xml:space="preserve">KDX-337</t>
  </si>
  <si>
    <t xml:space="preserve">アルテ石屋川</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</si>
  <si>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F2016</t>
    </r>
    <r>
      <rPr>
        <sz val="10"/>
        <color rgb="FF0000FF"/>
        <rFont val="Noto Sans CJK SC"/>
        <family val="2"/>
      </rPr>
      <t xml:space="preserve">。所在地・竣工年月・延床面積は短信非掲載のため未収録</t>
    </r>
  </si>
  <si>
    <t xml:space="preserve">KDX-338</t>
  </si>
  <si>
    <t xml:space="preserve">メディカルホームグランダ苦楽園</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</si>
  <si>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F2017</t>
    </r>
    <r>
      <rPr>
        <sz val="10"/>
        <color rgb="FF0000FF"/>
        <rFont val="Noto Sans CJK SC"/>
        <family val="2"/>
      </rPr>
      <t xml:space="preserve">。所在地・竣工年月・延床面積は短信非掲載のため未収録</t>
    </r>
  </si>
  <si>
    <t xml:space="preserve">KDX-339</t>
  </si>
  <si>
    <t xml:space="preserve">メディカル・リハビリホームグランダ神戸北野</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</si>
  <si>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F2018</t>
    </r>
    <r>
      <rPr>
        <sz val="10"/>
        <color rgb="FF0000FF"/>
        <rFont val="Noto Sans CJK SC"/>
        <family val="2"/>
      </rPr>
      <t xml:space="preserve">。所在地・竣工年月・延床面積は短信非掲載のため未収録</t>
    </r>
  </si>
  <si>
    <t xml:space="preserve">KDX-340</t>
  </si>
  <si>
    <t xml:space="preserve">エクセレント花屋敷ガーデンヒルズ</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</si>
  <si>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F2019</t>
    </r>
    <r>
      <rPr>
        <sz val="10"/>
        <color rgb="FF0000FF"/>
        <rFont val="Noto Sans CJK SC"/>
        <family val="2"/>
      </rPr>
      <t xml:space="preserve">。所在地・竣工年月・延床面積は短信非掲載のため未収録</t>
    </r>
  </si>
  <si>
    <t xml:space="preserve">KDX-341</t>
  </si>
  <si>
    <t xml:space="preserve">イリーゼ神戸六甲</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</si>
  <si>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F2020</t>
    </r>
    <r>
      <rPr>
        <sz val="10"/>
        <color rgb="FF0000FF"/>
        <rFont val="Noto Sans CJK SC"/>
        <family val="2"/>
      </rPr>
      <t xml:space="preserve">。所在地・竣工年月・延床面積は短信非掲載のため未収録</t>
    </r>
  </si>
  <si>
    <t xml:space="preserve">KDX-342</t>
  </si>
  <si>
    <t xml:space="preserve">エクセレント宝塚ガーデンヒルズ</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</si>
  <si>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F2021</t>
    </r>
    <r>
      <rPr>
        <sz val="10"/>
        <color rgb="FF0000FF"/>
        <rFont val="Noto Sans CJK SC"/>
        <family val="2"/>
      </rPr>
      <t xml:space="preserve">。所在地・竣工年月・延床面積は短信非掲載のため未収録</t>
    </r>
  </si>
  <si>
    <t xml:space="preserve">KDX-343</t>
  </si>
  <si>
    <t xml:space="preserve">ライフシップ大麻</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</si>
  <si>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F2022</t>
    </r>
    <r>
      <rPr>
        <sz val="10"/>
        <color rgb="FF0000FF"/>
        <rFont val="Noto Sans CJK SC"/>
        <family val="2"/>
      </rPr>
      <t xml:space="preserve">。所在地・竣工年月・延床面積は短信非掲載のため未収録</t>
    </r>
  </si>
  <si>
    <t xml:space="preserve">KDX-344</t>
  </si>
  <si>
    <t xml:space="preserve">医療ケア対応型住宅・ナーシングホームレラ湯の川</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</si>
  <si>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F2023</t>
    </r>
    <r>
      <rPr>
        <sz val="10"/>
        <color rgb="FF0000FF"/>
        <rFont val="Noto Sans CJK SC"/>
        <family val="2"/>
      </rPr>
      <t xml:space="preserve">。所在地・竣工年月・延床面積は短信非掲載のため未収録</t>
    </r>
  </si>
  <si>
    <t xml:space="preserve">KDX-345</t>
  </si>
  <si>
    <t xml:space="preserve">ライフシップ深川</t>
  </si>
  <si>
    <r>
      <rPr>
        <sz val="10"/>
        <color rgb="FF0000FF"/>
        <rFont val="Arial"/>
        <family val="0"/>
        <charset val="1"/>
      </rPr>
      <t xml:space="preserve">KDX</t>
    </r>
    <r>
      <rPr>
        <sz val="10"/>
        <color rgb="FF0000FF"/>
        <rFont val="Noto Sans CJK SC"/>
        <family val="2"/>
      </rPr>
      <t xml:space="preserve">物件番号</t>
    </r>
    <r>
      <rPr>
        <sz val="10"/>
        <color rgb="FF0000FF"/>
        <rFont val="Arial"/>
        <family val="0"/>
        <charset val="1"/>
      </rPr>
      <t xml:space="preserve">F2024</t>
    </r>
    <r>
      <rPr>
        <sz val="10"/>
        <color rgb="FF0000FF"/>
        <rFont val="Noto Sans CJK SC"/>
        <family val="2"/>
      </rPr>
      <t xml:space="preserve">。所在地・竣工年月・延床面積は短信非掲載のため未収録</t>
    </r>
  </si>
  <si>
    <t xml:space="preserve">CTR-01</t>
  </si>
  <si>
    <t xml:space="preserve">ザイマックス西新橋ビル</t>
  </si>
  <si>
    <t xml:space="preserve">OF</t>
  </si>
  <si>
    <t xml:space="preserve">不動産信託受益権</t>
  </si>
  <si>
    <t xml:space="preserve">100%</t>
  </si>
  <si>
    <t xml:space="preserve">2000-08</t>
  </si>
  <si>
    <t xml:space="preserve">2018-02</t>
  </si>
  <si>
    <t xml:space="preserve">セントラル・リート投資法人 公式サイト ポートフォリオ一覧（2026年3月30日現在）／第16期有価証券報告書／第9期資産運用報告</t>
  </si>
  <si>
    <t xml:space="preserve">物件別の稼働率・賃貸可能面積・テナント数・PML・帳簿価額は同法人が非開示。法人合計は第16期有報で稼働率99.9%・総賃貸可能面積86,030.38㎡</t>
  </si>
  <si>
    <t xml:space="preserve">CTR-02</t>
  </si>
  <si>
    <t xml:space="preserve">ザイマックス岩本町ビル</t>
  </si>
  <si>
    <t xml:space="preserve">2001-03</t>
  </si>
  <si>
    <t xml:space="preserve">CTR-03</t>
  </si>
  <si>
    <t xml:space="preserve">ザイマックス新宿御苑ビル</t>
  </si>
  <si>
    <t xml:space="preserve">2001-02</t>
  </si>
  <si>
    <t xml:space="preserve">旗艦物件／物件別の稼働率・賃貸可能面積・テナント数・PML・帳簿価額は同法人が非開示。法人合計は第16期有報で稼働率99.9%・総賃貸可能面積86,030.38㎡</t>
  </si>
  <si>
    <t xml:space="preserve">CTR-04</t>
  </si>
  <si>
    <t xml:space="preserve">ザイマックス神谷町ビル</t>
  </si>
  <si>
    <t xml:space="preserve">1991-04</t>
  </si>
  <si>
    <t xml:space="preserve">CTR-05</t>
  </si>
  <si>
    <t xml:space="preserve">ザイマックス東麻布ビル</t>
  </si>
  <si>
    <t xml:space="preserve">1999-11</t>
  </si>
  <si>
    <t xml:space="preserve">CTR-06</t>
  </si>
  <si>
    <t xml:space="preserve">ザイマックス東上野ビル</t>
  </si>
  <si>
    <t xml:space="preserve">1999-04</t>
  </si>
  <si>
    <t xml:space="preserve">CTR-07</t>
  </si>
  <si>
    <t xml:space="preserve">ザイマックス八王子ビル</t>
  </si>
  <si>
    <t xml:space="preserve">1993-01</t>
  </si>
  <si>
    <t xml:space="preserve">CTR-09</t>
  </si>
  <si>
    <t xml:space="preserve">ザイマックス札幌大通ビル</t>
  </si>
  <si>
    <t xml:space="preserve">2020-09</t>
  </si>
  <si>
    <t xml:space="preserve">2022-03</t>
  </si>
  <si>
    <t xml:space="preserve">CTR-10</t>
  </si>
  <si>
    <t xml:space="preserve">ザイマックス木場公園ビル</t>
  </si>
  <si>
    <t xml:space="preserve">1992-10</t>
  </si>
  <si>
    <t xml:space="preserve">CTR-11</t>
  </si>
  <si>
    <t xml:space="preserve">エニシオ名駅</t>
  </si>
  <si>
    <t xml:space="preserve">愛知県名古屋市中村区名駅四丁目8番26号</t>
  </si>
  <si>
    <t xml:space="preserve">不動産信託受益権の準共有持分</t>
  </si>
  <si>
    <t xml:space="preserve">10%</t>
  </si>
  <si>
    <t xml:space="preserve">2023-07</t>
  </si>
  <si>
    <t xml:space="preserve">2026-03</t>
  </si>
  <si>
    <t xml:space="preserve">信託受益権の準共有持分10%。2026/3/30取得／延床面積は本投資法人の保有部分（ESGページ記載値）／物件別の稼働率・賃貸可能面積・テナント数・PML・帳簿価額は同法人が非開示。法人合計は第16期有報で稼働率99.9%・総賃貸可能面積86,030.38㎡／延床面積は建物全体。準共有持分10%相当は1,866.17㎡</t>
  </si>
  <si>
    <t xml:space="preserve">CTR-12</t>
  </si>
  <si>
    <t xml:space="preserve">上前津ＫＤビル</t>
  </si>
  <si>
    <t xml:space="preserve">愛知県名古屋市中区大須四丁目10番32号</t>
  </si>
  <si>
    <t xml:space="preserve">不動産（現物）</t>
  </si>
  <si>
    <t xml:space="preserve">1988-03</t>
  </si>
  <si>
    <r>
      <rPr>
        <sz val="10"/>
        <color rgb="FF0000FF"/>
        <rFont val="Arial"/>
        <family val="0"/>
        <charset val="1"/>
      </rPr>
      <t xml:space="preserve">2026/3/30</t>
    </r>
    <r>
      <rPr>
        <sz val="10"/>
        <color rgb="FF0000FF"/>
        <rFont val="Noto Sans CJK SC"/>
        <family val="2"/>
      </rPr>
      <t xml:space="preserve">取得／物件別の稼働率・賃貸可能面積・テナント数・</t>
    </r>
    <r>
      <rPr>
        <sz val="10"/>
        <color rgb="FF0000FF"/>
        <rFont val="Arial"/>
        <family val="0"/>
        <charset val="1"/>
      </rPr>
      <t xml:space="preserve">PML</t>
    </r>
    <r>
      <rPr>
        <sz val="10"/>
        <color rgb="FF0000FF"/>
        <rFont val="Noto Sans CJK SC"/>
        <family val="2"/>
      </rPr>
      <t xml:space="preserve">・帳簿価額は同法人が非開示。法人合計は第</t>
    </r>
    <r>
      <rPr>
        <sz val="10"/>
        <color rgb="FF0000FF"/>
        <rFont val="Arial"/>
        <family val="0"/>
        <charset val="1"/>
      </rPr>
      <t xml:space="preserve">16</t>
    </r>
    <r>
      <rPr>
        <sz val="10"/>
        <color rgb="FF0000FF"/>
        <rFont val="Noto Sans CJK SC"/>
        <family val="2"/>
      </rPr>
      <t xml:space="preserve">期有報で稼働率</t>
    </r>
    <r>
      <rPr>
        <sz val="10"/>
        <color rgb="FF0000FF"/>
        <rFont val="Arial"/>
        <family val="0"/>
        <charset val="1"/>
      </rPr>
      <t xml:space="preserve">99.9%</t>
    </r>
    <r>
      <rPr>
        <sz val="10"/>
        <color rgb="FF0000FF"/>
        <rFont val="Noto Sans CJK SC"/>
        <family val="2"/>
      </rPr>
      <t xml:space="preserve">・総賃貸可能面積</t>
    </r>
    <r>
      <rPr>
        <sz val="10"/>
        <color rgb="FF0000FF"/>
        <rFont val="Arial"/>
        <family val="0"/>
        <charset val="1"/>
      </rPr>
      <t xml:space="preserve">86,030.38</t>
    </r>
    <r>
      <rPr>
        <sz val="10"/>
        <color rgb="FF0000FF"/>
        <rFont val="Noto Sans CJK SC"/>
        <family val="2"/>
      </rPr>
      <t xml:space="preserve">㎡</t>
    </r>
  </si>
  <si>
    <t xml:space="preserve">CTR-13</t>
  </si>
  <si>
    <t xml:space="preserve">ミューザ川崎</t>
  </si>
  <si>
    <t xml:space="preserve">RT</t>
  </si>
  <si>
    <t xml:space="preserve">不動産信託受益権（区分所有建物）</t>
  </si>
  <si>
    <r>
      <rPr>
        <sz val="10"/>
        <color rgb="FF0000FF"/>
        <rFont val="Arial"/>
        <family val="0"/>
        <charset val="1"/>
      </rPr>
      <t xml:space="preserve">100%</t>
    </r>
    <r>
      <rPr>
        <sz val="10"/>
        <color rgb="FF0000FF"/>
        <rFont val="Noto Sans CJK SC"/>
        <family val="2"/>
      </rPr>
      <t xml:space="preserve">（保有区分）</t>
    </r>
  </si>
  <si>
    <t xml:space="preserve">2003-12</t>
  </si>
  <si>
    <t xml:space="preserve">区分所有。延床は建物全体／物件別の稼働率・賃貸可能面積・テナント数・PML・帳簿価額は同法人が非開示。法人合計は第16期有報で稼働率99.9%・総賃貸可能面積86,030.38㎡</t>
  </si>
  <si>
    <t xml:space="preserve">CTR-14</t>
  </si>
  <si>
    <t xml:space="preserve">ライフ川崎御幸店</t>
  </si>
  <si>
    <t xml:space="preserve">1997-01</t>
  </si>
  <si>
    <t xml:space="preserve">CTR-15</t>
  </si>
  <si>
    <t xml:space="preserve">ヴィータ聖蹟桜ヶ丘</t>
  </si>
  <si>
    <t xml:space="preserve">多摩市</t>
  </si>
  <si>
    <t xml:space="preserve">1999-09</t>
  </si>
  <si>
    <t xml:space="preserve">区分所有。延床は建物全体／延床面積は本投資法人の保有部分（ESGページ記載値）／物件別の稼働率・賃貸可能面積・テナント数・PML・帳簿価額は同法人が非開示。法人合計は第16期有報で稼働率99.9%・総賃貸可能面積86,030.38㎡／延床面積は建物全体。ESG開示上の保有部分は27,161.00㎡</t>
  </si>
  <si>
    <t xml:space="preserve">CTR-16</t>
  </si>
  <si>
    <t xml:space="preserve">ライフ福泉店</t>
  </si>
  <si>
    <t xml:space="preserve">堺市</t>
  </si>
  <si>
    <t xml:space="preserve">1996-12</t>
  </si>
  <si>
    <t xml:space="preserve">CTR-17</t>
  </si>
  <si>
    <t xml:space="preserve">ザ・パークハウス戸塚フロント（1階・2階商業部分）</t>
  </si>
  <si>
    <t xml:space="preserve">2018-05</t>
  </si>
  <si>
    <t xml:space="preserve">2021-07</t>
  </si>
  <si>
    <t xml:space="preserve">CTR-18</t>
  </si>
  <si>
    <t xml:space="preserve">バロー勝川店（底地）</t>
  </si>
  <si>
    <t xml:space="preserve">春日井市</t>
  </si>
  <si>
    <t xml:space="preserve">50%</t>
  </si>
  <si>
    <t xml:space="preserve">2022-01</t>
  </si>
  <si>
    <t xml:space="preserve">底地。信託受益権の準共有持分50%／物件別の稼働率・賃貸可能面積・テナント数・PML・帳簿価額は同法人が非開示。法人合計は第16期有報で稼働率99.9%・総賃貸可能面積86,030.38㎡</t>
  </si>
  <si>
    <t xml:space="preserve">CTR-19</t>
  </si>
  <si>
    <t xml:space="preserve">ホテルビスタ仙台</t>
  </si>
  <si>
    <t xml:space="preserve">HT</t>
  </si>
  <si>
    <t xml:space="preserve">2016-03</t>
  </si>
  <si>
    <t xml:space="preserve">CTR-20</t>
  </si>
  <si>
    <t xml:space="preserve">からくさホテル札幌</t>
  </si>
  <si>
    <t xml:space="preserve">20%</t>
  </si>
  <si>
    <t xml:space="preserve">2024-09</t>
  </si>
  <si>
    <t xml:space="preserve">信託受益権の準共有持分20%／物件別の稼働率・賃貸可能面積・テナント数・PML・帳簿価額は同法人が非開示。法人合計は第16期有報で稼働率99.9%・総賃貸可能面積86,030.38㎡</t>
  </si>
  <si>
    <t xml:space="preserve">CTR-21</t>
  </si>
  <si>
    <t xml:space="preserve">エルプレイス西葛西</t>
  </si>
  <si>
    <t xml:space="preserve">RS</t>
  </si>
  <si>
    <t xml:space="preserve">1986-06</t>
  </si>
  <si>
    <t xml:space="preserve">ORI-02</t>
  </si>
  <si>
    <r>
      <rPr>
        <sz val="10"/>
        <color rgb="FF0000FF"/>
        <rFont val="Arial"/>
        <family val="0"/>
        <charset val="1"/>
      </rPr>
      <t xml:space="preserve">ONEST</t>
    </r>
    <r>
      <rPr>
        <sz val="10"/>
        <color rgb="FF0000FF"/>
        <rFont val="Noto Sans CJK SC"/>
        <family val="2"/>
      </rPr>
      <t xml:space="preserve">神田スクエア</t>
    </r>
  </si>
  <si>
    <t xml:space="preserve">不動産</t>
  </si>
  <si>
    <t xml:space="preserve">2007-04</t>
  </si>
  <si>
    <t xml:space="preserve">2013-10</t>
  </si>
  <si>
    <r>
      <rPr>
        <sz val="10"/>
        <color rgb="FF0000FF"/>
        <rFont val="Arial"/>
        <family val="0"/>
        <charset val="1"/>
      </rPr>
      <t xml:space="preserve">One</t>
    </r>
    <r>
      <rPr>
        <sz val="10"/>
        <color rgb="FF0000FF"/>
        <rFont val="Noto Sans CJK SC"/>
        <family val="2"/>
      </rPr>
      <t xml:space="preserve">リート投資法人 公式サイト ポートフォリオ一覧（</t>
    </r>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7</t>
    </r>
    <r>
      <rPr>
        <sz val="10"/>
        <color rgb="FF0000FF"/>
        <rFont val="Noto Sans CJK SC"/>
        <family val="2"/>
      </rPr>
      <t xml:space="preserve">月</t>
    </r>
    <r>
      <rPr>
        <sz val="10"/>
        <color rgb="FF0000FF"/>
        <rFont val="Arial"/>
        <family val="0"/>
        <charset val="1"/>
      </rPr>
      <t xml:space="preserve">30</t>
    </r>
    <r>
      <rPr>
        <sz val="10"/>
        <color rgb="FF0000FF"/>
        <rFont val="Noto Sans CJK SC"/>
        <family val="2"/>
      </rPr>
      <t xml:space="preserve">日現在）／第</t>
    </r>
    <r>
      <rPr>
        <sz val="10"/>
        <color rgb="FF0000FF"/>
        <rFont val="Arial"/>
        <family val="0"/>
        <charset val="1"/>
      </rPr>
      <t xml:space="preserve">25</t>
    </r>
    <r>
      <rPr>
        <sz val="10"/>
        <color rgb="FF0000FF"/>
        <rFont val="Noto Sans CJK SC"/>
        <family val="2"/>
      </rPr>
      <t xml:space="preserve">期（</t>
    </r>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月期）決算短信 参考情報</t>
    </r>
  </si>
  <si>
    <t xml:space="preserve">ORI-03</t>
  </si>
  <si>
    <t xml:space="preserve">立川錦町ビル</t>
  </si>
  <si>
    <t xml:space="preserve">1991-06</t>
  </si>
  <si>
    <t xml:space="preserve">ORI-05</t>
  </si>
  <si>
    <r>
      <rPr>
        <sz val="10"/>
        <color rgb="FF0000FF"/>
        <rFont val="Arial"/>
        <family val="0"/>
        <charset val="1"/>
      </rPr>
      <t xml:space="preserve">ONEST</t>
    </r>
    <r>
      <rPr>
        <sz val="10"/>
        <color rgb="FF0000FF"/>
        <rFont val="Noto Sans CJK SC"/>
        <family val="2"/>
      </rPr>
      <t xml:space="preserve">横浜西口ビル</t>
    </r>
  </si>
  <si>
    <t xml:space="preserve">1983-05</t>
  </si>
  <si>
    <t xml:space="preserve">ORI-07</t>
  </si>
  <si>
    <r>
      <rPr>
        <sz val="10"/>
        <color rgb="FF0000FF"/>
        <rFont val="Arial"/>
        <family val="0"/>
        <charset val="1"/>
      </rPr>
      <t xml:space="preserve">ONEST</t>
    </r>
    <r>
      <rPr>
        <sz val="10"/>
        <color rgb="FF0000FF"/>
        <rFont val="Noto Sans CJK SC"/>
        <family val="2"/>
      </rPr>
      <t xml:space="preserve">中野ビル</t>
    </r>
  </si>
  <si>
    <t xml:space="preserve">1994-08</t>
  </si>
  <si>
    <t xml:space="preserve">ORI-13</t>
  </si>
  <si>
    <t xml:space="preserve">八王子SIAビル</t>
  </si>
  <si>
    <t xml:space="preserve">1993-09</t>
  </si>
  <si>
    <t xml:space="preserve">ORI-14</t>
  </si>
  <si>
    <r>
      <rPr>
        <sz val="10"/>
        <color rgb="FF0000FF"/>
        <rFont val="Arial"/>
        <family val="0"/>
        <charset val="1"/>
      </rPr>
      <t xml:space="preserve">ONEST</t>
    </r>
    <r>
      <rPr>
        <sz val="10"/>
        <color rgb="FF0000FF"/>
        <rFont val="Noto Sans CJK SC"/>
        <family val="2"/>
      </rPr>
      <t xml:space="preserve">元代々木スクエア</t>
    </r>
  </si>
  <si>
    <t xml:space="preserve">1992-04</t>
  </si>
  <si>
    <t xml:space="preserve">2016-09</t>
  </si>
  <si>
    <t xml:space="preserve">ORI-15</t>
  </si>
  <si>
    <r>
      <rPr>
        <sz val="10"/>
        <color rgb="FF0000FF"/>
        <rFont val="Arial"/>
        <family val="0"/>
        <charset val="1"/>
      </rPr>
      <t xml:space="preserve">ONEST</t>
    </r>
    <r>
      <rPr>
        <sz val="10"/>
        <color rgb="FF0000FF"/>
        <rFont val="Noto Sans CJK SC"/>
        <family val="2"/>
      </rPr>
      <t xml:space="preserve">上野御徒町ビル</t>
    </r>
  </si>
  <si>
    <t xml:space="preserve">1986-05</t>
  </si>
  <si>
    <t xml:space="preserve">ORI-16</t>
  </si>
  <si>
    <r>
      <rPr>
        <sz val="10"/>
        <color rgb="FF0000FF"/>
        <rFont val="Arial"/>
        <family val="0"/>
        <charset val="1"/>
      </rPr>
      <t xml:space="preserve">ONEST</t>
    </r>
    <r>
      <rPr>
        <sz val="10"/>
        <color rgb="FF0000FF"/>
        <rFont val="Noto Sans CJK SC"/>
        <family val="2"/>
      </rPr>
      <t xml:space="preserve">大宮吉敷町ビル</t>
    </r>
  </si>
  <si>
    <t xml:space="preserve">1991-10</t>
  </si>
  <si>
    <t xml:space="preserve">2017-10</t>
  </si>
  <si>
    <t xml:space="preserve">ORI-17</t>
  </si>
  <si>
    <r>
      <rPr>
        <sz val="10"/>
        <color rgb="FF0000FF"/>
        <rFont val="Arial"/>
        <family val="0"/>
        <charset val="1"/>
      </rPr>
      <t xml:space="preserve">ONEST</t>
    </r>
    <r>
      <rPr>
        <sz val="10"/>
        <color rgb="FF0000FF"/>
        <rFont val="Noto Sans CJK SC"/>
        <family val="2"/>
      </rPr>
      <t xml:space="preserve">池袋イーストビル</t>
    </r>
  </si>
  <si>
    <t xml:space="preserve">1991-09</t>
  </si>
  <si>
    <t xml:space="preserve">ORI-18</t>
  </si>
  <si>
    <t xml:space="preserve">クレシェンドビル</t>
  </si>
  <si>
    <t xml:space="preserve">1987-07</t>
  </si>
  <si>
    <t xml:space="preserve">2018-09</t>
  </si>
  <si>
    <t xml:space="preserve">ORI-19</t>
  </si>
  <si>
    <t xml:space="preserve">東京パークサイドビル</t>
  </si>
  <si>
    <t xml:space="preserve">ORI-20</t>
  </si>
  <si>
    <r>
      <rPr>
        <sz val="10"/>
        <color rgb="FF0000FF"/>
        <rFont val="Arial"/>
        <family val="0"/>
        <charset val="1"/>
      </rPr>
      <t xml:space="preserve">ONEST</t>
    </r>
    <r>
      <rPr>
        <sz val="10"/>
        <color rgb="FF0000FF"/>
        <rFont val="Noto Sans CJK SC"/>
        <family val="2"/>
      </rPr>
      <t xml:space="preserve">西五反田スクエア</t>
    </r>
  </si>
  <si>
    <t xml:space="preserve">1988-01</t>
  </si>
  <si>
    <t xml:space="preserve">2019-10</t>
  </si>
  <si>
    <t xml:space="preserve">ORI-21</t>
  </si>
  <si>
    <r>
      <rPr>
        <sz val="10"/>
        <color rgb="FF0000FF"/>
        <rFont val="Arial"/>
        <family val="0"/>
        <charset val="1"/>
      </rPr>
      <t xml:space="preserve">ONEST</t>
    </r>
    <r>
      <rPr>
        <sz val="10"/>
        <color rgb="FF0000FF"/>
        <rFont val="Noto Sans CJK SC"/>
        <family val="2"/>
      </rPr>
      <t xml:space="preserve">本郷スクエア</t>
    </r>
  </si>
  <si>
    <t xml:space="preserve">1987-12</t>
  </si>
  <si>
    <t xml:space="preserve">2021-03</t>
  </si>
  <si>
    <t xml:space="preserve">ORI-23</t>
  </si>
  <si>
    <r>
      <rPr>
        <sz val="10"/>
        <color rgb="FF0000FF"/>
        <rFont val="Arial"/>
        <family val="0"/>
        <charset val="1"/>
      </rPr>
      <t xml:space="preserve">ONEST</t>
    </r>
    <r>
      <rPr>
        <sz val="10"/>
        <color rgb="FF0000FF"/>
        <rFont val="Noto Sans CJK SC"/>
        <family val="2"/>
      </rPr>
      <t xml:space="preserve">神田西福田町ビル</t>
    </r>
  </si>
  <si>
    <t xml:space="preserve">1996-02</t>
  </si>
  <si>
    <t xml:space="preserve">ORI-24</t>
  </si>
  <si>
    <r>
      <rPr>
        <sz val="10"/>
        <color rgb="FF0000FF"/>
        <rFont val="Arial"/>
        <family val="0"/>
        <charset val="1"/>
      </rPr>
      <t xml:space="preserve">ONEST</t>
    </r>
    <r>
      <rPr>
        <sz val="10"/>
        <color rgb="FF0000FF"/>
        <rFont val="Noto Sans CJK SC"/>
        <family val="2"/>
      </rPr>
      <t xml:space="preserve">錦糸町スクエア</t>
    </r>
  </si>
  <si>
    <t xml:space="preserve">2021-09</t>
  </si>
  <si>
    <t xml:space="preserve">ORI-25</t>
  </si>
  <si>
    <t xml:space="preserve">リードシー千葉駅前ビル</t>
  </si>
  <si>
    <t xml:space="preserve">1997-09</t>
  </si>
  <si>
    <t xml:space="preserve">ORI-27</t>
  </si>
  <si>
    <r>
      <rPr>
        <sz val="10"/>
        <color rgb="FF0000FF"/>
        <rFont val="Arial"/>
        <family val="0"/>
        <charset val="1"/>
      </rPr>
      <t xml:space="preserve">ONEST</t>
    </r>
    <r>
      <rPr>
        <sz val="10"/>
        <color rgb="FF0000FF"/>
        <rFont val="Noto Sans CJK SC"/>
        <family val="2"/>
      </rPr>
      <t xml:space="preserve">箱崎ビル</t>
    </r>
  </si>
  <si>
    <t xml:space="preserve">1991-03</t>
  </si>
  <si>
    <r>
      <rPr>
        <sz val="11"/>
        <color theme="1"/>
        <rFont val="Calibri"/>
        <family val="2"/>
        <charset val="1"/>
      </rPr>
      <t xml:space="preserve">2026/3/30</t>
    </r>
    <r>
      <rPr>
        <sz val="11"/>
        <color theme="1"/>
        <rFont val="Noto Sans CJK SC"/>
        <family val="2"/>
      </rPr>
      <t xml:space="preserve">取得／物件別の稼働率・賃貸可能面積・テナント数・</t>
    </r>
    <r>
      <rPr>
        <sz val="11"/>
        <color theme="1"/>
        <rFont val="Calibri"/>
        <family val="2"/>
        <charset val="1"/>
      </rPr>
      <t xml:space="preserve">PML</t>
    </r>
    <r>
      <rPr>
        <sz val="11"/>
        <color theme="1"/>
        <rFont val="Noto Sans CJK SC"/>
        <family val="2"/>
      </rPr>
      <t xml:space="preserve">・帳簿価額は同法人が非開示。法人合計は第</t>
    </r>
    <r>
      <rPr>
        <sz val="11"/>
        <color theme="1"/>
        <rFont val="Calibri"/>
        <family val="2"/>
        <charset val="1"/>
      </rPr>
      <t xml:space="preserve">16</t>
    </r>
    <r>
      <rPr>
        <sz val="11"/>
        <color theme="1"/>
        <rFont val="Noto Sans CJK SC"/>
        <family val="2"/>
      </rPr>
      <t xml:space="preserve">期有報で稼働率</t>
    </r>
    <r>
      <rPr>
        <sz val="11"/>
        <color theme="1"/>
        <rFont val="Calibri"/>
        <family val="2"/>
        <charset val="1"/>
      </rPr>
      <t xml:space="preserve">99.9%</t>
    </r>
    <r>
      <rPr>
        <sz val="11"/>
        <color theme="1"/>
        <rFont val="Noto Sans CJK SC"/>
        <family val="2"/>
      </rPr>
      <t xml:space="preserve">・総賃貸可能面積</t>
    </r>
    <r>
      <rPr>
        <sz val="11"/>
        <color theme="1"/>
        <rFont val="Calibri"/>
        <family val="2"/>
        <charset val="1"/>
      </rPr>
      <t xml:space="preserve">86,030.38</t>
    </r>
    <r>
      <rPr>
        <sz val="11"/>
        <color theme="1"/>
        <rFont val="Noto Sans CJK SC"/>
        <family val="2"/>
      </rPr>
      <t xml:space="preserve">㎡</t>
    </r>
  </si>
  <si>
    <t xml:space="preserve">ORI-28</t>
  </si>
  <si>
    <r>
      <rPr>
        <sz val="10"/>
        <color rgb="FF0000FF"/>
        <rFont val="Arial"/>
        <family val="0"/>
        <charset val="1"/>
      </rPr>
      <t xml:space="preserve">ONEST</t>
    </r>
    <r>
      <rPr>
        <sz val="10"/>
        <color rgb="FF0000FF"/>
        <rFont val="Noto Sans CJK SC"/>
        <family val="2"/>
      </rPr>
      <t xml:space="preserve">東中野ビル</t>
    </r>
  </si>
  <si>
    <t xml:space="preserve">1994-04</t>
  </si>
  <si>
    <t xml:space="preserve">ORI-29</t>
  </si>
  <si>
    <t xml:space="preserve">フィールド北参道</t>
  </si>
  <si>
    <t xml:space="preserve">2008-10</t>
  </si>
  <si>
    <t xml:space="preserve">2022-12</t>
  </si>
  <si>
    <t xml:space="preserve">ORI-30</t>
  </si>
  <si>
    <r>
      <rPr>
        <sz val="10"/>
        <color rgb="FF0000FF"/>
        <rFont val="Arial"/>
        <family val="0"/>
        <charset val="1"/>
      </rPr>
      <t xml:space="preserve">ONEST</t>
    </r>
    <r>
      <rPr>
        <sz val="10"/>
        <color rgb="FF0000FF"/>
        <rFont val="Noto Sans CJK SC"/>
        <family val="2"/>
      </rPr>
      <t xml:space="preserve">飯田橋スクエア</t>
    </r>
  </si>
  <si>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3</t>
    </r>
    <r>
      <rPr>
        <sz val="10"/>
        <color rgb="FF0000FF"/>
        <rFont val="Noto Sans CJK SC"/>
        <family val="2"/>
      </rPr>
      <t xml:space="preserve">月</t>
    </r>
    <r>
      <rPr>
        <sz val="10"/>
        <color rgb="FF0000FF"/>
        <rFont val="Arial"/>
        <family val="0"/>
        <charset val="1"/>
      </rPr>
      <t xml:space="preserve">19</t>
    </r>
    <r>
      <rPr>
        <sz val="10"/>
        <color rgb="FF0000FF"/>
        <rFont val="Noto Sans CJK SC"/>
        <family val="2"/>
      </rPr>
      <t xml:space="preserve">日取得のため第</t>
    </r>
    <r>
      <rPr>
        <sz val="10"/>
        <color rgb="FF0000FF"/>
        <rFont val="Arial"/>
        <family val="0"/>
        <charset val="1"/>
      </rPr>
      <t xml:space="preserve">25</t>
    </r>
    <r>
      <rPr>
        <sz val="10"/>
        <color rgb="FF0000FF"/>
        <rFont val="Noto Sans CJK SC"/>
        <family val="2"/>
      </rPr>
      <t xml:space="preserve">期決算短信に建物概要の記載なし</t>
    </r>
  </si>
  <si>
    <t xml:space="preserve">ORI-101</t>
  </si>
  <si>
    <r>
      <rPr>
        <sz val="10"/>
        <color rgb="FF0000FF"/>
        <rFont val="Arial"/>
        <family val="0"/>
        <charset val="1"/>
      </rPr>
      <t xml:space="preserve">ONEST</t>
    </r>
    <r>
      <rPr>
        <sz val="10"/>
        <color rgb="FF0000FF"/>
        <rFont val="Noto Sans CJK SC"/>
        <family val="2"/>
      </rPr>
      <t xml:space="preserve">新大阪スクエア</t>
    </r>
  </si>
  <si>
    <t xml:space="preserve">1992-06</t>
  </si>
  <si>
    <t xml:space="preserve">ORI-102</t>
  </si>
  <si>
    <r>
      <rPr>
        <sz val="10"/>
        <color rgb="FF0000FF"/>
        <rFont val="Arial"/>
        <family val="0"/>
        <charset val="1"/>
      </rPr>
      <t xml:space="preserve">ONEST</t>
    </r>
    <r>
      <rPr>
        <sz val="10"/>
        <color rgb="FF0000FF"/>
        <rFont val="Noto Sans CJK SC"/>
        <family val="2"/>
      </rPr>
      <t xml:space="preserve">京都烏丸スクエア</t>
    </r>
  </si>
  <si>
    <t xml:space="preserve">90%</t>
  </si>
  <si>
    <t xml:space="preserve">1986-11</t>
  </si>
  <si>
    <t xml:space="preserve">準共有持分90%（東京建物へ4回分割譲渡中）。取得価格・鑑定評価額・賃貸可能面積は持分按分値</t>
  </si>
  <si>
    <t xml:space="preserve">ORI-103</t>
  </si>
  <si>
    <r>
      <rPr>
        <sz val="10"/>
        <color rgb="FF0000FF"/>
        <rFont val="Arial"/>
        <family val="0"/>
        <charset val="1"/>
      </rPr>
      <t xml:space="preserve">ONEST</t>
    </r>
    <r>
      <rPr>
        <sz val="10"/>
        <color rgb="FF0000FF"/>
        <rFont val="Noto Sans CJK SC"/>
        <family val="2"/>
      </rPr>
      <t xml:space="preserve">名古屋錦スクエア</t>
    </r>
  </si>
  <si>
    <t xml:space="preserve">ORI-105</t>
  </si>
  <si>
    <t xml:space="preserve">名古屋伏見スクエアビル</t>
  </si>
  <si>
    <t xml:space="preserve">80%</t>
  </si>
  <si>
    <t xml:space="preserve">1987-11</t>
  </si>
  <si>
    <t xml:space="preserve">準共有持分80%。取得価格・鑑定評価額・賃貸可能面積は持分按分値</t>
  </si>
  <si>
    <t xml:space="preserve">ORI-106</t>
  </si>
  <si>
    <t xml:space="preserve">大博多ビル</t>
  </si>
  <si>
    <t xml:space="preserve">1975-08</t>
  </si>
  <si>
    <t xml:space="preserve">ORI-107</t>
  </si>
  <si>
    <t xml:space="preserve">肥後橋センタービル</t>
  </si>
  <si>
    <t xml:space="preserve">1977-09</t>
  </si>
  <si>
    <t xml:space="preserve">ORI-108</t>
  </si>
  <si>
    <t xml:space="preserve">大同生命水戸ビル</t>
  </si>
  <si>
    <t xml:space="preserve">茨城県</t>
  </si>
  <si>
    <t xml:space="preserve">水戸市</t>
  </si>
  <si>
    <t xml:space="preserve">1989-12</t>
  </si>
  <si>
    <t xml:space="preserve">ORI-201</t>
  </si>
  <si>
    <t xml:space="preserve">コンフォートイン名古屋栄駅前</t>
  </si>
  <si>
    <t xml:space="preserve">2014-03</t>
  </si>
  <si>
    <t xml:space="preserve">2025-03</t>
  </si>
  <si>
    <t xml:space="preserve">ORI-202</t>
  </si>
  <si>
    <t xml:space="preserve">カンデオホテルズ京都烏丸六角</t>
  </si>
  <si>
    <t xml:space="preserve">2025-12</t>
  </si>
  <si>
    <t xml:space="preserve">ORI-203</t>
  </si>
  <si>
    <t xml:space="preserve">クインテッサホテル札幌すすきの63 Relax＆Spa</t>
  </si>
  <si>
    <t xml:space="preserve">ORI-204</t>
  </si>
  <si>
    <t xml:space="preserve">クインテッサホテル鹿児島天文館 Relax＆Sleep</t>
  </si>
  <si>
    <t xml:space="preserve">鹿児島県</t>
  </si>
  <si>
    <t xml:space="preserve">鹿児島市</t>
  </si>
  <si>
    <t xml:space="preserve">ORI-205</t>
  </si>
  <si>
    <t xml:space="preserve">クインテッサホテル福岡博多 Relax＆Sleep</t>
  </si>
  <si>
    <t xml:space="preserve">ORI-206</t>
  </si>
  <si>
    <t xml:space="preserve">ザ エディスターホテル成田</t>
  </si>
  <si>
    <t xml:space="preserve">成田市</t>
  </si>
  <si>
    <t xml:space="preserve">ORI-207</t>
  </si>
  <si>
    <t xml:space="preserve">ダブルツリーbyヒルトン那覇首里城</t>
  </si>
  <si>
    <t xml:space="preserve">決算期</t>
  </si>
  <si>
    <t xml:space="preserve">期間月数</t>
  </si>
  <si>
    <t xml:space="preserve">開示区分</t>
  </si>
  <si>
    <t xml:space="preserve">賃貸事業収入合計(千円)</t>
  </si>
  <si>
    <t xml:space="preserve">うち賃料・共益費(千円)</t>
  </si>
  <si>
    <t xml:space="preserve">うちその他収入(千円)</t>
  </si>
  <si>
    <t xml:space="preserve">賃貸事業費用合計(千円)</t>
  </si>
  <si>
    <t xml:space="preserve">うち外注委託費(千円)</t>
  </si>
  <si>
    <t xml:space="preserve">うち水道光熱費(千円)</t>
  </si>
  <si>
    <t xml:space="preserve">うち公租公課(千円)</t>
  </si>
  <si>
    <t xml:space="preserve">うち損害保険料(千円)</t>
  </si>
  <si>
    <t xml:space="preserve">うち修繕費(千円)</t>
  </si>
  <si>
    <t xml:space="preserve">うち減価償却費(千円)</t>
  </si>
  <si>
    <t xml:space="preserve">うちその他費用(千円)</t>
  </si>
  <si>
    <t xml:space="preserve">賃貸事業損益(千円)</t>
  </si>
  <si>
    <r>
      <rPr>
        <b val="true"/>
        <sz val="10"/>
        <color rgb="FFFFFFFF"/>
        <rFont val="Arial"/>
        <family val="0"/>
        <charset val="1"/>
      </rPr>
      <t xml:space="preserve">NOI(</t>
    </r>
    <r>
      <rPr>
        <b val="true"/>
        <sz val="10"/>
        <color rgb="FFFFFFFF"/>
        <rFont val="Noto Sans CJK SC"/>
        <family val="2"/>
      </rPr>
      <t xml:space="preserve">千円</t>
    </r>
    <r>
      <rPr>
        <b val="true"/>
        <sz val="10"/>
        <color rgb="FFFFFFFF"/>
        <rFont val="Arial"/>
        <family val="0"/>
        <charset val="1"/>
      </rPr>
      <t xml:space="preserve">)</t>
    </r>
  </si>
  <si>
    <t xml:space="preserve">資本的支出(千円)</t>
  </si>
  <si>
    <r>
      <rPr>
        <b val="true"/>
        <sz val="10"/>
        <color rgb="FFFFFFFF"/>
        <rFont val="Arial"/>
        <family val="0"/>
        <charset val="1"/>
      </rPr>
      <t xml:space="preserve">NCF(</t>
    </r>
    <r>
      <rPr>
        <b val="true"/>
        <sz val="10"/>
        <color rgb="FFFFFFFF"/>
        <rFont val="Noto Sans CJK SC"/>
        <family val="2"/>
      </rPr>
      <t xml:space="preserve">千円</t>
    </r>
    <r>
      <rPr>
        <b val="true"/>
        <sz val="10"/>
        <color rgb="FFFFFFFF"/>
        <rFont val="Arial"/>
        <family val="0"/>
        <charset val="1"/>
      </rPr>
      <t xml:space="preserve">)</t>
    </r>
  </si>
  <si>
    <t xml:space="preserve">内訳チェック(0=整合)</t>
  </si>
  <si>
    <t xml:space="preserve">通期保有フラグ</t>
  </si>
  <si>
    <t xml:space="preserve">年換算の妥当性</t>
  </si>
  <si>
    <t xml:space="preserve">収入の単位精度</t>
  </si>
  <si>
    <t xml:space="preserve">開示（法人一括）</t>
  </si>
  <si>
    <r>
      <rPr>
        <sz val="10"/>
        <color rgb="FF0000FF"/>
        <rFont val="Arial"/>
        <family val="0"/>
        <charset val="1"/>
      </rPr>
      <t xml:space="preserve">NBF 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(2026/2/16</t>
    </r>
    <r>
      <rPr>
        <sz val="10"/>
        <color rgb="FF0000FF"/>
        <rFont val="Noto Sans CJK SC"/>
        <family val="2"/>
      </rPr>
      <t xml:space="preserve">公表</t>
    </r>
    <r>
      <rPr>
        <sz val="10"/>
        <color rgb="FF0000FF"/>
        <rFont val="Arial"/>
        <family val="0"/>
        <charset val="1"/>
      </rPr>
      <t xml:space="preserve">) p.20 </t>
    </r>
    <r>
      <rPr>
        <sz val="10"/>
        <color rgb="FF0000FF"/>
        <rFont val="Noto Sans CJK SC"/>
        <family val="2"/>
      </rPr>
      <t xml:space="preserve">不動産等賃貸事業損益の内訳・</t>
    </r>
    <r>
      <rPr>
        <sz val="10"/>
        <color rgb="FF0000FF"/>
        <rFont val="Arial"/>
        <family val="0"/>
        <charset val="1"/>
      </rPr>
      <t xml:space="preserve">p.36-37 </t>
    </r>
    <r>
      <rPr>
        <sz val="10"/>
        <color rgb="FF0000FF"/>
        <rFont val="Noto Sans CJK SC"/>
        <family val="2"/>
      </rPr>
      <t xml:space="preserve">資本的支出</t>
    </r>
  </si>
  <si>
    <t xml:space="preserve">法人一括収支(千円)。G=不動産賃貸収入(家賃42,402,552+共益費2,022,901+その他賃貸収入383,752)、H=その他賃貸事業収入(駐車場697,134/施設使用料311,730/付帯収益2,604,635/解約金58,998/雑収益65,304)。J=外注委託費。K水道光熱費は独立科目なし(その他費用「諸経費」3,922,526に含む)→K=0は科目非区分のため費用構造比較で留意。内訳チェック2千円は原資料の千円未満切捨て由来。損益23,296,886(開示一致)。CAPEX4,987百万円+費用処理修繕976百万円=5,964百万円の工事実施。当期不動産売却なし(前期は芝NBFタワー等で売却益4,847百万円)。開示59物件の収益計39,685百万円+非開示11物件残差8,862百万円(一括比18.3%)=一括48,547百万円と整合(非開示11物件の取得価格比率19.2%と符合)</t>
  </si>
  <si>
    <t xml:space="preserve">○（通期保有）</t>
  </si>
  <si>
    <t xml:space="preserve">年換算可</t>
  </si>
  <si>
    <t xml:space="preserve">千円単位（正確値）</t>
  </si>
  <si>
    <t xml:space="preserve">開示（物件別・収益のみ、百万円単位）</t>
  </si>
  <si>
    <r>
      <rPr>
        <sz val="10"/>
        <color rgb="FF0000FF"/>
        <rFont val="Arial"/>
        <family val="0"/>
        <charset val="1"/>
      </rPr>
      <t xml:space="preserve">NBF 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(2026/2/16</t>
    </r>
    <r>
      <rPr>
        <sz val="10"/>
        <color rgb="FF0000FF"/>
        <rFont val="Noto Sans CJK SC"/>
        <family val="2"/>
      </rPr>
      <t xml:space="preserve">公表</t>
    </r>
    <r>
      <rPr>
        <sz val="10"/>
        <color rgb="FF0000FF"/>
        <rFont val="Arial"/>
        <family val="0"/>
        <charset val="1"/>
      </rPr>
      <t xml:space="preserve">) p.31-32 </t>
    </r>
    <r>
      <rPr>
        <sz val="10"/>
        <color rgb="FF0000FF"/>
        <rFont val="Noto Sans CJK SC"/>
        <family val="2"/>
      </rPr>
      <t xml:space="preserve">テナント等の概要</t>
    </r>
  </si>
  <si>
    <t xml:space="preserve">総賃貸収入(=当該物件の営業収益計・百万円未満切捨て)を千円換算した概数。費用内訳は物件別非開示(法人一括のNBF-ALL行参照)。J-REIT運用資産中最大の旗艦物件。サブリース型(変動賃料)</t>
  </si>
  <si>
    <t xml:space="preserve">百万円単位（下3桁は概数）</t>
  </si>
  <si>
    <t xml:space="preserve">総賃貸収入(=当該物件の営業収益計・百万円未満切捨て)を千円換算した概数。費用内訳は物件別非開示(法人一括のNBF-ALL行参照)。2021/9・2022/3・2023/3の3回取得合計。サブリース型(変動)</t>
  </si>
  <si>
    <t xml:space="preserve">総賃貸収入(=当該物件の営業収益計・百万円未満切捨て)を千円換算した概数。費用内訳は物件別非開示(法人一括のNBF-ALL行参照)。サブリース型(変動)</t>
  </si>
  <si>
    <t xml:space="preserve">総賃貸収入(=当該物件の営業収益計・百万円未満切捨て)を千円換算した概数。費用内訳は物件別非開示(法人一括のNBF-ALL行参照)。任意組合出資持分(西新宿六丁目共有組合)含む。2002〜2023年の8回分割取得合計。サブリース型(変動)</t>
  </si>
  <si>
    <t xml:space="preserve">総賃貸収入(=当該物件の営業収益計・百万円未満切捨て)を千円換算した概数。費用内訳は物件別非開示(法人一括のNBF-ALL行参照)。2013/5・2018/3の取得合計。ホテル部分は固定賃料契約</t>
  </si>
  <si>
    <t xml:space="preserve">非開示（テナント同意なし）</t>
  </si>
  <si>
    <r>
      <rPr>
        <sz val="10"/>
        <color rgb="FF0000FF"/>
        <rFont val="Arial"/>
        <family val="0"/>
        <charset val="1"/>
      </rPr>
      <t xml:space="preserve">NBF 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(2026/2/16</t>
    </r>
    <r>
      <rPr>
        <sz val="10"/>
        <color rgb="FF0000FF"/>
        <rFont val="Noto Sans CJK SC"/>
        <family val="2"/>
      </rPr>
      <t xml:space="preserve">公表</t>
    </r>
    <r>
      <rPr>
        <sz val="10"/>
        <color rgb="FF0000FF"/>
        <rFont val="Arial"/>
        <family val="0"/>
        <charset val="1"/>
      </rPr>
      <t xml:space="preserve">) p.31-32</t>
    </r>
  </si>
  <si>
    <t xml:space="preserve">テナント又は共有者の同意が得られず収益非開示(短信注3)。主要テナント:楽天グループ</t>
  </si>
  <si>
    <t xml:space="preserve">総賃貸収入(=当該物件の営業収益計・百万円未満切捨て)を千円換算した概数。費用内訳は物件別非開示(法人一括のNBF-ALL行参照)。鑑定評価額60,800百万円は取得価格の約2倍。主要テナント:アクサ生命</t>
  </si>
  <si>
    <t xml:space="preserve">総賃貸収入(=当該物件の営業収益計・百万円未満切捨て)を千円換算した概数。費用内訳は物件別非開示(法人一括のNBF-ALL行参照)</t>
  </si>
  <si>
    <t xml:space="preserve">総賃貸収入(=当該物件の営業収益計・百万円未満切捨て)を千円換算した概数。費用内訳は物件別非開示(法人一括のNBF-ALL行参照)。2019年3・4月の取得合計</t>
  </si>
  <si>
    <t xml:space="preserve">総賃貸収入(=当該物件の営業収益計・百万円未満切捨て)を千円換算した概数。費用内訳は物件別非開示(法人一括のNBF-ALL行参照)。敷地の賃借権を含む。2004/11・2006/4の取得合計。サブリース型(変動)</t>
  </si>
  <si>
    <t xml:space="preserve">テナント又は共有者の同意が得られず収益非開示(短信注3)。2004/2・2013/3の取得合計。主要テナント:インフィニオンテクノロジーズジャパン</t>
  </si>
  <si>
    <t xml:space="preserve">テナント又は共有者の同意が得られず収益非開示(短信注3)。地上権を含む</t>
  </si>
  <si>
    <t xml:space="preserve">総賃貸収入(=当該物件の営業収益計・百万円未満切捨て)を千円換算した概数。費用内訳は物件別非開示(法人一括のNBF-ALL行参照)。2001〜2024年の5回分割取得合計。住宅部分はサブリース(変動)</t>
  </si>
  <si>
    <t xml:space="preserve">総賃貸収入(=当該物件の営業収益計・百万円未満切捨て)を千円換算した概数。費用内訳は物件別非開示(法人一括のNBF-ALL行参照)。2025/1/6付で建物を譲渡(売却益7,838千円)し底地のみ保有。NL稼働率・テナント数は開示対象外。取得価格は物件取得時の土地取得価格</t>
  </si>
  <si>
    <t xml:space="preserve">総賃貸収入(=当該物件の営業収益計・百万円未満切捨て)を千円換算した概数。費用内訳は物件別非開示(法人一括のNBF-ALL行参照)。2021/1取得価格から2024/3一部譲渡持分(約80%)を控除した残存持分の価格</t>
  </si>
  <si>
    <r>
      <rPr>
        <sz val="10"/>
        <color rgb="FF0000FF"/>
        <rFont val="Arial"/>
        <family val="0"/>
        <charset val="1"/>
      </rPr>
      <t xml:space="preserve">×</t>
    </r>
    <r>
      <rPr>
        <sz val="10"/>
        <color rgb="FF0000FF"/>
        <rFont val="Noto Sans CJK SC"/>
        <family val="2"/>
      </rPr>
      <t xml:space="preserve">（期の一部のみ）</t>
    </r>
  </si>
  <si>
    <t xml:space="preserve">年換算値は実態と乖離するため利回り算定に用いない（期中の持分譲渡により分母（取得価格）のみ減額）</t>
  </si>
  <si>
    <t xml:space="preserve">総賃貸収入(=当該物件の営業収益計・百万円未満切捨て)を千円換算した概数。費用内訳は物件別非開示(法人一括のNBF-ALL行参照)。鑑定評価額が取得価格を下回る数少ない物件。サブリース型(変動)</t>
  </si>
  <si>
    <t xml:space="preserve">総賃貸収入(=当該物件の営業収益計・百万円未満切捨て)を千円換算した概数。費用内訳は物件別非開示(法人一括のNBF-ALL行参照)。2005/9・2020/11の取得合計。サブリース型(変動)</t>
  </si>
  <si>
    <t xml:space="preserve">テナント又は共有者の同意が得られず収益非開示(短信注3)。2026/6/30付で三井不動産へ譲渡予定(譲渡価格10,000百万円=鑑定5,360百万円の約1.9倍、売却益5,112百万円見込)。港区三田・1991年6月竣工・SRC地下1階付12階建・延床9,185.13㎡(後発事象注記より)</t>
  </si>
  <si>
    <t xml:space="preserve">テナント又は共有者の同意が得られず収益非開示(短信注3)</t>
  </si>
  <si>
    <t xml:space="preserve">テナント又は共有者の同意が得られず収益非開示(短信注3)。旧NBF新川ビルの取得価格を2020/6/30鑑定評価額比率で按分した金額</t>
  </si>
  <si>
    <t xml:space="preserve">テナント又は共有者の同意が得られず収益非開示(短信注3)。区分所有権(2022〜2024年3回取得・既存保有約47.69%)。2026/3/31付で追加取得予定(約9.19%・14,810百万円→合計約56.88%)。2020年3月竣工・地下2階付36階建・延床178,504.10㎡(建物全体)。店舗区画は固定賃料型ML</t>
  </si>
  <si>
    <t xml:space="preserve">テナント又は共有者の同意が得られず収益非開示(短信注3)。主要テナント:ソニーグループ(賃貸面積73,477㎡=ポートフォリオ全体の6.0%)</t>
  </si>
  <si>
    <t xml:space="preserve">総賃貸収入(=当該物件の営業収益計・百万円未満切捨て)を千円換算した概数。費用内訳は物件別非開示(法人一括のNBF-ALL行参照)。2006・2011・2013年の3回取得合計。サブリース型(変動)</t>
  </si>
  <si>
    <t xml:space="preserve">総賃貸収入(=当該物件の営業収益計・百万円未満切捨て)を千円換算した概数。費用内訳は物件別非開示(法人一括のNBF-ALL行参照)。主要テナント:ソフトバンク</t>
  </si>
  <si>
    <t xml:space="preserve">テナント又は共有者の同意が得られず収益非開示(短信注3)。2016/6・2021/3の取得合計。主要テナント:日立リアルエステートパートナーズ</t>
  </si>
  <si>
    <t xml:space="preserve">総賃貸収入(=当該物件の営業収益計・百万円未満切捨て)を千円換算した概数。費用内訳は物件別非開示(法人一括のNBF-ALL行参照)。主要テナント:博報堂DYホールディングス</t>
  </si>
  <si>
    <t xml:space="preserve">総賃貸収入(=当該物件の営業収益計・百万円未満切捨て)を千円換算した概数。費用内訳は物件別非開示(法人一括のNBF-ALL行参照)。2016〜2020年の5回分割取得合計。サブリース型(変動)</t>
  </si>
  <si>
    <t xml:space="preserve">総賃貸収入(=当該物件の営業収益計・百万円未満切捨て)を千円換算した概数。費用内訳は物件別非開示(法人一括のNBF-ALL行参照)。任意組合出資持分(中目黒GTタワー共有床組合)含む。2003〜2005年の3回取得合計。サブリース型(変動)</t>
  </si>
  <si>
    <t xml:space="preserve">テナント又は共有者の同意が得られず収益非開示(短信注3)。サブリース型(変動)</t>
  </si>
  <si>
    <t xml:space="preserve">テナント又は共有者の同意が得られず収益非開示(短信注3)。主要テナント:アフラック生命</t>
  </si>
  <si>
    <t xml:space="preserve">総賃貸収入(=当該物件の営業収益計・百万円未満切捨て)を千円換算した概数。費用内訳は物件別非開示(法人一括のNBF-ALL行参照)。2025年1月(第48期)取得。サブリース型(変動)</t>
  </si>
  <si>
    <t xml:space="preserve">総賃貸収入(=当該物件の営業収益計・百万円未満切捨て)を千円換算した概数。費用内訳は物件別非開示(法人一括のNBF-ALL行参照)。2025/7/1取得(当期期中取得・約6ヶ月稼働)。主要テナント:エフサステクノロジーズ</t>
  </si>
  <si>
    <t xml:space="preserve">年換算値は実態と乖離するため利回り算定に用いない（期中取得）</t>
  </si>
  <si>
    <t xml:space="preserve">総賃貸収入(=当該物件の営業収益計・百万円未満切捨て)を千円換算した概数。費用内訳は物件別非開示(法人一括のNBF-ALL行参照)。2001/5・2021/11の取得合計。当期B1階商業エリア共用部リニューアル実施</t>
  </si>
  <si>
    <t xml:space="preserve">総賃貸収入(=当該物件の営業収益計・百万円未満切捨て)を千円換算した概数。費用内訳は物件別非開示(法人一括のNBF-ALL行参照)。2004年の2回取得合計</t>
  </si>
  <si>
    <t xml:space="preserve">総賃貸収入(=当該物件の営業収益計・百万円未満切捨て)を千円換算した概数。費用内訳は物件別非開示(法人一括のNBF-ALL行参照)。2025/11取得(当期期中取得・約2ヶ月のため収益17百万円は期間僅少)。稼働62.3%はリースアップ途上。2026/4/1付で「CONNECT SAPPORO」から名称変更予定</t>
  </si>
  <si>
    <t xml:space="preserve">百万円単位・低精度（収入50百万円未満で丸め影響大）</t>
  </si>
  <si>
    <t xml:space="preserve">総賃貸収入(=当該物件の営業収益計・百万円未満切捨て)を千円換算した概数。費用内訳は物件別非開示(法人一括のNBF-ALL行参照)。2003〜2005年の4回分割取得合計</t>
  </si>
  <si>
    <t xml:space="preserve">総賃貸収入(=当該物件の営業収益計・百万円未満切捨て)を千円換算した概数。費用内訳は物件別非開示(法人一括のNBF-ALL行参照)。2026/7/1付で譲渡予定(譲渡価格1,900百万円・売却益217百万円見込)。1990年11月竣工・SRC地下2階付9階建・延床8,149.78㎡(後発事象注記より)</t>
  </si>
  <si>
    <t xml:space="preserve">総賃貸収入(=当該物件の営業収益計・百万円未満切捨て)を千円換算した概数。費用内訳は物件別非開示(法人一括のNBF-ALL行参照)。2025年(第48期)取得。稼働46.6%はリースアップ途上</t>
  </si>
  <si>
    <t xml:space="preserve">総賃貸収入(=当該物件の営業収益計・百万円未満切捨て)を千円換算した概数。費用内訳は物件別非開示(法人一括のNBF-ALL行参照)。2004/3・2008/3の取得合計</t>
  </si>
  <si>
    <t xml:space="preserve">総賃貸収入(=当該物件の営業収益計・百万円未満切捨て)を千円換算した概数。費用内訳は物件別非開示(法人一括のNBF-ALL行参照)。2005/3・2014/1の取得合計</t>
  </si>
  <si>
    <t xml:space="preserve">総賃貸収入(=当該物件の営業収益計・百万円未満切捨て)を千円換算した概数。費用内訳は物件別非開示(法人一括のNBF-ALL行参照)。2003/11・2012/4の取得合計</t>
  </si>
  <si>
    <t xml:space="preserve">開示（法人一括・費用内訳含む）</t>
  </si>
  <si>
    <r>
      <rPr>
        <sz val="10"/>
        <color rgb="FF0000FF"/>
        <rFont val="Arial"/>
        <family val="0"/>
        <charset val="1"/>
      </rPr>
      <t xml:space="preserve">JRE 2026</t>
    </r>
    <r>
      <rPr>
        <sz val="10"/>
        <color rgb="FF0000FF"/>
        <rFont val="Noto Sans CJK SC"/>
        <family val="2"/>
      </rPr>
      <t xml:space="preserve">年</t>
    </r>
    <r>
      <rPr>
        <sz val="10"/>
        <color rgb="FF0000FF"/>
        <rFont val="Arial"/>
        <family val="0"/>
        <charset val="1"/>
      </rPr>
      <t xml:space="preserve">3</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(2026/5/15</t>
    </r>
    <r>
      <rPr>
        <sz val="10"/>
        <color rgb="FF0000FF"/>
        <rFont val="Noto Sans CJK SC"/>
        <family val="2"/>
      </rPr>
      <t xml:space="preserve">公表</t>
    </r>
    <r>
      <rPr>
        <sz val="10"/>
        <color rgb="FF0000FF"/>
        <rFont val="Arial"/>
        <family val="0"/>
        <charset val="1"/>
      </rPr>
      <t xml:space="preserve">) </t>
    </r>
    <r>
      <rPr>
        <sz val="10"/>
        <color rgb="FF0000FF"/>
        <rFont val="Noto Sans CJK SC"/>
        <family val="2"/>
      </rPr>
      <t xml:space="preserve">損益計算書関係注記</t>
    </r>
  </si>
  <si>
    <t xml:space="preserve">一括実績(損益計算書関係注記・千円単位)。掲載損益17,499,162千円と賃貸事業損益(F-I)17,499,163千円に1千円差=原資料内切捨て(恒例)。費用内訳合算19,317,963とI=19,317,966に3千円差(「内訳チェック(0=整合)」欄)。G=賃貸事業収入計36,743,295(賃料31,146,401+共益費1,773,500+駐車場728,999+その他賃貸収入3,094,394)、H=その他賃貸事業収入73,833(解約違約金29,784+雑収入44,049)。物件別はフル開示76+一部開示1(オペラシティ)+損益NOIのみ2(グランフロント大阪)。物件別F合算(GF除く)36,133百万円と一括の差684百万円=GF2物件分。「資本的支出(千円)」欄は期中資本的支出5,325百万円(修繕費1,832百万円と合わせ7,158百万円の工事・物件別CAPEX合算との差36百万円は切捨て累積)。不動産等売却益5,626,833千円(赤坂パークビル3,946,189+天神クリスタル1,680,644)は賃貸事業外のためF/賃貸事業損益対象外。圧縮積立金563,830千円繰入</t>
  </si>
  <si>
    <t xml:space="preserve">開示（物件別・費用内訳含む・百万円単位）</t>
  </si>
  <si>
    <r>
      <rPr>
        <sz val="10"/>
        <color rgb="FF0000FF"/>
        <rFont val="Arial"/>
        <family val="0"/>
        <charset val="1"/>
      </rPr>
      <t xml:space="preserve">JRE 2026</t>
    </r>
    <r>
      <rPr>
        <sz val="10"/>
        <color rgb="FF0000FF"/>
        <rFont val="Noto Sans CJK SC"/>
        <family val="2"/>
      </rPr>
      <t xml:space="preserve">年</t>
    </r>
    <r>
      <rPr>
        <sz val="10"/>
        <color rgb="FF0000FF"/>
        <rFont val="Arial"/>
        <family val="0"/>
        <charset val="1"/>
      </rPr>
      <t xml:space="preserve">3</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(2026/5/15</t>
    </r>
    <r>
      <rPr>
        <sz val="10"/>
        <color rgb="FF0000FF"/>
        <rFont val="Noto Sans CJK SC"/>
        <family val="2"/>
      </rPr>
      <t xml:space="preserve">公表</t>
    </r>
    <r>
      <rPr>
        <sz val="10"/>
        <color rgb="FF0000FF"/>
        <rFont val="Arial"/>
        <family val="0"/>
        <charset val="1"/>
      </rPr>
      <t xml:space="preserve">) ②</t>
    </r>
    <r>
      <rPr>
        <sz val="10"/>
        <color rgb="FF0000FF"/>
        <rFont val="Noto Sans CJK SC"/>
        <family val="2"/>
      </rPr>
      <t xml:space="preserve">不動産等関連資産の損益状況</t>
    </r>
  </si>
  <si>
    <t xml:space="preserve">百万円単位開示×1000で収録(下3桁は概数)。各科目は百万円未満切捨てのため内訳チェック欄に最大数百万円、賃貸事業損益(F-I)と掲載損益に最大1百万円の差が系統的に発生(JRE-ALL行参照)</t>
  </si>
  <si>
    <t xml:space="preserve">期中(2025/10/1)に持分16.66%譲渡のため当期損益は持分変動を反映。百万円単位開示×1000で収録(下3桁は概数)。各科目は百万円未満切捨てのため内訳チェック欄に最大数百万円、賃貸事業損益(F-I)と掲載損益に最大1百万円の差が系統的に発生(JRE-ALL行参照)</t>
  </si>
  <si>
    <t xml:space="preserve">一部開示（収益・費用計・損益のみ・百万円単位）</t>
  </si>
  <si>
    <t xml:space="preserve">費用内訳非開示のため内訳チェック欄には費用全額が残る(非開示由来・要確認事項ではない)。掲載損益206百万円。百万円単位開示×1000で収録(下3桁は概数)。各科目は百万円未満切捨てのため内訳チェック欄に最大数百万円、賃貸事業損益(F-I)と掲載損益に最大1百万円の差が系統的に発生(JRE-ALL行参照)</t>
  </si>
  <si>
    <r>
      <rPr>
        <sz val="10"/>
        <color rgb="FF0000FF"/>
        <rFont val="Arial"/>
        <family val="0"/>
        <charset val="1"/>
      </rPr>
      <t xml:space="preserve">2026/3/25</t>
    </r>
    <r>
      <rPr>
        <sz val="10"/>
        <color rgb="FF0000FF"/>
        <rFont val="Noto Sans CJK SC"/>
        <family val="2"/>
      </rPr>
      <t xml:space="preserve">取得のため当期運用</t>
    </r>
    <r>
      <rPr>
        <sz val="10"/>
        <color rgb="FF0000FF"/>
        <rFont val="Arial"/>
        <family val="0"/>
        <charset val="1"/>
      </rPr>
      <t xml:space="preserve">7</t>
    </r>
    <r>
      <rPr>
        <sz val="10"/>
        <color rgb="FF0000FF"/>
        <rFont val="Noto Sans CJK SC"/>
        <family val="2"/>
      </rPr>
      <t xml:space="preserve">日</t>
    </r>
    <r>
      <rPr>
        <sz val="10"/>
        <color rgb="FF0000FF"/>
        <rFont val="Arial"/>
        <family val="0"/>
        <charset val="1"/>
      </rPr>
      <t xml:space="preserve">(</t>
    </r>
    <r>
      <rPr>
        <sz val="10"/>
        <color rgb="FF0000FF"/>
        <rFont val="Noto Sans CJK SC"/>
        <family val="2"/>
      </rPr>
      <t xml:space="preserve">収益</t>
    </r>
    <r>
      <rPr>
        <sz val="10"/>
        <color rgb="FF0000FF"/>
        <rFont val="Arial"/>
        <family val="0"/>
        <charset val="1"/>
      </rPr>
      <t xml:space="preserve">0</t>
    </r>
    <r>
      <rPr>
        <sz val="10"/>
        <color rgb="FF0000FF"/>
        <rFont val="Noto Sans CJK SC"/>
        <family val="2"/>
      </rPr>
      <t xml:space="preserve">百万円・費用</t>
    </r>
    <r>
      <rPr>
        <sz val="10"/>
        <color rgb="FF0000FF"/>
        <rFont val="Arial"/>
        <family val="0"/>
        <charset val="1"/>
      </rPr>
      <t xml:space="preserve">9</t>
    </r>
    <r>
      <rPr>
        <sz val="10"/>
        <color rgb="FF0000FF"/>
        <rFont val="Noto Sans CJK SC"/>
        <family val="2"/>
      </rPr>
      <t xml:space="preserve">百万円で損益マイナス</t>
    </r>
    <r>
      <rPr>
        <sz val="10"/>
        <color rgb="FF0000FF"/>
        <rFont val="Arial"/>
        <family val="0"/>
        <charset val="1"/>
      </rPr>
      <t xml:space="preserve">)</t>
    </r>
    <r>
      <rPr>
        <sz val="10"/>
        <color rgb="FF0000FF"/>
        <rFont val="Noto Sans CJK SC"/>
        <family val="2"/>
      </rPr>
      <t xml:space="preserve">。百万円単位開示</t>
    </r>
    <r>
      <rPr>
        <sz val="10"/>
        <color rgb="FF0000FF"/>
        <rFont val="Arial"/>
        <family val="0"/>
        <charset val="1"/>
      </rPr>
      <t xml:space="preserve">×1000</t>
    </r>
    <r>
      <rPr>
        <sz val="10"/>
        <color rgb="FF0000FF"/>
        <rFont val="Noto Sans CJK SC"/>
        <family val="2"/>
      </rPr>
      <t xml:space="preserve">で収録</t>
    </r>
    <r>
      <rPr>
        <sz val="10"/>
        <color rgb="FF0000FF"/>
        <rFont val="Arial"/>
        <family val="0"/>
        <charset val="1"/>
      </rPr>
      <t xml:space="preserve">(</t>
    </r>
    <r>
      <rPr>
        <sz val="10"/>
        <color rgb="FF0000FF"/>
        <rFont val="Noto Sans CJK SC"/>
        <family val="2"/>
      </rPr>
      <t xml:space="preserve">下</t>
    </r>
    <r>
      <rPr>
        <sz val="10"/>
        <color rgb="FF0000FF"/>
        <rFont val="Arial"/>
        <family val="0"/>
        <charset val="1"/>
      </rPr>
      <t xml:space="preserve">3</t>
    </r>
    <r>
      <rPr>
        <sz val="10"/>
        <color rgb="FF0000FF"/>
        <rFont val="Noto Sans CJK SC"/>
        <family val="2"/>
      </rPr>
      <t xml:space="preserve">桁は概数</t>
    </r>
    <r>
      <rPr>
        <sz val="10"/>
        <color rgb="FF0000FF"/>
        <rFont val="Arial"/>
        <family val="0"/>
        <charset val="1"/>
      </rPr>
      <t xml:space="preserve">)</t>
    </r>
    <r>
      <rPr>
        <sz val="10"/>
        <color rgb="FF0000FF"/>
        <rFont val="Noto Sans CJK SC"/>
        <family val="2"/>
      </rPr>
      <t xml:space="preserve">。各科目は百万円未満切捨てのため内訳チェック欄に最大数百万円、賃貸事業損益</t>
    </r>
    <r>
      <rPr>
        <sz val="10"/>
        <color rgb="FF0000FF"/>
        <rFont val="Arial"/>
        <family val="0"/>
        <charset val="1"/>
      </rPr>
      <t xml:space="preserve">(F-I)</t>
    </r>
    <r>
      <rPr>
        <sz val="10"/>
        <color rgb="FF0000FF"/>
        <rFont val="Noto Sans CJK SC"/>
        <family val="2"/>
      </rPr>
      <t xml:space="preserve">と掲載損益に最大</t>
    </r>
    <r>
      <rPr>
        <sz val="10"/>
        <color rgb="FF0000FF"/>
        <rFont val="Arial"/>
        <family val="0"/>
        <charset val="1"/>
      </rPr>
      <t xml:space="preserve">1</t>
    </r>
    <r>
      <rPr>
        <sz val="10"/>
        <color rgb="FF0000FF"/>
        <rFont val="Noto Sans CJK SC"/>
        <family val="2"/>
      </rPr>
      <t xml:space="preserve">百万円の差が系統的に発生</t>
    </r>
    <r>
      <rPr>
        <sz val="10"/>
        <color rgb="FF0000FF"/>
        <rFont val="Arial"/>
        <family val="0"/>
        <charset val="1"/>
      </rPr>
      <t xml:space="preserve">(JRE-ALL</t>
    </r>
    <r>
      <rPr>
        <sz val="10"/>
        <color rgb="FF0000FF"/>
        <rFont val="Noto Sans CJK SC"/>
        <family val="2"/>
      </rPr>
      <t xml:space="preserve">行参照</t>
    </r>
    <r>
      <rPr>
        <sz val="10"/>
        <color rgb="FF0000FF"/>
        <rFont val="Arial"/>
        <family val="0"/>
        <charset val="1"/>
      </rPr>
      <t xml:space="preserve">)</t>
    </r>
  </si>
  <si>
    <t xml:space="preserve">当期(2025/10/17)取得のため収益は取得日以降の期間のみ・公租公課0。百万円単位開示×1000で収録(下3桁は概数)。各科目は百万円未満切捨てのため内訳チェック欄に最大数百万円、賃貸事業損益(F-I)と掲載損益に最大1百万円の差が系統的に発生(JRE-ALL行参照)</t>
  </si>
  <si>
    <t xml:space="preserve">年換算値は実態と乖離するため利回り算定に用いない（当期取得のため収入が保有期間分のみ）</t>
  </si>
  <si>
    <t xml:space="preserve">非開示（損益・NOIのみ開示）</t>
  </si>
  <si>
    <t xml:space="preserve">収益・費用は非開示。開示値: 賃貸事業損益83百万円・NOI140百万円(差57百万円=減価償却費)。百万円単位開示×1000で収録(下3桁は概数)。各科目は百万円未満切捨てのため内訳チェック欄に最大数百万円、賃貸事業損益(F-I)と掲載損益に最大1百万円の差が系統的に発生(JRE-ALL行参照)</t>
  </si>
  <si>
    <t xml:space="preserve">収益・費用は非開示。開示値: 賃貸事業損益147百万円・NOI201百万円(差54百万円=減価償却費)。百万円単位開示×1000で収録(下3桁は概数)。各科目は百万円未満切捨てのため内訳チェック欄に最大数百万円、賃貸事業損益(F-I)と掲載損益に最大1百万円の差が系統的に発生(JRE-ALL行参照)</t>
  </si>
  <si>
    <t xml:space="preserve">期中(2026/3/6)に持分50%譲渡のため当期損益は持分変動を反映。百万円単位開示×1000で収録(下3桁は概数)。各科目は百万円未満切捨てのため内訳チェック欄に最大数百万円、賃貸事業損益(F-I)と掲載損益に最大1百万円の差が系統的に発生(JRE-ALL行参照)</t>
  </si>
  <si>
    <r>
      <rPr>
        <sz val="10"/>
        <color rgb="FF0000FF"/>
        <rFont val="Arial"/>
        <family val="0"/>
        <charset val="1"/>
      </rPr>
      <t xml:space="preserve">GOR 2026</t>
    </r>
    <r>
      <rPr>
        <sz val="10"/>
        <color rgb="FF0000FF"/>
        <rFont val="Noto Sans CJK SC"/>
        <family val="2"/>
      </rPr>
      <t xml:space="preserve">年</t>
    </r>
    <r>
      <rPr>
        <sz val="10"/>
        <color rgb="FF0000FF"/>
        <rFont val="Arial"/>
        <family val="0"/>
        <charset val="1"/>
      </rPr>
      <t xml:space="preserve">3</t>
    </r>
    <r>
      <rPr>
        <sz val="10"/>
        <color rgb="FF0000FF"/>
        <rFont val="Noto Sans CJK SC"/>
        <family val="2"/>
      </rPr>
      <t xml:space="preserve">月期決算短信</t>
    </r>
    <r>
      <rPr>
        <sz val="10"/>
        <color rgb="FF0000FF"/>
        <rFont val="Arial"/>
        <family val="0"/>
        <charset val="1"/>
      </rPr>
      <t xml:space="preserve">(2026/5/21</t>
    </r>
    <r>
      <rPr>
        <sz val="10"/>
        <color rgb="FF0000FF"/>
        <rFont val="Noto Sans CJK SC"/>
        <family val="2"/>
      </rPr>
      <t xml:space="preserve">公表</t>
    </r>
    <r>
      <rPr>
        <sz val="10"/>
        <color rgb="FF0000FF"/>
        <rFont val="Arial"/>
        <family val="0"/>
        <charset val="1"/>
      </rPr>
      <t xml:space="preserve">) p.25-26</t>
    </r>
    <r>
      <rPr>
        <sz val="10"/>
        <color rgb="FF0000FF"/>
        <rFont val="Noto Sans CJK SC"/>
        <family val="2"/>
      </rPr>
      <t xml:space="preserve">「不動産賃貸事業損益の内訳」・</t>
    </r>
    <r>
      <rPr>
        <sz val="10"/>
        <color rgb="FF0000FF"/>
        <rFont val="Arial"/>
        <family val="0"/>
        <charset val="1"/>
      </rPr>
      <t xml:space="preserve">p.43</t>
    </r>
    <r>
      <rPr>
        <sz val="10"/>
        <color rgb="FF0000FF"/>
        <rFont val="Noto Sans CJK SC"/>
        <family val="2"/>
      </rPr>
      <t xml:space="preserve">「資本的支出」</t>
    </r>
  </si>
  <si>
    <t xml:space="preserve">賃料4,779,175+共益費234,637=「うち賃料・共益費(千円)」欄。「うちその他収入(千円)」欄はF-G残差(開示内訳合計との差3千円は原資料の丸めに由来)。その他費用=固定資産除却損7,170+その他9,168。開示上の賃貸事業損益3,271,215千円</t>
  </si>
  <si>
    <t xml:space="preserve">一部開示（収益のみ）</t>
  </si>
  <si>
    <r>
      <rPr>
        <sz val="10"/>
        <color rgb="FF0000FF"/>
        <rFont val="Arial"/>
        <family val="0"/>
        <charset val="1"/>
      </rPr>
      <t xml:space="preserve">GOR 2026</t>
    </r>
    <r>
      <rPr>
        <sz val="10"/>
        <color rgb="FF0000FF"/>
        <rFont val="Noto Sans CJK SC"/>
        <family val="2"/>
      </rPr>
      <t xml:space="preserve">年</t>
    </r>
    <r>
      <rPr>
        <sz val="10"/>
        <color rgb="FF0000FF"/>
        <rFont val="Arial"/>
        <family val="0"/>
        <charset val="1"/>
      </rPr>
      <t xml:space="preserve">3</t>
    </r>
    <r>
      <rPr>
        <sz val="10"/>
        <color rgb="FF0000FF"/>
        <rFont val="Noto Sans CJK SC"/>
        <family val="2"/>
      </rPr>
      <t xml:space="preserve">月期決算短信</t>
    </r>
    <r>
      <rPr>
        <sz val="10"/>
        <color rgb="FF0000FF"/>
        <rFont val="Arial"/>
        <family val="0"/>
        <charset val="1"/>
      </rPr>
      <t xml:space="preserve">(2026/5/21</t>
    </r>
    <r>
      <rPr>
        <sz val="10"/>
        <color rgb="FF0000FF"/>
        <rFont val="Noto Sans CJK SC"/>
        <family val="2"/>
      </rPr>
      <t xml:space="preserve">公表</t>
    </r>
    <r>
      <rPr>
        <sz val="10"/>
        <color rgb="FF0000FF"/>
        <rFont val="Arial"/>
        <family val="0"/>
        <charset val="1"/>
      </rPr>
      <t xml:space="preserve">) p.46</t>
    </r>
    <r>
      <rPr>
        <sz val="10"/>
        <color rgb="FF0000FF"/>
        <rFont val="Noto Sans CJK SC"/>
        <family val="2"/>
      </rPr>
      <t xml:space="preserve">「個別不動産に関する賃貸状況の概要」</t>
    </r>
  </si>
  <si>
    <t xml:space="preserve">収益は百万円単位開示の千円換算（概数）。物件別費用は非開示（法人一括のみ）／【合計照合注記】物件別収益(百万円単位)の16物件合計5,520は原資料表の合計欄5,528とも8百万円不一致（丸め累積・抽出誤差の可能性）。法人一括5,539,262千円との差9,262千円。有報(千円単位)での再照合を推奨</t>
  </si>
  <si>
    <r>
      <rPr>
        <sz val="10"/>
        <color rgb="FF0000FF"/>
        <rFont val="Arial"/>
        <family val="0"/>
        <charset val="1"/>
      </rPr>
      <t xml:space="preserve">2026/3/30</t>
    </r>
    <r>
      <rPr>
        <sz val="10"/>
        <color rgb="FF0000FF"/>
        <rFont val="Noto Sans CJK SC"/>
        <family val="2"/>
      </rPr>
      <t xml:space="preserve">取得、期中</t>
    </r>
    <r>
      <rPr>
        <sz val="10"/>
        <color rgb="FF0000FF"/>
        <rFont val="Arial"/>
        <family val="0"/>
        <charset val="1"/>
      </rPr>
      <t xml:space="preserve">2</t>
    </r>
    <r>
      <rPr>
        <sz val="10"/>
        <color rgb="FF0000FF"/>
        <rFont val="Noto Sans CJK SC"/>
        <family val="2"/>
      </rPr>
      <t xml:space="preserve">日間のみ。収益は百万円単位開示の千円換算（概数）。物件別費用は非開示（法人一括のみ）／【合計照合注記】物件別収益</t>
    </r>
    <r>
      <rPr>
        <sz val="10"/>
        <color rgb="FF0000FF"/>
        <rFont val="Arial"/>
        <family val="0"/>
        <charset val="1"/>
      </rPr>
      <t xml:space="preserve">(</t>
    </r>
    <r>
      <rPr>
        <sz val="10"/>
        <color rgb="FF0000FF"/>
        <rFont val="Noto Sans CJK SC"/>
        <family val="2"/>
      </rPr>
      <t xml:space="preserve">百万円単位</t>
    </r>
    <r>
      <rPr>
        <sz val="10"/>
        <color rgb="FF0000FF"/>
        <rFont val="Arial"/>
        <family val="0"/>
        <charset val="1"/>
      </rPr>
      <t xml:space="preserve">)</t>
    </r>
    <r>
      <rPr>
        <sz val="10"/>
        <color rgb="FF0000FF"/>
        <rFont val="Noto Sans CJK SC"/>
        <family val="2"/>
      </rPr>
      <t xml:space="preserve">の</t>
    </r>
    <r>
      <rPr>
        <sz val="10"/>
        <color rgb="FF0000FF"/>
        <rFont val="Arial"/>
        <family val="0"/>
        <charset val="1"/>
      </rPr>
      <t xml:space="preserve">16</t>
    </r>
    <r>
      <rPr>
        <sz val="10"/>
        <color rgb="FF0000FF"/>
        <rFont val="Noto Sans CJK SC"/>
        <family val="2"/>
      </rPr>
      <t xml:space="preserve">物件合計</t>
    </r>
    <r>
      <rPr>
        <sz val="10"/>
        <color rgb="FF0000FF"/>
        <rFont val="Arial"/>
        <family val="0"/>
        <charset val="1"/>
      </rPr>
      <t xml:space="preserve">5,520</t>
    </r>
    <r>
      <rPr>
        <sz val="10"/>
        <color rgb="FF0000FF"/>
        <rFont val="Noto Sans CJK SC"/>
        <family val="2"/>
      </rPr>
      <t xml:space="preserve">は原資料表の合計欄</t>
    </r>
    <r>
      <rPr>
        <sz val="10"/>
        <color rgb="FF0000FF"/>
        <rFont val="Arial"/>
        <family val="0"/>
        <charset val="1"/>
      </rPr>
      <t xml:space="preserve">5,528</t>
    </r>
    <r>
      <rPr>
        <sz val="10"/>
        <color rgb="FF0000FF"/>
        <rFont val="Noto Sans CJK SC"/>
        <family val="2"/>
      </rPr>
      <t xml:space="preserve">とも</t>
    </r>
    <r>
      <rPr>
        <sz val="10"/>
        <color rgb="FF0000FF"/>
        <rFont val="Arial"/>
        <family val="0"/>
        <charset val="1"/>
      </rPr>
      <t xml:space="preserve">8</t>
    </r>
    <r>
      <rPr>
        <sz val="10"/>
        <color rgb="FF0000FF"/>
        <rFont val="Noto Sans CJK SC"/>
        <family val="2"/>
      </rPr>
      <t xml:space="preserve">百万円不一致（丸め累積・抽出誤差の可能性）。法人一括</t>
    </r>
    <r>
      <rPr>
        <sz val="10"/>
        <color rgb="FF0000FF"/>
        <rFont val="Arial"/>
        <family val="0"/>
        <charset val="1"/>
      </rPr>
      <t xml:space="preserve">5,539,262</t>
    </r>
    <r>
      <rPr>
        <sz val="10"/>
        <color rgb="FF0000FF"/>
        <rFont val="Noto Sans CJK SC"/>
        <family val="2"/>
      </rPr>
      <t xml:space="preserve">千円との差</t>
    </r>
    <r>
      <rPr>
        <sz val="10"/>
        <color rgb="FF0000FF"/>
        <rFont val="Arial"/>
        <family val="0"/>
        <charset val="1"/>
      </rPr>
      <t xml:space="preserve">9,262</t>
    </r>
    <r>
      <rPr>
        <sz val="10"/>
        <color rgb="FF0000FF"/>
        <rFont val="Noto Sans CJK SC"/>
        <family val="2"/>
      </rPr>
      <t xml:space="preserve">千円。有報</t>
    </r>
    <r>
      <rPr>
        <sz val="10"/>
        <color rgb="FF0000FF"/>
        <rFont val="Arial"/>
        <family val="0"/>
        <charset val="1"/>
      </rPr>
      <t xml:space="preserve">(</t>
    </r>
    <r>
      <rPr>
        <sz val="10"/>
        <color rgb="FF0000FF"/>
        <rFont val="Noto Sans CJK SC"/>
        <family val="2"/>
      </rPr>
      <t xml:space="preserve">千円単位</t>
    </r>
    <r>
      <rPr>
        <sz val="10"/>
        <color rgb="FF0000FF"/>
        <rFont val="Arial"/>
        <family val="0"/>
        <charset val="1"/>
      </rPr>
      <t xml:space="preserve">)</t>
    </r>
    <r>
      <rPr>
        <sz val="10"/>
        <color rgb="FF0000FF"/>
        <rFont val="Noto Sans CJK SC"/>
        <family val="2"/>
      </rPr>
      <t xml:space="preserve">での再照合を推奨</t>
    </r>
  </si>
  <si>
    <r>
      <rPr>
        <sz val="10"/>
        <color rgb="FF0000FF"/>
        <rFont val="Arial"/>
        <family val="0"/>
        <charset val="1"/>
      </rPr>
      <t xml:space="preserve">2025/10/10</t>
    </r>
    <r>
      <rPr>
        <sz val="10"/>
        <color rgb="FF0000FF"/>
        <rFont val="Noto Sans CJK SC"/>
        <family val="2"/>
      </rPr>
      <t xml:space="preserve">譲渡、期中</t>
    </r>
    <r>
      <rPr>
        <sz val="10"/>
        <color rgb="FF0000FF"/>
        <rFont val="Arial"/>
        <family val="0"/>
        <charset val="1"/>
      </rPr>
      <t xml:space="preserve">10</t>
    </r>
    <r>
      <rPr>
        <sz val="10"/>
        <color rgb="FF0000FF"/>
        <rFont val="Noto Sans CJK SC"/>
        <family val="2"/>
      </rPr>
      <t xml:space="preserve">日間のみ。収益は百万円単位開示の千円換算（概数）。物件別費用は非開示（法人一括のみ）／【合計照合注記】物件別収益</t>
    </r>
    <r>
      <rPr>
        <sz val="10"/>
        <color rgb="FF0000FF"/>
        <rFont val="Arial"/>
        <family val="0"/>
        <charset val="1"/>
      </rPr>
      <t xml:space="preserve">(</t>
    </r>
    <r>
      <rPr>
        <sz val="10"/>
        <color rgb="FF0000FF"/>
        <rFont val="Noto Sans CJK SC"/>
        <family val="2"/>
      </rPr>
      <t xml:space="preserve">百万円単位</t>
    </r>
    <r>
      <rPr>
        <sz val="10"/>
        <color rgb="FF0000FF"/>
        <rFont val="Arial"/>
        <family val="0"/>
        <charset val="1"/>
      </rPr>
      <t xml:space="preserve">)</t>
    </r>
    <r>
      <rPr>
        <sz val="10"/>
        <color rgb="FF0000FF"/>
        <rFont val="Noto Sans CJK SC"/>
        <family val="2"/>
      </rPr>
      <t xml:space="preserve">の</t>
    </r>
    <r>
      <rPr>
        <sz val="10"/>
        <color rgb="FF0000FF"/>
        <rFont val="Arial"/>
        <family val="0"/>
        <charset val="1"/>
      </rPr>
      <t xml:space="preserve">16</t>
    </r>
    <r>
      <rPr>
        <sz val="10"/>
        <color rgb="FF0000FF"/>
        <rFont val="Noto Sans CJK SC"/>
        <family val="2"/>
      </rPr>
      <t xml:space="preserve">物件合計</t>
    </r>
    <r>
      <rPr>
        <sz val="10"/>
        <color rgb="FF0000FF"/>
        <rFont val="Arial"/>
        <family val="0"/>
        <charset val="1"/>
      </rPr>
      <t xml:space="preserve">5,520</t>
    </r>
    <r>
      <rPr>
        <sz val="10"/>
        <color rgb="FF0000FF"/>
        <rFont val="Noto Sans CJK SC"/>
        <family val="2"/>
      </rPr>
      <t xml:space="preserve">は原資料表の合計欄</t>
    </r>
    <r>
      <rPr>
        <sz val="10"/>
        <color rgb="FF0000FF"/>
        <rFont val="Arial"/>
        <family val="0"/>
        <charset val="1"/>
      </rPr>
      <t xml:space="preserve">5,528</t>
    </r>
    <r>
      <rPr>
        <sz val="10"/>
        <color rgb="FF0000FF"/>
        <rFont val="Noto Sans CJK SC"/>
        <family val="2"/>
      </rPr>
      <t xml:space="preserve">とも</t>
    </r>
    <r>
      <rPr>
        <sz val="10"/>
        <color rgb="FF0000FF"/>
        <rFont val="Arial"/>
        <family val="0"/>
        <charset val="1"/>
      </rPr>
      <t xml:space="preserve">8</t>
    </r>
    <r>
      <rPr>
        <sz val="10"/>
        <color rgb="FF0000FF"/>
        <rFont val="Noto Sans CJK SC"/>
        <family val="2"/>
      </rPr>
      <t xml:space="preserve">百万円不一致（丸め累積・抽出誤差の可能性）。法人一括</t>
    </r>
    <r>
      <rPr>
        <sz val="10"/>
        <color rgb="FF0000FF"/>
        <rFont val="Arial"/>
        <family val="0"/>
        <charset val="1"/>
      </rPr>
      <t xml:space="preserve">5,539,262</t>
    </r>
    <r>
      <rPr>
        <sz val="10"/>
        <color rgb="FF0000FF"/>
        <rFont val="Noto Sans CJK SC"/>
        <family val="2"/>
      </rPr>
      <t xml:space="preserve">千円との差</t>
    </r>
    <r>
      <rPr>
        <sz val="10"/>
        <color rgb="FF0000FF"/>
        <rFont val="Arial"/>
        <family val="0"/>
        <charset val="1"/>
      </rPr>
      <t xml:space="preserve">9,262</t>
    </r>
    <r>
      <rPr>
        <sz val="10"/>
        <color rgb="FF0000FF"/>
        <rFont val="Noto Sans CJK SC"/>
        <family val="2"/>
      </rPr>
      <t xml:space="preserve">千円。有報</t>
    </r>
    <r>
      <rPr>
        <sz val="10"/>
        <color rgb="FF0000FF"/>
        <rFont val="Arial"/>
        <family val="0"/>
        <charset val="1"/>
      </rPr>
      <t xml:space="preserve">(</t>
    </r>
    <r>
      <rPr>
        <sz val="10"/>
        <color rgb="FF0000FF"/>
        <rFont val="Noto Sans CJK SC"/>
        <family val="2"/>
      </rPr>
      <t xml:space="preserve">千円単位</t>
    </r>
    <r>
      <rPr>
        <sz val="10"/>
        <color rgb="FF0000FF"/>
        <rFont val="Arial"/>
        <family val="0"/>
        <charset val="1"/>
      </rPr>
      <t xml:space="preserve">)</t>
    </r>
    <r>
      <rPr>
        <sz val="10"/>
        <color rgb="FF0000FF"/>
        <rFont val="Noto Sans CJK SC"/>
        <family val="2"/>
      </rPr>
      <t xml:space="preserve">での再照合を推奨</t>
    </r>
  </si>
  <si>
    <t xml:space="preserve">対象外（期後取得・当期収支なし）</t>
  </si>
  <si>
    <r>
      <rPr>
        <sz val="10"/>
        <color rgb="FF0000FF"/>
        <rFont val="Arial"/>
        <family val="0"/>
        <charset val="1"/>
      </rPr>
      <t xml:space="preserve">GOR 2026</t>
    </r>
    <r>
      <rPr>
        <sz val="10"/>
        <color rgb="FF0000FF"/>
        <rFont val="Noto Sans CJK SC"/>
        <family val="2"/>
      </rPr>
      <t xml:space="preserve">年</t>
    </r>
    <r>
      <rPr>
        <sz val="10"/>
        <color rgb="FF0000FF"/>
        <rFont val="Arial"/>
        <family val="0"/>
        <charset val="1"/>
      </rPr>
      <t xml:space="preserve">3</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45</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</si>
  <si>
    <r>
      <rPr>
        <sz val="10"/>
        <color rgb="FF0000FF"/>
        <rFont val="Arial"/>
        <family val="0"/>
        <charset val="1"/>
      </rPr>
      <t xml:space="preserve">ICON PLACE SHIBAKOEN</t>
    </r>
    <r>
      <rPr>
        <sz val="10"/>
        <color rgb="FF0000FF"/>
        <rFont val="Noto Sans CJK SC"/>
        <family val="2"/>
      </rPr>
      <t xml:space="preserve">は第</t>
    </r>
    <r>
      <rPr>
        <sz val="10"/>
        <color rgb="FF0000FF"/>
        <rFont val="Arial"/>
        <family val="0"/>
        <charset val="1"/>
      </rPr>
      <t xml:space="preserve">46</t>
    </r>
    <r>
      <rPr>
        <sz val="10"/>
        <color rgb="FF0000FF"/>
        <rFont val="Noto Sans CJK SC"/>
        <family val="2"/>
      </rPr>
      <t xml:space="preserve">期</t>
    </r>
    <r>
      <rPr>
        <sz val="10"/>
        <color rgb="FF0000FF"/>
        <rFont val="Arial"/>
        <family val="0"/>
        <charset val="1"/>
      </rPr>
      <t xml:space="preserve">(2026/4/23)</t>
    </r>
    <r>
      <rPr>
        <sz val="10"/>
        <color rgb="FF0000FF"/>
        <rFont val="Noto Sans CJK SC"/>
        <family val="2"/>
      </rPr>
      <t xml:space="preserve">取得のため第</t>
    </r>
    <r>
      <rPr>
        <sz val="10"/>
        <color rgb="FF0000FF"/>
        <rFont val="Arial"/>
        <family val="0"/>
        <charset val="1"/>
      </rPr>
      <t xml:space="preserve">45</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当期</t>
    </r>
    <r>
      <rPr>
        <sz val="10"/>
        <color rgb="FF0000FF"/>
        <rFont val="Arial"/>
        <family val="0"/>
        <charset val="1"/>
      </rPr>
      <t xml:space="preserve">)</t>
    </r>
    <r>
      <rPr>
        <sz val="10"/>
        <color rgb="FF0000FF"/>
        <rFont val="Noto Sans CJK SC"/>
        <family val="2"/>
      </rPr>
      <t xml:space="preserve">の収支は存在しない。物件マスタとの</t>
    </r>
    <r>
      <rPr>
        <sz val="10"/>
        <color rgb="FF0000FF"/>
        <rFont val="Arial"/>
        <family val="0"/>
        <charset val="1"/>
      </rPr>
      <t xml:space="preserve">1</t>
    </r>
    <r>
      <rPr>
        <sz val="10"/>
        <color rgb="FF0000FF"/>
        <rFont val="Noto Sans CJK SC"/>
        <family val="2"/>
      </rPr>
      <t xml:space="preserve">対</t>
    </r>
    <r>
      <rPr>
        <sz val="10"/>
        <color rgb="FF0000FF"/>
        <rFont val="Arial"/>
        <family val="0"/>
        <charset val="1"/>
      </rPr>
      <t xml:space="preserve">1</t>
    </r>
    <r>
      <rPr>
        <sz val="10"/>
        <color rgb="FF0000FF"/>
        <rFont val="Noto Sans CJK SC"/>
        <family val="2"/>
      </rPr>
      <t xml:space="preserve">対応維持のための対象外行</t>
    </r>
    <r>
      <rPr>
        <sz val="10"/>
        <color rgb="FF0000FF"/>
        <rFont val="Arial"/>
        <family val="0"/>
        <charset val="1"/>
      </rPr>
      <t xml:space="preserve">(F</t>
    </r>
    <r>
      <rPr>
        <sz val="10"/>
        <color rgb="FF0000FF"/>
        <rFont val="Noto Sans CJK SC"/>
        <family val="2"/>
      </rPr>
      <t xml:space="preserve">〜</t>
    </r>
    <r>
      <rPr>
        <sz val="10"/>
        <color rgb="FF0000FF"/>
        <rFont val="Arial"/>
        <family val="0"/>
        <charset val="1"/>
      </rPr>
      <t xml:space="preserve">S</t>
    </r>
    <r>
      <rPr>
        <sz val="10"/>
        <color rgb="FF0000FF"/>
        <rFont val="Noto Sans CJK SC"/>
        <family val="2"/>
      </rPr>
      <t xml:space="preserve">全空欄</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46</t>
    </r>
    <r>
      <rPr>
        <sz val="10"/>
        <color rgb="FF0000FF"/>
        <rFont val="Noto Sans CJK SC"/>
        <family val="2"/>
      </rPr>
      <t xml:space="preserve">期短信公表後に実績を収録予定</t>
    </r>
  </si>
  <si>
    <r>
      <rPr>
        <sz val="10"/>
        <color rgb="FF0000FF"/>
        <rFont val="Arial"/>
        <family val="0"/>
        <charset val="1"/>
      </rPr>
      <t xml:space="preserve">DOI 2026</t>
    </r>
    <r>
      <rPr>
        <sz val="10"/>
        <color rgb="FF0000FF"/>
        <rFont val="Noto Sans CJK SC"/>
        <family val="2"/>
      </rPr>
      <t xml:space="preserve">年</t>
    </r>
    <r>
      <rPr>
        <sz val="10"/>
        <color rgb="FF0000FF"/>
        <rFont val="Arial"/>
        <family val="0"/>
        <charset val="1"/>
      </rPr>
      <t xml:space="preserve">5</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41</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(2026/7/17</t>
    </r>
    <r>
      <rPr>
        <sz val="10"/>
        <color rgb="FF0000FF"/>
        <rFont val="Noto Sans CJK SC"/>
        <family val="2"/>
      </rPr>
      <t xml:space="preserve">公表</t>
    </r>
    <r>
      <rPr>
        <sz val="10"/>
        <color rgb="FF0000FF"/>
        <rFont val="Arial"/>
        <family val="0"/>
        <charset val="1"/>
      </rPr>
      <t xml:space="preserve">) p.22 </t>
    </r>
    <r>
      <rPr>
        <sz val="10"/>
        <color rgb="FF0000FF"/>
        <rFont val="Noto Sans CJK SC"/>
        <family val="2"/>
      </rPr>
      <t xml:space="preserve">不動産賃貸事業損益の内訳・</t>
    </r>
    <r>
      <rPr>
        <sz val="10"/>
        <color rgb="FF0000FF"/>
        <rFont val="Arial"/>
        <family val="0"/>
        <charset val="1"/>
      </rPr>
      <t xml:space="preserve">p.39 </t>
    </r>
    <r>
      <rPr>
        <sz val="10"/>
        <color rgb="FF0000FF"/>
        <rFont val="Noto Sans CJK SC"/>
        <family val="2"/>
      </rPr>
      <t xml:space="preserve">資本的支出</t>
    </r>
  </si>
  <si>
    <t xml:space="preserve">「うち賃料・共益費(千円)」欄は「賃貸事業収入」(賃料・共益費・駐車場等一体開示のため分離不能)、「うちその他収入(千円)」欄は「その他賃貸事業収入」。内訳チェック4千円は開示数値の丸めに由来。開示上の賃貸事業損益9,131,616千円(数式値と完全一致)。「うち外注委託費(千円)」欄は外注委託費、資本的支出は百万円開示の千円換算概数。【原資料内不整合の注記】物件別開示値の積上げと短信の地域別合計欄に丸め由来の微差あり(首都圏:積上2,710,128vs表記2,710,131、地域計合算14,911,594vs総額14,911,595)。個別値を正として転記済、有報での再照合を推奨</t>
  </si>
  <si>
    <r>
      <rPr>
        <sz val="10"/>
        <color rgb="FF0000FF"/>
        <rFont val="Arial"/>
        <family val="0"/>
        <charset val="1"/>
      </rPr>
      <t xml:space="preserve">DOI 2026</t>
    </r>
    <r>
      <rPr>
        <sz val="10"/>
        <color rgb="FF0000FF"/>
        <rFont val="Noto Sans CJK SC"/>
        <family val="2"/>
      </rPr>
      <t xml:space="preserve">年</t>
    </r>
    <r>
      <rPr>
        <sz val="10"/>
        <color rgb="FF0000FF"/>
        <rFont val="Arial"/>
        <family val="0"/>
        <charset val="1"/>
      </rPr>
      <t xml:space="preserve">5</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41</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(2026/7/17</t>
    </r>
    <r>
      <rPr>
        <sz val="10"/>
        <color rgb="FF0000FF"/>
        <rFont val="Noto Sans CJK SC"/>
        <family val="2"/>
      </rPr>
      <t xml:space="preserve">公表</t>
    </r>
    <r>
      <rPr>
        <sz val="10"/>
        <color rgb="FF0000FF"/>
        <rFont val="Arial"/>
        <family val="0"/>
        <charset val="1"/>
      </rPr>
      <t xml:space="preserve">) p.36-38 </t>
    </r>
    <r>
      <rPr>
        <sz val="10"/>
        <color rgb="FF0000FF"/>
        <rFont val="Noto Sans CJK SC"/>
        <family val="2"/>
      </rPr>
      <t xml:space="preserve">建物及び賃貸借の概要</t>
    </r>
  </si>
  <si>
    <t xml:space="preserve">賃貸事業収入(賃料・共益費・駐車場等込み、千円単位)。物件別費用は短信非開示（個別物件収支データXLSは別途公表、法人一括はDOI-ALL行）</t>
  </si>
  <si>
    <t xml:space="preserve">主要テナントの同意が得られず賃貸事業収入非開示（短信注8）。期中譲渡物件。法人一括はDOI-ALL行参照</t>
  </si>
  <si>
    <t xml:space="preserve">年換算値は実態と乖離するため利回り算定に用いない（期中譲渡）</t>
  </si>
  <si>
    <t xml:space="preserve">主要テナントの同意が得られず賃貸事業収入非開示（短信注8）。法人一括はDOI-ALL行参照</t>
  </si>
  <si>
    <r>
      <rPr>
        <sz val="10"/>
        <color rgb="FF0000FF"/>
        <rFont val="Arial"/>
        <family val="0"/>
        <charset val="1"/>
      </rPr>
      <t xml:space="preserve">2026/3/27</t>
    </r>
    <r>
      <rPr>
        <sz val="10"/>
        <color rgb="FF0000FF"/>
        <rFont val="Noto Sans CJK SC"/>
        <family val="2"/>
      </rPr>
      <t xml:space="preserve">譲渡、期中約</t>
    </r>
    <r>
      <rPr>
        <sz val="10"/>
        <color rgb="FF0000FF"/>
        <rFont val="Arial"/>
        <family val="0"/>
        <charset val="1"/>
      </rPr>
      <t xml:space="preserve">3.9</t>
    </r>
    <r>
      <rPr>
        <sz val="10"/>
        <color rgb="FF0000FF"/>
        <rFont val="Noto Sans CJK SC"/>
        <family val="2"/>
      </rPr>
      <t xml:space="preserve">ヶ月分。賃貸事業収入</t>
    </r>
    <r>
      <rPr>
        <sz val="10"/>
        <color rgb="FF0000FF"/>
        <rFont val="Arial"/>
        <family val="0"/>
        <charset val="1"/>
      </rPr>
      <t xml:space="preserve">(</t>
    </r>
    <r>
      <rPr>
        <sz val="10"/>
        <color rgb="FF0000FF"/>
        <rFont val="Noto Sans CJK SC"/>
        <family val="2"/>
      </rPr>
      <t xml:space="preserve">賃料・共益費・駐車場等込み、千円単位</t>
    </r>
    <r>
      <rPr>
        <sz val="10"/>
        <color rgb="FF0000FF"/>
        <rFont val="Arial"/>
        <family val="0"/>
        <charset val="1"/>
      </rPr>
      <t xml:space="preserve">)</t>
    </r>
    <r>
      <rPr>
        <sz val="10"/>
        <color rgb="FF0000FF"/>
        <rFont val="Noto Sans CJK SC"/>
        <family val="2"/>
      </rPr>
      <t xml:space="preserve">。物件別費用は短信非開示（個別物件収支データ</t>
    </r>
    <r>
      <rPr>
        <sz val="10"/>
        <color rgb="FF0000FF"/>
        <rFont val="Arial"/>
        <family val="0"/>
        <charset val="1"/>
      </rPr>
      <t xml:space="preserve">XLS</t>
    </r>
    <r>
      <rPr>
        <sz val="10"/>
        <color rgb="FF0000FF"/>
        <rFont val="Noto Sans CJK SC"/>
        <family val="2"/>
      </rPr>
      <t xml:space="preserve">は別途公表、法人一括は</t>
    </r>
    <r>
      <rPr>
        <sz val="10"/>
        <color rgb="FF0000FF"/>
        <rFont val="Arial"/>
        <family val="0"/>
        <charset val="1"/>
      </rPr>
      <t xml:space="preserve">DOI-ALL</t>
    </r>
    <r>
      <rPr>
        <sz val="10"/>
        <color rgb="FF0000FF"/>
        <rFont val="Noto Sans CJK SC"/>
        <family val="2"/>
      </rPr>
      <t xml:space="preserve">行）</t>
    </r>
  </si>
  <si>
    <r>
      <rPr>
        <sz val="10"/>
        <color rgb="FF0000FF"/>
        <rFont val="Arial"/>
        <family val="0"/>
        <charset val="1"/>
      </rPr>
      <t xml:space="preserve">2026/3/27</t>
    </r>
    <r>
      <rPr>
        <sz val="10"/>
        <color rgb="FF0000FF"/>
        <rFont val="Noto Sans CJK SC"/>
        <family val="2"/>
      </rPr>
      <t xml:space="preserve">取得、期中約</t>
    </r>
    <r>
      <rPr>
        <sz val="10"/>
        <color rgb="FF0000FF"/>
        <rFont val="Arial"/>
        <family val="0"/>
        <charset val="1"/>
      </rPr>
      <t xml:space="preserve">2</t>
    </r>
    <r>
      <rPr>
        <sz val="10"/>
        <color rgb="FF0000FF"/>
        <rFont val="Noto Sans CJK SC"/>
        <family val="2"/>
      </rPr>
      <t xml:space="preserve">ヶ月分（月坪換算は過小となる点に留意）。賃貸事業収入</t>
    </r>
    <r>
      <rPr>
        <sz val="10"/>
        <color rgb="FF0000FF"/>
        <rFont val="Arial"/>
        <family val="0"/>
        <charset val="1"/>
      </rPr>
      <t xml:space="preserve">(</t>
    </r>
    <r>
      <rPr>
        <sz val="10"/>
        <color rgb="FF0000FF"/>
        <rFont val="Noto Sans CJK SC"/>
        <family val="2"/>
      </rPr>
      <t xml:space="preserve">賃料・共益費・駐車場等込み、千円単位</t>
    </r>
    <r>
      <rPr>
        <sz val="10"/>
        <color rgb="FF0000FF"/>
        <rFont val="Arial"/>
        <family val="0"/>
        <charset val="1"/>
      </rPr>
      <t xml:space="preserve">)</t>
    </r>
    <r>
      <rPr>
        <sz val="10"/>
        <color rgb="FF0000FF"/>
        <rFont val="Noto Sans CJK SC"/>
        <family val="2"/>
      </rPr>
      <t xml:space="preserve">。物件別費用は短信非開示（個別物件収支データ</t>
    </r>
    <r>
      <rPr>
        <sz val="10"/>
        <color rgb="FF0000FF"/>
        <rFont val="Arial"/>
        <family val="0"/>
        <charset val="1"/>
      </rPr>
      <t xml:space="preserve">XLS</t>
    </r>
    <r>
      <rPr>
        <sz val="10"/>
        <color rgb="FF0000FF"/>
        <rFont val="Noto Sans CJK SC"/>
        <family val="2"/>
      </rPr>
      <t xml:space="preserve">は別途公表、法人一括は</t>
    </r>
    <r>
      <rPr>
        <sz val="10"/>
        <color rgb="FF0000FF"/>
        <rFont val="Arial"/>
        <family val="0"/>
        <charset val="1"/>
      </rPr>
      <t xml:space="preserve">DOI-ALL</t>
    </r>
    <r>
      <rPr>
        <sz val="10"/>
        <color rgb="FF0000FF"/>
        <rFont val="Noto Sans CJK SC"/>
        <family val="2"/>
      </rPr>
      <t xml:space="preserve">行）</t>
    </r>
  </si>
  <si>
    <r>
      <rPr>
        <sz val="10"/>
        <color rgb="FF0000FF"/>
        <rFont val="Arial"/>
        <family val="0"/>
        <charset val="1"/>
      </rPr>
      <t xml:space="preserve">2026/3/31</t>
    </r>
    <r>
      <rPr>
        <sz val="10"/>
        <color rgb="FF0000FF"/>
        <rFont val="Noto Sans CJK SC"/>
        <family val="2"/>
      </rPr>
      <t xml:space="preserve">取得、期中約</t>
    </r>
    <r>
      <rPr>
        <sz val="10"/>
        <color rgb="FF0000FF"/>
        <rFont val="Arial"/>
        <family val="0"/>
        <charset val="1"/>
      </rPr>
      <t xml:space="preserve">2</t>
    </r>
    <r>
      <rPr>
        <sz val="10"/>
        <color rgb="FF0000FF"/>
        <rFont val="Noto Sans CJK SC"/>
        <family val="2"/>
      </rPr>
      <t xml:space="preserve">ヶ月分（月坪換算は過小となる点に留意）。賃貸事業収入</t>
    </r>
    <r>
      <rPr>
        <sz val="10"/>
        <color rgb="FF0000FF"/>
        <rFont val="Arial"/>
        <family val="0"/>
        <charset val="1"/>
      </rPr>
      <t xml:space="preserve">(</t>
    </r>
    <r>
      <rPr>
        <sz val="10"/>
        <color rgb="FF0000FF"/>
        <rFont val="Noto Sans CJK SC"/>
        <family val="2"/>
      </rPr>
      <t xml:space="preserve">賃料・共益費・駐車場等込み、千円単位</t>
    </r>
    <r>
      <rPr>
        <sz val="10"/>
        <color rgb="FF0000FF"/>
        <rFont val="Arial"/>
        <family val="0"/>
        <charset val="1"/>
      </rPr>
      <t xml:space="preserve">)</t>
    </r>
    <r>
      <rPr>
        <sz val="10"/>
        <color rgb="FF0000FF"/>
        <rFont val="Noto Sans CJK SC"/>
        <family val="2"/>
      </rPr>
      <t xml:space="preserve">。物件別費用は短信非開示（個別物件収支データ</t>
    </r>
    <r>
      <rPr>
        <sz val="10"/>
        <color rgb="FF0000FF"/>
        <rFont val="Arial"/>
        <family val="0"/>
        <charset val="1"/>
      </rPr>
      <t xml:space="preserve">XLS</t>
    </r>
    <r>
      <rPr>
        <sz val="10"/>
        <color rgb="FF0000FF"/>
        <rFont val="Noto Sans CJK SC"/>
        <family val="2"/>
      </rPr>
      <t xml:space="preserve">は別途公表、法人一括は</t>
    </r>
    <r>
      <rPr>
        <sz val="10"/>
        <color rgb="FF0000FF"/>
        <rFont val="Arial"/>
        <family val="0"/>
        <charset val="1"/>
      </rPr>
      <t xml:space="preserve">DOI-ALL</t>
    </r>
    <r>
      <rPr>
        <sz val="10"/>
        <color rgb="FF0000FF"/>
        <rFont val="Noto Sans CJK SC"/>
        <family val="2"/>
      </rPr>
      <t xml:space="preserve">行）</t>
    </r>
  </si>
  <si>
    <r>
      <rPr>
        <sz val="10"/>
        <color rgb="FF0000FF"/>
        <rFont val="Arial"/>
        <family val="0"/>
        <charset val="1"/>
      </rPr>
      <t xml:space="preserve">ICG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41</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(2026/6/17</t>
    </r>
    <r>
      <rPr>
        <sz val="10"/>
        <color rgb="FF0000FF"/>
        <rFont val="Noto Sans CJK SC"/>
        <family val="2"/>
      </rPr>
      <t xml:space="preserve">公表</t>
    </r>
    <r>
      <rPr>
        <sz val="10"/>
        <color rgb="FF0000FF"/>
        <rFont val="Arial"/>
        <family val="0"/>
        <charset val="1"/>
      </rPr>
      <t xml:space="preserve">) p.18 </t>
    </r>
    <r>
      <rPr>
        <sz val="10"/>
        <color rgb="FF0000FF"/>
        <rFont val="Noto Sans CJK SC"/>
        <family val="2"/>
      </rPr>
      <t xml:space="preserve">不動産賃貸事業損益の内訳・</t>
    </r>
    <r>
      <rPr>
        <sz val="10"/>
        <color rgb="FF0000FF"/>
        <rFont val="Arial"/>
        <family val="0"/>
        <charset val="1"/>
      </rPr>
      <t xml:space="preserve">p.41 </t>
    </r>
    <r>
      <rPr>
        <sz val="10"/>
        <color rgb="FF0000FF"/>
        <rFont val="Noto Sans CJK SC"/>
        <family val="2"/>
      </rPr>
      <t xml:space="preserve">資本的支出</t>
    </r>
  </si>
  <si>
    <t xml:space="preserve">法人一括の賃貸事業収支(千円・不動産等売却益519,979千円は含まず)。G=賃貸事業収入(賃料6,409,225+共益費850,357+駐車場274,489+施設使用料68,174、内訳計と欄の1千円差は切捨て由来)、H=その他賃貸事業収入(水道光熱費収入489,108+その他88,442、同1千円差)。F欄と(G+H)の1千円差も同様。その他費用=信託報酬32,215+その他賃貸事業費用52,751の合算。内訳チェック2千円は原資料の千円未満切捨て由来。賃貸事業損益(F-I)=4,939,181は開示損益4,939,180と1千円差(切捨て伝播・原資料内不整合として注記)。物件別収入(88行)の合算8,179,756千円と一括欄8,179,798千円の42千円差も切捨て累積。CAPEX1,979,864千円+費用処理修繕126,600千円=計2,106,464千円の工事実施(心築CAPEX)。当期はRE100対応で全保有物件(区分所有等除く)の電力を100%再エネに切替済(水道光熱費に影響)</t>
  </si>
  <si>
    <t xml:space="preserve">開示（物件別・収益のみ）</t>
  </si>
  <si>
    <r>
      <rPr>
        <sz val="10"/>
        <color rgb="FF0000FF"/>
        <rFont val="Arial"/>
        <family val="0"/>
        <charset val="1"/>
      </rPr>
      <t xml:space="preserve">ICG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41</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(2026/6/17</t>
    </r>
    <r>
      <rPr>
        <sz val="10"/>
        <color rgb="FF0000FF"/>
        <rFont val="Noto Sans CJK SC"/>
        <family val="2"/>
      </rPr>
      <t xml:space="preserve">公表</t>
    </r>
    <r>
      <rPr>
        <sz val="10"/>
        <color rgb="FF0000FF"/>
        <rFont val="Arial"/>
        <family val="0"/>
        <charset val="1"/>
      </rPr>
      <t xml:space="preserve">) p.30-33 </t>
    </r>
    <r>
      <rPr>
        <sz val="10"/>
        <color rgb="FF0000FF"/>
        <rFont val="Noto Sans CJK SC"/>
        <family val="2"/>
      </rPr>
      <t xml:space="preserve">保有不動産の賃貸借の概要</t>
    </r>
  </si>
  <si>
    <t xml:space="preserve">当期総賃料収入(賃料・共益費・駐車場等のほか、その他賃貸事業収入=水道光熱費収入等を含む当期発生額・千円)。費用内訳は物件別非開示(法人一括のICG-ALL行参照)</t>
  </si>
  <si>
    <t xml:space="preserve">開示（期中譲渡・期間僅少）</t>
  </si>
  <si>
    <r>
      <rPr>
        <sz val="10"/>
        <color rgb="FF0000FF"/>
        <rFont val="Arial"/>
        <family val="0"/>
        <charset val="1"/>
      </rPr>
      <t xml:space="preserve">ICG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41</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(2026/6/17</t>
    </r>
    <r>
      <rPr>
        <sz val="10"/>
        <color rgb="FF0000FF"/>
        <rFont val="Noto Sans CJK SC"/>
        <family val="2"/>
      </rPr>
      <t xml:space="preserve">公表</t>
    </r>
    <r>
      <rPr>
        <sz val="10"/>
        <color rgb="FF0000FF"/>
        <rFont val="Arial"/>
        <family val="0"/>
        <charset val="1"/>
      </rPr>
      <t xml:space="preserve">) p.31</t>
    </r>
  </si>
  <si>
    <r>
      <rPr>
        <sz val="10"/>
        <color rgb="FF0000FF"/>
        <rFont val="Arial"/>
        <family val="0"/>
        <charset val="1"/>
      </rPr>
      <t xml:space="preserve">2025/11/10</t>
    </r>
    <r>
      <rPr>
        <sz val="10"/>
        <color rgb="FF0000FF"/>
        <rFont val="Noto Sans CJK SC"/>
        <family val="2"/>
      </rPr>
      <t xml:space="preserve">譲渡までの期間僅少収入</t>
    </r>
    <r>
      <rPr>
        <sz val="10"/>
        <color rgb="FF0000FF"/>
        <rFont val="Arial"/>
        <family val="0"/>
        <charset val="1"/>
      </rPr>
      <t xml:space="preserve">4,806</t>
    </r>
    <r>
      <rPr>
        <sz val="10"/>
        <color rgb="FF0000FF"/>
        <rFont val="Noto Sans CJK SC"/>
        <family val="2"/>
      </rPr>
      <t xml:space="preserve">千円。譲渡価格</t>
    </r>
    <r>
      <rPr>
        <sz val="10"/>
        <color rgb="FF0000FF"/>
        <rFont val="Arial"/>
        <family val="0"/>
        <charset val="1"/>
      </rPr>
      <t xml:space="preserve">1,750</t>
    </r>
    <r>
      <rPr>
        <sz val="10"/>
        <color rgb="FF0000FF"/>
        <rFont val="Noto Sans CJK SC"/>
        <family val="2"/>
      </rPr>
      <t xml:space="preserve">百万円・売却益</t>
    </r>
    <r>
      <rPr>
        <sz val="10"/>
        <color rgb="FF0000FF"/>
        <rFont val="Arial"/>
        <family val="0"/>
        <charset val="1"/>
      </rPr>
      <t xml:space="preserve">519,979</t>
    </r>
    <r>
      <rPr>
        <sz val="10"/>
        <color rgb="FF0000FF"/>
        <rFont val="Noto Sans CJK SC"/>
        <family val="2"/>
      </rPr>
      <t xml:space="preserve">千円は営業収益に計上</t>
    </r>
    <r>
      <rPr>
        <sz val="10"/>
        <color rgb="FF0000FF"/>
        <rFont val="Arial"/>
        <family val="0"/>
        <charset val="1"/>
      </rPr>
      <t xml:space="preserve">(</t>
    </r>
    <r>
      <rPr>
        <sz val="10"/>
        <color rgb="FF0000FF"/>
        <rFont val="Noto Sans CJK SC"/>
        <family val="2"/>
      </rPr>
      <t xml:space="preserve">賃貸収支外</t>
    </r>
    <r>
      <rPr>
        <sz val="10"/>
        <color rgb="FF0000FF"/>
        <rFont val="Arial"/>
        <family val="0"/>
        <charset val="1"/>
      </rPr>
      <t xml:space="preserve">)</t>
    </r>
  </si>
  <si>
    <r>
      <rPr>
        <sz val="10"/>
        <color rgb="FF0000FF"/>
        <rFont val="Arial"/>
        <family val="0"/>
        <charset val="1"/>
      </rPr>
      <t xml:space="preserve">JEI 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39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(2026/2/20</t>
    </r>
    <r>
      <rPr>
        <sz val="10"/>
        <color rgb="FF0000FF"/>
        <rFont val="Noto Sans CJK SC"/>
        <family val="2"/>
      </rPr>
      <t xml:space="preserve">公表</t>
    </r>
    <r>
      <rPr>
        <sz val="10"/>
        <color rgb="FF0000FF"/>
        <rFont val="Arial"/>
        <family val="0"/>
        <charset val="1"/>
      </rPr>
      <t xml:space="preserve">) p.18 </t>
    </r>
    <r>
      <rPr>
        <sz val="10"/>
        <color rgb="FF0000FF"/>
        <rFont val="Noto Sans CJK SC"/>
        <family val="2"/>
      </rPr>
      <t xml:space="preserve">不動産賃貸事業損益の内訳・</t>
    </r>
    <r>
      <rPr>
        <sz val="10"/>
        <color rgb="FF0000FF"/>
        <rFont val="Arial"/>
        <family val="0"/>
        <charset val="1"/>
      </rPr>
      <t xml:space="preserve">p.39 </t>
    </r>
    <r>
      <rPr>
        <sz val="10"/>
        <color rgb="FF0000FF"/>
        <rFont val="Noto Sans CJK SC"/>
        <family val="2"/>
      </rPr>
      <t xml:space="preserve">資本的支出</t>
    </r>
  </si>
  <si>
    <r>
      <rPr>
        <sz val="10"/>
        <color rgb="FF0000FF"/>
        <rFont val="Arial"/>
        <family val="0"/>
        <charset val="1"/>
      </rPr>
      <t xml:space="preserve">G=</t>
    </r>
    <r>
      <rPr>
        <sz val="10"/>
        <color rgb="FF0000FF"/>
        <rFont val="Noto Sans CJK SC"/>
        <family val="2"/>
      </rPr>
      <t xml:space="preserve">賃料</t>
    </r>
    <r>
      <rPr>
        <sz val="10"/>
        <color rgb="FF0000FF"/>
        <rFont val="Arial"/>
        <family val="0"/>
        <charset val="1"/>
      </rPr>
      <t xml:space="preserve">8,615,695+</t>
    </r>
    <r>
      <rPr>
        <sz val="10"/>
        <color rgb="FF0000FF"/>
        <rFont val="Noto Sans CJK SC"/>
        <family val="2"/>
      </rPr>
      <t xml:space="preserve">共益費</t>
    </r>
    <r>
      <rPr>
        <sz val="10"/>
        <color rgb="FF0000FF"/>
        <rFont val="Arial"/>
        <family val="0"/>
        <charset val="1"/>
      </rPr>
      <t xml:space="preserve">1,180,934</t>
    </r>
    <r>
      <rPr>
        <sz val="10"/>
        <color rgb="FF0000FF"/>
        <rFont val="Noto Sans CJK SC"/>
        <family val="2"/>
      </rPr>
      <t xml:space="preserve">。</t>
    </r>
    <r>
      <rPr>
        <sz val="10"/>
        <color rgb="FF0000FF"/>
        <rFont val="Arial"/>
        <family val="0"/>
        <charset val="1"/>
      </rPr>
      <t xml:space="preserve">H=F-G</t>
    </r>
    <r>
      <rPr>
        <sz val="10"/>
        <color rgb="FF0000FF"/>
        <rFont val="Noto Sans CJK SC"/>
        <family val="2"/>
      </rPr>
      <t xml:space="preserve">残差</t>
    </r>
    <r>
      <rPr>
        <sz val="10"/>
        <color rgb="FF0000FF"/>
        <rFont val="Arial"/>
        <family val="0"/>
        <charset val="1"/>
      </rPr>
      <t xml:space="preserve">(</t>
    </r>
    <r>
      <rPr>
        <sz val="10"/>
        <color rgb="FF0000FF"/>
        <rFont val="Noto Sans CJK SC"/>
        <family val="2"/>
      </rPr>
      <t xml:space="preserve">内訳合計</t>
    </r>
    <r>
      <rPr>
        <sz val="10"/>
        <color rgb="FF0000FF"/>
        <rFont val="Arial"/>
        <family val="0"/>
        <charset val="1"/>
      </rPr>
      <t xml:space="preserve">1,318,828</t>
    </r>
    <r>
      <rPr>
        <sz val="10"/>
        <color rgb="FF0000FF"/>
        <rFont val="Noto Sans CJK SC"/>
        <family val="2"/>
      </rPr>
      <t xml:space="preserve">との差</t>
    </r>
    <r>
      <rPr>
        <sz val="10"/>
        <color rgb="FF0000FF"/>
        <rFont val="Arial"/>
        <family val="0"/>
        <charset val="1"/>
      </rPr>
      <t xml:space="preserve">1</t>
    </r>
    <r>
      <rPr>
        <sz val="10"/>
        <color rgb="FF0000FF"/>
        <rFont val="Noto Sans CJK SC"/>
        <family val="2"/>
      </rPr>
      <t xml:space="preserve">千円は丸め</t>
    </r>
    <r>
      <rPr>
        <sz val="10"/>
        <color rgb="FF0000FF"/>
        <rFont val="Arial"/>
        <family val="0"/>
        <charset val="1"/>
      </rPr>
      <t xml:space="preserve">)</t>
    </r>
    <r>
      <rPr>
        <sz val="10"/>
        <color rgb="FF0000FF"/>
        <rFont val="Noto Sans CJK SC"/>
        <family val="2"/>
      </rPr>
      <t xml:space="preserve">。内訳チェック</t>
    </r>
    <r>
      <rPr>
        <sz val="10"/>
        <color rgb="FF0000FF"/>
        <rFont val="Arial"/>
        <family val="0"/>
        <charset val="1"/>
      </rPr>
      <t xml:space="preserve">4</t>
    </r>
    <r>
      <rPr>
        <sz val="10"/>
        <color rgb="FF0000FF"/>
        <rFont val="Noto Sans CJK SC"/>
        <family val="2"/>
      </rPr>
      <t xml:space="preserve">千円は開示数値の丸めに由来。開示上の賃貸事業損益</t>
    </r>
    <r>
      <rPr>
        <sz val="10"/>
        <color rgb="FF0000FF"/>
        <rFont val="Arial"/>
        <family val="0"/>
        <charset val="1"/>
      </rPr>
      <t xml:space="preserve">5,315,649</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数式値と完全一致</t>
    </r>
    <r>
      <rPr>
        <sz val="10"/>
        <color rgb="FF0000FF"/>
        <rFont val="Arial"/>
        <family val="0"/>
        <charset val="1"/>
      </rPr>
      <t xml:space="preserve">)</t>
    </r>
    <r>
      <rPr>
        <sz val="10"/>
        <color rgb="FF0000FF"/>
        <rFont val="Noto Sans CJK SC"/>
        <family val="2"/>
      </rPr>
      <t xml:space="preserve">。資本的支出は百万円開示の千円換算概数</t>
    </r>
  </si>
  <si>
    <r>
      <rPr>
        <sz val="10"/>
        <color rgb="FF0000FF"/>
        <rFont val="Arial"/>
        <family val="0"/>
        <charset val="1"/>
      </rPr>
      <t xml:space="preserve">JEI 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39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(2026/2/20</t>
    </r>
    <r>
      <rPr>
        <sz val="10"/>
        <color rgb="FF0000FF"/>
        <rFont val="Noto Sans CJK SC"/>
        <family val="2"/>
      </rPr>
      <t xml:space="preserve">公表</t>
    </r>
    <r>
      <rPr>
        <sz val="10"/>
        <color rgb="FF0000FF"/>
        <rFont val="Arial"/>
        <family val="0"/>
        <charset val="1"/>
      </rPr>
      <t xml:space="preserve">) p.31-32 </t>
    </r>
    <r>
      <rPr>
        <sz val="10"/>
        <color rgb="FF0000FF"/>
        <rFont val="Noto Sans CJK SC"/>
        <family val="2"/>
      </rPr>
      <t xml:space="preserve">賃貸状況の概要</t>
    </r>
  </si>
  <si>
    <t xml:space="preserve">千円単位開示（正確値）。物件別費用は非開示（法人一括のみ）</t>
  </si>
  <si>
    <t xml:space="preserve">収益・費用ともテナント同意が得られず非開示（短信注5）。法人一括はJEI-ALL行参照</t>
  </si>
  <si>
    <r>
      <rPr>
        <sz val="10"/>
        <color rgb="FF0000FF"/>
        <rFont val="Arial"/>
        <family val="0"/>
        <charset val="1"/>
      </rPr>
      <t xml:space="preserve">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月売却、期中約</t>
    </r>
    <r>
      <rPr>
        <sz val="10"/>
        <color rgb="FF0000FF"/>
        <rFont val="Arial"/>
        <family val="0"/>
        <charset val="1"/>
      </rPr>
      <t xml:space="preserve">5</t>
    </r>
    <r>
      <rPr>
        <sz val="10"/>
        <color rgb="FF0000FF"/>
        <rFont val="Noto Sans CJK SC"/>
        <family val="2"/>
      </rPr>
      <t xml:space="preserve">ヶ月強。千円単位開示（正確値）。物件別費用は非開示（法人一括のみ）</t>
    </r>
  </si>
  <si>
    <r>
      <rPr>
        <sz val="10"/>
        <color rgb="FF0000FF"/>
        <rFont val="Arial"/>
        <family val="0"/>
        <charset val="1"/>
      </rPr>
      <t xml:space="preserve">MHR 2026</t>
    </r>
    <r>
      <rPr>
        <sz val="10"/>
        <color rgb="FF0000FF"/>
        <rFont val="Noto Sans CJK SC"/>
        <family val="2"/>
      </rPr>
      <t xml:space="preserve">年</t>
    </r>
    <r>
      <rPr>
        <sz val="10"/>
        <color rgb="FF0000FF"/>
        <rFont val="Arial"/>
        <family val="0"/>
        <charset val="1"/>
      </rPr>
      <t xml:space="preserve">1</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39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(2026/3/17</t>
    </r>
    <r>
      <rPr>
        <sz val="10"/>
        <color rgb="FF0000FF"/>
        <rFont val="Noto Sans CJK SC"/>
        <family val="2"/>
      </rPr>
      <t xml:space="preserve">公表</t>
    </r>
    <r>
      <rPr>
        <sz val="10"/>
        <color rgb="FF0000FF"/>
        <rFont val="Arial"/>
        <family val="0"/>
        <charset val="1"/>
      </rPr>
      <t xml:space="preserve">) p.19 </t>
    </r>
    <r>
      <rPr>
        <sz val="10"/>
        <color rgb="FF0000FF"/>
        <rFont val="Noto Sans CJK SC"/>
        <family val="2"/>
      </rPr>
      <t xml:space="preserve">不動産賃貸事業損益の内訳・</t>
    </r>
    <r>
      <rPr>
        <sz val="10"/>
        <color rgb="FF0000FF"/>
        <rFont val="Arial"/>
        <family val="0"/>
        <charset val="1"/>
      </rPr>
      <t xml:space="preserve">p.56 </t>
    </r>
    <r>
      <rPr>
        <sz val="10"/>
        <color rgb="FF0000FF"/>
        <rFont val="Noto Sans CJK SC"/>
        <family val="2"/>
      </rPr>
      <t xml:space="preserve">収支合計</t>
    </r>
  </si>
  <si>
    <t xml:space="preserve">物件別行の合計と法人一括が完全一致(千円単位)。「うち外注委託費(千円)」欄=管理委託費。その他費用その他=信託報酬6,019+賃借料166,350+その他16,819。開示上の損益6,128,531千円・NOI7,218,819千円(数式値と完全一致)。CAPEX285,009千円のほか修繕費179百万・施工管理報酬13.6百万で計478百万円の工事実施。【原資料内不整合の注記】短信は千円未満切捨て表示のため、物件別行の積上げと一括欄に最大6千円の微差(収入9,861,783vs9,861,789等)、各物件の内訳合計と費用合計欄にも1〜4千円差が存在。開示表示値をそのまま転記済(円単位原数値は非開示)</t>
  </si>
  <si>
    <t xml:space="preserve">開示（物件別・費用内訳含む）</t>
  </si>
  <si>
    <r>
      <rPr>
        <sz val="10"/>
        <color rgb="FF0000FF"/>
        <rFont val="Arial"/>
        <family val="0"/>
        <charset val="1"/>
      </rPr>
      <t xml:space="preserve">MHR 2026</t>
    </r>
    <r>
      <rPr>
        <sz val="10"/>
        <color rgb="FF0000FF"/>
        <rFont val="Noto Sans CJK SC"/>
        <family val="2"/>
      </rPr>
      <t xml:space="preserve">年</t>
    </r>
    <r>
      <rPr>
        <sz val="10"/>
        <color rgb="FF0000FF"/>
        <rFont val="Arial"/>
        <family val="0"/>
        <charset val="1"/>
      </rPr>
      <t xml:space="preserve">1</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39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(2026/3/17</t>
    </r>
    <r>
      <rPr>
        <sz val="10"/>
        <color rgb="FF0000FF"/>
        <rFont val="Noto Sans CJK SC"/>
        <family val="2"/>
      </rPr>
      <t xml:space="preserve">公表</t>
    </r>
    <r>
      <rPr>
        <sz val="10"/>
        <color rgb="FF0000FF"/>
        <rFont val="Arial"/>
        <family val="0"/>
        <charset val="1"/>
      </rPr>
      <t xml:space="preserve">) p.51-56 </t>
    </r>
    <r>
      <rPr>
        <sz val="10"/>
        <color rgb="FF0000FF"/>
        <rFont val="Noto Sans CJK SC"/>
        <family val="2"/>
      </rPr>
      <t xml:space="preserve">収支の状況</t>
    </r>
  </si>
  <si>
    <t xml:space="preserve">物件別完全収支(千円・費用内訳/NOI/CAPEX/NCFまで短信開示)。「うち外注委託費(千円)」欄=管理委託費。内訳チェック1〜4千円は原資料の千円未満切捨て表示に由来(短信の合計欄自体が内訳積上げと微差)</t>
  </si>
  <si>
    <t xml:space="preserve">物件別完全収支(千円・費用内訳/NOI/CAPEX/NCFまで短信開示)。「うち外注委託費(千円)」欄=管理委託費。2025/12/1に持分11.9%追加取得(期中2ヶ月分は追加持分反映)。内訳チェック1〜4千円は原資料の千円未満切捨て表示に由来(短信の合計欄自体が内訳積上げと微差)</t>
  </si>
  <si>
    <t xml:space="preserve">物件別完全収支(千円・費用内訳/NOI/CAPEX/NCFまで短信開示)。「うち外注委託費(千円)」欄=管理委託費。賃貸事業損益は△5,376千円と赤字(住戸リニューアル関連の修繕費60百万円計上のため)。稼働86.1%。内訳チェック1〜4千円は原資料の千円未満切捨て表示に由来(短信の合計欄自体が内訳積上げと微差)</t>
  </si>
  <si>
    <t xml:space="preserve">物件別完全収支(千円・費用内訳/NOI/CAPEX/NCFまで短信開示)。「うち外注委託費(千円)」欄=管理委託費。住宅。修繕費55百万円計上で損益は僅少(2,325千円)。内訳チェック1〜4千円は原資料の千円未満切捨て表示に由来(短信の合計欄自体が内訳積上げと微差)</t>
  </si>
  <si>
    <t xml:space="preserve">物件別完全収支(千円・費用内訳/NOI/CAPEX/NCFまで短信開示)。「うち外注委託費(千円)」欄=管理委託費。底地(減価償却なし)。2025/12/1に持分7%譲渡(期中一部譲渡・注4)。譲渡益1,519百万円は本表収支外(営業収益の不動産等譲渡益)。内訳チェック1〜4千円は原資料の千円未満切捨て表示に由来(短信の合計欄自体が内訳積上げと微差)</t>
  </si>
  <si>
    <r>
      <rPr>
        <sz val="10"/>
        <color rgb="FF0000FF"/>
        <rFont val="Arial"/>
        <family val="0"/>
        <charset val="1"/>
      </rPr>
      <t xml:space="preserve">JPR 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48</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(2026/2/16</t>
    </r>
    <r>
      <rPr>
        <sz val="10"/>
        <color rgb="FF0000FF"/>
        <rFont val="Noto Sans CJK SC"/>
        <family val="2"/>
      </rPr>
      <t xml:space="preserve">公表・</t>
    </r>
    <r>
      <rPr>
        <sz val="10"/>
        <color rgb="FF0000FF"/>
        <rFont val="Arial"/>
        <family val="0"/>
        <charset val="1"/>
      </rPr>
      <t xml:space="preserve">2026/3/10</t>
    </r>
    <r>
      <rPr>
        <sz val="10"/>
        <color rgb="FF0000FF"/>
        <rFont val="Noto Sans CJK SC"/>
        <family val="2"/>
      </rPr>
      <t xml:space="preserve">一部訂正</t>
    </r>
    <r>
      <rPr>
        <sz val="10"/>
        <color rgb="FF0000FF"/>
        <rFont val="Arial"/>
        <family val="0"/>
        <charset val="1"/>
      </rPr>
      <t xml:space="preserve">=</t>
    </r>
    <r>
      <rPr>
        <sz val="10"/>
        <color rgb="FF0000FF"/>
        <rFont val="Noto Sans CJK SC"/>
        <family val="2"/>
      </rPr>
      <t xml:space="preserve">予想増減率表記と工事期間のみで実績数値に影響なし</t>
    </r>
    <r>
      <rPr>
        <sz val="10"/>
        <color rgb="FF0000FF"/>
        <rFont val="Arial"/>
        <family val="0"/>
        <charset val="1"/>
      </rPr>
      <t xml:space="preserve">) p.16 </t>
    </r>
    <r>
      <rPr>
        <sz val="10"/>
        <color rgb="FF0000FF"/>
        <rFont val="Noto Sans CJK SC"/>
        <family val="2"/>
      </rPr>
      <t xml:space="preserve">賃貸事業損益の内訳・</t>
    </r>
    <r>
      <rPr>
        <sz val="10"/>
        <color rgb="FF0000FF"/>
        <rFont val="Arial"/>
        <family val="0"/>
        <charset val="1"/>
      </rPr>
      <t xml:space="preserve">p.29 </t>
    </r>
    <r>
      <rPr>
        <sz val="10"/>
        <color rgb="FF0000FF"/>
        <rFont val="Noto Sans CJK SC"/>
        <family val="2"/>
      </rPr>
      <t xml:space="preserve">資本的支出</t>
    </r>
  </si>
  <si>
    <t xml:space="preserve">法人一括の賃貸事業収支(千円・不動産売却損益を除く)。G=賃料等収入(賃料13,986,528+地代1,839,000+共益費1,062,020+駐車場275,569+広告41,920+アンテナ28,154+その他50,558)、H=その他賃貸事業収入(附加使用料1,075,446+時間貸26,423+原状回復6,929+雑67,816、内訳計1,176,614と欄の1千円差は切捨て由来)。F-(G+H)=1千円も同様。その他費用=管理委託料345,738+管理組合費646,634+その他賃貸事業費用277,659の合算(開示科目区分は本備考の通り)。内訳チェック3千円は原資料の千円未満切捨て由来。損益9,742,072(開示一致)。CAPEX1,606百万円+修繕費478百万円(工事管理報酬11百万円含む)。別途、当期不動産等売却益1,885,841千円(HDC神戸782,927+JPR横浜日本大通65%持分1,102,913)は営業収益に計上(本行Fには含まず)。大手町タワー底地の地代1,839百万円=一括収入の10.0%が単一最大の収入源</t>
  </si>
  <si>
    <r>
      <rPr>
        <sz val="10"/>
        <color rgb="FF0000FF"/>
        <rFont val="Arial"/>
        <family val="0"/>
        <charset val="1"/>
      </rPr>
      <t xml:space="preserve">JPR 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48</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(2026/2/16</t>
    </r>
    <r>
      <rPr>
        <sz val="10"/>
        <color rgb="FF0000FF"/>
        <rFont val="Noto Sans CJK SC"/>
        <family val="2"/>
      </rPr>
      <t xml:space="preserve">公表・</t>
    </r>
    <r>
      <rPr>
        <sz val="10"/>
        <color rgb="FF0000FF"/>
        <rFont val="Arial"/>
        <family val="0"/>
        <charset val="1"/>
      </rPr>
      <t xml:space="preserve">2026/3/10</t>
    </r>
    <r>
      <rPr>
        <sz val="10"/>
        <color rgb="FF0000FF"/>
        <rFont val="Noto Sans CJK SC"/>
        <family val="2"/>
      </rPr>
      <t xml:space="preserve">一部訂正</t>
    </r>
    <r>
      <rPr>
        <sz val="10"/>
        <color rgb="FF0000FF"/>
        <rFont val="Arial"/>
        <family val="0"/>
        <charset val="1"/>
      </rPr>
      <t xml:space="preserve">=</t>
    </r>
    <r>
      <rPr>
        <sz val="10"/>
        <color rgb="FF0000FF"/>
        <rFont val="Noto Sans CJK SC"/>
        <family val="2"/>
      </rPr>
      <t xml:space="preserve">予想増減率表記と工事期間のみで実績数値に影響なし</t>
    </r>
    <r>
      <rPr>
        <sz val="10"/>
        <color rgb="FF0000FF"/>
        <rFont val="Arial"/>
        <family val="0"/>
        <charset val="1"/>
      </rPr>
      <t xml:space="preserve">) p.31-32 </t>
    </r>
    <r>
      <rPr>
        <sz val="10"/>
        <color rgb="FF0000FF"/>
        <rFont val="Noto Sans CJK SC"/>
        <family val="2"/>
      </rPr>
      <t xml:space="preserve">個別不動産に関する賃貸状況の概要</t>
    </r>
  </si>
  <si>
    <t xml:space="preserve">賃貸事業収入(千円)。費用内訳は物件別非開示(法人一括のJPR-ALL行参照)。2001/12取得</t>
  </si>
  <si>
    <r>
      <rPr>
        <sz val="10"/>
        <color rgb="FF0000FF"/>
        <rFont val="Arial"/>
        <family val="0"/>
        <charset val="1"/>
      </rPr>
      <t xml:space="preserve">JPR 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48</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(2026/2/16</t>
    </r>
    <r>
      <rPr>
        <sz val="10"/>
        <color rgb="FF0000FF"/>
        <rFont val="Noto Sans CJK SC"/>
        <family val="2"/>
      </rPr>
      <t xml:space="preserve">公表・</t>
    </r>
    <r>
      <rPr>
        <sz val="10"/>
        <color rgb="FF0000FF"/>
        <rFont val="Arial"/>
        <family val="0"/>
        <charset val="1"/>
      </rPr>
      <t xml:space="preserve">2026/3/10</t>
    </r>
    <r>
      <rPr>
        <sz val="10"/>
        <color rgb="FF0000FF"/>
        <rFont val="Noto Sans CJK SC"/>
        <family val="2"/>
      </rPr>
      <t xml:space="preserve">一部訂正</t>
    </r>
    <r>
      <rPr>
        <sz val="10"/>
        <color rgb="FF0000FF"/>
        <rFont val="Arial"/>
        <family val="0"/>
        <charset val="1"/>
      </rPr>
      <t xml:space="preserve">=</t>
    </r>
    <r>
      <rPr>
        <sz val="10"/>
        <color rgb="FF0000FF"/>
        <rFont val="Noto Sans CJK SC"/>
        <family val="2"/>
      </rPr>
      <t xml:space="preserve">予想増減率表記と工事期間のみで実績数値に影響なし</t>
    </r>
    <r>
      <rPr>
        <sz val="10"/>
        <color rgb="FF0000FF"/>
        <rFont val="Arial"/>
        <family val="0"/>
        <charset val="1"/>
      </rPr>
      <t xml:space="preserve">) p.31-32</t>
    </r>
  </si>
  <si>
    <t xml:space="preserve">テナント又は共有者の同意が得られず賃貸事業収入非開示(短信注2)</t>
  </si>
  <si>
    <t xml:space="preserve">賃貸事業収入(千円)。費用内訳は物件別非開示(法人一括のJPR-ALL行参照)</t>
  </si>
  <si>
    <t xml:space="preserve">賃貸事業収入(千円)。費用内訳は物件別非開示(法人一括のJPR-ALL行参照)。2001/11・2002/11・2004/11の3回取得合計(1,670+550+200)</t>
  </si>
  <si>
    <t xml:space="preserve">賃貸事業収入(千円)。費用内訳は物件別非開示(法人一括のJPR-ALL行参照)。敷地面積は一体開発のトリニティ芝浦敷地を含む</t>
  </si>
  <si>
    <t xml:space="preserve">テナント又は共有者の同意が得られず賃貸事業収入非開示(短信注2)。JPR独自区分では品川区は「東京都心」(共通区分ではその他東京23区)。一棟賃貸</t>
  </si>
  <si>
    <t xml:space="preserve">賃貸事業収入(千円)。費用内訳は物件別非開示(法人一括のJPR-ALL行参照)。2004〜2015年の4回取得合計(10,000+180+4,000+786)。敷地・延床は再開発全体。一部サブリース(変動)</t>
  </si>
  <si>
    <t xml:space="preserve">賃貸事業収入(千円)。費用内訳は物件別非開示(法人一括のJPR-ALL行参照)。2004・2005・2010年の3回取得合計(2,900+8,921+3,300)</t>
  </si>
  <si>
    <t xml:space="preserve">賃貸事業収入(千円)。費用内訳は物件別非開示(法人一括のJPR-ALL行参照)。2008/3・2022/12の取得合計(21,000+3,320)。区分所有。一部サブリース(変動)</t>
  </si>
  <si>
    <t xml:space="preserve">テナント又は共有者の同意が得られず賃貸事業収入非開示(短信注2)。2026/1/9付で東京建物へ譲渡(譲渡価格5,100百万円・売却益約1,201百万円を第49期計上予定)</t>
  </si>
  <si>
    <t xml:space="preserve">賃貸事業収入(千円)。費用内訳は物件別非開示(法人一括のJPR-ALL行参照)。2008/12・2019/3の取得合計(1,870+171)</t>
  </si>
  <si>
    <t xml:space="preserve">賃貸事業収入(千円)。費用内訳は物件別非開示(法人一括のJPR-ALL行参照)。建物は含まず土地のみ保有。収入は地代1,839百万円。鑑定59,800百万円は取得価格36,000百万円の1.66倍。主要借地人:有限会社東京プライムステージ</t>
  </si>
  <si>
    <t xml:space="preserve">賃貸事業収入(千円)。費用内訳は物件別非開示(法人一括のJPR-ALL行参照)。住居部分は一部サブリース(変動)</t>
  </si>
  <si>
    <t xml:space="preserve">賃貸事業収入(千円)。費用内訳は物件別非開示(法人一括のJPR-ALL行参照)。2013/12・2014/7の取得合計(3,413+800)</t>
  </si>
  <si>
    <t xml:space="preserve">賃貸事業収入(千円)。費用内訳は物件別非開示(法人一括のJPR-ALL行参照)。2017年2回取得合計(9,200+9,200)。区分所有。一部サブリース(変動)</t>
  </si>
  <si>
    <t xml:space="preserve">賃貸事業収入(千円)。費用内訳は物件別非開示(法人一括のJPR-ALL行参照)。敷地・延床はサウスタワー含む全体。区分所有。一部サブリース(変動)</t>
  </si>
  <si>
    <t xml:space="preserve">賃貸事業収入(千円)。費用内訳は物件別非開示(法人一括のJPR-ALL行参照)。2022/1取得(スポンサー東京建物より)</t>
  </si>
  <si>
    <t xml:space="preserve">テナント又は共有者の同意が得られず賃貸事業収入非開示(短信注2)。区分所有。一部サブリース(変動)</t>
  </si>
  <si>
    <t xml:space="preserve">テナント又は共有者の同意が得られず賃貸事業収入非開示(短信注2)。一棟貸(タワーレコード)</t>
  </si>
  <si>
    <t xml:space="preserve">テナント又は共有者の同意が得られず賃貸事業収入非開示(短信注2)。2007/3・2008/4の取得合計(540+2,200)。区分所有。鑑定評価額が取得価格を下回る</t>
  </si>
  <si>
    <t xml:space="preserve">テナント又は共有者の同意が得られず賃貸事業収入非開示(短信注2)。区分所有</t>
  </si>
  <si>
    <t xml:space="preserve">賃貸事業収入(千円)。費用内訳は物件別非開示(法人一括のJPR-ALL行参照)。鑑定評価額が取得価格を下回る</t>
  </si>
  <si>
    <t xml:space="preserve">賃貸事業収入(千円)。費用内訳は物件別非開示(法人一括のJPR-ALL行参照)。2025/12/18付で準共有持分65.0%を譲渡(売却益1,102,913千円)。取得価格は当初2,927百万円から譲渡持分相当1,902百万円控除後。残る35.0%も2026/1/23付で譲渡済(譲渡価格1,550百万円・売却益約595百万円を第49期計上予定)。NLA等は持分相当</t>
  </si>
  <si>
    <t xml:space="preserve">賃貸事業収入(千円)。費用内訳は物件別非開示(法人一括のJPR-ALL行参照)。2002/9・2013/3の取得合計(920+570)</t>
  </si>
  <si>
    <t xml:space="preserve">賃貸事業収入(千円)。費用内訳は物件別非開示(法人一括のJPR-ALL行参照)。2005/9・2007/2の取得合計(888+2,300)</t>
  </si>
  <si>
    <t xml:space="preserve">賃貸事業収入(千円)。費用内訳は物件別非開示(法人一括のJPR-ALL行参照)。2007/3・2021/10の取得合計(5,831+7,300)。敷地・延床は住宅棟含む再開発全体。一部サブリース(変動)</t>
  </si>
  <si>
    <t xml:space="preserve">賃貸事業収入(千円)。費用内訳は物件別非開示(法人一括のJPR-ALL行参照)。敷地・延床は商業棟・住宅棟含む全体。区分所有。一部サブリース(変動)</t>
  </si>
  <si>
    <t xml:space="preserve">賃貸事業収入(千円)。費用内訳は物件別非開示(法人一括のJPR-ALL行参照)。1998/8増築。敷地・延床は再開発全体。一部サブリース(変動)。稼働88.7%はポートフォリオ最低。鑑定評価額が取得価格を下回る</t>
  </si>
  <si>
    <t xml:space="preserve">賃貸事業収入(千円)。費用内訳は物件別非開示(法人一括のJPR-ALL行参照)。2024/3・2025/2の取得合計(28,800+24,107)=JPR最大の取得価格。買換特例圧縮積立金の対象資産。一部サブリース(変動)</t>
  </si>
  <si>
    <t xml:space="preserve">テナント又は共有者の同意が得られず賃貸事業収入非開示(短信注2)。一棟貸(西友)</t>
  </si>
  <si>
    <t xml:space="preserve">テナント又は共有者の同意が得られず賃貸事業収入非開示(短信注2)。敷地は再開発全体。一棟貸(マルエツ)</t>
  </si>
  <si>
    <t xml:space="preserve">テナント又は共有者の同意が得られず賃貸事業収入非開示(短信注2)。一棟貸(イトーヨーカ堂)。鑑定評価額が取得価格を下回る</t>
  </si>
  <si>
    <t xml:space="preserve">賃貸事業収入(千円)。費用内訳は物件別非開示(法人一括のJPR-ALL行参照)。一部サブリース(変動)。鑑定評価額が取得価格を下回る</t>
  </si>
  <si>
    <t xml:space="preserve">賃貸事業収入(千円)。費用内訳は物件別非開示(法人一括のJPR-ALL行参照)。2025/12/19取得(当期期中取得・約2週間分のため収入14,394千円は期間僅少)</t>
  </si>
  <si>
    <t xml:space="preserve">テナント又は共有者の同意が得られず賃貸事業収入非開示(短信注2)。2025/12/19取得(当期期中取得)。ホテル(一棟貸)</t>
  </si>
  <si>
    <t xml:space="preserve">賃貸事業収入(千円)。費用内訳は物件別非開示(法人一括のJPR-ALL行参照)。鑑定評価額が取得価格の約2倍</t>
  </si>
  <si>
    <t xml:space="preserve">賃貸事業収入(千円)。費用内訳は物件別非開示(法人一括のJPR-ALL行参照)。鑑定評価額24,800百万円は取得価格10,996百万円の2.3倍=含み益率ポートフォリオ最大級</t>
  </si>
  <si>
    <t xml:space="preserve">賃貸事業収入(千円)。費用内訳は物件別非開示(法人一括のJPR-ALL行参照)。2005/1増築。鑑定評価額が取得価格を下回る</t>
  </si>
  <si>
    <t xml:space="preserve">賃貸事業収入(千円)。費用内訳は物件別非開示(法人一括のJPR-ALL行参照)。2007/2増築。2025/6期に隣接土地取得(30,144千円)</t>
  </si>
  <si>
    <t xml:space="preserve">テナント又は共有者の同意が得られず賃貸事業収入非開示(短信注2)。2021/12(4.9%)・2025/12/19(4.6%)の取得合計(11,800+9,200)。竣工はうめきた広場2013/2・南館2013/3。NLA等は持分相当。付随してKMO株式(162,380千円)等を取得。一部サブリース(変動)</t>
  </si>
  <si>
    <t xml:space="preserve">テナント又は共有者の同意が得られず賃貸事業収入非開示(短信注2)。2021/12(4.9%)・2025/12/19(4.6%)の取得合計(9,500+8,000)。NLA等は持分相当。一部固定型ML/ダイレクトリース。テナント数はエンドテナント数</t>
  </si>
  <si>
    <t xml:space="preserve">賃貸事業収入(千円)。費用内訳は物件別非開示(法人一括のJPR-ALL行参照)。稼働83.8%はポートフォリオで2番目に低い</t>
  </si>
  <si>
    <t xml:space="preserve">テナント又は共有者の同意が得られず賃貸事業収入非開示(短信注2)。2024/10取得。ホテル(一棟貸)</t>
  </si>
  <si>
    <t xml:space="preserve">非開示（期中譲渡・テナント同意なし）</t>
  </si>
  <si>
    <r>
      <rPr>
        <sz val="10"/>
        <color rgb="FF0000FF"/>
        <rFont val="Arial"/>
        <family val="0"/>
        <charset val="1"/>
      </rPr>
      <t xml:space="preserve">JPR 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48</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(2026/2/16</t>
    </r>
    <r>
      <rPr>
        <sz val="10"/>
        <color rgb="FF0000FF"/>
        <rFont val="Noto Sans CJK SC"/>
        <family val="2"/>
      </rPr>
      <t xml:space="preserve">公表・</t>
    </r>
    <r>
      <rPr>
        <sz val="10"/>
        <color rgb="FF0000FF"/>
        <rFont val="Arial"/>
        <family val="0"/>
        <charset val="1"/>
      </rPr>
      <t xml:space="preserve">2026/3/10</t>
    </r>
    <r>
      <rPr>
        <sz val="10"/>
        <color rgb="FF0000FF"/>
        <rFont val="Noto Sans CJK SC"/>
        <family val="2"/>
      </rPr>
      <t xml:space="preserve">一部訂正</t>
    </r>
    <r>
      <rPr>
        <sz val="10"/>
        <color rgb="FF0000FF"/>
        <rFont val="Arial"/>
        <family val="0"/>
        <charset val="1"/>
      </rPr>
      <t xml:space="preserve">=</t>
    </r>
    <r>
      <rPr>
        <sz val="10"/>
        <color rgb="FF0000FF"/>
        <rFont val="Noto Sans CJK SC"/>
        <family val="2"/>
      </rPr>
      <t xml:space="preserve">予想増減率表記と工事期間のみで実績数値に影響なし</t>
    </r>
    <r>
      <rPr>
        <sz val="10"/>
        <color rgb="FF0000FF"/>
        <rFont val="Arial"/>
        <family val="0"/>
        <charset val="1"/>
      </rPr>
      <t xml:space="preserve">) p.32</t>
    </r>
  </si>
  <si>
    <t xml:space="preserve">期中譲渡物件。賃貸収入は非開示(短信注2)。2025/11/28付で譲渡(譲渡価格7,240百万円・売却益782,927千円)。期末保有67物件に含まれず、当期賃貸収入は非開示。所在地・建物情報は当期末保有物件表の対象外のため未収録</t>
  </si>
  <si>
    <r>
      <rPr>
        <sz val="10"/>
        <color rgb="FF0000FF"/>
        <rFont val="Arial"/>
        <family val="0"/>
        <charset val="1"/>
      </rPr>
      <t xml:space="preserve">TRE 2026</t>
    </r>
    <r>
      <rPr>
        <sz val="10"/>
        <color rgb="FF0000FF"/>
        <rFont val="Noto Sans CJK SC"/>
        <family val="2"/>
      </rPr>
      <t xml:space="preserve">年</t>
    </r>
    <r>
      <rPr>
        <sz val="10"/>
        <color rgb="FF0000FF"/>
        <rFont val="Arial"/>
        <family val="0"/>
        <charset val="1"/>
      </rPr>
      <t xml:space="preserve">1</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45</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(2026/3/16</t>
    </r>
    <r>
      <rPr>
        <sz val="10"/>
        <color rgb="FF0000FF"/>
        <rFont val="Noto Sans CJK SC"/>
        <family val="2"/>
      </rPr>
      <t xml:space="preserve">公表</t>
    </r>
    <r>
      <rPr>
        <sz val="10"/>
        <color rgb="FF0000FF"/>
        <rFont val="Arial"/>
        <family val="0"/>
        <charset val="1"/>
      </rPr>
      <t xml:space="preserve">) p.20 </t>
    </r>
    <r>
      <rPr>
        <sz val="10"/>
        <color rgb="FF0000FF"/>
        <rFont val="Noto Sans CJK SC"/>
        <family val="2"/>
      </rPr>
      <t xml:space="preserve">不動産賃貸事業損益の内訳・</t>
    </r>
    <r>
      <rPr>
        <sz val="10"/>
        <color rgb="FF0000FF"/>
        <rFont val="Arial"/>
        <family val="0"/>
        <charset val="1"/>
      </rPr>
      <t xml:space="preserve">p.25 </t>
    </r>
    <r>
      <rPr>
        <sz val="10"/>
        <color rgb="FF0000FF"/>
        <rFont val="Noto Sans CJK SC"/>
        <family val="2"/>
      </rPr>
      <t xml:space="preserve">賃貸等不動産注記・</t>
    </r>
    <r>
      <rPr>
        <sz val="10"/>
        <color rgb="FF0000FF"/>
        <rFont val="Arial"/>
        <family val="0"/>
        <charset val="1"/>
      </rPr>
      <t xml:space="preserve">p.41 </t>
    </r>
    <r>
      <rPr>
        <sz val="10"/>
        <color rgb="FF0000FF"/>
        <rFont val="Noto Sans CJK SC"/>
        <family val="2"/>
      </rPr>
      <t xml:space="preserve">資本的支出</t>
    </r>
  </si>
  <si>
    <t xml:space="preserve">法人一括の賃貸事業収支(千円・不動産等売却益2,486,934千円は含まず)。G=賃貸事業収入(賃料6,419,093+共益費510,121+月極駐車場142,791+その他賃料307,361、内訳計7,379,366と欄の2千円差は切捨て由来)、H=その他賃貸事業収入(付帯収益429,086+その他雑収入77,080)。F欄7,885,535と(G+H)=7,885,534の1千円差も同様。その他費用=PM報酬195,635+固定資産除却損24,800+その他賃貸事業費用309,889の合算。内訳チェック4千円は原資料の千円未満切捨て由来。賃貸事業損益(F-I)=4,084,035は開示損益4,084,034と1千円差(上記F欄の切捨てが伝播、原資料内不整合として注記)。CAPEX1,350,320千円(賃貸等不動産注記の資本的支出)+費用処理修繕451百万円=計1,802百万円の工事実施。別途、当期不動産等売却益2,486,934千円(TOKYU REIT虎ノ門ビル30%持分2,006,146+TOKYU REIT下北沢スクエア480,788)は営業収益に計上(本行Fには含まず)</t>
  </si>
  <si>
    <t xml:space="preserve">非開示（物件別収支非開示・契約賃料のみ開示）</t>
  </si>
  <si>
    <r>
      <rPr>
        <sz val="10"/>
        <color rgb="FF0000FF"/>
        <rFont val="Arial"/>
        <family val="0"/>
        <charset val="1"/>
      </rPr>
      <t xml:space="preserve">TRE 2026</t>
    </r>
    <r>
      <rPr>
        <sz val="10"/>
        <color rgb="FF0000FF"/>
        <rFont val="Noto Sans CJK SC"/>
        <family val="2"/>
      </rPr>
      <t xml:space="preserve">年</t>
    </r>
    <r>
      <rPr>
        <sz val="10"/>
        <color rgb="FF0000FF"/>
        <rFont val="Arial"/>
        <family val="0"/>
        <charset val="1"/>
      </rPr>
      <t xml:space="preserve">1</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45</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(2026/3/16</t>
    </r>
    <r>
      <rPr>
        <sz val="10"/>
        <color rgb="FF0000FF"/>
        <rFont val="Noto Sans CJK SC"/>
        <family val="2"/>
      </rPr>
      <t xml:space="preserve">公表</t>
    </r>
    <r>
      <rPr>
        <sz val="10"/>
        <color rgb="FF0000FF"/>
        <rFont val="Arial"/>
        <family val="0"/>
        <charset val="1"/>
      </rPr>
      <t xml:space="preserve">) p.39-40 </t>
    </r>
    <r>
      <rPr>
        <sz val="10"/>
        <color rgb="FF0000FF"/>
        <rFont val="Noto Sans CJK SC"/>
        <family val="2"/>
      </rPr>
      <t xml:space="preserve">不動産等の概要</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</si>
  <si>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129,094</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。渋谷スクランブル交差点前の旗艦商業施設。地積・延床は一棟全体</t>
    </r>
    <r>
      <rPr>
        <sz val="10"/>
        <color rgb="FF0000FF"/>
        <rFont val="Arial"/>
        <family val="0"/>
        <charset val="1"/>
      </rPr>
      <t xml:space="preserve">(</t>
    </r>
    <r>
      <rPr>
        <sz val="10"/>
        <color rgb="FF0000FF"/>
        <rFont val="Noto Sans CJK SC"/>
        <family val="2"/>
      </rPr>
      <t xml:space="preserve">信託部分は敷地</t>
    </r>
    <r>
      <rPr>
        <sz val="10"/>
        <color rgb="FF0000FF"/>
        <rFont val="Arial"/>
        <family val="0"/>
        <charset val="1"/>
      </rPr>
      <t xml:space="preserve">728.30</t>
    </r>
    <r>
      <rPr>
        <sz val="10"/>
        <color rgb="FF0000FF"/>
        <rFont val="Noto Sans CJK SC"/>
        <family val="2"/>
      </rPr>
      <t xml:space="preserve">㎡</t>
    </r>
    <r>
      <rPr>
        <sz val="10"/>
        <color rgb="FF0000FF"/>
        <rFont val="Arial"/>
        <family val="0"/>
        <charset val="1"/>
      </rPr>
      <t xml:space="preserve">/</t>
    </r>
    <r>
      <rPr>
        <sz val="10"/>
        <color rgb="FF0000FF"/>
        <rFont val="Noto Sans CJK SC"/>
        <family val="2"/>
      </rPr>
      <t xml:space="preserve">専有</t>
    </r>
    <r>
      <rPr>
        <sz val="10"/>
        <color rgb="FF0000FF"/>
        <rFont val="Arial"/>
        <family val="0"/>
        <charset val="1"/>
      </rPr>
      <t xml:space="preserve">4,804.46</t>
    </r>
    <r>
      <rPr>
        <sz val="10"/>
        <color rgb="FF0000FF"/>
        <rFont val="Noto Sans CJK SC"/>
        <family val="2"/>
      </rPr>
      <t xml:space="preserve">㎡</t>
    </r>
    <r>
      <rPr>
        <sz val="10"/>
        <color rgb="FF0000FF"/>
        <rFont val="Arial"/>
        <family val="0"/>
        <charset val="1"/>
      </rPr>
      <t xml:space="preserve">)</t>
    </r>
    <r>
      <rPr>
        <sz val="10"/>
        <color rgb="FF0000FF"/>
        <rFont val="Noto Sans CJK SC"/>
        <family val="2"/>
      </rPr>
      <t xml:space="preserve">。テナントは</t>
    </r>
    <r>
      <rPr>
        <sz val="10"/>
        <color rgb="FF0000FF"/>
        <rFont val="Arial"/>
        <family val="0"/>
        <charset val="1"/>
      </rPr>
      <t xml:space="preserve">CCC(TSUTAY2039/12</t>
    </r>
    <r>
      <rPr>
        <sz val="10"/>
        <color rgb="FF0000FF"/>
        <rFont val="Noto Sans CJK SC"/>
        <family val="2"/>
      </rPr>
      <t xml:space="preserve">まで長期契約、</t>
    </r>
    <r>
      <rPr>
        <sz val="10"/>
        <color rgb="FF0000FF"/>
        <rFont val="Arial"/>
        <family val="0"/>
        <charset val="1"/>
      </rPr>
      <t xml:space="preserve">3</t>
    </r>
    <r>
      <rPr>
        <sz val="10"/>
        <color rgb="FF0000FF"/>
        <rFont val="Noto Sans CJK SC"/>
        <family val="2"/>
      </rPr>
      <t xml:space="preserve">年毎に賃料</t>
    </r>
    <r>
      <rPr>
        <sz val="10"/>
        <color rgb="FF0000FF"/>
        <rFont val="Arial"/>
        <family val="0"/>
        <charset val="1"/>
      </rPr>
      <t xml:space="preserve">1.05</t>
    </r>
    <r>
      <rPr>
        <sz val="10"/>
        <color rgb="FF0000FF"/>
        <rFont val="Noto Sans CJK SC"/>
        <family val="2"/>
      </rPr>
      <t xml:space="preserve">倍改定</t>
    </r>
    <r>
      <rPr>
        <sz val="10"/>
        <color rgb="FF0000FF"/>
        <rFont val="Arial"/>
        <family val="0"/>
        <charset val="1"/>
      </rPr>
      <t xml:space="preserve">)</t>
    </r>
    <r>
      <rPr>
        <sz val="10"/>
        <color rgb="FF0000FF"/>
        <rFont val="Noto Sans CJK SC"/>
        <family val="2"/>
      </rPr>
      <t xml:space="preserve">と東急</t>
    </r>
    <r>
      <rPr>
        <sz val="10"/>
        <color rgb="FF0000FF"/>
        <rFont val="Arial"/>
        <family val="0"/>
        <charset val="1"/>
      </rPr>
      <t xml:space="preserve">(</t>
    </r>
    <r>
      <rPr>
        <sz val="10"/>
        <color rgb="FF0000FF"/>
        <rFont val="Noto Sans CJK SC"/>
        <family val="2"/>
      </rPr>
      <t xml:space="preserve">壁面</t>
    </r>
    <r>
      <rPr>
        <sz val="10"/>
        <color rgb="FF0000FF"/>
        <rFont val="Arial"/>
        <family val="0"/>
        <charset val="1"/>
      </rPr>
      <t xml:space="preserve">LED</t>
    </r>
    <r>
      <rPr>
        <sz val="10"/>
        <color rgb="FF0000FF"/>
        <rFont val="Noto Sans CJK SC"/>
        <family val="2"/>
      </rPr>
      <t xml:space="preserve">大型映像装置等・</t>
    </r>
    <r>
      <rPr>
        <sz val="10"/>
        <color rgb="FF0000FF"/>
        <rFont val="Arial"/>
        <family val="0"/>
        <charset val="1"/>
      </rPr>
      <t xml:space="preserve">2039/12</t>
    </r>
    <r>
      <rPr>
        <sz val="10"/>
        <color rgb="FF0000FF"/>
        <rFont val="Noto Sans CJK SC"/>
        <family val="2"/>
      </rPr>
      <t xml:space="preserve">まで</t>
    </r>
    <r>
      <rPr>
        <sz val="10"/>
        <color rgb="FF0000FF"/>
        <rFont val="Arial"/>
        <family val="0"/>
        <charset val="1"/>
      </rPr>
      <t xml:space="preserve">)</t>
    </r>
    <r>
      <rPr>
        <sz val="10"/>
        <color rgb="FF0000FF"/>
        <rFont val="Noto Sans CJK SC"/>
        <family val="2"/>
      </rPr>
      <t xml:space="preserve">。鑑定</t>
    </r>
    <r>
      <rPr>
        <sz val="10"/>
        <color rgb="FF0000FF"/>
        <rFont val="Arial"/>
        <family val="0"/>
        <charset val="1"/>
      </rPr>
      <t xml:space="preserve">40,700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帳簿の</t>
    </r>
    <r>
      <rPr>
        <sz val="10"/>
        <color rgb="FF0000FF"/>
        <rFont val="Arial"/>
        <family val="0"/>
        <charset val="1"/>
      </rPr>
      <t xml:space="preserve">2.8</t>
    </r>
    <r>
      <rPr>
        <sz val="10"/>
        <color rgb="FF0000FF"/>
        <rFont val="Noto Sans CJK SC"/>
        <family val="2"/>
      </rPr>
      <t xml:space="preserve">倍と含み益最大級</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</si>
  <si>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23,179</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。ビオセボン等が入居</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</si>
  <si>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28,757</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。一部テナントは売上歩合賃料</t>
    </r>
    <r>
      <rPr>
        <sz val="10"/>
        <color rgb="FF0000FF"/>
        <rFont val="Arial"/>
        <family val="0"/>
        <charset val="1"/>
      </rPr>
      <t xml:space="preserve">(</t>
    </r>
    <r>
      <rPr>
        <sz val="10"/>
        <color rgb="FF0000FF"/>
        <rFont val="Noto Sans CJK SC"/>
        <family val="2"/>
      </rPr>
      <t xml:space="preserve">月額賃料総額に歩合部分は含まず</t>
    </r>
    <r>
      <rPr>
        <sz val="10"/>
        <color rgb="FF0000FF"/>
        <rFont val="Arial"/>
        <family val="0"/>
        <charset val="1"/>
      </rPr>
      <t xml:space="preserve">)</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</si>
  <si>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50,051</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t>
    </r>
    <r>
      <rPr>
        <sz val="10"/>
        <color rgb="FF0000FF"/>
        <rFont val="Noto Sans CJK SC"/>
        <family val="2"/>
      </rPr>
      <t xml:space="preserve">棟構成</t>
    </r>
    <r>
      <rPr>
        <sz val="10"/>
        <color rgb="FF0000FF"/>
        <rFont val="Arial"/>
        <family val="0"/>
        <charset val="1"/>
      </rPr>
      <t xml:space="preserve">(</t>
    </r>
    <r>
      <rPr>
        <sz val="10"/>
        <color rgb="FF0000FF"/>
        <rFont val="Noto Sans CJK SC"/>
        <family val="2"/>
      </rPr>
      <t xml:space="preserve">建物</t>
    </r>
    <r>
      <rPr>
        <sz val="10"/>
        <color rgb="FF0000FF"/>
        <rFont val="Arial"/>
        <family val="0"/>
        <charset val="1"/>
      </rPr>
      <t xml:space="preserve">1:1998/7</t>
    </r>
    <r>
      <rPr>
        <sz val="10"/>
        <color rgb="FF0000FF"/>
        <rFont val="Noto Sans CJK SC"/>
        <family val="2"/>
      </rPr>
      <t xml:space="preserve">竣工</t>
    </r>
    <r>
      <rPr>
        <sz val="10"/>
        <color rgb="FF0000FF"/>
        <rFont val="Arial"/>
        <family val="0"/>
        <charset val="1"/>
      </rPr>
      <t xml:space="preserve">3F 1,473.10</t>
    </r>
    <r>
      <rPr>
        <sz val="10"/>
        <color rgb="FF0000FF"/>
        <rFont val="Noto Sans CJK SC"/>
        <family val="2"/>
      </rPr>
      <t xml:space="preserve">㎡・建物</t>
    </r>
    <r>
      <rPr>
        <sz val="10"/>
        <color rgb="FF0000FF"/>
        <rFont val="Arial"/>
        <family val="0"/>
        <charset val="1"/>
      </rPr>
      <t xml:space="preserve">2:1995/6</t>
    </r>
    <r>
      <rPr>
        <sz val="10"/>
        <color rgb="FF0000FF"/>
        <rFont val="Noto Sans CJK SC"/>
        <family val="2"/>
      </rPr>
      <t xml:space="preserve">竣工</t>
    </r>
    <r>
      <rPr>
        <sz val="10"/>
        <color rgb="FF0000FF"/>
        <rFont val="Arial"/>
        <family val="0"/>
        <charset val="1"/>
      </rPr>
      <t xml:space="preserve">2F 56.39</t>
    </r>
    <r>
      <rPr>
        <sz val="10"/>
        <color rgb="FF0000FF"/>
        <rFont val="Noto Sans CJK SC"/>
        <family val="2"/>
      </rPr>
      <t xml:space="preserve">㎡</t>
    </r>
    <r>
      <rPr>
        <sz val="10"/>
        <color rgb="FF0000FF"/>
        <rFont val="Arial"/>
        <family val="0"/>
        <charset val="1"/>
      </rPr>
      <t xml:space="preserve">)</t>
    </r>
    <r>
      <rPr>
        <sz val="10"/>
        <color rgb="FF0000FF"/>
        <rFont val="Noto Sans CJK SC"/>
        <family val="2"/>
      </rPr>
      <t xml:space="preserve">。延床は</t>
    </r>
    <r>
      <rPr>
        <sz val="10"/>
        <color rgb="FF0000FF"/>
        <rFont val="Arial"/>
        <family val="0"/>
        <charset val="1"/>
      </rPr>
      <t xml:space="preserve">2</t>
    </r>
    <r>
      <rPr>
        <sz val="10"/>
        <color rgb="FF0000FF"/>
        <rFont val="Noto Sans CJK SC"/>
        <family val="2"/>
      </rPr>
      <t xml:space="preserve">棟合計。鑑定</t>
    </r>
    <r>
      <rPr>
        <sz val="10"/>
        <color rgb="FF0000FF"/>
        <rFont val="Arial"/>
        <family val="0"/>
        <charset val="1"/>
      </rPr>
      <t xml:space="preserve">15,300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帳簿の</t>
    </r>
    <r>
      <rPr>
        <sz val="10"/>
        <color rgb="FF0000FF"/>
        <rFont val="Arial"/>
        <family val="0"/>
        <charset val="1"/>
      </rPr>
      <t xml:space="preserve">2.3</t>
    </r>
    <r>
      <rPr>
        <sz val="10"/>
        <color rgb="FF0000FF"/>
        <rFont val="Noto Sans CJK SC"/>
        <family val="2"/>
      </rPr>
      <t xml:space="preserve">倍</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</si>
  <si>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85,248</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。渋谷の商業施設。</t>
    </r>
    <r>
      <rPr>
        <sz val="10"/>
        <color rgb="FF0000FF"/>
        <rFont val="Arial"/>
        <family val="0"/>
        <charset val="1"/>
      </rPr>
      <t xml:space="preserve">THINK</t>
    </r>
    <r>
      <rPr>
        <sz val="10"/>
        <color rgb="FF0000FF"/>
        <rFont val="Noto Sans CJK SC"/>
        <family val="2"/>
      </rPr>
      <t xml:space="preserve">フィットネス・ディーゼル等</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</si>
  <si>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12,528</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</si>
  <si>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30,917</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。東急</t>
    </r>
    <r>
      <rPr>
        <sz val="10"/>
        <color rgb="FF0000FF"/>
        <rFont val="Arial"/>
        <family val="0"/>
        <charset val="1"/>
      </rPr>
      <t xml:space="preserve">(</t>
    </r>
    <r>
      <rPr>
        <sz val="10"/>
        <color rgb="FF0000FF"/>
        <rFont val="Noto Sans CJK SC"/>
        <family val="2"/>
      </rPr>
      <t xml:space="preserve">株</t>
    </r>
    <r>
      <rPr>
        <sz val="10"/>
        <color rgb="FF0000FF"/>
        <rFont val="Arial"/>
        <family val="0"/>
        <charset val="1"/>
      </rPr>
      <t xml:space="preserve">)</t>
    </r>
    <r>
      <rPr>
        <sz val="10"/>
        <color rgb="FF0000FF"/>
        <rFont val="Noto Sans CJK SC"/>
        <family val="2"/>
      </rPr>
      <t xml:space="preserve">一棟賃貸</t>
    </r>
    <r>
      <rPr>
        <sz val="10"/>
        <color rgb="FF0000FF"/>
        <rFont val="Arial"/>
        <family val="0"/>
        <charset val="1"/>
      </rPr>
      <t xml:space="preserve">(2031/12</t>
    </r>
    <r>
      <rPr>
        <sz val="10"/>
        <color rgb="FF0000FF"/>
        <rFont val="Noto Sans CJK SC"/>
        <family val="2"/>
      </rPr>
      <t xml:space="preserve">まで・</t>
    </r>
    <r>
      <rPr>
        <sz val="10"/>
        <color rgb="FF0000FF"/>
        <rFont val="Arial"/>
        <family val="0"/>
        <charset val="1"/>
      </rPr>
      <t xml:space="preserve">2</t>
    </r>
    <r>
      <rPr>
        <sz val="10"/>
        <color rgb="FF0000FF"/>
        <rFont val="Noto Sans CJK SC"/>
        <family val="2"/>
      </rPr>
      <t xml:space="preserve">年毎鑑定ベース賃料改定</t>
    </r>
    <r>
      <rPr>
        <sz val="10"/>
        <color rgb="FF0000FF"/>
        <rFont val="Arial"/>
        <family val="0"/>
        <charset val="1"/>
      </rPr>
      <t xml:space="preserve">)</t>
    </r>
    <r>
      <rPr>
        <sz val="10"/>
        <color rgb="FF0000FF"/>
        <rFont val="Noto Sans CJK SC"/>
        <family val="2"/>
      </rPr>
      <t xml:space="preserve">。総賃貸</t>
    </r>
    <r>
      <rPr>
        <sz val="10"/>
        <color rgb="FF0000FF"/>
        <rFont val="Arial"/>
        <family val="0"/>
        <charset val="1"/>
      </rPr>
      <t xml:space="preserve">(</t>
    </r>
    <r>
      <rPr>
        <sz val="10"/>
        <color rgb="FF0000FF"/>
        <rFont val="Noto Sans CJK SC"/>
        <family val="2"/>
      </rPr>
      <t xml:space="preserve">可能</t>
    </r>
    <r>
      <rPr>
        <sz val="10"/>
        <color rgb="FF0000FF"/>
        <rFont val="Arial"/>
        <family val="0"/>
        <charset val="1"/>
      </rPr>
      <t xml:space="preserve">)</t>
    </r>
    <r>
      <rPr>
        <sz val="10"/>
        <color rgb="FF0000FF"/>
        <rFont val="Noto Sans CJK SC"/>
        <family val="2"/>
      </rPr>
      <t xml:space="preserve">面積は駐車場含む</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</si>
  <si>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41,543</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。主要テナント東急</t>
    </r>
    <r>
      <rPr>
        <sz val="10"/>
        <color rgb="FF0000FF"/>
        <rFont val="Arial"/>
        <family val="0"/>
        <charset val="1"/>
      </rPr>
      <t xml:space="preserve">(</t>
    </r>
    <r>
      <rPr>
        <sz val="10"/>
        <color rgb="FF0000FF"/>
        <rFont val="Noto Sans CJK SC"/>
        <family val="2"/>
      </rPr>
      <t xml:space="preserve">株</t>
    </r>
    <r>
      <rPr>
        <sz val="10"/>
        <color rgb="FF0000FF"/>
        <rFont val="Arial"/>
        <family val="0"/>
        <charset val="1"/>
      </rPr>
      <t xml:space="preserve">)(2031/12</t>
    </r>
    <r>
      <rPr>
        <sz val="10"/>
        <color rgb="FF0000FF"/>
        <rFont val="Noto Sans CJK SC"/>
        <family val="2"/>
      </rPr>
      <t xml:space="preserve">まで</t>
    </r>
    <r>
      <rPr>
        <sz val="10"/>
        <color rgb="FF0000FF"/>
        <rFont val="Arial"/>
        <family val="0"/>
        <charset val="1"/>
      </rPr>
      <t xml:space="preserve">)</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</si>
  <si>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30,408</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。主要テナント富士通</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</si>
  <si>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24,176</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2025/4</t>
    </r>
    <r>
      <rPr>
        <sz val="10"/>
        <color rgb="FF0000FF"/>
        <rFont val="Noto Sans CJK SC"/>
        <family val="2"/>
      </rPr>
      <t xml:space="preserve">に</t>
    </r>
    <r>
      <rPr>
        <sz val="10"/>
        <color rgb="FF0000FF"/>
        <rFont val="Arial"/>
        <family val="0"/>
        <charset val="1"/>
      </rPr>
      <t xml:space="preserve">30%</t>
    </r>
    <r>
      <rPr>
        <sz val="10"/>
        <color rgb="FF0000FF"/>
        <rFont val="Noto Sans CJK SC"/>
        <family val="2"/>
      </rPr>
      <t xml:space="preserve">・</t>
    </r>
    <r>
      <rPr>
        <sz val="10"/>
        <color rgb="FF0000FF"/>
        <rFont val="Arial"/>
        <family val="0"/>
        <charset val="1"/>
      </rPr>
      <t xml:space="preserve">2026/1/30</t>
    </r>
    <r>
      <rPr>
        <sz val="10"/>
        <color rgb="FF0000FF"/>
        <rFont val="Noto Sans CJK SC"/>
        <family val="2"/>
      </rPr>
      <t xml:space="preserve">に</t>
    </r>
    <r>
      <rPr>
        <sz val="10"/>
        <color rgb="FF0000FF"/>
        <rFont val="Arial"/>
        <family val="0"/>
        <charset val="1"/>
      </rPr>
      <t xml:space="preserve">30%</t>
    </r>
    <r>
      <rPr>
        <sz val="10"/>
        <color rgb="FF0000FF"/>
        <rFont val="Noto Sans CJK SC"/>
        <family val="2"/>
      </rPr>
      <t xml:space="preserve">を譲渡済</t>
    </r>
    <r>
      <rPr>
        <sz val="10"/>
        <color rgb="FF0000FF"/>
        <rFont val="Arial"/>
        <family val="0"/>
        <charset val="1"/>
      </rPr>
      <t xml:space="preserve">(</t>
    </r>
    <r>
      <rPr>
        <sz val="10"/>
        <color rgb="FF0000FF"/>
        <rFont val="Noto Sans CJK SC"/>
        <family val="2"/>
      </rPr>
      <t xml:space="preserve">当期売却益</t>
    </r>
    <r>
      <rPr>
        <sz val="10"/>
        <color rgb="FF0000FF"/>
        <rFont val="Arial"/>
        <family val="0"/>
        <charset val="1"/>
      </rPr>
      <t xml:space="preserve">2,006,146</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、残</t>
    </r>
    <r>
      <rPr>
        <sz val="10"/>
        <color rgb="FF0000FF"/>
        <rFont val="Arial"/>
        <family val="0"/>
        <charset val="1"/>
      </rPr>
      <t xml:space="preserve">40%</t>
    </r>
    <r>
      <rPr>
        <sz val="10"/>
        <color rgb="FF0000FF"/>
        <rFont val="Noto Sans CJK SC"/>
        <family val="2"/>
      </rPr>
      <t xml:space="preserve">も</t>
    </r>
    <r>
      <rPr>
        <sz val="10"/>
        <color rgb="FF0000FF"/>
        <rFont val="Arial"/>
        <family val="0"/>
        <charset val="1"/>
      </rPr>
      <t xml:space="preserve">2026/2/27</t>
    </r>
    <r>
      <rPr>
        <sz val="10"/>
        <color rgb="FF0000FF"/>
        <rFont val="Noto Sans CJK SC"/>
        <family val="2"/>
      </rPr>
      <t xml:space="preserve">付で譲渡済</t>
    </r>
    <r>
      <rPr>
        <sz val="10"/>
        <color rgb="FF0000FF"/>
        <rFont val="Arial"/>
        <family val="0"/>
        <charset val="1"/>
      </rPr>
      <t xml:space="preserve">(</t>
    </r>
    <r>
      <rPr>
        <sz val="10"/>
        <color rgb="FF0000FF"/>
        <rFont val="Noto Sans CJK SC"/>
        <family val="2"/>
      </rPr>
      <t xml:space="preserve">譲渡価額</t>
    </r>
    <r>
      <rPr>
        <sz val="10"/>
        <color rgb="FF0000FF"/>
        <rFont val="Arial"/>
        <family val="0"/>
        <charset val="1"/>
      </rPr>
      <t xml:space="preserve">6,520</t>
    </r>
    <r>
      <rPr>
        <sz val="10"/>
        <color rgb="FF0000FF"/>
        <rFont val="Noto Sans CJK SC"/>
        <family val="2"/>
      </rPr>
      <t xml:space="preserve">百万円・第</t>
    </r>
    <r>
      <rPr>
        <sz val="10"/>
        <color rgb="FF0000FF"/>
        <rFont val="Arial"/>
        <family val="0"/>
        <charset val="1"/>
      </rPr>
      <t xml:space="preserve">46</t>
    </r>
    <r>
      <rPr>
        <sz val="10"/>
        <color rgb="FF0000FF"/>
        <rFont val="Noto Sans CJK SC"/>
        <family val="2"/>
      </rPr>
      <t xml:space="preserve">期に売却益</t>
    </r>
    <r>
      <rPr>
        <sz val="10"/>
        <color rgb="FF0000FF"/>
        <rFont val="Arial"/>
        <family val="0"/>
        <charset val="1"/>
      </rPr>
      <t xml:space="preserve">2,675</t>
    </r>
    <r>
      <rPr>
        <sz val="10"/>
        <color rgb="FF0000FF"/>
        <rFont val="Noto Sans CJK SC"/>
        <family val="2"/>
      </rPr>
      <t xml:space="preserve">百万円計上予定</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3</t>
    </r>
    <r>
      <rPr>
        <sz val="10"/>
        <color rgb="FF0000FF"/>
        <rFont val="Noto Sans CJK SC"/>
        <family val="2"/>
      </rPr>
      <t xml:space="preserve">回分割譲渡の完了によりポートフォリオから退出。</t>
    </r>
    <r>
      <rPr>
        <sz val="10"/>
        <color rgb="FF0000FF"/>
        <rFont val="Arial"/>
        <family val="0"/>
        <charset val="1"/>
      </rPr>
      <t xml:space="preserve">NL</t>
    </r>
    <r>
      <rPr>
        <sz val="10"/>
        <color rgb="FF0000FF"/>
        <rFont val="Noto Sans CJK SC"/>
        <family val="2"/>
      </rPr>
      <t xml:space="preserve">月額賃料等は持分</t>
    </r>
    <r>
      <rPr>
        <sz val="10"/>
        <color rgb="FF0000FF"/>
        <rFont val="Arial"/>
        <family val="0"/>
        <charset val="1"/>
      </rPr>
      <t xml:space="preserve">40%</t>
    </r>
    <r>
      <rPr>
        <sz val="10"/>
        <color rgb="FF0000FF"/>
        <rFont val="Noto Sans CJK SC"/>
        <family val="2"/>
      </rPr>
      <t xml:space="preserve">相当。期末算定価額は譲渡契約済のため譲渡価額ベース</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</si>
  <si>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32,911</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。主要テナント東急バス</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</si>
  <si>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37,074</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</si>
  <si>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48,995</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</si>
  <si>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30,347</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。ツルハ等が入居</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</si>
  <si>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39,456</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。稼働</t>
    </r>
    <r>
      <rPr>
        <sz val="10"/>
        <color rgb="FF0000FF"/>
        <rFont val="Arial"/>
        <family val="0"/>
        <charset val="1"/>
      </rPr>
      <t xml:space="preserve">87.7%</t>
    </r>
    <r>
      <rPr>
        <sz val="10"/>
        <color rgb="FF0000FF"/>
        <rFont val="Noto Sans CJK SC"/>
        <family val="2"/>
      </rPr>
      <t xml:space="preserve">。他区分所有者部分も賃借の上一括賃貸。地積は駐車場部分</t>
    </r>
    <r>
      <rPr>
        <sz val="10"/>
        <color rgb="FF0000FF"/>
        <rFont val="Arial"/>
        <family val="0"/>
        <charset val="1"/>
      </rPr>
      <t xml:space="preserve">41.18</t>
    </r>
    <r>
      <rPr>
        <sz val="10"/>
        <color rgb="FF0000FF"/>
        <rFont val="Noto Sans CJK SC"/>
        <family val="2"/>
      </rPr>
      <t xml:space="preserve">㎡含む</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</si>
  <si>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84,063</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2022/6</t>
    </r>
    <r>
      <rPr>
        <sz val="10"/>
        <color rgb="FF0000FF"/>
        <rFont val="Noto Sans CJK SC"/>
        <family val="2"/>
      </rPr>
      <t xml:space="preserve">増築。鑑定</t>
    </r>
    <r>
      <rPr>
        <sz val="10"/>
        <color rgb="FF0000FF"/>
        <rFont val="Arial"/>
        <family val="0"/>
        <charset val="1"/>
      </rPr>
      <t xml:space="preserve">26,100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帳簿の</t>
    </r>
    <r>
      <rPr>
        <sz val="10"/>
        <color rgb="FF0000FF"/>
        <rFont val="Arial"/>
        <family val="0"/>
        <charset val="1"/>
      </rPr>
      <t xml:space="preserve">1.6</t>
    </r>
    <r>
      <rPr>
        <sz val="10"/>
        <color rgb="FF0000FF"/>
        <rFont val="Noto Sans CJK SC"/>
        <family val="2"/>
      </rPr>
      <t xml:space="preserve">倍</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</si>
  <si>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13,811</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。主要テナントリログループ</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</si>
  <si>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104,391</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。帳簿ベースでポートフォリオ最大の物件。ソニー・ミュージック等が入居。地積・延床は一棟全体</t>
    </r>
    <r>
      <rPr>
        <sz val="10"/>
        <color rgb="FF0000FF"/>
        <rFont val="Arial"/>
        <family val="0"/>
        <charset val="1"/>
      </rPr>
      <t xml:space="preserve">(</t>
    </r>
    <r>
      <rPr>
        <sz val="10"/>
        <color rgb="FF0000FF"/>
        <rFont val="Noto Sans CJK SC"/>
        <family val="2"/>
      </rPr>
      <t xml:space="preserve">信託部分</t>
    </r>
    <r>
      <rPr>
        <sz val="10"/>
        <color rgb="FF0000FF"/>
        <rFont val="Arial"/>
        <family val="0"/>
        <charset val="1"/>
      </rPr>
      <t xml:space="preserve">: </t>
    </r>
    <r>
      <rPr>
        <sz val="10"/>
        <color rgb="FF0000FF"/>
        <rFont val="Noto Sans CJK SC"/>
        <family val="2"/>
      </rPr>
      <t xml:space="preserve">敷地</t>
    </r>
    <r>
      <rPr>
        <sz val="10"/>
        <color rgb="FF0000FF"/>
        <rFont val="Arial"/>
        <family val="0"/>
        <charset val="1"/>
      </rPr>
      <t xml:space="preserve">2,576.03</t>
    </r>
    <r>
      <rPr>
        <sz val="10"/>
        <color rgb="FF0000FF"/>
        <rFont val="Noto Sans CJK SC"/>
        <family val="2"/>
      </rPr>
      <t xml:space="preserve">㎡</t>
    </r>
    <r>
      <rPr>
        <sz val="10"/>
        <color rgb="FF0000FF"/>
        <rFont val="Arial"/>
        <family val="0"/>
        <charset val="1"/>
      </rPr>
      <t xml:space="preserve">/</t>
    </r>
    <r>
      <rPr>
        <sz val="10"/>
        <color rgb="FF0000FF"/>
        <rFont val="Noto Sans CJK SC"/>
        <family val="2"/>
      </rPr>
      <t xml:space="preserve">専有</t>
    </r>
    <r>
      <rPr>
        <sz val="10"/>
        <color rgb="FF0000FF"/>
        <rFont val="Arial"/>
        <family val="0"/>
        <charset val="1"/>
      </rPr>
      <t xml:space="preserve">11,431.09</t>
    </r>
    <r>
      <rPr>
        <sz val="10"/>
        <color rgb="FF0000FF"/>
        <rFont val="Noto Sans CJK SC"/>
        <family val="2"/>
      </rPr>
      <t xml:space="preserve">㎡</t>
    </r>
    <r>
      <rPr>
        <sz val="10"/>
        <color rgb="FF0000FF"/>
        <rFont val="Arial"/>
        <family val="0"/>
        <charset val="1"/>
      </rPr>
      <t xml:space="preserve">)</t>
    </r>
    <r>
      <rPr>
        <sz val="10"/>
        <color rgb="FF0000FF"/>
        <rFont val="Noto Sans CJK SC"/>
        <family val="2"/>
      </rPr>
      <t xml:space="preserve">。数値は区分所有割合</t>
    </r>
    <r>
      <rPr>
        <sz val="10"/>
        <color rgb="FF0000FF"/>
        <rFont val="Arial"/>
        <family val="0"/>
        <charset val="1"/>
      </rPr>
      <t xml:space="preserve">95.1%</t>
    </r>
    <r>
      <rPr>
        <sz val="10"/>
        <color rgb="FF0000FF"/>
        <rFont val="Noto Sans CJK SC"/>
        <family val="2"/>
      </rPr>
      <t xml:space="preserve">を乗じた値</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</si>
  <si>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15,776</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</si>
  <si>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32,050</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</si>
  <si>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66,004</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。沖電気工業一棟賃貸</t>
    </r>
    <r>
      <rPr>
        <sz val="10"/>
        <color rgb="FF0000FF"/>
        <rFont val="Arial"/>
        <family val="0"/>
        <charset val="1"/>
      </rPr>
      <t xml:space="preserve">(2030/3</t>
    </r>
    <r>
      <rPr>
        <sz val="10"/>
        <color rgb="FF0000FF"/>
        <rFont val="Noto Sans CJK SC"/>
        <family val="2"/>
      </rPr>
      <t xml:space="preserve">まで・定期建物賃貸借</t>
    </r>
    <r>
      <rPr>
        <sz val="10"/>
        <color rgb="FF0000FF"/>
        <rFont val="Arial"/>
        <family val="0"/>
        <charset val="1"/>
      </rPr>
      <t xml:space="preserve">)=</t>
    </r>
    <r>
      <rPr>
        <sz val="10"/>
        <color rgb="FF0000FF"/>
        <rFont val="Noto Sans CJK SC"/>
        <family val="2"/>
      </rPr>
      <t xml:space="preserve">賃貸面積比率</t>
    </r>
    <r>
      <rPr>
        <sz val="10"/>
        <color rgb="FF0000FF"/>
        <rFont val="Arial"/>
        <family val="0"/>
        <charset val="1"/>
      </rPr>
      <t xml:space="preserve">11.6%</t>
    </r>
    <r>
      <rPr>
        <sz val="10"/>
        <color rgb="FF0000FF"/>
        <rFont val="Noto Sans CJK SC"/>
        <family val="2"/>
      </rPr>
      <t xml:space="preserve">の最大テナント。</t>
    </r>
    <r>
      <rPr>
        <sz val="10"/>
        <color rgb="FF0000FF"/>
        <rFont val="Arial"/>
        <family val="0"/>
        <charset val="1"/>
      </rPr>
      <t xml:space="preserve">2026/1</t>
    </r>
    <r>
      <rPr>
        <sz val="10"/>
        <color rgb="FF0000FF"/>
        <rFont val="Noto Sans CJK SC"/>
        <family val="2"/>
      </rPr>
      <t xml:space="preserve">に耐震補強工事完了</t>
    </r>
    <r>
      <rPr>
        <sz val="10"/>
        <color rgb="FF0000FF"/>
        <rFont val="Arial"/>
        <family val="0"/>
        <charset val="1"/>
      </rPr>
      <t xml:space="preserve">(124</t>
    </r>
    <r>
      <rPr>
        <sz val="10"/>
        <color rgb="FF0000FF"/>
        <rFont val="Noto Sans CJK SC"/>
        <family val="2"/>
      </rPr>
      <t xml:space="preserve">百万円</t>
    </r>
    <r>
      <rPr>
        <sz val="10"/>
        <color rgb="FF0000FF"/>
        <rFont val="Arial"/>
        <family val="0"/>
        <charset val="1"/>
      </rPr>
      <t xml:space="preserve">)</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</si>
  <si>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18,223</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。稼働</t>
    </r>
    <r>
      <rPr>
        <sz val="10"/>
        <color rgb="FF0000FF"/>
        <rFont val="Arial"/>
        <family val="0"/>
        <charset val="1"/>
      </rPr>
      <t xml:space="preserve">91.7%</t>
    </r>
    <r>
      <rPr>
        <sz val="10"/>
        <color rgb="FF0000FF"/>
        <rFont val="Noto Sans CJK SC"/>
        <family val="2"/>
      </rPr>
      <t xml:space="preserve">。買換特例圧縮積立金の対象資産</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</si>
  <si>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63,020</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。稼働</t>
    </r>
    <r>
      <rPr>
        <sz val="10"/>
        <color rgb="FF0000FF"/>
        <rFont val="Arial"/>
        <family val="0"/>
        <charset val="1"/>
      </rPr>
      <t xml:space="preserve">88.7%(</t>
    </r>
    <r>
      <rPr>
        <sz val="10"/>
        <color rgb="FF0000FF"/>
        <rFont val="Noto Sans CJK SC"/>
        <family val="2"/>
      </rPr>
      <t xml:space="preserve">当期</t>
    </r>
    <r>
      <rPr>
        <sz val="10"/>
        <color rgb="FF0000FF"/>
        <rFont val="Arial"/>
        <family val="0"/>
        <charset val="1"/>
      </rPr>
      <t xml:space="preserve">4</t>
    </r>
    <r>
      <rPr>
        <sz val="10"/>
        <color rgb="FF0000FF"/>
        <rFont val="Noto Sans CJK SC"/>
        <family val="2"/>
      </rPr>
      <t xml:space="preserve">・</t>
    </r>
    <r>
      <rPr>
        <sz val="10"/>
        <color rgb="FF0000FF"/>
        <rFont val="Arial"/>
        <family val="0"/>
        <charset val="1"/>
      </rPr>
      <t xml:space="preserve">5</t>
    </r>
    <r>
      <rPr>
        <sz val="10"/>
        <color rgb="FF0000FF"/>
        <rFont val="Noto Sans CJK SC"/>
        <family val="2"/>
      </rPr>
      <t xml:space="preserve">階用途変更工事</t>
    </r>
    <r>
      <rPr>
        <sz val="10"/>
        <color rgb="FF0000FF"/>
        <rFont val="Arial"/>
        <family val="0"/>
        <charset val="1"/>
      </rPr>
      <t xml:space="preserve">343</t>
    </r>
    <r>
      <rPr>
        <sz val="10"/>
        <color rgb="FF0000FF"/>
        <rFont val="Noto Sans CJK SC"/>
        <family val="2"/>
      </rPr>
      <t xml:space="preserve">百万円実施、期後に新規成約</t>
    </r>
    <r>
      <rPr>
        <sz val="10"/>
        <color rgb="FF0000FF"/>
        <rFont val="Arial"/>
        <family val="0"/>
        <charset val="1"/>
      </rPr>
      <t xml:space="preserve">913</t>
    </r>
    <r>
      <rPr>
        <sz val="10"/>
        <color rgb="FF0000FF"/>
        <rFont val="Noto Sans CJK SC"/>
        <family val="2"/>
      </rPr>
      <t xml:space="preserve">㎡あり</t>
    </r>
    <r>
      <rPr>
        <sz val="10"/>
        <color rgb="FF0000FF"/>
        <rFont val="Arial"/>
        <family val="0"/>
        <charset val="1"/>
      </rPr>
      <t xml:space="preserve">)</t>
    </r>
    <r>
      <rPr>
        <sz val="10"/>
        <color rgb="FF0000FF"/>
        <rFont val="Noto Sans CJK SC"/>
        <family val="2"/>
      </rPr>
      <t xml:space="preserve">。地積・延床は一棟全体。数値は準共有持分</t>
    </r>
    <r>
      <rPr>
        <sz val="10"/>
        <color rgb="FF0000FF"/>
        <rFont val="Arial"/>
        <family val="0"/>
        <charset val="1"/>
      </rPr>
      <t xml:space="preserve">47.5%</t>
    </r>
    <r>
      <rPr>
        <sz val="10"/>
        <color rgb="FF0000FF"/>
        <rFont val="Noto Sans CJK SC"/>
        <family val="2"/>
      </rPr>
      <t xml:space="preserve">相当。鑑定が帳簿を下回る。買換特例圧縮積立金の対象資産</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</si>
  <si>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36,207</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</si>
  <si>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4,651</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2025/12/15</t>
    </r>
    <r>
      <rPr>
        <sz val="10"/>
        <color rgb="FF0000FF"/>
        <rFont val="Noto Sans CJK SC"/>
        <family val="2"/>
      </rPr>
      <t xml:space="preserve">付でメゾンピオニー都立大学から名称変更。賃貸住宅</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</si>
  <si>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6,448</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。賃貸住宅。ジェイ・エス・ビーへのマスターリース</t>
    </r>
    <r>
      <rPr>
        <sz val="10"/>
        <color rgb="FF0000FF"/>
        <rFont val="Arial"/>
        <family val="0"/>
        <charset val="1"/>
      </rPr>
      <t xml:space="preserve">(2040/3</t>
    </r>
    <r>
      <rPr>
        <sz val="10"/>
        <color rgb="FF0000FF"/>
        <rFont val="Noto Sans CJK SC"/>
        <family val="2"/>
      </rPr>
      <t xml:space="preserve">まで</t>
    </r>
    <r>
      <rPr>
        <sz val="10"/>
        <color rgb="FF0000FF"/>
        <rFont val="Arial"/>
        <family val="0"/>
        <charset val="1"/>
      </rPr>
      <t xml:space="preserve">)</t>
    </r>
    <r>
      <rPr>
        <sz val="10"/>
        <color rgb="FF0000FF"/>
        <rFont val="Noto Sans CJK SC"/>
        <family val="2"/>
      </rPr>
      <t xml:space="preserve">。買換特例圧縮積立金の対象資産</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</si>
  <si>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4,265</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2025/12/15</t>
    </r>
    <r>
      <rPr>
        <sz val="10"/>
        <color rgb="FF0000FF"/>
        <rFont val="Noto Sans CJK SC"/>
        <family val="2"/>
      </rPr>
      <t xml:space="preserve">付で</t>
    </r>
    <r>
      <rPr>
        <sz val="10"/>
        <color rgb="FF0000FF"/>
        <rFont val="Arial"/>
        <family val="0"/>
        <charset val="1"/>
      </rPr>
      <t xml:space="preserve">ISM</t>
    </r>
    <r>
      <rPr>
        <sz val="10"/>
        <color rgb="FF0000FF"/>
        <rFont val="Noto Sans CJK SC"/>
        <family val="2"/>
      </rPr>
      <t xml:space="preserve">綱島から名称変更。賃貸住宅。</t>
    </r>
    <r>
      <rPr>
        <sz val="10"/>
        <color rgb="FF0000FF"/>
        <rFont val="Arial"/>
        <family val="0"/>
        <charset val="1"/>
      </rPr>
      <t xml:space="preserve">PML10.2%</t>
    </r>
    <r>
      <rPr>
        <sz val="10"/>
        <color rgb="FF0000FF"/>
        <rFont val="Noto Sans CJK SC"/>
        <family val="2"/>
      </rPr>
      <t xml:space="preserve">はポートフォリオ最高</t>
    </r>
  </si>
  <si>
    <r>
      <rPr>
        <sz val="10"/>
        <color rgb="FF0000FF"/>
        <rFont val="Arial"/>
        <family val="0"/>
        <charset val="1"/>
      </rPr>
      <t xml:space="preserve">TRE</t>
    </r>
    <r>
      <rPr>
        <sz val="10"/>
        <color rgb="FF0000FF"/>
        <rFont val="Noto Sans CJK SC"/>
        <family val="2"/>
      </rPr>
      <t xml:space="preserve">は物件別の発生ベース収支を非開示</t>
    </r>
    <r>
      <rPr>
        <sz val="10"/>
        <color rgb="FF0000FF"/>
        <rFont val="Arial"/>
        <family val="0"/>
        <charset val="1"/>
      </rPr>
      <t xml:space="preserve">(</t>
    </r>
    <r>
      <rPr>
        <sz val="10"/>
        <color rgb="FF0000FF"/>
        <rFont val="Noto Sans CJK SC"/>
        <family val="2"/>
      </rPr>
      <t xml:space="preserve">法人一括の</t>
    </r>
    <r>
      <rPr>
        <sz val="10"/>
        <color rgb="FF0000FF"/>
        <rFont val="Arial"/>
        <family val="0"/>
        <charset val="1"/>
      </rPr>
      <t xml:space="preserve">TRE-ALL</t>
    </r>
    <r>
      <rPr>
        <sz val="10"/>
        <color rgb="FF0000FF"/>
        <rFont val="Noto Sans CJK SC"/>
        <family val="2"/>
      </rPr>
      <t xml:space="preserve">行参照</t>
    </r>
    <r>
      <rPr>
        <sz val="10"/>
        <color rgb="FF0000FF"/>
        <rFont val="Arial"/>
        <family val="0"/>
        <charset val="1"/>
      </rPr>
      <t xml:space="preserve">)</t>
    </r>
    <r>
      <rPr>
        <sz val="10"/>
        <color rgb="FF0000FF"/>
        <rFont val="Noto Sans CJK SC"/>
        <family val="2"/>
      </rPr>
      <t xml:space="preserve">。参考</t>
    </r>
    <r>
      <rPr>
        <sz val="10"/>
        <color rgb="FF0000FF"/>
        <rFont val="Arial"/>
        <family val="0"/>
        <charset val="1"/>
      </rPr>
      <t xml:space="preserve">: </t>
    </r>
    <r>
      <rPr>
        <sz val="10"/>
        <color rgb="FF0000FF"/>
        <rFont val="Noto Sans CJK SC"/>
        <family val="2"/>
      </rPr>
      <t xml:space="preserve">期末月額賃料総額</t>
    </r>
    <r>
      <rPr>
        <sz val="10"/>
        <color rgb="FF0000FF"/>
        <rFont val="Arial"/>
        <family val="0"/>
        <charset val="1"/>
      </rPr>
      <t xml:space="preserve">108,055</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契約ベース</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4</t>
    </r>
    <r>
      <rPr>
        <sz val="10"/>
        <color rgb="FF0000FF"/>
        <rFont val="Noto Sans CJK SC"/>
        <family val="2"/>
      </rPr>
      <t xml:space="preserve">街区構成の大規模複合施設</t>
    </r>
    <r>
      <rPr>
        <sz val="10"/>
        <color rgb="FF0000FF"/>
        <rFont val="Arial"/>
        <family val="0"/>
        <charset val="1"/>
      </rPr>
      <t xml:space="preserve">(</t>
    </r>
    <r>
      <rPr>
        <sz val="10"/>
        <color rgb="FF0000FF"/>
        <rFont val="Noto Sans CJK SC"/>
        <family val="2"/>
      </rPr>
      <t xml:space="preserve">区分所有区画の共有持分</t>
    </r>
    <r>
      <rPr>
        <sz val="10"/>
        <color rgb="FF0000FF"/>
        <rFont val="Arial"/>
        <family val="0"/>
        <charset val="1"/>
      </rPr>
      <t xml:space="preserve">)</t>
    </r>
    <r>
      <rPr>
        <sz val="10"/>
        <color rgb="FF0000FF"/>
        <rFont val="Noto Sans CJK SC"/>
        <family val="2"/>
      </rPr>
      <t xml:space="preserve">。竣工はⅠ</t>
    </r>
    <r>
      <rPr>
        <sz val="10"/>
        <color rgb="FF0000FF"/>
        <rFont val="Arial"/>
        <family val="0"/>
        <charset val="1"/>
      </rPr>
      <t xml:space="preserve">-b</t>
    </r>
    <r>
      <rPr>
        <sz val="10"/>
        <color rgb="FF0000FF"/>
        <rFont val="Noto Sans CJK SC"/>
        <family val="2"/>
      </rPr>
      <t xml:space="preserve">街区</t>
    </r>
    <r>
      <rPr>
        <sz val="10"/>
        <color rgb="FF0000FF"/>
        <rFont val="Arial"/>
        <family val="0"/>
        <charset val="1"/>
      </rPr>
      <t xml:space="preserve">2010/11(16</t>
    </r>
    <r>
      <rPr>
        <sz val="10"/>
        <color rgb="FF0000FF"/>
        <rFont val="Noto Sans CJK SC"/>
        <family val="2"/>
      </rPr>
      <t xml:space="preserve">持分</t>
    </r>
    <r>
      <rPr>
        <sz val="10"/>
        <color rgb="FF0000FF"/>
        <rFont val="Arial"/>
        <family val="0"/>
        <charset val="1"/>
      </rPr>
      <t xml:space="preserve">10.7%)</t>
    </r>
    <r>
      <rPr>
        <sz val="10"/>
        <color rgb="FF0000FF"/>
        <rFont val="Noto Sans CJK SC"/>
        <family val="2"/>
      </rPr>
      <t xml:space="preserve">・Ⅱ</t>
    </r>
    <r>
      <rPr>
        <sz val="10"/>
        <color rgb="FF0000FF"/>
        <rFont val="Arial"/>
        <family val="0"/>
        <charset val="1"/>
      </rPr>
      <t xml:space="preserve">-a</t>
    </r>
    <r>
      <rPr>
        <sz val="10"/>
        <color rgb="FF0000FF"/>
        <rFont val="Noto Sans CJK SC"/>
        <family val="2"/>
      </rPr>
      <t xml:space="preserve">街区</t>
    </r>
    <r>
      <rPr>
        <sz val="10"/>
        <color rgb="FF0000FF"/>
        <rFont val="Arial"/>
        <family val="0"/>
        <charset val="1"/>
      </rPr>
      <t xml:space="preserve">2015/6(30F=</t>
    </r>
    <r>
      <rPr>
        <sz val="10"/>
        <color rgb="FF0000FF"/>
        <rFont val="Noto Sans CJK SC"/>
        <family val="2"/>
      </rPr>
      <t xml:space="preserve">楽天グループ本社・持分</t>
    </r>
    <r>
      <rPr>
        <sz val="10"/>
        <color rgb="FF0000FF"/>
        <rFont val="Arial"/>
        <family val="0"/>
        <charset val="1"/>
      </rPr>
      <t xml:space="preserve">12.7%)</t>
    </r>
    <r>
      <rPr>
        <sz val="10"/>
        <color rgb="FF0000FF"/>
        <rFont val="Noto Sans CJK SC"/>
        <family val="2"/>
      </rPr>
      <t xml:space="preserve">・Ⅱ</t>
    </r>
    <r>
      <rPr>
        <sz val="10"/>
        <color rgb="FF0000FF"/>
        <rFont val="Arial"/>
        <family val="0"/>
        <charset val="1"/>
      </rPr>
      <t xml:space="preserve">-b</t>
    </r>
    <r>
      <rPr>
        <sz val="10"/>
        <color rgb="FF0000FF"/>
        <rFont val="Noto Sans CJK SC"/>
        <family val="2"/>
      </rPr>
      <t xml:space="preserve">街区</t>
    </r>
    <r>
      <rPr>
        <sz val="10"/>
        <color rgb="FF0000FF"/>
        <rFont val="Arial"/>
        <family val="0"/>
        <charset val="1"/>
      </rPr>
      <t xml:space="preserve">2010/4(3</t>
    </r>
    <r>
      <rPr>
        <sz val="10"/>
        <color rgb="FF0000FF"/>
        <rFont val="Noto Sans CJK SC"/>
        <family val="2"/>
      </rPr>
      <t xml:space="preserve">持分</t>
    </r>
    <r>
      <rPr>
        <sz val="10"/>
        <color rgb="FF0000FF"/>
        <rFont val="Arial"/>
        <family val="0"/>
        <charset val="1"/>
      </rPr>
      <t xml:space="preserve">4.5%)</t>
    </r>
    <r>
      <rPr>
        <sz val="10"/>
        <color rgb="FF0000FF"/>
        <rFont val="Noto Sans CJK SC"/>
        <family val="2"/>
      </rPr>
      <t xml:space="preserve">・Ⅲ街区</t>
    </r>
    <r>
      <rPr>
        <sz val="10"/>
        <color rgb="FF0000FF"/>
        <rFont val="Arial"/>
        <family val="0"/>
        <charset val="1"/>
      </rPr>
      <t xml:space="preserve">2010/4(2</t>
    </r>
    <r>
      <rPr>
        <sz val="10"/>
        <color rgb="FF0000FF"/>
        <rFont val="Noto Sans CJK SC"/>
        <family val="2"/>
      </rPr>
      <t xml:space="preserve">持分</t>
    </r>
    <r>
      <rPr>
        <sz val="10"/>
        <color rgb="FF0000FF"/>
        <rFont val="Arial"/>
        <family val="0"/>
        <charset val="1"/>
      </rPr>
      <t xml:space="preserve">7.5%)</t>
    </r>
    <r>
      <rPr>
        <sz val="10"/>
        <color rgb="FF0000FF"/>
        <rFont val="Noto Sans CJK SC"/>
        <family val="2"/>
      </rPr>
      <t xml:space="preserve">のため竣工年月列は空欄。地積・延床は各街区一棟全体の合算</t>
    </r>
    <r>
      <rPr>
        <sz val="10"/>
        <color rgb="FF0000FF"/>
        <rFont val="Arial"/>
        <family val="0"/>
        <charset val="1"/>
      </rPr>
      <t xml:space="preserve">(Ⅲ</t>
    </r>
    <r>
      <rPr>
        <sz val="10"/>
        <color rgb="FF0000FF"/>
        <rFont val="Noto Sans CJK SC"/>
        <family val="2"/>
      </rPr>
      <t xml:space="preserve">街区地積は敷地権割合按分値</t>
    </r>
    <r>
      <rPr>
        <sz val="10"/>
        <color rgb="FF0000FF"/>
        <rFont val="Arial"/>
        <family val="0"/>
        <charset val="1"/>
      </rPr>
      <t xml:space="preserve">296.51</t>
    </r>
    <r>
      <rPr>
        <sz val="10"/>
        <color rgb="FF0000FF"/>
        <rFont val="Noto Sans CJK SC"/>
        <family val="2"/>
      </rPr>
      <t xml:space="preserve">㎡</t>
    </r>
    <r>
      <rPr>
        <sz val="10"/>
        <color rgb="FF0000FF"/>
        <rFont val="Arial"/>
        <family val="0"/>
        <charset val="1"/>
      </rPr>
      <t xml:space="preserve">)</t>
    </r>
    <r>
      <rPr>
        <sz val="10"/>
        <color rgb="FF0000FF"/>
        <rFont val="Noto Sans CJK SC"/>
        <family val="2"/>
      </rPr>
      <t xml:space="preserve">。階数は最大棟</t>
    </r>
    <r>
      <rPr>
        <sz val="10"/>
        <color rgb="FF0000FF"/>
        <rFont val="Arial"/>
        <family val="0"/>
        <charset val="1"/>
      </rPr>
      <t xml:space="preserve">(Ⅱ-a)</t>
    </r>
    <r>
      <rPr>
        <sz val="10"/>
        <color rgb="FF0000FF"/>
        <rFont val="Noto Sans CJK SC"/>
        <family val="2"/>
      </rPr>
      <t xml:space="preserve">。</t>
    </r>
    <r>
      <rPr>
        <sz val="10"/>
        <color rgb="FF0000FF"/>
        <rFont val="Arial"/>
        <family val="0"/>
        <charset val="1"/>
      </rPr>
      <t xml:space="preserve">PML</t>
    </r>
    <r>
      <rPr>
        <sz val="10"/>
        <color rgb="FF0000FF"/>
        <rFont val="Noto Sans CJK SC"/>
        <family val="2"/>
      </rPr>
      <t xml:space="preserve">は街区別</t>
    </r>
    <r>
      <rPr>
        <sz val="10"/>
        <color rgb="FF0000FF"/>
        <rFont val="Arial"/>
        <family val="0"/>
        <charset val="1"/>
      </rPr>
      <t xml:space="preserve">2.5</t>
    </r>
    <r>
      <rPr>
        <sz val="10"/>
        <color rgb="FF0000FF"/>
        <rFont val="Noto Sans CJK SC"/>
        <family val="2"/>
      </rPr>
      <t xml:space="preserve">〜</t>
    </r>
    <r>
      <rPr>
        <sz val="10"/>
        <color rgb="FF0000FF"/>
        <rFont val="Arial"/>
        <family val="0"/>
        <charset val="1"/>
      </rPr>
      <t xml:space="preserve">3.9%</t>
    </r>
    <r>
      <rPr>
        <sz val="10"/>
        <color rgb="FF0000FF"/>
        <rFont val="Noto Sans CJK SC"/>
        <family val="2"/>
      </rPr>
      <t xml:space="preserve">。楽天グループが賃貸面積</t>
    </r>
    <r>
      <rPr>
        <sz val="10"/>
        <color rgb="FF0000FF"/>
        <rFont val="Arial"/>
        <family val="0"/>
        <charset val="1"/>
      </rPr>
      <t xml:space="preserve">12,452</t>
    </r>
    <r>
      <rPr>
        <sz val="10"/>
        <color rgb="FF0000FF"/>
        <rFont val="Noto Sans CJK SC"/>
        <family val="2"/>
      </rPr>
      <t xml:space="preserve">㎡</t>
    </r>
    <r>
      <rPr>
        <sz val="10"/>
        <color rgb="FF0000FF"/>
        <rFont val="Arial"/>
        <family val="0"/>
        <charset val="1"/>
      </rPr>
      <t xml:space="preserve">(</t>
    </r>
    <r>
      <rPr>
        <sz val="10"/>
        <color rgb="FF0000FF"/>
        <rFont val="Noto Sans CJK SC"/>
        <family val="2"/>
      </rPr>
      <t xml:space="preserve">全体の</t>
    </r>
    <r>
      <rPr>
        <sz val="10"/>
        <color rgb="FF0000FF"/>
        <rFont val="Arial"/>
        <family val="0"/>
        <charset val="1"/>
      </rPr>
      <t xml:space="preserve">8.0%)</t>
    </r>
    <r>
      <rPr>
        <sz val="10"/>
        <color rgb="FF0000FF"/>
        <rFont val="Noto Sans CJK SC"/>
        <family val="2"/>
      </rPr>
      <t xml:space="preserve">を賃借。買換特例圧縮積立金</t>
    </r>
    <r>
      <rPr>
        <sz val="10"/>
        <color rgb="FF0000FF"/>
        <rFont val="Arial"/>
        <family val="0"/>
        <charset val="1"/>
      </rPr>
      <t xml:space="preserve">(</t>
    </r>
    <r>
      <rPr>
        <sz val="10"/>
        <color rgb="FF0000FF"/>
        <rFont val="Noto Sans CJK SC"/>
        <family val="2"/>
      </rPr>
      <t xml:space="preserve">二子玉川ライズ</t>
    </r>
    <r>
      <rPr>
        <sz val="10"/>
        <color rgb="FF0000FF"/>
        <rFont val="Arial"/>
        <family val="0"/>
        <charset val="1"/>
      </rPr>
      <t xml:space="preserve">)</t>
    </r>
    <r>
      <rPr>
        <sz val="10"/>
        <color rgb="FF0000FF"/>
        <rFont val="Noto Sans CJK SC"/>
        <family val="2"/>
      </rPr>
      <t xml:space="preserve">の対象資産</t>
    </r>
  </si>
  <si>
    <r>
      <rPr>
        <sz val="10"/>
        <color rgb="FF0000FF"/>
        <rFont val="Arial"/>
        <family val="0"/>
        <charset val="1"/>
      </rPr>
      <t xml:space="preserve">HLC 2026</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24</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(2026/4/16</t>
    </r>
    <r>
      <rPr>
        <sz val="10"/>
        <color rgb="FF0000FF"/>
        <rFont val="Noto Sans CJK SC"/>
        <family val="2"/>
      </rPr>
      <t xml:space="preserve">公表</t>
    </r>
    <r>
      <rPr>
        <sz val="10"/>
        <color rgb="FF0000FF"/>
        <rFont val="Arial"/>
        <family val="0"/>
        <charset val="1"/>
      </rPr>
      <t xml:space="preserve">) </t>
    </r>
    <r>
      <rPr>
        <sz val="10"/>
        <color rgb="FF0000FF"/>
        <rFont val="Noto Sans CJK SC"/>
        <family val="2"/>
      </rPr>
      <t xml:space="preserve">損益計算書に関する注記</t>
    </r>
  </si>
  <si>
    <t xml:space="preserve">一括実績(損益計算書注記)。損益7,566,736千円=F-I完全一致(1千円差なし)。G内訳(賃料10,055,543+地代265,031+共益費520,670=10,841,244)とG=10,841,245に1千円差、H内訳(水光熱418,668+その他156,358=575,026)とH=575,027に1千円差、費用内訳合算3,849,533とI=3,849,536に3千円差(「内訳チェック(0=整合)」欄)=いずれも原資料内切捨て。物件別収支はフル開示46物件(合算F7,329,183/I2,734,575)+NOIのみ開示22物件+完全非開示1物件(築地三丁目)。非開示分F=4,087,089千円。物件別表は各科目千円未満切捨てのためF=G+H+1(19物件)・内訳チェック1〜5千円・掲載損益と1千円差(9物件)が系統的に発生(転記は掲載値通り)。「資本的支出(千円)」欄は期中資本的支出735,060千円(修繕費153,258千円と合わせ888,318千円の工事)。地代収入265,031千円は九段底地等</t>
  </si>
  <si>
    <r>
      <rPr>
        <sz val="10"/>
        <color rgb="FF0000FF"/>
        <rFont val="Arial"/>
        <family val="0"/>
        <charset val="1"/>
      </rPr>
      <t xml:space="preserve">HLC 2026</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24</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(2026/4/16</t>
    </r>
    <r>
      <rPr>
        <sz val="10"/>
        <color rgb="FF0000FF"/>
        <rFont val="Noto Sans CJK SC"/>
        <family val="2"/>
      </rPr>
      <t xml:space="preserve">公表</t>
    </r>
    <r>
      <rPr>
        <sz val="10"/>
        <color rgb="FF0000FF"/>
        <rFont val="Arial"/>
        <family val="0"/>
        <charset val="1"/>
      </rPr>
      <t xml:space="preserve">) (6)</t>
    </r>
    <r>
      <rPr>
        <sz val="10"/>
        <color rgb="FF0000FF"/>
        <rFont val="Noto Sans CJK SC"/>
        <family val="2"/>
      </rPr>
      <t xml:space="preserve">賃貸借の概況及び損益の状況</t>
    </r>
  </si>
  <si>
    <t xml:space="preserve">各科目は千円未満切捨て掲載のため内訳チェック欄に1〜5千円が残る(原資料内差・HLC-ALL行参照)</t>
  </si>
  <si>
    <t xml:space="preserve">非開示（NOIのみ開示）</t>
  </si>
  <si>
    <t xml:space="preserve">エンドテナント等の同意なく収支非開示。開示NOI=618,098千円(賃貸事業損益-費用+償却)</t>
  </si>
  <si>
    <t xml:space="preserve">エンドテナント等の同意なく収支非開示。開示NOI=60,931千円(賃貸事業損益-費用+償却)</t>
  </si>
  <si>
    <t xml:space="preserve">エンドテナント等の同意なく収支非開示。開示NOI=44,391千円(賃貸事業損益-費用+償却)</t>
  </si>
  <si>
    <t xml:space="preserve">エンドテナント等の同意なく収支非開示。開示NOI=133,997千円(賃貸事業損益-費用+償却)</t>
  </si>
  <si>
    <t xml:space="preserve">エンドテナント等の同意なく収支非開示。開示NOI=36,889千円(賃貸事業損益-費用+償却)</t>
  </si>
  <si>
    <t xml:space="preserve">エンドテナント等の同意なく収支非開示。開示NOI=65,761千円(賃貸事業損益-費用+償却)</t>
  </si>
  <si>
    <t xml:space="preserve">非開示</t>
  </si>
  <si>
    <t xml:space="preserve">エンドテナント等の同意なく収支・NOIとも非開示(築地三丁目)</t>
  </si>
  <si>
    <t xml:space="preserve">エンドテナント等の同意なく収支非開示。開示NOI=110,292千円(賃貸事業損益-費用+償却)</t>
  </si>
  <si>
    <t xml:space="preserve">エンドテナント等の同意なく収支非開示。開示NOI=690,848千円(賃貸事業損益-費用+償却)</t>
  </si>
  <si>
    <t xml:space="preserve">当期運用152日。エンドテナント等の同意なく収支非開示。開示NOI=616,813千円(賃貸事業損益-費用+償却)</t>
  </si>
  <si>
    <t xml:space="preserve">エンドテナント等の同意なく収支非開示。開示NOI=95,377千円(賃貸事業損益-費用+償却)</t>
  </si>
  <si>
    <t xml:space="preserve">エンドテナント等の同意なく収支非開示。開示NOI=159,738千円(賃貸事業損益-費用+償却)</t>
  </si>
  <si>
    <t xml:space="preserve">エンドテナント等の同意なく収支非開示。開示NOI=82,102千円(賃貸事業損益-費用+償却)</t>
  </si>
  <si>
    <t xml:space="preserve">エンドテナント等の同意なく収支非開示。開示NOI=78,888千円(賃貸事業損益-費用+償却)</t>
  </si>
  <si>
    <t xml:space="preserve">エンドテナント等の同意なく収支非開示。開示NOI=68,708千円(賃貸事業損益-費用+償却)</t>
  </si>
  <si>
    <t xml:space="preserve">エンドテナント等の同意なく収支非開示。開示NOI=49,974千円(賃貸事業損益-費用+償却)</t>
  </si>
  <si>
    <t xml:space="preserve">エンドテナント等の同意なく収支非開示。開示NOI=74,064千円(賃貸事業損益-費用+償却)</t>
  </si>
  <si>
    <t xml:space="preserve">エンドテナント等の同意なく収支非開示。開示NOI=73,820千円(賃貸事業損益-費用+償却)</t>
  </si>
  <si>
    <t xml:space="preserve">エンドテナント等の同意なく収支非開示。開示NOI=190,917千円(賃貸事業損益-費用+償却)</t>
  </si>
  <si>
    <t xml:space="preserve">エンドテナント等の同意なく収支非開示。開示NOI=45,063千円(賃貸事業損益-費用+償却)</t>
  </si>
  <si>
    <t xml:space="preserve">エンドテナント等の同意なく収支非開示。開示NOI=49,472千円(賃貸事業損益-費用+償却)</t>
  </si>
  <si>
    <t xml:space="preserve">エンドテナント等の同意なく収支非開示。開示NOI=49,250千円(賃貸事業損益-費用+償却)</t>
  </si>
  <si>
    <t xml:space="preserve">当期運用44日。エンドテナント等の同意なく収支非開示。開示NOI=15,312千円(賃貸事業損益-費用+償却)</t>
  </si>
  <si>
    <t xml:space="preserve">当期運用7日。各科目は千円未満切捨て掲載のため内訳チェック欄に1〜5千円が残る(原資料内差・HLC-ALL行参照)</t>
  </si>
  <si>
    <r>
      <rPr>
        <sz val="10"/>
        <color rgb="FF0000FF"/>
        <rFont val="Arial"/>
        <family val="0"/>
        <charset val="1"/>
      </rPr>
      <t xml:space="preserve">NUD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47</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(2026/6/17</t>
    </r>
    <r>
      <rPr>
        <sz val="10"/>
        <color rgb="FF0000FF"/>
        <rFont val="Noto Sans CJK SC"/>
        <family val="2"/>
      </rPr>
      <t xml:space="preserve">公表</t>
    </r>
    <r>
      <rPr>
        <sz val="10"/>
        <color rgb="FF0000FF"/>
        <rFont val="Arial"/>
        <family val="0"/>
        <charset val="1"/>
      </rPr>
      <t xml:space="preserve">)</t>
    </r>
    <r>
      <rPr>
        <sz val="10"/>
        <color rgb="FF0000FF"/>
        <rFont val="Noto Sans CJK SC"/>
        <family val="2"/>
      </rPr>
      <t xml:space="preserve">＋公式ポートフォリオ一覧</t>
    </r>
    <r>
      <rPr>
        <sz val="10"/>
        <color rgb="FF0000FF"/>
        <rFont val="Arial"/>
        <family val="0"/>
        <charset val="1"/>
      </rPr>
      <t xml:space="preserve">(2026/7/31</t>
    </r>
    <r>
      <rPr>
        <sz val="10"/>
        <color rgb="FF0000FF"/>
        <rFont val="Noto Sans CJK SC"/>
        <family val="2"/>
      </rPr>
      <t xml:space="preserve">現在・延床</t>
    </r>
    <r>
      <rPr>
        <sz val="10"/>
        <color rgb="FF0000FF"/>
        <rFont val="Arial"/>
        <family val="0"/>
        <charset val="1"/>
      </rPr>
      <t xml:space="preserve">/</t>
    </r>
    <r>
      <rPr>
        <sz val="10"/>
        <color rgb="FF0000FF"/>
        <rFont val="Noto Sans CJK SC"/>
        <family val="2"/>
      </rPr>
      <t xml:space="preserve">取得時期</t>
    </r>
    <r>
      <rPr>
        <sz val="10"/>
        <color rgb="FF0000FF"/>
        <rFont val="Arial"/>
        <family val="0"/>
        <charset val="1"/>
      </rPr>
      <t xml:space="preserve">) p.16 </t>
    </r>
    <r>
      <rPr>
        <sz val="10"/>
        <color rgb="FF0000FF"/>
        <rFont val="Noto Sans CJK SC"/>
        <family val="2"/>
      </rPr>
      <t xml:space="preserve">不動産賃貸事業損益の内訳・</t>
    </r>
    <r>
      <rPr>
        <sz val="10"/>
        <color rgb="FF0000FF"/>
        <rFont val="Arial"/>
        <family val="0"/>
        <charset val="1"/>
      </rPr>
      <t xml:space="preserve">p.33 </t>
    </r>
    <r>
      <rPr>
        <sz val="10"/>
        <color rgb="FF0000FF"/>
        <rFont val="Noto Sans CJK SC"/>
        <family val="2"/>
      </rPr>
      <t xml:space="preserve">資本的支出</t>
    </r>
  </si>
  <si>
    <t xml:space="preserve">法人一括の賃貸事業収支(千円・不動産等売却益1,239,299千円と受取配当金529,826千円は含まず)。G=賃貸事業収入(賃料8,878,579+共益費1,221,927=完全一致)、H=その他賃貸事業収入(水道光熱費収入502,176+駐車場使用料259,356+施設使用料116,758+その他付帯収益57,259+その他雑収入170,481、内訳計と欄の1千円差は切捨て由来。F=G+Hの1千円差も同様)。その他費用=信託報酬27,491+賃借料521,775(東京オペラシティ等の借地物件に係る地代等)+その他賃貸事業費用227,419の合算。M保険料21,745は一括内訳では独立開示(物件別ではその他支出に含む)。内訳チェック5千円は原資料の千円未満切捨て由来。損益4,790,377=F-I完全一致。用途別内訳(千円): オフィス収益8,126,046/費用4,546,320/損益3,579,725、レジデンス3,080,492/1,869,840/1,210,652。物件別(百万円開示)の合算との差は切捨て累積(損益: オフィス-14・レジ-14百万円等)で検証済。CAPEX1,355,308千円+費用処理修繕1,011,352千円=計2,366,661千円の工事実施(東京オペラシティのホール・設備改修等)</t>
  </si>
  <si>
    <t xml:space="preserve">開示（物件別・費用内訳含む、百万円単位）</t>
  </si>
  <si>
    <r>
      <rPr>
        <sz val="10"/>
        <color rgb="FF0000FF"/>
        <rFont val="Arial"/>
        <family val="0"/>
        <charset val="1"/>
      </rPr>
      <t xml:space="preserve">NUD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47</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(2026/6/17</t>
    </r>
    <r>
      <rPr>
        <sz val="10"/>
        <color rgb="FF0000FF"/>
        <rFont val="Noto Sans CJK SC"/>
        <family val="2"/>
      </rPr>
      <t xml:space="preserve">公表</t>
    </r>
    <r>
      <rPr>
        <sz val="10"/>
        <color rgb="FF0000FF"/>
        <rFont val="Arial"/>
        <family val="0"/>
        <charset val="1"/>
      </rPr>
      <t xml:space="preserve">)</t>
    </r>
    <r>
      <rPr>
        <sz val="10"/>
        <color rgb="FF0000FF"/>
        <rFont val="Noto Sans CJK SC"/>
        <family val="2"/>
      </rPr>
      <t xml:space="preserve">＋公式ポートフォリオ一覧</t>
    </r>
    <r>
      <rPr>
        <sz val="10"/>
        <color rgb="FF0000FF"/>
        <rFont val="Arial"/>
        <family val="0"/>
        <charset val="1"/>
      </rPr>
      <t xml:space="preserve">(2026/7/31</t>
    </r>
    <r>
      <rPr>
        <sz val="10"/>
        <color rgb="FF0000FF"/>
        <rFont val="Noto Sans CJK SC"/>
        <family val="2"/>
      </rPr>
      <t xml:space="preserve">現在・延床</t>
    </r>
    <r>
      <rPr>
        <sz val="10"/>
        <color rgb="FF0000FF"/>
        <rFont val="Arial"/>
        <family val="0"/>
        <charset val="1"/>
      </rPr>
      <t xml:space="preserve">/</t>
    </r>
    <r>
      <rPr>
        <sz val="10"/>
        <color rgb="FF0000FF"/>
        <rFont val="Noto Sans CJK SC"/>
        <family val="2"/>
      </rPr>
      <t xml:space="preserve">取得時期</t>
    </r>
    <r>
      <rPr>
        <sz val="10"/>
        <color rgb="FF0000FF"/>
        <rFont val="Arial"/>
        <family val="0"/>
        <charset val="1"/>
      </rPr>
      <t xml:space="preserve">) p.29-31 </t>
    </r>
    <r>
      <rPr>
        <sz val="10"/>
        <color rgb="FF0000FF"/>
        <rFont val="Noto Sans CJK SC"/>
        <family val="2"/>
      </rPr>
      <t xml:space="preserve">投資資産の損益の状況</t>
    </r>
  </si>
  <si>
    <t xml:space="preserve">百万円単位開示の千円換算(下3桁は概数)。保険料・信託報酬は「その他支出」(その他費用)に含まれ損害保険料=0(短信注4)。開示損益120百万円・NOI146百万円(賃貸事業損益・NOIとは百万円丸めにより最大数百万円の差が生じ得る)。2002/9取得(上場時)</t>
  </si>
  <si>
    <t xml:space="preserve">開示（期中譲渡・費用内訳含む、百万円単位）</t>
  </si>
  <si>
    <t xml:space="preserve">百万円単位開示の千円換算(下3桁は概数)。保険料・信託報酬は「その他支出」(その他費用)に含まれ損害保険料=0(短信注4)。開示損益6百万円・NOI16百万円(賃貸事業損益・NOIとは百万円丸めにより最大数百万円の差が生じ得る)。信託受益権準共有持分を3回に分割譲渡(2025/2/28に33.34%・2025/10/30に33.33%・2026/4/28に残33.33%)し当期で全譲渡完了。当期営業日数178日・当期売却益1,239,299千円(譲渡収入3,333,000千円)。取得価格は持分33.33%相当2,348百万円</t>
  </si>
  <si>
    <t xml:space="preserve">百万円単位開示の千円換算(下3桁は概数)。保険料・信託報酬は「その他支出」(その他費用)に含まれ損害保険料=0(短信注4)。開示損益67百万円・NOI80百万円(賃貸事業損益・NOIとは百万円丸めにより最大数百万円の差が生じ得る)。NOI利回り11.1%はオフィス最高</t>
  </si>
  <si>
    <t xml:space="preserve">百万円単位開示の千円換算(下3桁は概数)。保険料・信託報酬は「その他支出」(その他費用)に含まれ損害保険料=0(短信注4)。開示損益191百万円・NOI220百万円(賃貸事業損益・NOIとは百万円丸めにより最大数百万円の差が生じ得る)。鑑定12,100百万円=取得価格の2.3倍</t>
  </si>
  <si>
    <t xml:space="preserve">百万円単位開示の千円換算(下3桁は概数)。保険料・信託報酬は「その他支出」(その他費用)に含まれ損害保険料=0(短信注4)。開示損益145百万円・NOI193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</si>
  <si>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168百万円・NOI220百万円(賃貸事業損益・NOIとは百万円丸めにより最大数百万円の差が生じ得る)</t>
  </si>
  <si>
    <t xml:space="preserve">非開示（テナント/共有者同意なし・損益とNOIのみ開示）</t>
  </si>
  <si>
    <r>
      <rPr>
        <sz val="10"/>
        <color rgb="FF0000FF"/>
        <rFont val="Arial"/>
        <family val="0"/>
        <charset val="1"/>
      </rPr>
      <t xml:space="preserve">NUD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47</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(2026/6/17</t>
    </r>
    <r>
      <rPr>
        <sz val="10"/>
        <color rgb="FF0000FF"/>
        <rFont val="Noto Sans CJK SC"/>
        <family val="2"/>
      </rPr>
      <t xml:space="preserve">公表</t>
    </r>
    <r>
      <rPr>
        <sz val="10"/>
        <color rgb="FF0000FF"/>
        <rFont val="Arial"/>
        <family val="0"/>
        <charset val="1"/>
      </rPr>
      <t xml:space="preserve">)</t>
    </r>
    <r>
      <rPr>
        <sz val="10"/>
        <color rgb="FF0000FF"/>
        <rFont val="Noto Sans CJK SC"/>
        <family val="2"/>
      </rPr>
      <t xml:space="preserve">＋公式ポートフォリオ一覧</t>
    </r>
    <r>
      <rPr>
        <sz val="10"/>
        <color rgb="FF0000FF"/>
        <rFont val="Arial"/>
        <family val="0"/>
        <charset val="1"/>
      </rPr>
      <t xml:space="preserve">(2026/7/31</t>
    </r>
    <r>
      <rPr>
        <sz val="10"/>
        <color rgb="FF0000FF"/>
        <rFont val="Noto Sans CJK SC"/>
        <family val="2"/>
      </rPr>
      <t xml:space="preserve">現在・延床</t>
    </r>
    <r>
      <rPr>
        <sz val="10"/>
        <color rgb="FF0000FF"/>
        <rFont val="Arial"/>
        <family val="0"/>
        <charset val="1"/>
      </rPr>
      <t xml:space="preserve">/</t>
    </r>
    <r>
      <rPr>
        <sz val="10"/>
        <color rgb="FF0000FF"/>
        <rFont val="Noto Sans CJK SC"/>
        <family val="2"/>
      </rPr>
      <t xml:space="preserve">取得時期</t>
    </r>
    <r>
      <rPr>
        <sz val="10"/>
        <color rgb="FF0000FF"/>
        <rFont val="Arial"/>
        <family val="0"/>
        <charset val="1"/>
      </rPr>
      <t xml:space="preserve">) p.29-31(</t>
    </r>
    <r>
      <rPr>
        <sz val="10"/>
        <color rgb="FF0000FF"/>
        <rFont val="Noto Sans CJK SC"/>
        <family val="2"/>
      </rPr>
      <t xml:space="preserve">注</t>
    </r>
    <r>
      <rPr>
        <sz val="10"/>
        <color rgb="FF0000FF"/>
        <rFont val="Arial"/>
        <family val="0"/>
        <charset val="1"/>
      </rPr>
      <t xml:space="preserve">8</t>
    </r>
    <r>
      <rPr>
        <sz val="10"/>
        <color rgb="FF0000FF"/>
        <rFont val="Noto Sans CJK SC"/>
        <family val="2"/>
      </rPr>
      <t xml:space="preserve">・注</t>
    </r>
    <r>
      <rPr>
        <sz val="10"/>
        <color rgb="FF0000FF"/>
        <rFont val="Arial"/>
        <family val="0"/>
        <charset val="1"/>
      </rPr>
      <t xml:space="preserve">9)</t>
    </r>
  </si>
  <si>
    <t xml:space="preserve">主要テナント(NTT ExCパートナー等)の賃料が80%以上を占め同意なしのため収支非開示(短信注8)。開示は賃貸事業損益72百万円・NOI105百万円(差=償却33百万円)・NOI利回り4.3%のみ</t>
  </si>
  <si>
    <t xml:space="preserve">百万円単位開示の千円換算(下3桁は概数)。保険料・信託報酬は「その他支出」(その他費用)に含まれ損害保険料=0(短信注4)。開示損益459百万円・NOI566百万円(賃貸事業損益・NOIとは百万円丸めにより最大数百万円の差が生じ得る)。建物共有持分86.4915%×信託受益権準共有持分34.2%=実質持分29.580093%。2013/11・2024/3の2回取得。延床は一棟全体。NUD最大収益物件</t>
  </si>
  <si>
    <t xml:space="preserve">実質持分1.1956646%(共有持分×準共有持分)。共有者同意なしのため収支非開示(短信注9)。開示は賃貸事業損益71百万円・NOI81百万円(差=償却10百万円)・NOI利回り3.5%のみ。延床は一棟全体</t>
  </si>
  <si>
    <t xml:space="preserve">信託受益権準共有持分75.0%。共有者同意なしのため収支非開示(短信注9)。開示は賃貸事業損益231百万円・NOI313百万円(差=償却82百万円)・NOI利回り3.5%のみ。2022/3に信託借地権の一部譲渡済(取得価格は控除後18,687,524,311円)。延床は一棟全体</t>
  </si>
  <si>
    <t xml:space="preserve">区分所有権(持分比率毎)。共有者同意なしのため収支非開示(短信注9)。開示は賃貸事業損益257百万円・NOI415百万円(差=償却158百万円)・NOI利回り3.5%のみ。当期不動産賃貸事業収益の10%以上を占める主要物件(テナント104・NLA26,494.46㎡持分換算)。NTT都市開発とのパス・スルー型ML(展示場部分)。BS上は「不動産」(信託外)で帳簿23,439百万円は都心5区・不動産区分と一致。延床は一棟全体</t>
  </si>
  <si>
    <t xml:space="preserve">共有者同意なしのため収支非開示(短信注9)。開示は賃貸事業損益70百万円・NOI83百万円(差=償却13百万円)・NOI利回り3.0%のみ。2022/3取得(スポンサー開発物件)。延床は一棟全体</t>
  </si>
  <si>
    <t xml:space="preserve">百万円単位開示の千円換算(下3桁は概数)。保険料・信託報酬は「その他支出」(その他費用)に含まれ損害保険料=0(短信注4)。開示損益52百万円・NOI68百万円(賃貸事業損益・NOIとは百万円丸めにより最大数百万円の差が生じ得る)。鑑定が取得価格・帳簿を下回る</t>
  </si>
  <si>
    <t xml:space="preserve">百万円単位開示の千円換算(下3桁は概数)。保険料・信託報酬は「その他支出」(その他費用)に含まれ損害保険料=0(短信注4)。開示損益63百万円・NOI80百万円(賃貸事業損益・NOIとは百万円丸めにより最大数百万円の差が生じ得る)。鑑定が取得価格・帳簿を下回る</t>
  </si>
  <si>
    <t xml:space="preserve">百万円単位開示の千円換算(下3桁は概数)。保険料・信託報酬は「その他支出」(その他費用)に含まれ損害保険料=0(短信注4)。開示損益55百万円・NOI70百万円(賃貸事業損益・NOIとは百万円丸めにより最大数百万円の差が生じ得る)。区分所有権の共有持分45%。鑑定が取得価格・帳簿を下回る。延床は一棟全体</t>
  </si>
  <si>
    <t xml:space="preserve">百万円単位開示の千円換算(下3桁は概数)。保険料・信託報酬は「その他支出」(その他費用)に含まれ損害保険料=0(短信注4)。開示損益148百万円・NOI171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</si>
  <si>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393百万円・NOI564百万円(賃貸事業損益・NOIとは百万円丸めにより最大数百万円の差が生じ得る)。鑑定23,300百万円=取得価格の1.7倍。ドコモCNTTファイナンス等NTTグループが主要テナント</t>
  </si>
  <si>
    <t xml:space="preserve">百万円単位開示の千円換算(下3桁は概数)。保険料・信託報酬は「その他支出」(その他費用)に含まれ損害保険料=0(短信注4)。開示損益128百万円・NOI180百万円(賃貸事業損益・NOIとは百万円丸めにより最大数百万円の差が生じ得る)。市区町村は原資料未確認のため空欄(大森エリア)。NTTビジネスアソシエ東日本が主要テナント</t>
  </si>
  <si>
    <t xml:space="preserve">百万円単位開示の千円換算(下3桁は概数)。保険料・信託報酬は「その他支出」(その他費用)に含まれ損害保険料=0(短信注4)。開示損益101百万円・NOI139百万円(賃貸事業損益・NOIとは百万円丸めにより最大数百万円の差が生じ得る)</t>
  </si>
  <si>
    <t xml:space="preserve">主要テナント(東京リーガルマインド)の賃料が80%以上を占め同意なしのため収支非開示(短信注8)。開示は賃貸事業損益154百万円・NOI173百万円(差=償却19百万円)・NOI利回り5.4%のみ</t>
  </si>
  <si>
    <t xml:space="preserve">百万円単位開示の千円換算(下3桁は概数)。保険料・信託報酬は「その他支出」(その他費用)に含まれ損害保険料=0(短信注4)。開示損益83百万円・NOI120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</si>
  <si>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55百万円・NOI74百万円(賃貸事業損益・NOIとは百万円丸めにより最大数百万円の差が生じ得る)。信託受益権準共有持分40%。延床は一棟全体。NOI利回り10.0%</t>
  </si>
  <si>
    <t xml:space="preserve">百万円単位開示の千円換算(下3桁は概数)。保険料・信託報酬は「その他支出」(その他費用)に含まれ損害保険料=0(短信注4)。開示損益40百万円・NOI50百万円(賃貸事業損益・NOIとは百万円丸めにより最大数百万円の差が生じ得る)。信託受益権準共有持分40%。延床は一棟全体</t>
  </si>
  <si>
    <t xml:space="preserve">百万円単位開示の千円換算(下3桁は概数)。保険料・信託報酬は「その他支出」(その他費用)に含まれ損害保険料=0(短信注4)。開示損益108百万円・NOI159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</si>
  <si>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181百万円・NOI207百万円(賃貸事業損益・NOIとは百万円丸めにより最大数百万円の差が生じ得る)。2023/11取得</t>
  </si>
  <si>
    <t xml:space="preserve">百万円単位開示の千円換算(下3桁は概数)。保険料・信託報酬は「その他支出」(その他費用)に含まれ損害保険料=0(短信注4)。開示損益147百万円・NOI168百万円(賃貸事業損益・NOIとは百万円丸めにより最大数百万円の差が生じ得る)。2023/11取得。市区町村・都道府県は原資料未確認のため空欄(地方主要都市区分・3大都市圏)</t>
  </si>
  <si>
    <t xml:space="preserve">百万円単位開示の千円換算(下3桁は概数)。保険料・信託報酬は「その他支出」(その他費用)に含まれ損害保険料=0(短信注4)。開示損益105百万円・NOI130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</si>
  <si>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42百万円・NOI49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</si>
  <si>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-4百万円・NOI1百万円(賃貸事業損益・NOIとは百万円丸めにより最大数百万円の差が生じ得る)。当期は修繕費30百万円計上により賃貸事業損益△4百万円</t>
  </si>
  <si>
    <t xml:space="preserve">百万円単位開示の千円換算(下3桁は概数)。保険料・信託報酬は「その他支出」(その他費用)に含まれ損害保険料=0(短信注4)。開示損益2百万円・NOI9百万円(賃貸事業損益・NOIとは百万円丸めにより最大数百万円の差が生じ得る)。当期は修繕費20百万円計上</t>
  </si>
  <si>
    <t xml:space="preserve">百万円単位開示の千円換算(下3桁は概数)。保険料・信託報酬は「その他支出」(その他費用)に含まれ損害保険料=0(短信注4)。開示損益71百万円・NOI97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</si>
  <si>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6百万円・NOI15百万円(賃貸事業損益・NOIとは百万円丸めにより最大数百万円の差が生じ得る)。当期は修繕費35百万円計上</t>
  </si>
  <si>
    <t xml:space="preserve">百万円単位開示の千円換算(下3桁は概数)。保険料・信託報酬は「その他支出」(その他費用)に含まれ損害保険料=0(短信注4)。開示損益21百万円・NOI27百万円(賃貸事業損益・NOIとは百万円丸めにより最大数百万円の差が生じ得る)。その他収益33百万円・その他支出31百万円(住宅以外用途含む)</t>
  </si>
  <si>
    <t xml:space="preserve">百万円単位開示の千円換算(下3桁は概数)。保険料・信託報酬は「その他支出」(その他費用)に含まれ損害保険料=0(短信注4)。開示損益37百万円・NOI43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</si>
  <si>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39百万円・NOI49百万円(賃貸事業損益・NOIとは百万円丸めにより最大数百万円の差が生じ得る)。市区町村は原資料未確認のため空欄(都心5区)</t>
  </si>
  <si>
    <t xml:space="preserve">百万円単位開示の千円換算(下3桁は概数)。保険料・信託報酬は「その他支出」(その他費用)に含まれ損害保険料=0(短信注4)。開示損益44百万円・NOI59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</si>
  <si>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43百万円・NOI52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</si>
  <si>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-19百万円・NOI-11百万円(賃貸事業損益・NOIとは百万円丸めにより最大数百万円の差が生じ得る)。当期は修繕費51百万円計上により賃貸事業損益△19百万円・NOI△11百万円</t>
  </si>
  <si>
    <t xml:space="preserve">百万円単位開示の千円換算(下3桁は概数)。保険料・信託報酬は「その他支出」(その他費用)に含まれ損害保険料=0(短信注4)。開示損益21百万円・NOI33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</si>
  <si>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22百万円・NOI30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</si>
  <si>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-87百万円・NOI-77百万円(賃貸事業損益・NOIとは百万円丸めにより最大数百万円の差が生じ得る)。当期は修繕費103百万円計上により賃貸事業損益△87百万円・NOI△77百万円(NOI利回り△12.9%)。市区町村は原資料未確認のため空欄(都心5区)</t>
  </si>
  <si>
    <t xml:space="preserve">百万円単位開示の千円換算(下3桁は概数)。保険料・信託報酬は「その他支出」(その他費用)に含まれ損害保険料=0(短信注4)。開示損益95百万円・NOI176百万円(賃貸事業損益・NOIとは百万円丸めにより最大数百万円の差が生じ得る)。所有権共有持分23%。延床は一棟全体</t>
  </si>
  <si>
    <t xml:space="preserve">百万円単位開示の千円換算(下3桁は概数)。保険料・信託報酬は「その他支出」(その他費用)に含まれ損害保険料=0(短信注4)。開示損益51百万円・NOI72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</si>
  <si>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55百万円・NOI107百万円(賃貸事業損益・NOIとは百万円丸めにより最大数百万円の差が生じ得る)。鑑定が取得価格を下回る</t>
  </si>
  <si>
    <t xml:space="preserve">百万円単位開示の千円換算(下3桁は概数)。保険料・信託報酬は「その他支出」(その他費用)に含まれ損害保険料=0(短信注4)。開示損益109百万円・NOI168百万円(賃貸事業損益・NOIとは百万円丸めにより最大数百万円の差が生じ得る)。所有権共有持分16%。延床は一棟全体</t>
  </si>
  <si>
    <t xml:space="preserve">百万円単位開示の千円換算(下3桁は概数)。保険料・信託報酬は「その他支出」(その他費用)に含まれ損害保険料=0(短信注4)。開示損益105百万円・NOI128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</si>
  <si>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40百万円・NOI52百万円(賃貸事業損益・NOIとは百万円丸めにより最大数百万円の差が生じ得る)。鑑定2,700百万円=取得価格の1.9倍</t>
  </si>
  <si>
    <t xml:space="preserve">百万円単位開示の千円換算(下3桁は概数)。保険料・信託報酬は「その他支出」(その他費用)に含まれ損害保険料=0(短信注4)。開示損益26百万円・NOI31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</si>
  <si>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20百万円・NOI25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</si>
  <si>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22百万円・NOI28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</si>
  <si>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-13百万円・NOI-8百万円(賃貸事業損益・NOIとは百万円丸めにより最大数百万円の差が生じ得る)。当期は外壁等修繕(修繕費32百万円)により賃貸事業損益△13百万円</t>
  </si>
  <si>
    <t xml:space="preserve">百万円単位開示の千円換算(下3桁は概数)。保険料・信託報酬は「その他支出」(その他費用)に含まれ損害保険料=0(短信注4)。開示損益28百万円・NOI36百万円(賃貸事業損益・NOIとは百万円丸めにより最大数百万円の差が生じ得る)。鑑定が取得価格を下回る</t>
  </si>
  <si>
    <t xml:space="preserve">百万円単位開示の千円換算(下3桁は概数)。保険料・信託報酬は「その他支出」(その他費用)に含まれ損害保険料=0(短信注4)。開示損益20百万円・NOI28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</si>
  <si>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30百万円・NOI43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</si>
  <si>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32百万円・NOI43百万円(賃貸事業損益・NOIとは百万円丸めにより最大数百万円の差が生じ得る)。市区町村は原資料未確認のため空欄(駒込エリア)</t>
  </si>
  <si>
    <t xml:space="preserve">百万円単位開示の千円換算(下3桁は概数)。保険料・信託報酬は「その他支出」(その他費用)に含まれ損害保険料=0(短信注4)。開示損益27百万円・NOI34百万円(賃貸事業損益・NOIとは百万円丸めにより最大数百万円の差が生じ得る)。PML22.5%はポートフォリオ最高(20%超過部分に地震保険付保)</t>
  </si>
  <si>
    <t xml:space="preserve">百万円単位開示の千円換算(下3桁は概数)。保険料・信託報酬は「その他支出」(その他費用)に含まれ損害保険料=0(短信注4)。開示損益55百万円・NOI71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</si>
  <si>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31百万円・NOI41百万円(賃貸事業損益・NOIとは百万円丸めにより最大数百万円の差が生じ得る)</t>
  </si>
  <si>
    <t xml:space="preserve">百万円単位開示の千円換算(下3桁は概数)。保険料・信託報酬は「その他支出」(その他費用)に含まれ損害保険料=0(短信注4)。開示損益51百万円・NOI65百万円(賃貸事業損益・NOIとは百万円丸めにより最大数百万円の差が生じ得る)。所有権共有持分48.12%。2024/3取得。延床は一棟全体</t>
  </si>
  <si>
    <t xml:space="preserve">百万円単位開示の千円換算(下3桁は概数)。保険料・信託報酬は「その他支出」(その他費用)に含まれ損害保険料=0(短信注4)。開示損益38百万円・NOI55百万円(賃貸事業損益・NOIとは百万円丸めにより最大数百万円の差が生じ得る)。2025/2取得(築4.5年・NTT都市開発開発物件)。水道光熱費は「－」表示</t>
  </si>
  <si>
    <t xml:space="preserve">百万円単位開示の千円換算(下3桁は概数)。保険料・信託報酬は「その他支出」(その他費用)に含まれ損害保険料=0(短信注4)。開示損益27百万円・NOI46百万円(賃貸事業損益・NOIとは百万円丸めにより最大数百万円の差が生じ得る)。2025/2取得。期末稼働88.6%</t>
  </si>
  <si>
    <t xml:space="preserve">百万円単位開示の千円換算(下3桁は概数)。保険料・信託報酬は「その他支出」(その他費用)に含まれ損害保険料=0(短信注4)。開示損益4百万円・NOI8百万円(賃貸事業損益・NOIとは百万円丸めにより最大数百万円の差が生じ得る)。2026/2/25取得(当期営業日数65日・収支は期間按分)。取得後「プレミアステージ都島高倉町」へ名称変更(公式一覧)</t>
  </si>
  <si>
    <t xml:space="preserve">対象外（優先出資証券）</t>
  </si>
  <si>
    <r>
      <rPr>
        <sz val="10"/>
        <color rgb="FF0000FF"/>
        <rFont val="Arial"/>
        <family val="0"/>
        <charset val="1"/>
      </rPr>
      <t xml:space="preserve">NUD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47</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(2026/6/17</t>
    </r>
    <r>
      <rPr>
        <sz val="10"/>
        <color rgb="FF0000FF"/>
        <rFont val="Noto Sans CJK SC"/>
        <family val="2"/>
      </rPr>
      <t xml:space="preserve">公表</t>
    </r>
    <r>
      <rPr>
        <sz val="10"/>
        <color rgb="FF0000FF"/>
        <rFont val="Arial"/>
        <family val="0"/>
        <charset val="1"/>
      </rPr>
      <t xml:space="preserve">)</t>
    </r>
    <r>
      <rPr>
        <sz val="10"/>
        <color rgb="FF0000FF"/>
        <rFont val="Noto Sans CJK SC"/>
        <family val="2"/>
      </rPr>
      <t xml:space="preserve">＋公式ポートフォリオ一覧</t>
    </r>
    <r>
      <rPr>
        <sz val="10"/>
        <color rgb="FF0000FF"/>
        <rFont val="Arial"/>
        <family val="0"/>
        <charset val="1"/>
      </rPr>
      <t xml:space="preserve">(2026/7/31</t>
    </r>
    <r>
      <rPr>
        <sz val="10"/>
        <color rgb="FF0000FF"/>
        <rFont val="Noto Sans CJK SC"/>
        <family val="2"/>
      </rPr>
      <t xml:space="preserve">現在・延床</t>
    </r>
    <r>
      <rPr>
        <sz val="10"/>
        <color rgb="FF0000FF"/>
        <rFont val="Arial"/>
        <family val="0"/>
        <charset val="1"/>
      </rPr>
      <t xml:space="preserve">/</t>
    </r>
    <r>
      <rPr>
        <sz val="10"/>
        <color rgb="FF0000FF"/>
        <rFont val="Noto Sans CJK SC"/>
        <family val="2"/>
      </rPr>
      <t xml:space="preserve">取得時期</t>
    </r>
    <r>
      <rPr>
        <sz val="10"/>
        <color rgb="FF0000FF"/>
        <rFont val="Arial"/>
        <family val="0"/>
        <charset val="1"/>
      </rPr>
      <t xml:space="preserve">) p.25</t>
    </r>
  </si>
  <si>
    <t xml:space="preserve">優先出資証券のため賃貸事業収支の対象外。当期受取配当金529,826千円は営業収益に計上(本DBの賃貸収支には含まず)。秋葉原UDX(千代田区・オフィスビル一棟全体及び敷地)のキャッシュ・フローを裏付けとする優先出資証券282,000口のうち53,580口(優先出資持分19.0%)を保有。2010/12・2013/11の2回取得。BS計上額(=評価額)20,035,175千円。当期受取配当金529,826千円は営業収益に計上(賃貸事業収支外)。市場価格のない株式等のため時価開示対象外</t>
  </si>
  <si>
    <r>
      <rPr>
        <sz val="10"/>
        <color rgb="FF0000FF"/>
        <rFont val="Arial"/>
        <family val="0"/>
        <charset val="1"/>
      </rPr>
      <t xml:space="preserve">HFR 2026</t>
    </r>
    <r>
      <rPr>
        <sz val="10"/>
        <color rgb="FF0000FF"/>
        <rFont val="Noto Sans CJK SC"/>
        <family val="2"/>
      </rPr>
      <t xml:space="preserve">年</t>
    </r>
    <r>
      <rPr>
        <sz val="10"/>
        <color rgb="FF0000FF"/>
        <rFont val="Arial"/>
        <family val="0"/>
        <charset val="1"/>
      </rPr>
      <t xml:space="preserve">5</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(2026/7/16</t>
    </r>
    <r>
      <rPr>
        <sz val="10"/>
        <color rgb="FF0000FF"/>
        <rFont val="Noto Sans CJK SC"/>
        <family val="2"/>
      </rPr>
      <t xml:space="preserve">公表</t>
    </r>
    <r>
      <rPr>
        <sz val="10"/>
        <color rgb="FF0000FF"/>
        <rFont val="Arial"/>
        <family val="0"/>
        <charset val="1"/>
      </rPr>
      <t xml:space="preserve">) p.24 </t>
    </r>
    <r>
      <rPr>
        <sz val="10"/>
        <color rgb="FF0000FF"/>
        <rFont val="Noto Sans CJK SC"/>
        <family val="2"/>
      </rPr>
      <t xml:space="preserve">不動産賃貸事業損益の内訳・</t>
    </r>
    <r>
      <rPr>
        <sz val="10"/>
        <color rgb="FF0000FF"/>
        <rFont val="Arial"/>
        <family val="0"/>
        <charset val="1"/>
      </rPr>
      <t xml:space="preserve">p.61 </t>
    </r>
    <r>
      <rPr>
        <sz val="10"/>
        <color rgb="FF0000FF"/>
        <rFont val="Noto Sans CJK SC"/>
        <family val="2"/>
      </rPr>
      <t xml:space="preserve">資本的支出</t>
    </r>
  </si>
  <si>
    <t xml:space="preserve">法人一括の賃貸事業収支(千円・不動産等売却益2,500,101千円は含まず)。G=賃貸事業収入(賃料7,378,542+共益費762,303=完全一致)、H=その他賃貸事業収入(駐車場244,689+水道光熱費344,299+付帯収益224,634+解約違約金48,963+雑21,609、内訳計との2千円差とF=G+Hの1千円差は切捨て由来)。「うち外注委託費(千円)」欄=管理委託費960,470(HFRは外注委託費科目がなく管理委託費が相当)、その他費用=信託報酬34,616+その他賃貸事業費用194,234の合算。内訳チェック3千円は切捨て由来。賃貸事業損益(F-I)=5,242,860は開示損益5,242,859と1千円差(切捨て伝播・原資料内不整合として注記)。物件別収入(開示134物件)の合算8,820,453千円と物件別表小計8,904,231千円の差83,778千円は、Of-40アーク森ビル(非開示)分83,730千円とレジ側切捨て累積47千円+OF側丸め1千円で整合(検証済)。物件別表の収入は一括の賃貸事業収入(8,140,845)を上回るため、その他賃貸事業収入込みの物件別収益と解される(期中譲渡2物件とOf-40を除く全収益9,025,042との残差120,811千円=譲渡2物件+Of-40分)。CAPEX1,275,130千円+費用処理修繕446,050千円=計1,721,180千円のバリューアップ工事実施</t>
  </si>
  <si>
    <r>
      <rPr>
        <sz val="10"/>
        <color rgb="FF0000FF"/>
        <rFont val="Arial"/>
        <family val="0"/>
        <charset val="1"/>
      </rPr>
      <t xml:space="preserve">HFR 2026</t>
    </r>
    <r>
      <rPr>
        <sz val="10"/>
        <color rgb="FF0000FF"/>
        <rFont val="Noto Sans CJK SC"/>
        <family val="2"/>
      </rPr>
      <t xml:space="preserve">年</t>
    </r>
    <r>
      <rPr>
        <sz val="10"/>
        <color rgb="FF0000FF"/>
        <rFont val="Arial"/>
        <family val="0"/>
        <charset val="1"/>
      </rPr>
      <t xml:space="preserve">5</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(2026/7/16</t>
    </r>
    <r>
      <rPr>
        <sz val="10"/>
        <color rgb="FF0000FF"/>
        <rFont val="Noto Sans CJK SC"/>
        <family val="2"/>
      </rPr>
      <t xml:space="preserve">公表</t>
    </r>
    <r>
      <rPr>
        <sz val="10"/>
        <color rgb="FF0000FF"/>
        <rFont val="Arial"/>
        <family val="0"/>
        <charset val="1"/>
      </rPr>
      <t xml:space="preserve">) p.46-49 </t>
    </r>
    <r>
      <rPr>
        <sz val="10"/>
        <color rgb="FF0000FF"/>
        <rFont val="Noto Sans CJK SC"/>
        <family val="2"/>
      </rPr>
      <t xml:space="preserve">賃貸状況の概要</t>
    </r>
  </si>
  <si>
    <t xml:space="preserve">物件別「賃貸事業収入」(千円・当期)。費用内訳は物件別非開示(法人一括のHFR-ALL行参照。xlsx個別物件収支データに詳細開示あり=将来精緻化候補)</t>
  </si>
  <si>
    <t xml:space="preserve">非開示（ML会社同意なし）</t>
  </si>
  <si>
    <r>
      <rPr>
        <sz val="10"/>
        <color rgb="FF0000FF"/>
        <rFont val="Arial"/>
        <family val="0"/>
        <charset val="1"/>
      </rPr>
      <t xml:space="preserve">HFR 2026</t>
    </r>
    <r>
      <rPr>
        <sz val="10"/>
        <color rgb="FF0000FF"/>
        <rFont val="Noto Sans CJK SC"/>
        <family val="2"/>
      </rPr>
      <t xml:space="preserve">年</t>
    </r>
    <r>
      <rPr>
        <sz val="10"/>
        <color rgb="FF0000FF"/>
        <rFont val="Arial"/>
        <family val="0"/>
        <charset val="1"/>
      </rPr>
      <t xml:space="preserve">5</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(2026/7/16</t>
    </r>
    <r>
      <rPr>
        <sz val="10"/>
        <color rgb="FF0000FF"/>
        <rFont val="Noto Sans CJK SC"/>
        <family val="2"/>
      </rPr>
      <t xml:space="preserve">公表</t>
    </r>
    <r>
      <rPr>
        <sz val="10"/>
        <color rgb="FF0000FF"/>
        <rFont val="Arial"/>
        <family val="0"/>
        <charset val="1"/>
      </rPr>
      <t xml:space="preserve">) p.46(</t>
    </r>
    <r>
      <rPr>
        <sz val="10"/>
        <color rgb="FF0000FF"/>
        <rFont val="Noto Sans CJK SC"/>
        <family val="2"/>
      </rPr>
      <t xml:space="preserve">注</t>
    </r>
    <r>
      <rPr>
        <sz val="10"/>
        <color rgb="FF0000FF"/>
        <rFont val="Arial"/>
        <family val="0"/>
        <charset val="1"/>
      </rPr>
      <t xml:space="preserve">7)</t>
    </r>
  </si>
  <si>
    <t xml:space="preserve">マスターリース会社兼プロパティマネジメント会社の同意が得られず賃貸事業収入は非開示。開示45物件の合算とオフィス小計の差83,730千円が本物件分に相当(参考・ALL行注記参照)</t>
  </si>
  <si>
    <t xml:space="preserve">対象外（期中譲渡・収益非掲載）</t>
  </si>
  <si>
    <r>
      <rPr>
        <sz val="10"/>
        <color rgb="FF0000FF"/>
        <rFont val="Arial"/>
        <family val="0"/>
        <charset val="1"/>
      </rPr>
      <t xml:space="preserve">HFR 2026</t>
    </r>
    <r>
      <rPr>
        <sz val="10"/>
        <color rgb="FF0000FF"/>
        <rFont val="Noto Sans CJK SC"/>
        <family val="2"/>
      </rPr>
      <t xml:space="preserve">年</t>
    </r>
    <r>
      <rPr>
        <sz val="10"/>
        <color rgb="FF0000FF"/>
        <rFont val="Arial"/>
        <family val="0"/>
        <charset val="1"/>
      </rPr>
      <t xml:space="preserve">5</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49</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(2026/7/16</t>
    </r>
    <r>
      <rPr>
        <sz val="10"/>
        <color rgb="FF0000FF"/>
        <rFont val="Noto Sans CJK SC"/>
        <family val="2"/>
      </rPr>
      <t xml:space="preserve">公表</t>
    </r>
    <r>
      <rPr>
        <sz val="10"/>
        <color rgb="FF0000FF"/>
        <rFont val="Arial"/>
        <family val="0"/>
        <charset val="1"/>
      </rPr>
      <t xml:space="preserve">) p.25 </t>
    </r>
    <r>
      <rPr>
        <sz val="10"/>
        <color rgb="FF0000FF"/>
        <rFont val="Noto Sans CJK SC"/>
        <family val="2"/>
      </rPr>
      <t xml:space="preserve">不動産等売却損益の内訳</t>
    </r>
  </si>
  <si>
    <r>
      <rPr>
        <sz val="10"/>
        <color rgb="FF0000FF"/>
        <rFont val="Arial"/>
        <family val="0"/>
        <charset val="1"/>
      </rPr>
      <t xml:space="preserve">2026/5/29</t>
    </r>
    <r>
      <rPr>
        <sz val="10"/>
        <color rgb="FF0000FF"/>
        <rFont val="Noto Sans CJK SC"/>
        <family val="2"/>
      </rPr>
      <t xml:space="preserve">譲渡</t>
    </r>
    <r>
      <rPr>
        <sz val="10"/>
        <color rgb="FF0000FF"/>
        <rFont val="Arial"/>
        <family val="0"/>
        <charset val="1"/>
      </rPr>
      <t xml:space="preserve">(</t>
    </r>
    <r>
      <rPr>
        <sz val="10"/>
        <color rgb="FF0000FF"/>
        <rFont val="Noto Sans CJK SC"/>
        <family val="2"/>
      </rPr>
      <t xml:space="preserve">譲渡価格</t>
    </r>
    <r>
      <rPr>
        <sz val="10"/>
        <color rgb="FF0000FF"/>
        <rFont val="Arial"/>
        <family val="0"/>
        <charset val="1"/>
      </rPr>
      <t xml:space="preserve">3,500</t>
    </r>
    <r>
      <rPr>
        <sz val="10"/>
        <color rgb="FF0000FF"/>
        <rFont val="Noto Sans CJK SC"/>
        <family val="2"/>
      </rPr>
      <t xml:space="preserve">百万円・売却益</t>
    </r>
    <r>
      <rPr>
        <sz val="10"/>
        <color rgb="FF0000FF"/>
        <rFont val="Arial"/>
        <family val="0"/>
        <charset val="1"/>
      </rPr>
      <t xml:space="preserve">1,578,021</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。譲渡先は同意なく非開示。期中</t>
    </r>
    <r>
      <rPr>
        <sz val="10"/>
        <color rgb="FF0000FF"/>
        <rFont val="Arial"/>
        <family val="0"/>
        <charset val="1"/>
      </rPr>
      <t xml:space="preserve">(2025/12/1-2026/5/28)</t>
    </r>
    <r>
      <rPr>
        <sz val="10"/>
        <color rgb="FF0000FF"/>
        <rFont val="Noto Sans CJK SC"/>
        <family val="2"/>
      </rPr>
      <t xml:space="preserve">の賃貸収益は物件別表に非掲載</t>
    </r>
    <r>
      <rPr>
        <sz val="10"/>
        <color rgb="FF0000FF"/>
        <rFont val="Arial"/>
        <family val="0"/>
        <charset val="1"/>
      </rPr>
      <t xml:space="preserve">(</t>
    </r>
    <r>
      <rPr>
        <sz val="10"/>
        <color rgb="FF0000FF"/>
        <rFont val="Noto Sans CJK SC"/>
        <family val="2"/>
      </rPr>
      <t xml:space="preserve">注</t>
    </r>
    <r>
      <rPr>
        <sz val="10"/>
        <color rgb="FF0000FF"/>
        <rFont val="Arial"/>
        <family val="0"/>
        <charset val="1"/>
      </rPr>
      <t xml:space="preserve">5</t>
    </r>
    <r>
      <rPr>
        <sz val="10"/>
        <color rgb="FF0000FF"/>
        <rFont val="Noto Sans CJK SC"/>
        <family val="2"/>
      </rPr>
      <t xml:space="preserve">により売却物件は除外</t>
    </r>
    <r>
      <rPr>
        <sz val="10"/>
        <color rgb="FF0000FF"/>
        <rFont val="Arial"/>
        <family val="0"/>
        <charset val="1"/>
      </rPr>
      <t xml:space="preserve">)</t>
    </r>
  </si>
  <si>
    <r>
      <rPr>
        <sz val="10"/>
        <color rgb="FF0000FF"/>
        <rFont val="Arial"/>
        <family val="0"/>
        <charset val="1"/>
      </rPr>
      <t xml:space="preserve">2026/5/29</t>
    </r>
    <r>
      <rPr>
        <sz val="10"/>
        <color rgb="FF0000FF"/>
        <rFont val="Noto Sans CJK SC"/>
        <family val="2"/>
      </rPr>
      <t xml:space="preserve">譲渡</t>
    </r>
    <r>
      <rPr>
        <sz val="10"/>
        <color rgb="FF0000FF"/>
        <rFont val="Arial"/>
        <family val="0"/>
        <charset val="1"/>
      </rPr>
      <t xml:space="preserve">(</t>
    </r>
    <r>
      <rPr>
        <sz val="10"/>
        <color rgb="FF0000FF"/>
        <rFont val="Noto Sans CJK SC"/>
        <family val="2"/>
      </rPr>
      <t xml:space="preserve">譲渡価格</t>
    </r>
    <r>
      <rPr>
        <sz val="10"/>
        <color rgb="FF0000FF"/>
        <rFont val="Arial"/>
        <family val="0"/>
        <charset val="1"/>
      </rPr>
      <t xml:space="preserve">2,050</t>
    </r>
    <r>
      <rPr>
        <sz val="10"/>
        <color rgb="FF0000FF"/>
        <rFont val="Noto Sans CJK SC"/>
        <family val="2"/>
      </rPr>
      <t xml:space="preserve">百万円・売却益</t>
    </r>
    <r>
      <rPr>
        <sz val="10"/>
        <color rgb="FF0000FF"/>
        <rFont val="Arial"/>
        <family val="0"/>
        <charset val="1"/>
      </rPr>
      <t xml:space="preserve">922,079</t>
    </r>
    <r>
      <rPr>
        <sz val="10"/>
        <color rgb="FF0000FF"/>
        <rFont val="Noto Sans CJK SC"/>
        <family val="2"/>
      </rPr>
      <t xml:space="preserve">千円</t>
    </r>
    <r>
      <rPr>
        <sz val="10"/>
        <color rgb="FF0000FF"/>
        <rFont val="Arial"/>
        <family val="0"/>
        <charset val="1"/>
      </rPr>
      <t xml:space="preserve">)</t>
    </r>
    <r>
      <rPr>
        <sz val="10"/>
        <color rgb="FF0000FF"/>
        <rFont val="Noto Sans CJK SC"/>
        <family val="2"/>
      </rPr>
      <t xml:space="preserve">。譲渡先は同意なく非開示。期中</t>
    </r>
    <r>
      <rPr>
        <sz val="10"/>
        <color rgb="FF0000FF"/>
        <rFont val="Arial"/>
        <family val="0"/>
        <charset val="1"/>
      </rPr>
      <t xml:space="preserve">(2025/12/1-2026/5/28)</t>
    </r>
    <r>
      <rPr>
        <sz val="10"/>
        <color rgb="FF0000FF"/>
        <rFont val="Noto Sans CJK SC"/>
        <family val="2"/>
      </rPr>
      <t xml:space="preserve">の賃貸収益は物件別表に非掲載</t>
    </r>
    <r>
      <rPr>
        <sz val="10"/>
        <color rgb="FF0000FF"/>
        <rFont val="Arial"/>
        <family val="0"/>
        <charset val="1"/>
      </rPr>
      <t xml:space="preserve">(</t>
    </r>
    <r>
      <rPr>
        <sz val="10"/>
        <color rgb="FF0000FF"/>
        <rFont val="Noto Sans CJK SC"/>
        <family val="2"/>
      </rPr>
      <t xml:space="preserve">注</t>
    </r>
    <r>
      <rPr>
        <sz val="10"/>
        <color rgb="FF0000FF"/>
        <rFont val="Arial"/>
        <family val="0"/>
        <charset val="1"/>
      </rPr>
      <t xml:space="preserve">5</t>
    </r>
    <r>
      <rPr>
        <sz val="10"/>
        <color rgb="FF0000FF"/>
        <rFont val="Noto Sans CJK SC"/>
        <family val="2"/>
      </rPr>
      <t xml:space="preserve">により売却物件は除外</t>
    </r>
    <r>
      <rPr>
        <sz val="10"/>
        <color rgb="FF0000FF"/>
        <rFont val="Arial"/>
        <family val="0"/>
        <charset val="1"/>
      </rPr>
      <t xml:space="preserve">)</t>
    </r>
  </si>
  <si>
    <r>
      <rPr>
        <sz val="10"/>
        <color rgb="FF0000FF"/>
        <rFont val="Arial"/>
        <family val="0"/>
        <charset val="1"/>
      </rPr>
      <t xml:space="preserve">SHR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23</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(2026/6/15</t>
    </r>
    <r>
      <rPr>
        <sz val="10"/>
        <color rgb="FF0000FF"/>
        <rFont val="Noto Sans CJK SC"/>
        <family val="2"/>
      </rPr>
      <t xml:space="preserve">公表</t>
    </r>
    <r>
      <rPr>
        <sz val="10"/>
        <color rgb="FF0000FF"/>
        <rFont val="Arial"/>
        <family val="0"/>
        <charset val="1"/>
      </rPr>
      <t xml:space="preserve">) p.23 </t>
    </r>
    <r>
      <rPr>
        <sz val="10"/>
        <color rgb="FF0000FF"/>
        <rFont val="Noto Sans CJK SC"/>
        <family val="2"/>
      </rPr>
      <t xml:space="preserve">不動産賃貸事業損益の内訳</t>
    </r>
  </si>
  <si>
    <t xml:space="preserve">法人一括の賃貸事業収支(千円・不動産等売却益7,733,720千円と受取配当金1,752,924千円は含まず)。G=賃貸事業収入(賃料収入等11,989,545+その他387,279)、H=その他賃貸事業収入(附加使用料133,964+その他353,505)。「うち外注委託費(千円)」欄=外注委託費560,451+管理委託料529,507の合算(PM費を外注委託に含める他法人との比較性確保)、その他費用=信託報酬41,522+その他賃貸事業費用753,759の合算。内訳チェック4千円は原資料の千円未満切捨て由来。賃貸事業損益(F-I)=7,136,801は開示損益7,136,800と1千円差(切捨て伝播・原資料内不整合として注記)。資本的支出はPDF後半(p.90)が本取得範囲外のため未収録(「資本的支出(千円)」欄空欄)。減価償却費2,314,026千円(CF計算書では2,321,425千円=無形等含む)。米国物件の賃貸損益は本表対象外(受取配当金経由)</t>
  </si>
  <si>
    <t xml:space="preserve">開示（物件別・収益のみ・百万円単位）</t>
  </si>
  <si>
    <r>
      <rPr>
        <sz val="10"/>
        <color rgb="FF0000FF"/>
        <rFont val="Arial"/>
        <family val="0"/>
        <charset val="1"/>
      </rPr>
      <t xml:space="preserve">SHR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23</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(2026/6/15</t>
    </r>
    <r>
      <rPr>
        <sz val="10"/>
        <color rgb="FF0000FF"/>
        <rFont val="Noto Sans CJK SC"/>
        <family val="2"/>
      </rPr>
      <t xml:space="preserve">公表</t>
    </r>
    <r>
      <rPr>
        <sz val="10"/>
        <color rgb="FF0000FF"/>
        <rFont val="Arial"/>
        <family val="0"/>
        <charset val="1"/>
      </rPr>
      <t xml:space="preserve">) p.45-51 </t>
    </r>
    <r>
      <rPr>
        <sz val="10"/>
        <color rgb="FF0000FF"/>
        <rFont val="Noto Sans CJK SC"/>
        <family val="2"/>
      </rPr>
      <t xml:space="preserve">賃貸借状況の概要</t>
    </r>
  </si>
  <si>
    <t xml:space="preserve">当期不動産賃貸事業収益178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</si>
  <si>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48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</si>
  <si>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61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</si>
  <si>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開示（期中譲渡・収益のみ・百万円単位）</t>
  </si>
  <si>
    <r>
      <rPr>
        <sz val="10"/>
        <color rgb="FF0000FF"/>
        <rFont val="Arial"/>
        <family val="0"/>
        <charset val="1"/>
      </rPr>
      <t xml:space="preserve">2026/1/29</t>
    </r>
    <r>
      <rPr>
        <sz val="10"/>
        <color rgb="FF0000FF"/>
        <rFont val="Noto Sans CJK SC"/>
        <family val="2"/>
      </rPr>
      <t xml:space="preserve">譲渡までの期間</t>
    </r>
    <r>
      <rPr>
        <sz val="10"/>
        <color rgb="FF0000FF"/>
        <rFont val="Arial"/>
        <family val="0"/>
        <charset val="1"/>
      </rPr>
      <t xml:space="preserve">(2025/11/1-2026/1/28)</t>
    </r>
    <r>
      <rPr>
        <sz val="10"/>
        <color rgb="FF0000FF"/>
        <rFont val="Noto Sans CJK SC"/>
        <family val="2"/>
      </rPr>
      <t xml:space="preserve">対応の賃貸事業収益</t>
    </r>
    <r>
      <rPr>
        <sz val="10"/>
        <color rgb="FF0000FF"/>
        <rFont val="Arial"/>
        <family val="0"/>
        <charset val="1"/>
      </rPr>
      <t xml:space="preserve">12</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百万円切捨ての千円換算・下</t>
    </r>
    <r>
      <rPr>
        <sz val="10"/>
        <color rgb="FF0000FF"/>
        <rFont val="Arial"/>
        <family val="0"/>
        <charset val="1"/>
      </rPr>
      <t xml:space="preserve">3</t>
    </r>
    <r>
      <rPr>
        <sz val="10"/>
        <color rgb="FF0000FF"/>
        <rFont val="Noto Sans CJK SC"/>
        <family val="2"/>
      </rPr>
      <t xml:space="preserve">桁概数</t>
    </r>
    <r>
      <rPr>
        <sz val="10"/>
        <color rgb="FF0000FF"/>
        <rFont val="Arial"/>
        <family val="0"/>
        <charset val="1"/>
      </rPr>
      <t xml:space="preserve">)</t>
    </r>
    <r>
      <rPr>
        <sz val="10"/>
        <color rgb="FF0000FF"/>
        <rFont val="Noto Sans CJK SC"/>
        <family val="2"/>
      </rPr>
      <t xml:space="preserve">。費用・損益は物件別百万円表示なし</t>
    </r>
    <r>
      <rPr>
        <sz val="10"/>
        <color rgb="FF0000FF"/>
        <rFont val="Arial"/>
        <family val="0"/>
        <charset val="1"/>
      </rPr>
      <t xml:space="preserve">(</t>
    </r>
    <r>
      <rPr>
        <sz val="10"/>
        <color rgb="FF0000FF"/>
        <rFont val="Noto Sans CJK SC"/>
        <family val="2"/>
      </rPr>
      <t xml:space="preserve">千円単位の個別収支は短信</t>
    </r>
    <r>
      <rPr>
        <sz val="10"/>
        <color rgb="FF0000FF"/>
        <rFont val="Arial"/>
        <family val="0"/>
        <charset val="1"/>
      </rPr>
      <t xml:space="preserve">p.72</t>
    </r>
    <r>
      <rPr>
        <sz val="10"/>
        <color rgb="FF0000FF"/>
        <rFont val="Noto Sans CJK SC"/>
        <family val="2"/>
      </rPr>
      <t xml:space="preserve">以降に開示</t>
    </r>
    <r>
      <rPr>
        <sz val="10"/>
        <color rgb="FF0000FF"/>
        <rFont val="Arial"/>
        <family val="0"/>
        <charset val="1"/>
      </rPr>
      <t xml:space="preserve">)</t>
    </r>
  </si>
  <si>
    <t xml:space="preserve">当期不動産賃貸事業収益47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</si>
  <si>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71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</si>
  <si>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r>
      <rPr>
        <sz val="10"/>
        <color rgb="FF0000FF"/>
        <rFont val="Arial"/>
        <family val="0"/>
        <charset val="1"/>
      </rPr>
      <t xml:space="preserve">2026/1/29</t>
    </r>
    <r>
      <rPr>
        <sz val="10"/>
        <color rgb="FF0000FF"/>
        <rFont val="Noto Sans CJK SC"/>
        <family val="2"/>
      </rPr>
      <t xml:space="preserve">譲渡までの期間</t>
    </r>
    <r>
      <rPr>
        <sz val="10"/>
        <color rgb="FF0000FF"/>
        <rFont val="Arial"/>
        <family val="0"/>
        <charset val="1"/>
      </rPr>
      <t xml:space="preserve">(2025/11/1-2026/1/28)</t>
    </r>
    <r>
      <rPr>
        <sz val="10"/>
        <color rgb="FF0000FF"/>
        <rFont val="Noto Sans CJK SC"/>
        <family val="2"/>
      </rPr>
      <t xml:space="preserve">対応の賃貸事業収益</t>
    </r>
    <r>
      <rPr>
        <sz val="10"/>
        <color rgb="FF0000FF"/>
        <rFont val="Arial"/>
        <family val="0"/>
        <charset val="1"/>
      </rPr>
      <t xml:space="preserve">38</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百万円切捨ての千円換算・下</t>
    </r>
    <r>
      <rPr>
        <sz val="10"/>
        <color rgb="FF0000FF"/>
        <rFont val="Arial"/>
        <family val="0"/>
        <charset val="1"/>
      </rPr>
      <t xml:space="preserve">3</t>
    </r>
    <r>
      <rPr>
        <sz val="10"/>
        <color rgb="FF0000FF"/>
        <rFont val="Noto Sans CJK SC"/>
        <family val="2"/>
      </rPr>
      <t xml:space="preserve">桁概数</t>
    </r>
    <r>
      <rPr>
        <sz val="10"/>
        <color rgb="FF0000FF"/>
        <rFont val="Arial"/>
        <family val="0"/>
        <charset val="1"/>
      </rPr>
      <t xml:space="preserve">)</t>
    </r>
    <r>
      <rPr>
        <sz val="10"/>
        <color rgb="FF0000FF"/>
        <rFont val="Noto Sans CJK SC"/>
        <family val="2"/>
      </rPr>
      <t xml:space="preserve">。費用・損益は物件別百万円表示なし</t>
    </r>
    <r>
      <rPr>
        <sz val="10"/>
        <color rgb="FF0000FF"/>
        <rFont val="Arial"/>
        <family val="0"/>
        <charset val="1"/>
      </rPr>
      <t xml:space="preserve">(</t>
    </r>
    <r>
      <rPr>
        <sz val="10"/>
        <color rgb="FF0000FF"/>
        <rFont val="Noto Sans CJK SC"/>
        <family val="2"/>
      </rPr>
      <t xml:space="preserve">千円単位の個別収支は短信</t>
    </r>
    <r>
      <rPr>
        <sz val="10"/>
        <color rgb="FF0000FF"/>
        <rFont val="Arial"/>
        <family val="0"/>
        <charset val="1"/>
      </rPr>
      <t xml:space="preserve">p.72</t>
    </r>
    <r>
      <rPr>
        <sz val="10"/>
        <color rgb="FF0000FF"/>
        <rFont val="Noto Sans CJK SC"/>
        <family val="2"/>
      </rPr>
      <t xml:space="preserve">以降に開示</t>
    </r>
    <r>
      <rPr>
        <sz val="10"/>
        <color rgb="FF0000FF"/>
        <rFont val="Arial"/>
        <family val="0"/>
        <charset val="1"/>
      </rPr>
      <t xml:space="preserve">)</t>
    </r>
  </si>
  <si>
    <t xml:space="preserve">当期不動産賃貸事業収益57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</si>
  <si>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31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</si>
  <si>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r>
      <rPr>
        <sz val="10"/>
        <color rgb="FF0000FF"/>
        <rFont val="Arial"/>
        <family val="0"/>
        <charset val="1"/>
      </rPr>
      <t xml:space="preserve">2026/1/29</t>
    </r>
    <r>
      <rPr>
        <sz val="10"/>
        <color rgb="FF0000FF"/>
        <rFont val="Noto Sans CJK SC"/>
        <family val="2"/>
      </rPr>
      <t xml:space="preserve">譲渡までの期間</t>
    </r>
    <r>
      <rPr>
        <sz val="10"/>
        <color rgb="FF0000FF"/>
        <rFont val="Arial"/>
        <family val="0"/>
        <charset val="1"/>
      </rPr>
      <t xml:space="preserve">(2025/11/1-2026/1/28)</t>
    </r>
    <r>
      <rPr>
        <sz val="10"/>
        <color rgb="FF0000FF"/>
        <rFont val="Noto Sans CJK SC"/>
        <family val="2"/>
      </rPr>
      <t xml:space="preserve">対応の賃貸事業収益</t>
    </r>
    <r>
      <rPr>
        <sz val="10"/>
        <color rgb="FF0000FF"/>
        <rFont val="Arial"/>
        <family val="0"/>
        <charset val="1"/>
      </rPr>
      <t xml:space="preserve">42</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百万円切捨ての千円換算・下</t>
    </r>
    <r>
      <rPr>
        <sz val="10"/>
        <color rgb="FF0000FF"/>
        <rFont val="Arial"/>
        <family val="0"/>
        <charset val="1"/>
      </rPr>
      <t xml:space="preserve">3</t>
    </r>
    <r>
      <rPr>
        <sz val="10"/>
        <color rgb="FF0000FF"/>
        <rFont val="Noto Sans CJK SC"/>
        <family val="2"/>
      </rPr>
      <t xml:space="preserve">桁概数</t>
    </r>
    <r>
      <rPr>
        <sz val="10"/>
        <color rgb="FF0000FF"/>
        <rFont val="Arial"/>
        <family val="0"/>
        <charset val="1"/>
      </rPr>
      <t xml:space="preserve">)</t>
    </r>
    <r>
      <rPr>
        <sz val="10"/>
        <color rgb="FF0000FF"/>
        <rFont val="Noto Sans CJK SC"/>
        <family val="2"/>
      </rPr>
      <t xml:space="preserve">。費用・損益は物件別百万円表示なし</t>
    </r>
    <r>
      <rPr>
        <sz val="10"/>
        <color rgb="FF0000FF"/>
        <rFont val="Arial"/>
        <family val="0"/>
        <charset val="1"/>
      </rPr>
      <t xml:space="preserve">(</t>
    </r>
    <r>
      <rPr>
        <sz val="10"/>
        <color rgb="FF0000FF"/>
        <rFont val="Noto Sans CJK SC"/>
        <family val="2"/>
      </rPr>
      <t xml:space="preserve">千円単位の個別収支は短信</t>
    </r>
    <r>
      <rPr>
        <sz val="10"/>
        <color rgb="FF0000FF"/>
        <rFont val="Arial"/>
        <family val="0"/>
        <charset val="1"/>
      </rPr>
      <t xml:space="preserve">p.72</t>
    </r>
    <r>
      <rPr>
        <sz val="10"/>
        <color rgb="FF0000FF"/>
        <rFont val="Noto Sans CJK SC"/>
        <family val="2"/>
      </rPr>
      <t xml:space="preserve">以降に開示</t>
    </r>
    <r>
      <rPr>
        <sz val="10"/>
        <color rgb="FF0000FF"/>
        <rFont val="Arial"/>
        <family val="0"/>
        <charset val="1"/>
      </rPr>
      <t xml:space="preserve">)</t>
    </r>
  </si>
  <si>
    <t xml:space="preserve">当期不動産賃貸事業収益34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</si>
  <si>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103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</si>
  <si>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81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</si>
  <si>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r>
      <rPr>
        <sz val="10"/>
        <color rgb="FF0000FF"/>
        <rFont val="Arial"/>
        <family val="0"/>
        <charset val="1"/>
      </rPr>
      <t xml:space="preserve">2026/1/29</t>
    </r>
    <r>
      <rPr>
        <sz val="10"/>
        <color rgb="FF0000FF"/>
        <rFont val="Noto Sans CJK SC"/>
        <family val="2"/>
      </rPr>
      <t xml:space="preserve">譲渡までの期間</t>
    </r>
    <r>
      <rPr>
        <sz val="10"/>
        <color rgb="FF0000FF"/>
        <rFont val="Arial"/>
        <family val="0"/>
        <charset val="1"/>
      </rPr>
      <t xml:space="preserve">(2025/11/1-2026/1/28)</t>
    </r>
    <r>
      <rPr>
        <sz val="10"/>
        <color rgb="FF0000FF"/>
        <rFont val="Noto Sans CJK SC"/>
        <family val="2"/>
      </rPr>
      <t xml:space="preserve">対応の賃貸事業収益</t>
    </r>
    <r>
      <rPr>
        <sz val="10"/>
        <color rgb="FF0000FF"/>
        <rFont val="Arial"/>
        <family val="0"/>
        <charset val="1"/>
      </rPr>
      <t xml:space="preserve">32</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百万円切捨ての千円換算・下</t>
    </r>
    <r>
      <rPr>
        <sz val="10"/>
        <color rgb="FF0000FF"/>
        <rFont val="Arial"/>
        <family val="0"/>
        <charset val="1"/>
      </rPr>
      <t xml:space="preserve">3</t>
    </r>
    <r>
      <rPr>
        <sz val="10"/>
        <color rgb="FF0000FF"/>
        <rFont val="Noto Sans CJK SC"/>
        <family val="2"/>
      </rPr>
      <t xml:space="preserve">桁概数</t>
    </r>
    <r>
      <rPr>
        <sz val="10"/>
        <color rgb="FF0000FF"/>
        <rFont val="Arial"/>
        <family val="0"/>
        <charset val="1"/>
      </rPr>
      <t xml:space="preserve">)</t>
    </r>
    <r>
      <rPr>
        <sz val="10"/>
        <color rgb="FF0000FF"/>
        <rFont val="Noto Sans CJK SC"/>
        <family val="2"/>
      </rPr>
      <t xml:space="preserve">。費用・損益は物件別百万円表示なし</t>
    </r>
    <r>
      <rPr>
        <sz val="10"/>
        <color rgb="FF0000FF"/>
        <rFont val="Arial"/>
        <family val="0"/>
        <charset val="1"/>
      </rPr>
      <t xml:space="preserve">(</t>
    </r>
    <r>
      <rPr>
        <sz val="10"/>
        <color rgb="FF0000FF"/>
        <rFont val="Noto Sans CJK SC"/>
        <family val="2"/>
      </rPr>
      <t xml:space="preserve">千円単位の個別収支は短信</t>
    </r>
    <r>
      <rPr>
        <sz val="10"/>
        <color rgb="FF0000FF"/>
        <rFont val="Arial"/>
        <family val="0"/>
        <charset val="1"/>
      </rPr>
      <t xml:space="preserve">p.72</t>
    </r>
    <r>
      <rPr>
        <sz val="10"/>
        <color rgb="FF0000FF"/>
        <rFont val="Noto Sans CJK SC"/>
        <family val="2"/>
      </rPr>
      <t xml:space="preserve">以降に開示</t>
    </r>
    <r>
      <rPr>
        <sz val="10"/>
        <color rgb="FF0000FF"/>
        <rFont val="Arial"/>
        <family val="0"/>
        <charset val="1"/>
      </rPr>
      <t xml:space="preserve">)</t>
    </r>
  </si>
  <si>
    <t xml:space="preserve">当期不動産賃貸事業収益37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</si>
  <si>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64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</si>
  <si>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68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</si>
  <si>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r>
      <rPr>
        <sz val="10"/>
        <color rgb="FF0000FF"/>
        <rFont val="Arial"/>
        <family val="0"/>
        <charset val="1"/>
      </rPr>
      <t xml:space="preserve">2026/1/29</t>
    </r>
    <r>
      <rPr>
        <sz val="10"/>
        <color rgb="FF0000FF"/>
        <rFont val="Noto Sans CJK SC"/>
        <family val="2"/>
      </rPr>
      <t xml:space="preserve">譲渡までの期間</t>
    </r>
    <r>
      <rPr>
        <sz val="10"/>
        <color rgb="FF0000FF"/>
        <rFont val="Arial"/>
        <family val="0"/>
        <charset val="1"/>
      </rPr>
      <t xml:space="preserve">(2025/11/1-2026/1/28)</t>
    </r>
    <r>
      <rPr>
        <sz val="10"/>
        <color rgb="FF0000FF"/>
        <rFont val="Noto Sans CJK SC"/>
        <family val="2"/>
      </rPr>
      <t xml:space="preserve">対応の賃貸事業収益</t>
    </r>
    <r>
      <rPr>
        <sz val="10"/>
        <color rgb="FF0000FF"/>
        <rFont val="Arial"/>
        <family val="0"/>
        <charset val="1"/>
      </rPr>
      <t xml:space="preserve">15</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百万円切捨ての千円換算・下</t>
    </r>
    <r>
      <rPr>
        <sz val="10"/>
        <color rgb="FF0000FF"/>
        <rFont val="Arial"/>
        <family val="0"/>
        <charset val="1"/>
      </rPr>
      <t xml:space="preserve">3</t>
    </r>
    <r>
      <rPr>
        <sz val="10"/>
        <color rgb="FF0000FF"/>
        <rFont val="Noto Sans CJK SC"/>
        <family val="2"/>
      </rPr>
      <t xml:space="preserve">桁概数</t>
    </r>
    <r>
      <rPr>
        <sz val="10"/>
        <color rgb="FF0000FF"/>
        <rFont val="Arial"/>
        <family val="0"/>
        <charset val="1"/>
      </rPr>
      <t xml:space="preserve">)</t>
    </r>
    <r>
      <rPr>
        <sz val="10"/>
        <color rgb="FF0000FF"/>
        <rFont val="Noto Sans CJK SC"/>
        <family val="2"/>
      </rPr>
      <t xml:space="preserve">。費用・損益は物件別百万円表示なし</t>
    </r>
    <r>
      <rPr>
        <sz val="10"/>
        <color rgb="FF0000FF"/>
        <rFont val="Arial"/>
        <family val="0"/>
        <charset val="1"/>
      </rPr>
      <t xml:space="preserve">(</t>
    </r>
    <r>
      <rPr>
        <sz val="10"/>
        <color rgb="FF0000FF"/>
        <rFont val="Noto Sans CJK SC"/>
        <family val="2"/>
      </rPr>
      <t xml:space="preserve">千円単位の個別収支は短信</t>
    </r>
    <r>
      <rPr>
        <sz val="10"/>
        <color rgb="FF0000FF"/>
        <rFont val="Arial"/>
        <family val="0"/>
        <charset val="1"/>
      </rPr>
      <t xml:space="preserve">p.72</t>
    </r>
    <r>
      <rPr>
        <sz val="10"/>
        <color rgb="FF0000FF"/>
        <rFont val="Noto Sans CJK SC"/>
        <family val="2"/>
      </rPr>
      <t xml:space="preserve">以降に開示</t>
    </r>
    <r>
      <rPr>
        <sz val="10"/>
        <color rgb="FF0000FF"/>
        <rFont val="Arial"/>
        <family val="0"/>
        <charset val="1"/>
      </rPr>
      <t xml:space="preserve">)</t>
    </r>
  </si>
  <si>
    <t xml:space="preserve">当期不動産賃貸事業収益33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</si>
  <si>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25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</si>
  <si>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92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</si>
  <si>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69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</si>
  <si>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r>
      <rPr>
        <sz val="10"/>
        <color rgb="FF0000FF"/>
        <rFont val="Arial"/>
        <family val="0"/>
        <charset val="1"/>
      </rPr>
      <t xml:space="preserve">2026/1/29</t>
    </r>
    <r>
      <rPr>
        <sz val="10"/>
        <color rgb="FF0000FF"/>
        <rFont val="Noto Sans CJK SC"/>
        <family val="2"/>
      </rPr>
      <t xml:space="preserve">譲渡までの期間</t>
    </r>
    <r>
      <rPr>
        <sz val="10"/>
        <color rgb="FF0000FF"/>
        <rFont val="Arial"/>
        <family val="0"/>
        <charset val="1"/>
      </rPr>
      <t xml:space="preserve">(2025/11/1-2026/1/28)</t>
    </r>
    <r>
      <rPr>
        <sz val="10"/>
        <color rgb="FF0000FF"/>
        <rFont val="Noto Sans CJK SC"/>
        <family val="2"/>
      </rPr>
      <t xml:space="preserve">対応の賃貸事業収益</t>
    </r>
    <r>
      <rPr>
        <sz val="10"/>
        <color rgb="FF0000FF"/>
        <rFont val="Arial"/>
        <family val="0"/>
        <charset val="1"/>
      </rPr>
      <t xml:space="preserve">25</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百万円切捨ての千円換算・下</t>
    </r>
    <r>
      <rPr>
        <sz val="10"/>
        <color rgb="FF0000FF"/>
        <rFont val="Arial"/>
        <family val="0"/>
        <charset val="1"/>
      </rPr>
      <t xml:space="preserve">3</t>
    </r>
    <r>
      <rPr>
        <sz val="10"/>
        <color rgb="FF0000FF"/>
        <rFont val="Noto Sans CJK SC"/>
        <family val="2"/>
      </rPr>
      <t xml:space="preserve">桁概数</t>
    </r>
    <r>
      <rPr>
        <sz val="10"/>
        <color rgb="FF0000FF"/>
        <rFont val="Arial"/>
        <family val="0"/>
        <charset val="1"/>
      </rPr>
      <t xml:space="preserve">)</t>
    </r>
    <r>
      <rPr>
        <sz val="10"/>
        <color rgb="FF0000FF"/>
        <rFont val="Noto Sans CJK SC"/>
        <family val="2"/>
      </rPr>
      <t xml:space="preserve">。費用・損益は物件別百万円表示なし</t>
    </r>
    <r>
      <rPr>
        <sz val="10"/>
        <color rgb="FF0000FF"/>
        <rFont val="Arial"/>
        <family val="0"/>
        <charset val="1"/>
      </rPr>
      <t xml:space="preserve">(</t>
    </r>
    <r>
      <rPr>
        <sz val="10"/>
        <color rgb="FF0000FF"/>
        <rFont val="Noto Sans CJK SC"/>
        <family val="2"/>
      </rPr>
      <t xml:space="preserve">千円単位の個別収支は短信</t>
    </r>
    <r>
      <rPr>
        <sz val="10"/>
        <color rgb="FF0000FF"/>
        <rFont val="Arial"/>
        <family val="0"/>
        <charset val="1"/>
      </rPr>
      <t xml:space="preserve">p.72</t>
    </r>
    <r>
      <rPr>
        <sz val="10"/>
        <color rgb="FF0000FF"/>
        <rFont val="Noto Sans CJK SC"/>
        <family val="2"/>
      </rPr>
      <t xml:space="preserve">以降に開示</t>
    </r>
    <r>
      <rPr>
        <sz val="10"/>
        <color rgb="FF0000FF"/>
        <rFont val="Arial"/>
        <family val="0"/>
        <charset val="1"/>
      </rPr>
      <t xml:space="preserve">)</t>
    </r>
  </si>
  <si>
    <t xml:space="preserve">当期不動産賃貸事業収益30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</si>
  <si>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86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</si>
  <si>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116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</si>
  <si>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r>
      <rPr>
        <sz val="10"/>
        <color rgb="FF0000FF"/>
        <rFont val="Arial"/>
        <family val="0"/>
        <charset val="1"/>
      </rPr>
      <t xml:space="preserve">2026/1/29</t>
    </r>
    <r>
      <rPr>
        <sz val="10"/>
        <color rgb="FF0000FF"/>
        <rFont val="Noto Sans CJK SC"/>
        <family val="2"/>
      </rPr>
      <t xml:space="preserve">譲渡までの期間</t>
    </r>
    <r>
      <rPr>
        <sz val="10"/>
        <color rgb="FF0000FF"/>
        <rFont val="Arial"/>
        <family val="0"/>
        <charset val="1"/>
      </rPr>
      <t xml:space="preserve">(2025/11/1-2026/1/28)</t>
    </r>
    <r>
      <rPr>
        <sz val="10"/>
        <color rgb="FF0000FF"/>
        <rFont val="Noto Sans CJK SC"/>
        <family val="2"/>
      </rPr>
      <t xml:space="preserve">対応の賃貸事業収益</t>
    </r>
    <r>
      <rPr>
        <sz val="10"/>
        <color rgb="FF0000FF"/>
        <rFont val="Arial"/>
        <family val="0"/>
        <charset val="1"/>
      </rPr>
      <t xml:space="preserve">18</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百万円切捨ての千円換算・下</t>
    </r>
    <r>
      <rPr>
        <sz val="10"/>
        <color rgb="FF0000FF"/>
        <rFont val="Arial"/>
        <family val="0"/>
        <charset val="1"/>
      </rPr>
      <t xml:space="preserve">3</t>
    </r>
    <r>
      <rPr>
        <sz val="10"/>
        <color rgb="FF0000FF"/>
        <rFont val="Noto Sans CJK SC"/>
        <family val="2"/>
      </rPr>
      <t xml:space="preserve">桁概数</t>
    </r>
    <r>
      <rPr>
        <sz val="10"/>
        <color rgb="FF0000FF"/>
        <rFont val="Arial"/>
        <family val="0"/>
        <charset val="1"/>
      </rPr>
      <t xml:space="preserve">)</t>
    </r>
    <r>
      <rPr>
        <sz val="10"/>
        <color rgb="FF0000FF"/>
        <rFont val="Noto Sans CJK SC"/>
        <family val="2"/>
      </rPr>
      <t xml:space="preserve">。費用・損益は物件別百万円表示なし</t>
    </r>
    <r>
      <rPr>
        <sz val="10"/>
        <color rgb="FF0000FF"/>
        <rFont val="Arial"/>
        <family val="0"/>
        <charset val="1"/>
      </rPr>
      <t xml:space="preserve">(</t>
    </r>
    <r>
      <rPr>
        <sz val="10"/>
        <color rgb="FF0000FF"/>
        <rFont val="Noto Sans CJK SC"/>
        <family val="2"/>
      </rPr>
      <t xml:space="preserve">千円単位の個別収支は短信</t>
    </r>
    <r>
      <rPr>
        <sz val="10"/>
        <color rgb="FF0000FF"/>
        <rFont val="Arial"/>
        <family val="0"/>
        <charset val="1"/>
      </rPr>
      <t xml:space="preserve">p.72</t>
    </r>
    <r>
      <rPr>
        <sz val="10"/>
        <color rgb="FF0000FF"/>
        <rFont val="Noto Sans CJK SC"/>
        <family val="2"/>
      </rPr>
      <t xml:space="preserve">以降に開示</t>
    </r>
    <r>
      <rPr>
        <sz val="10"/>
        <color rgb="FF0000FF"/>
        <rFont val="Arial"/>
        <family val="0"/>
        <charset val="1"/>
      </rPr>
      <t xml:space="preserve">)</t>
    </r>
  </si>
  <si>
    <t xml:space="preserve">当期不動産賃貸事業収益59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</si>
  <si>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65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</si>
  <si>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22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</si>
  <si>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70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</si>
  <si>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62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</si>
  <si>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94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</si>
  <si>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196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</si>
  <si>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29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</si>
  <si>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53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</si>
  <si>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r>
      <rPr>
        <sz val="10"/>
        <color rgb="FF0000FF"/>
        <rFont val="Arial"/>
        <family val="0"/>
        <charset val="1"/>
      </rPr>
      <t xml:space="preserve">2026/1/29</t>
    </r>
    <r>
      <rPr>
        <sz val="10"/>
        <color rgb="FF0000FF"/>
        <rFont val="Noto Sans CJK SC"/>
        <family val="2"/>
      </rPr>
      <t xml:space="preserve">譲渡までの期間</t>
    </r>
    <r>
      <rPr>
        <sz val="10"/>
        <color rgb="FF0000FF"/>
        <rFont val="Arial"/>
        <family val="0"/>
        <charset val="1"/>
      </rPr>
      <t xml:space="preserve">(2025/11/1-2026/1/28)</t>
    </r>
    <r>
      <rPr>
        <sz val="10"/>
        <color rgb="FF0000FF"/>
        <rFont val="Noto Sans CJK SC"/>
        <family val="2"/>
      </rPr>
      <t xml:space="preserve">対応の賃貸事業収益</t>
    </r>
    <r>
      <rPr>
        <sz val="10"/>
        <color rgb="FF0000FF"/>
        <rFont val="Arial"/>
        <family val="0"/>
        <charset val="1"/>
      </rPr>
      <t xml:space="preserve">22</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百万円切捨ての千円換算・下</t>
    </r>
    <r>
      <rPr>
        <sz val="10"/>
        <color rgb="FF0000FF"/>
        <rFont val="Arial"/>
        <family val="0"/>
        <charset val="1"/>
      </rPr>
      <t xml:space="preserve">3</t>
    </r>
    <r>
      <rPr>
        <sz val="10"/>
        <color rgb="FF0000FF"/>
        <rFont val="Noto Sans CJK SC"/>
        <family val="2"/>
      </rPr>
      <t xml:space="preserve">桁概数</t>
    </r>
    <r>
      <rPr>
        <sz val="10"/>
        <color rgb="FF0000FF"/>
        <rFont val="Arial"/>
        <family val="0"/>
        <charset val="1"/>
      </rPr>
      <t xml:space="preserve">)</t>
    </r>
    <r>
      <rPr>
        <sz val="10"/>
        <color rgb="FF0000FF"/>
        <rFont val="Noto Sans CJK SC"/>
        <family val="2"/>
      </rPr>
      <t xml:space="preserve">。費用・損益は物件別百万円表示なし</t>
    </r>
    <r>
      <rPr>
        <sz val="10"/>
        <color rgb="FF0000FF"/>
        <rFont val="Arial"/>
        <family val="0"/>
        <charset val="1"/>
      </rPr>
      <t xml:space="preserve">(</t>
    </r>
    <r>
      <rPr>
        <sz val="10"/>
        <color rgb="FF0000FF"/>
        <rFont val="Noto Sans CJK SC"/>
        <family val="2"/>
      </rPr>
      <t xml:space="preserve">千円単位の個別収支は短信</t>
    </r>
    <r>
      <rPr>
        <sz val="10"/>
        <color rgb="FF0000FF"/>
        <rFont val="Arial"/>
        <family val="0"/>
        <charset val="1"/>
      </rPr>
      <t xml:space="preserve">p.72</t>
    </r>
    <r>
      <rPr>
        <sz val="10"/>
        <color rgb="FF0000FF"/>
        <rFont val="Noto Sans CJK SC"/>
        <family val="2"/>
      </rPr>
      <t xml:space="preserve">以降に開示</t>
    </r>
    <r>
      <rPr>
        <sz val="10"/>
        <color rgb="FF0000FF"/>
        <rFont val="Arial"/>
        <family val="0"/>
        <charset val="1"/>
      </rPr>
      <t xml:space="preserve">)</t>
    </r>
  </si>
  <si>
    <t xml:space="preserve">当期不動産賃貸事業収益43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</si>
  <si>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66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</si>
  <si>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54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</si>
  <si>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51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</si>
  <si>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26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</si>
  <si>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56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</si>
  <si>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79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</si>
  <si>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101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</si>
  <si>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49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</si>
  <si>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40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</si>
  <si>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98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</si>
  <si>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18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</si>
  <si>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r>
      <rPr>
        <sz val="10"/>
        <color rgb="FF0000FF"/>
        <rFont val="Arial"/>
        <family val="0"/>
        <charset val="1"/>
      </rPr>
      <t xml:space="preserve">2026/1/29</t>
    </r>
    <r>
      <rPr>
        <sz val="10"/>
        <color rgb="FF0000FF"/>
        <rFont val="Noto Sans CJK SC"/>
        <family val="2"/>
      </rPr>
      <t xml:space="preserve">譲渡までの期間</t>
    </r>
    <r>
      <rPr>
        <sz val="10"/>
        <color rgb="FF0000FF"/>
        <rFont val="Arial"/>
        <family val="0"/>
        <charset val="1"/>
      </rPr>
      <t xml:space="preserve">(2025/11/1-2026/1/28)</t>
    </r>
    <r>
      <rPr>
        <sz val="10"/>
        <color rgb="FF0000FF"/>
        <rFont val="Noto Sans CJK SC"/>
        <family val="2"/>
      </rPr>
      <t xml:space="preserve">対応の賃貸事業収益</t>
    </r>
    <r>
      <rPr>
        <sz val="10"/>
        <color rgb="FF0000FF"/>
        <rFont val="Arial"/>
        <family val="0"/>
        <charset val="1"/>
      </rPr>
      <t xml:space="preserve">33</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百万円切捨ての千円換算・下</t>
    </r>
    <r>
      <rPr>
        <sz val="10"/>
        <color rgb="FF0000FF"/>
        <rFont val="Arial"/>
        <family val="0"/>
        <charset val="1"/>
      </rPr>
      <t xml:space="preserve">3</t>
    </r>
    <r>
      <rPr>
        <sz val="10"/>
        <color rgb="FF0000FF"/>
        <rFont val="Noto Sans CJK SC"/>
        <family val="2"/>
      </rPr>
      <t xml:space="preserve">桁概数</t>
    </r>
    <r>
      <rPr>
        <sz val="10"/>
        <color rgb="FF0000FF"/>
        <rFont val="Arial"/>
        <family val="0"/>
        <charset val="1"/>
      </rPr>
      <t xml:space="preserve">)</t>
    </r>
    <r>
      <rPr>
        <sz val="10"/>
        <color rgb="FF0000FF"/>
        <rFont val="Noto Sans CJK SC"/>
        <family val="2"/>
      </rPr>
      <t xml:space="preserve">。費用・損益は物件別百万円表示なし</t>
    </r>
    <r>
      <rPr>
        <sz val="10"/>
        <color rgb="FF0000FF"/>
        <rFont val="Arial"/>
        <family val="0"/>
        <charset val="1"/>
      </rPr>
      <t xml:space="preserve">(</t>
    </r>
    <r>
      <rPr>
        <sz val="10"/>
        <color rgb="FF0000FF"/>
        <rFont val="Noto Sans CJK SC"/>
        <family val="2"/>
      </rPr>
      <t xml:space="preserve">千円単位の個別収支は短信</t>
    </r>
    <r>
      <rPr>
        <sz val="10"/>
        <color rgb="FF0000FF"/>
        <rFont val="Arial"/>
        <family val="0"/>
        <charset val="1"/>
      </rPr>
      <t xml:space="preserve">p.72</t>
    </r>
    <r>
      <rPr>
        <sz val="10"/>
        <color rgb="FF0000FF"/>
        <rFont val="Noto Sans CJK SC"/>
        <family val="2"/>
      </rPr>
      <t xml:space="preserve">以降に開示</t>
    </r>
    <r>
      <rPr>
        <sz val="10"/>
        <color rgb="FF0000FF"/>
        <rFont val="Arial"/>
        <family val="0"/>
        <charset val="1"/>
      </rPr>
      <t xml:space="preserve">)</t>
    </r>
  </si>
  <si>
    <t xml:space="preserve">当期不動産賃貸事業収益83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</si>
  <si>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241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</si>
  <si>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277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</si>
  <si>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155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</si>
  <si>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118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</si>
  <si>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75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</si>
  <si>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50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</si>
  <si>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90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</si>
  <si>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58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</si>
  <si>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115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</si>
  <si>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r>
      <rPr>
        <sz val="10"/>
        <color rgb="FF0000FF"/>
        <rFont val="Arial"/>
        <family val="0"/>
        <charset val="1"/>
      </rPr>
      <t xml:space="preserve">2026/1/29</t>
    </r>
    <r>
      <rPr>
        <sz val="10"/>
        <color rgb="FF0000FF"/>
        <rFont val="Noto Sans CJK SC"/>
        <family val="2"/>
      </rPr>
      <t xml:space="preserve">譲渡までの期間</t>
    </r>
    <r>
      <rPr>
        <sz val="10"/>
        <color rgb="FF0000FF"/>
        <rFont val="Arial"/>
        <family val="0"/>
        <charset val="1"/>
      </rPr>
      <t xml:space="preserve">(2025/11/1-2026/1/28)</t>
    </r>
    <r>
      <rPr>
        <sz val="10"/>
        <color rgb="FF0000FF"/>
        <rFont val="Noto Sans CJK SC"/>
        <family val="2"/>
      </rPr>
      <t xml:space="preserve">対応の賃貸事業収益</t>
    </r>
    <r>
      <rPr>
        <sz val="10"/>
        <color rgb="FF0000FF"/>
        <rFont val="Arial"/>
        <family val="0"/>
        <charset val="1"/>
      </rPr>
      <t xml:space="preserve">21</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百万円切捨ての千円換算・下</t>
    </r>
    <r>
      <rPr>
        <sz val="10"/>
        <color rgb="FF0000FF"/>
        <rFont val="Arial"/>
        <family val="0"/>
        <charset val="1"/>
      </rPr>
      <t xml:space="preserve">3</t>
    </r>
    <r>
      <rPr>
        <sz val="10"/>
        <color rgb="FF0000FF"/>
        <rFont val="Noto Sans CJK SC"/>
        <family val="2"/>
      </rPr>
      <t xml:space="preserve">桁概数</t>
    </r>
    <r>
      <rPr>
        <sz val="10"/>
        <color rgb="FF0000FF"/>
        <rFont val="Arial"/>
        <family val="0"/>
        <charset val="1"/>
      </rPr>
      <t xml:space="preserve">)</t>
    </r>
    <r>
      <rPr>
        <sz val="10"/>
        <color rgb="FF0000FF"/>
        <rFont val="Noto Sans CJK SC"/>
        <family val="2"/>
      </rPr>
      <t xml:space="preserve">。費用・損益は物件別百万円表示なし</t>
    </r>
    <r>
      <rPr>
        <sz val="10"/>
        <color rgb="FF0000FF"/>
        <rFont val="Arial"/>
        <family val="0"/>
        <charset val="1"/>
      </rPr>
      <t xml:space="preserve">(</t>
    </r>
    <r>
      <rPr>
        <sz val="10"/>
        <color rgb="FF0000FF"/>
        <rFont val="Noto Sans CJK SC"/>
        <family val="2"/>
      </rPr>
      <t xml:space="preserve">千円単位の個別収支は短信</t>
    </r>
    <r>
      <rPr>
        <sz val="10"/>
        <color rgb="FF0000FF"/>
        <rFont val="Arial"/>
        <family val="0"/>
        <charset val="1"/>
      </rPr>
      <t xml:space="preserve">p.72</t>
    </r>
    <r>
      <rPr>
        <sz val="10"/>
        <color rgb="FF0000FF"/>
        <rFont val="Noto Sans CJK SC"/>
        <family val="2"/>
      </rPr>
      <t xml:space="preserve">以降に開示</t>
    </r>
    <r>
      <rPr>
        <sz val="10"/>
        <color rgb="FF0000FF"/>
        <rFont val="Arial"/>
        <family val="0"/>
        <charset val="1"/>
      </rPr>
      <t xml:space="preserve">)</t>
    </r>
  </si>
  <si>
    <t xml:space="preserve">当期不動産賃貸事業収益147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</si>
  <si>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221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</si>
  <si>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85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</si>
  <si>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130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</si>
  <si>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20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</si>
  <si>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239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</si>
  <si>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122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</si>
  <si>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55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</si>
  <si>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78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</si>
  <si>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134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</si>
  <si>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504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</si>
  <si>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13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</si>
  <si>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63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</si>
  <si>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r>
      <rPr>
        <sz val="10"/>
        <color rgb="FF0000FF"/>
        <rFont val="Arial"/>
        <family val="0"/>
        <charset val="1"/>
      </rPr>
      <t xml:space="preserve">2026/1/29</t>
    </r>
    <r>
      <rPr>
        <sz val="10"/>
        <color rgb="FF0000FF"/>
        <rFont val="Noto Sans CJK SC"/>
        <family val="2"/>
      </rPr>
      <t xml:space="preserve">譲渡までの期間</t>
    </r>
    <r>
      <rPr>
        <sz val="10"/>
        <color rgb="FF0000FF"/>
        <rFont val="Arial"/>
        <family val="0"/>
        <charset val="1"/>
      </rPr>
      <t xml:space="preserve">(2025/11/1-2026/1/28)</t>
    </r>
    <r>
      <rPr>
        <sz val="10"/>
        <color rgb="FF0000FF"/>
        <rFont val="Noto Sans CJK SC"/>
        <family val="2"/>
      </rPr>
      <t xml:space="preserve">対応の賃貸事業収益</t>
    </r>
    <r>
      <rPr>
        <sz val="10"/>
        <color rgb="FF0000FF"/>
        <rFont val="Arial"/>
        <family val="0"/>
        <charset val="1"/>
      </rPr>
      <t xml:space="preserve">10</t>
    </r>
    <r>
      <rPr>
        <sz val="10"/>
        <color rgb="FF0000FF"/>
        <rFont val="Noto Sans CJK SC"/>
        <family val="2"/>
      </rPr>
      <t xml:space="preserve">百万円</t>
    </r>
    <r>
      <rPr>
        <sz val="10"/>
        <color rgb="FF0000FF"/>
        <rFont val="Arial"/>
        <family val="0"/>
        <charset val="1"/>
      </rPr>
      <t xml:space="preserve">(</t>
    </r>
    <r>
      <rPr>
        <sz val="10"/>
        <color rgb="FF0000FF"/>
        <rFont val="Noto Sans CJK SC"/>
        <family val="2"/>
      </rPr>
      <t xml:space="preserve">百万円切捨ての千円換算・下</t>
    </r>
    <r>
      <rPr>
        <sz val="10"/>
        <color rgb="FF0000FF"/>
        <rFont val="Arial"/>
        <family val="0"/>
        <charset val="1"/>
      </rPr>
      <t xml:space="preserve">3</t>
    </r>
    <r>
      <rPr>
        <sz val="10"/>
        <color rgb="FF0000FF"/>
        <rFont val="Noto Sans CJK SC"/>
        <family val="2"/>
      </rPr>
      <t xml:space="preserve">桁概数</t>
    </r>
    <r>
      <rPr>
        <sz val="10"/>
        <color rgb="FF0000FF"/>
        <rFont val="Arial"/>
        <family val="0"/>
        <charset val="1"/>
      </rPr>
      <t xml:space="preserve">)</t>
    </r>
    <r>
      <rPr>
        <sz val="10"/>
        <color rgb="FF0000FF"/>
        <rFont val="Noto Sans CJK SC"/>
        <family val="2"/>
      </rPr>
      <t xml:space="preserve">。費用・損益は物件別百万円表示なし</t>
    </r>
    <r>
      <rPr>
        <sz val="10"/>
        <color rgb="FF0000FF"/>
        <rFont val="Arial"/>
        <family val="0"/>
        <charset val="1"/>
      </rPr>
      <t xml:space="preserve">(</t>
    </r>
    <r>
      <rPr>
        <sz val="10"/>
        <color rgb="FF0000FF"/>
        <rFont val="Noto Sans CJK SC"/>
        <family val="2"/>
      </rPr>
      <t xml:space="preserve">千円単位の個別収支は短信</t>
    </r>
    <r>
      <rPr>
        <sz val="10"/>
        <color rgb="FF0000FF"/>
        <rFont val="Arial"/>
        <family val="0"/>
        <charset val="1"/>
      </rPr>
      <t xml:space="preserve">p.72</t>
    </r>
    <r>
      <rPr>
        <sz val="10"/>
        <color rgb="FF0000FF"/>
        <rFont val="Noto Sans CJK SC"/>
        <family val="2"/>
      </rPr>
      <t xml:space="preserve">以降に開示</t>
    </r>
    <r>
      <rPr>
        <sz val="10"/>
        <color rgb="FF0000FF"/>
        <rFont val="Arial"/>
        <family val="0"/>
        <charset val="1"/>
      </rPr>
      <t xml:space="preserve">)</t>
    </r>
  </si>
  <si>
    <t xml:space="preserve">当期不動産賃貸事業収益228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</si>
  <si>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123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</si>
  <si>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645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</si>
  <si>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16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</si>
  <si>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24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</si>
  <si>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243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</si>
  <si>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126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</si>
  <si>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76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</si>
  <si>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45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</si>
  <si>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187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</si>
  <si>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182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</si>
  <si>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35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</si>
  <si>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14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</si>
  <si>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27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</si>
  <si>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19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</si>
  <si>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28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</si>
  <si>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32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</si>
  <si>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41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</si>
  <si>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21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</si>
  <si>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8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</si>
  <si>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対象外（米国LLC出資・受取配当金経由）</t>
  </si>
  <si>
    <r>
      <rPr>
        <sz val="10"/>
        <color rgb="FF0000FF"/>
        <rFont val="Arial"/>
        <family val="0"/>
        <charset val="1"/>
      </rPr>
      <t xml:space="preserve">SHR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23</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(2026/6/15</t>
    </r>
    <r>
      <rPr>
        <sz val="10"/>
        <color rgb="FF0000FF"/>
        <rFont val="Noto Sans CJK SC"/>
        <family val="2"/>
      </rPr>
      <t xml:space="preserve">公表</t>
    </r>
    <r>
      <rPr>
        <sz val="10"/>
        <color rgb="FF0000FF"/>
        <rFont val="Arial"/>
        <family val="0"/>
        <charset val="1"/>
      </rPr>
      <t xml:space="preserve">) p.25-26 </t>
    </r>
    <r>
      <rPr>
        <sz val="10"/>
        <color rgb="FF0000FF"/>
        <rFont val="Noto Sans CJK SC"/>
        <family val="2"/>
      </rPr>
      <t xml:space="preserve">受取配当金の内訳</t>
    </r>
  </si>
  <si>
    <t xml:space="preserve">米国LLC出資経由のため賃貸事業収支の対象外。当期は配当金771,125千円(Boren I2025/12期決算基準)等、LLC4社から計1,752,924千円の受取配当金を営業収益に計上。裏付不動産のIFRS賃貸収益・費用は短信注記参照</t>
  </si>
  <si>
    <t xml:space="preserve">米国LLC出資経由のため賃貸事業収支の対象外。当期は配当金981,798千円(Ridge 2025/12期決算基準)等、LLC4社から計1,752,924千円の受取配当金を営業収益に計上。裏付不動産のIFRS賃貸収益・費用は短信注記参照</t>
  </si>
  <si>
    <t xml:space="preserve">当期不動産賃貸事業収益544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</si>
  <si>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1301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</si>
  <si>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202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</si>
  <si>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t xml:space="preserve">当期不動産賃貸事業収益121百万円(百万円切捨ての千円換算・下3桁概数)。短信p.72以降に千円単位の個別収支(外注委託費・管理委託料・信託報酬・水道光熱費・公租公課・保険料・修繕費・減価償却費等の費用内訳とNOI算出可能な損益)がフル開示されており将来精緻化候補。費用は法人一括(SHR-ALL行)参照</t>
  </si>
  <si>
    <r>
      <rPr>
        <sz val="10"/>
        <color rgb="FF0000FF"/>
        <rFont val="Arial"/>
        <family val="0"/>
        <charset val="1"/>
      </rPr>
      <t xml:space="preserve">MTR 2026</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48</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(2026/4/22</t>
    </r>
    <r>
      <rPr>
        <sz val="10"/>
        <color rgb="FF0000FF"/>
        <rFont val="Noto Sans CJK SC"/>
        <family val="2"/>
      </rPr>
      <t xml:space="preserve">公表</t>
    </r>
    <r>
      <rPr>
        <sz val="10"/>
        <color rgb="FF0000FF"/>
        <rFont val="Arial"/>
        <family val="0"/>
        <charset val="1"/>
      </rPr>
      <t xml:space="preserve">) </t>
    </r>
    <r>
      <rPr>
        <sz val="10"/>
        <color rgb="FF0000FF"/>
        <rFont val="Noto Sans CJK SC"/>
        <family val="2"/>
      </rPr>
      <t xml:space="preserve">損益計算書に関する注記</t>
    </r>
  </si>
  <si>
    <t xml:space="preserve">一括実績(損益計算書注記・千円単位)。掲載損益8,026,213千円と賃貸事業損益(F-I)8,026,214千円に1千円差=原資料内切捨て(恒例)。費用内訳合算3,558,720とI=3,558,722に2千円差(「内訳チェック(0=整合)」欄)。G=賃貸事業収入計11,247,205(家賃10,887,934+共益費235,661+土地賃貸収益123,609=フレスポ稲毛底地)、H=その他賃貸事業収入337,731(駐車場122,732+付帯収益135,883+解約違約金35,344+その他43,770)。物件別はフル開示18物件(合算F10,053,181/I3,234,935)+非開示2物件(ONビル・渋谷フラッグ=非開示分F1,531,755/I323,787と厳密分解可能・千円単位開示のため)。「資本的支出(千円)」欄は期中資本的支出569,228千円(物件別合算・修繕積立金は残高2,000百万円を維持)。ホテル6物件はシャングリ・ラ(変動97%連動)・ヒルトン小田原(完全変動)・CBM2物件(変動90%連動+最低保証)・オークラ神戸/サンルート新宿(固定中心)の賃料ミックス</t>
  </si>
  <si>
    <r>
      <rPr>
        <sz val="10"/>
        <color rgb="FF0000FF"/>
        <rFont val="Arial"/>
        <family val="0"/>
        <charset val="1"/>
      </rPr>
      <t xml:space="preserve">MTR 2026</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48</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(2026/4/22</t>
    </r>
    <r>
      <rPr>
        <sz val="10"/>
        <color rgb="FF0000FF"/>
        <rFont val="Noto Sans CJK SC"/>
        <family val="2"/>
      </rPr>
      <t xml:space="preserve">公表</t>
    </r>
    <r>
      <rPr>
        <sz val="10"/>
        <color rgb="FF0000FF"/>
        <rFont val="Arial"/>
        <family val="0"/>
        <charset val="1"/>
      </rPr>
      <t xml:space="preserve">) ③</t>
    </r>
    <r>
      <rPr>
        <sz val="10"/>
        <color rgb="FF0000FF"/>
        <rFont val="Noto Sans CJK SC"/>
        <family val="2"/>
      </rPr>
      <t xml:space="preserve">不動産等資産の詳細な情報</t>
    </r>
    <r>
      <rPr>
        <sz val="10"/>
        <color rgb="FF0000FF"/>
        <rFont val="Arial"/>
        <family val="0"/>
        <charset val="1"/>
      </rPr>
      <t xml:space="preserve">(</t>
    </r>
    <r>
      <rPr>
        <sz val="10"/>
        <color rgb="FF0000FF"/>
        <rFont val="Noto Sans CJK SC"/>
        <family val="2"/>
      </rPr>
      <t xml:space="preserve">物件収支状況</t>
    </r>
    <r>
      <rPr>
        <sz val="10"/>
        <color rgb="FF0000FF"/>
        <rFont val="Arial"/>
        <family val="0"/>
        <charset val="1"/>
      </rPr>
      <t xml:space="preserve">)</t>
    </r>
  </si>
  <si>
    <t xml:space="preserve">各科目は千円未満切捨て掲載のため内訳チェック欄に1〜4千円、賃貸事業損益(F-I)と掲載損益に最大1千円の差が系統的に発生(MTR-ALL行参照)。物件別費用に修繕費科目はなく(一括のみ110,166千円)各物件のその他費用等に含まれると解されるため「うち修繕費(千円)」欄は空欄</t>
  </si>
  <si>
    <t xml:space="preserve">非開示（NOI・損益のみ開示）</t>
  </si>
  <si>
    <t xml:space="preserve">テナント同意なく収益・費用非開示。開示値: NOI617,840千円・賃貸事業損益551,546千円(差66,294千円=減価償却費)。一括賃借人の神戸製鋼所から2027/3/31付解約通知受領済</t>
  </si>
  <si>
    <t xml:space="preserve">テナント同意なく収益・費用非開示。開示値: NOI672,686千円・賃貸事業損益656,420千円(差16,266千円=減価償却費)。</t>
  </si>
  <si>
    <t xml:space="preserve">底地のため減価償却費0。各科目は千円未満切捨て掲載のため内訳チェック欄に1〜4千円、賃貸事業損益(F-I)と掲載損益に最大1千円の差が系統的に発生(MTR-ALL行参照)。物件別費用に修繕費科目はなく(一括のみ110,166千円)各物件のその他費用等に含まれると解されるため「うち修繕費(千円)」欄は空欄</t>
  </si>
  <si>
    <r>
      <rPr>
        <sz val="10"/>
        <color rgb="FF0000FF"/>
        <rFont val="Arial"/>
        <family val="0"/>
        <charset val="1"/>
      </rPr>
      <t xml:space="preserve">SKR 2026</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14</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(2026/4/28</t>
    </r>
    <r>
      <rPr>
        <sz val="10"/>
        <color rgb="FF0000FF"/>
        <rFont val="Noto Sans CJK SC"/>
        <family val="2"/>
      </rPr>
      <t xml:space="preserve">公表</t>
    </r>
    <r>
      <rPr>
        <sz val="10"/>
        <color rgb="FF0000FF"/>
        <rFont val="Arial"/>
        <family val="0"/>
        <charset val="1"/>
      </rPr>
      <t xml:space="preserve">) </t>
    </r>
    <r>
      <rPr>
        <sz val="10"/>
        <color rgb="FF0000FF"/>
        <rFont val="Noto Sans CJK SC"/>
        <family val="2"/>
      </rPr>
      <t xml:space="preserve">損益計算書に関する注記</t>
    </r>
  </si>
  <si>
    <t xml:space="preserve">一括実績(損益計算書注記・不動産賃貸事業損益の内訳)。掲載損益1,934,279千円と賃貸事業損益(F-I)1,934,280千円に1千円差=原資料内切捨て(恒例パターン)。費用内訳合算947,796とI=947,798に2千円差(「内訳チェック(0=整合)」欄)。その他収入700,853千円の内訳: 水道光熱費収入78,936+駐車場収入31,812+解約違約金582,338(福岡グリーンビルディング日立退去に伴う)+その他7,766。その他費用P=支払地代0+信託報酬6,000+その他賃貸事業費用6,874=12,874。減損損失4,933,559千円は営業費用(賃貸事業費用外)のため「賃貸事業費用合計(千円)」欄に含まれない。「資本的支出(千円)」欄は期中資本的支出147,562千円(修繕費78,469千円と合わせ226百万円の工事)。解約違約金がHを押し上げNOI利回りを一時的に高めている点に留意(違約金除きベースの収入は約2,300百万円)</t>
  </si>
  <si>
    <t xml:space="preserve">非開示（法人一括のみ開示）</t>
  </si>
  <si>
    <t xml:space="preserve">物件別収支は非開示(法人一括はSKR-ALL行)。参考: 年換算賃料(月額×12・変動賃料除く)605百万円</t>
  </si>
  <si>
    <t xml:space="preserve">物件別収支は非開示(法人一括はSKR-ALL行)。参考: 年換算賃料(月額×12・変動賃料除く)131百万円</t>
  </si>
  <si>
    <t xml:space="preserve">物件別収支は非開示(法人一括はSKR-ALL行)。参考: 年換算賃料(月額×12・変動賃料除く)390百万円</t>
  </si>
  <si>
    <t xml:space="preserve">物件別収支は非開示(法人一括はSKR-ALL行)。参考: 年換算賃料(月額×12・変動賃料除く)325百万円</t>
  </si>
  <si>
    <t xml:space="preserve">物件別収支は非開示(法人一括はSKR-ALL行)。参考: 年換算賃料(月額×12・変動賃料除く)146百万円</t>
  </si>
  <si>
    <t xml:space="preserve">物件別収支は非開示(法人一括はSKR-ALL行)。参考: 年換算賃料(月額×12・変動賃料除く)178百万円</t>
  </si>
  <si>
    <t xml:space="preserve">物件別収支は非開示(法人一括はSKR-ALL行)。年換算賃料も非開示</t>
  </si>
  <si>
    <t xml:space="preserve">物件別収支は非開示(法人一括はSKR-ALL行)。参考: 年換算賃料(月額×12・変動賃料除く)161百万円</t>
  </si>
  <si>
    <t xml:space="preserve">テナント全退去により当期賃料収入は僅少(解約違約金582,338千円は法人一括のその他賃貸事業収入に計上)。物件別収支は非開示(法人一括はSKR-ALL行)。参考: 年換算賃料(月額×12・変動賃料除く)0百万円</t>
  </si>
  <si>
    <t xml:space="preserve">物件別収支は非開示(法人一括はSKR-ALL行)。参考: 年換算賃料(月額×12・変動賃料除く)413百万円</t>
  </si>
  <si>
    <t xml:space="preserve">物件別収支は非開示(法人一括はSKR-ALL行)。参考: 年換算賃料(月額×12・変動賃料除く)237百万円</t>
  </si>
  <si>
    <t xml:space="preserve">物件別収支は非開示(法人一括はSKR-ALL行)。参考: 年換算賃料(月額×12・変動賃料除く)163百万円</t>
  </si>
  <si>
    <t xml:space="preserve">物件別収支は非開示(法人一括はSKR-ALL行)。参考: 年換算賃料(月額×12・変動賃料除く)102百万円</t>
  </si>
  <si>
    <r>
      <rPr>
        <sz val="10"/>
        <color rgb="FF0000FF"/>
        <rFont val="Arial"/>
        <family val="0"/>
        <charset val="1"/>
      </rPr>
      <t xml:space="preserve">KDX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42</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(2026/6/17</t>
    </r>
    <r>
      <rPr>
        <sz val="10"/>
        <color rgb="FF0000FF"/>
        <rFont val="Noto Sans CJK SC"/>
        <family val="2"/>
      </rPr>
      <t xml:space="preserve">公表</t>
    </r>
    <r>
      <rPr>
        <sz val="10"/>
        <color rgb="FF0000FF"/>
        <rFont val="Arial"/>
        <family val="0"/>
        <charset val="1"/>
      </rPr>
      <t xml:space="preserve">) </t>
    </r>
    <r>
      <rPr>
        <sz val="10"/>
        <color rgb="FF0000FF"/>
        <rFont val="Noto Sans CJK SC"/>
        <family val="2"/>
      </rPr>
      <t xml:space="preserve">損益計算書に関する注記・資本的支出</t>
    </r>
  </si>
  <si>
    <t xml:space="preserve">法人一括の賃貸事業収支(千円・343物件+期中譲渡2物件)。G=賃料32,424,937+共益費1,950,520(完全一致)、H=駐車場996,205+水道光熱2,150,151+その他1,372,171(内訳計との1千円差は切捨て由来)。「うち外注委託費(千円)」欄=管理委託費3,077,387、その他費用=信託報酬120,175+その他917,242の合算。内訳チェック3千円は切捨て由来。賃貸事業損益(F-I)=23,004,035は開示損益23,004,034と1千円差(切捨て伝播・原資料内不整合として注記)。物件別収入は百万円単位開示のため×1000収録(下3桁概数)。オフィス開示85物件+譲渡2の合算15,319百万円と小計15,478百万円の差159百万円はアーク森ビル(非開示)分と百万円未満切捨ての累積の合成(百万円単位開示のため厳密分解は不能)。S=資本的支出3,776百万円(概数収録)。用途別収入小計(百万円): オフィス15,478/居住7,952/商業10,162/物流1,128/宿泊1,710/ヘルスケア2,461=計38,893(一括38,893,986千円と整合)。居住135物件の物件別合算7,887百万円と小計7,952百万円の差65百万円は切捨て累積(全物件開示・検証済)。商業は開示25物件の合算6,884百万円と小計10,162百万円の差3,278百万円が非開示35物件分と切捨て累積の合成、物流・宿泊・ヘルスケアは全物件非開示のため用途小計(1,128/1,710/2,461百万円)のみ判明</t>
  </si>
  <si>
    <r>
      <rPr>
        <sz val="10"/>
        <color rgb="FF0000FF"/>
        <rFont val="Arial"/>
        <family val="0"/>
        <charset val="1"/>
      </rPr>
      <t xml:space="preserve">KDX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42</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(2026/6/17</t>
    </r>
    <r>
      <rPr>
        <sz val="10"/>
        <color rgb="FF0000FF"/>
        <rFont val="Noto Sans CJK SC"/>
        <family val="2"/>
      </rPr>
      <t xml:space="preserve">公表</t>
    </r>
    <r>
      <rPr>
        <sz val="10"/>
        <color rgb="FF0000FF"/>
        <rFont val="Arial"/>
        <family val="0"/>
        <charset val="1"/>
      </rPr>
      <t xml:space="preserve">) </t>
    </r>
    <r>
      <rPr>
        <sz val="10"/>
        <color rgb="FF0000FF"/>
        <rFont val="Noto Sans CJK SC"/>
        <family val="2"/>
      </rPr>
      <t xml:space="preserve">参考情報</t>
    </r>
    <r>
      <rPr>
        <sz val="10"/>
        <color rgb="FF0000FF"/>
        <rFont val="Arial"/>
        <family val="0"/>
        <charset val="1"/>
      </rPr>
      <t xml:space="preserve">(c)</t>
    </r>
    <r>
      <rPr>
        <sz val="10"/>
        <color rgb="FF0000FF"/>
        <rFont val="Noto Sans CJK SC"/>
        <family val="2"/>
      </rPr>
      <t xml:space="preserve">賃貸状況</t>
    </r>
  </si>
  <si>
    <t xml:space="preserve">総賃貸事業収入(百万円開示)×1000で収録(下3桁は概数)。費用内訳は物件別非開示(法人一括のKDX-ALL行参照)</t>
  </si>
  <si>
    <t xml:space="preserve">期中譲渡物件。総賃貸事業収入(百万円開示)×1000で収録(下3桁は概数)。譲渡日まで(期間6ヶ月未満)の収益</t>
  </si>
  <si>
    <t xml:space="preserve">アーク森ビル(30-31階持分)。テナント同意が得られず総賃貸事業収入は非開示。開示分合算とオフィス小計の差159百万円が本物件分に相当(参考・ALL行注記参照)</t>
  </si>
  <si>
    <r>
      <rPr>
        <sz val="10"/>
        <color rgb="FF0000FF"/>
        <rFont val="Arial"/>
        <family val="0"/>
        <charset val="1"/>
      </rPr>
      <t xml:space="preserve">KDX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42</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(2026/6/17</t>
    </r>
    <r>
      <rPr>
        <sz val="10"/>
        <color rgb="FF0000FF"/>
        <rFont val="Noto Sans CJK SC"/>
        <family val="2"/>
      </rPr>
      <t xml:space="preserve">公表</t>
    </r>
    <r>
      <rPr>
        <sz val="10"/>
        <color rgb="FF0000FF"/>
        <rFont val="Arial"/>
        <family val="0"/>
        <charset val="1"/>
      </rPr>
      <t xml:space="preserve">) </t>
    </r>
    <r>
      <rPr>
        <sz val="10"/>
        <color rgb="FF0000FF"/>
        <rFont val="Noto Sans CJK SC"/>
        <family val="2"/>
      </rPr>
      <t xml:space="preserve">参考情報</t>
    </r>
    <r>
      <rPr>
        <sz val="10"/>
        <color rgb="FF0000FF"/>
        <rFont val="Arial"/>
        <family val="0"/>
        <charset val="1"/>
      </rPr>
      <t xml:space="preserve">(c)</t>
    </r>
    <r>
      <rPr>
        <sz val="10"/>
        <color rgb="FF0000FF"/>
        <rFont val="Noto Sans CJK SC"/>
        <family val="2"/>
      </rPr>
      <t xml:space="preserve">テナント等の概要</t>
    </r>
  </si>
  <si>
    <t xml:space="preserve">総賃貸事業収入(百万円開示)×1000で収録(下3桁は概数)。費用内訳は物件別非開示(KDX-ALL行参照)</t>
  </si>
  <si>
    <t xml:space="preserve">当期取得(2,550百万円)物件のため収入8百万円は取得日以降の期間のみ。総賃貸事業収入(百万円開示)×1000で収録(下3桁は概数)。費用内訳は物件別非開示(KDX-ALL行参照)</t>
  </si>
  <si>
    <r>
      <rPr>
        <sz val="10"/>
        <color rgb="FF0000FF"/>
        <rFont val="Arial"/>
        <family val="0"/>
        <charset val="1"/>
      </rPr>
      <t xml:space="preserve">KDX 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r>
      <rPr>
        <sz val="10"/>
        <color rgb="FF0000FF"/>
        <rFont val="Arial"/>
        <family val="0"/>
        <charset val="1"/>
      </rPr>
      <t xml:space="preserve">(</t>
    </r>
    <r>
      <rPr>
        <sz val="10"/>
        <color rgb="FF0000FF"/>
        <rFont val="Noto Sans CJK SC"/>
        <family val="2"/>
      </rPr>
      <t xml:space="preserve">第</t>
    </r>
    <r>
      <rPr>
        <sz val="10"/>
        <color rgb="FF0000FF"/>
        <rFont val="Arial"/>
        <family val="0"/>
        <charset val="1"/>
      </rPr>
      <t xml:space="preserve">42</t>
    </r>
    <r>
      <rPr>
        <sz val="10"/>
        <color rgb="FF0000FF"/>
        <rFont val="Noto Sans CJK SC"/>
        <family val="2"/>
      </rPr>
      <t xml:space="preserve">期</t>
    </r>
    <r>
      <rPr>
        <sz val="10"/>
        <color rgb="FF0000FF"/>
        <rFont val="Arial"/>
        <family val="0"/>
        <charset val="1"/>
      </rPr>
      <t xml:space="preserve">)</t>
    </r>
    <r>
      <rPr>
        <sz val="10"/>
        <color rgb="FF0000FF"/>
        <rFont val="Noto Sans CJK SC"/>
        <family val="2"/>
      </rPr>
      <t xml:space="preserve">決算短信</t>
    </r>
    <r>
      <rPr>
        <sz val="10"/>
        <color rgb="FF0000FF"/>
        <rFont val="Arial"/>
        <family val="0"/>
        <charset val="1"/>
      </rPr>
      <t xml:space="preserve">(2026/6/17</t>
    </r>
    <r>
      <rPr>
        <sz val="10"/>
        <color rgb="FF0000FF"/>
        <rFont val="Noto Sans CJK SC"/>
        <family val="2"/>
      </rPr>
      <t xml:space="preserve">公表</t>
    </r>
    <r>
      <rPr>
        <sz val="10"/>
        <color rgb="FF0000FF"/>
        <rFont val="Arial"/>
        <family val="0"/>
        <charset val="1"/>
      </rPr>
      <t xml:space="preserve">) </t>
    </r>
    <r>
      <rPr>
        <sz val="10"/>
        <color rgb="FF0000FF"/>
        <rFont val="Noto Sans CJK SC"/>
        <family val="2"/>
      </rPr>
      <t xml:space="preserve">参考情報</t>
    </r>
    <r>
      <rPr>
        <sz val="10"/>
        <color rgb="FF0000FF"/>
        <rFont val="Arial"/>
        <family val="0"/>
        <charset val="1"/>
      </rPr>
      <t xml:space="preserve">(c)(</t>
    </r>
    <r>
      <rPr>
        <sz val="10"/>
        <color rgb="FF0000FF"/>
        <rFont val="Noto Sans CJK SC"/>
        <family val="2"/>
      </rPr>
      <t xml:space="preserve">注</t>
    </r>
    <r>
      <rPr>
        <sz val="10"/>
        <color rgb="FF0000FF"/>
        <rFont val="Arial"/>
        <family val="0"/>
        <charset val="1"/>
      </rPr>
      <t xml:space="preserve">9)</t>
    </r>
  </si>
  <si>
    <r>
      <rPr>
        <sz val="10"/>
        <color rgb="FF0000FF"/>
        <rFont val="Arial"/>
        <family val="0"/>
        <charset val="1"/>
      </rPr>
      <t xml:space="preserve">ML</t>
    </r>
    <r>
      <rPr>
        <sz val="10"/>
        <color rgb="FF0000FF"/>
        <rFont val="Noto Sans CJK SC"/>
        <family val="2"/>
      </rPr>
      <t xml:space="preserve">会社兼</t>
    </r>
    <r>
      <rPr>
        <sz val="10"/>
        <color rgb="FF0000FF"/>
        <rFont val="Arial"/>
        <family val="0"/>
        <charset val="1"/>
      </rPr>
      <t xml:space="preserve">PM</t>
    </r>
    <r>
      <rPr>
        <sz val="10"/>
        <color rgb="FF0000FF"/>
        <rFont val="Noto Sans CJK SC"/>
        <family val="2"/>
      </rPr>
      <t xml:space="preserve">会社・賃借人等の同意が得られず総賃貸事業収入は非開示</t>
    </r>
    <r>
      <rPr>
        <sz val="10"/>
        <color rgb="FF0000FF"/>
        <rFont val="Arial"/>
        <family val="0"/>
        <charset val="1"/>
      </rPr>
      <t xml:space="preserve">(</t>
    </r>
    <r>
      <rPr>
        <sz val="10"/>
        <color rgb="FF0000FF"/>
        <rFont val="Noto Sans CJK SC"/>
        <family val="2"/>
      </rPr>
      <t xml:space="preserve">用途別小計には算入</t>
    </r>
    <r>
      <rPr>
        <sz val="10"/>
        <color rgb="FF0000FF"/>
        <rFont val="Arial"/>
        <family val="0"/>
        <charset val="1"/>
      </rPr>
      <t xml:space="preserve">)</t>
    </r>
  </si>
  <si>
    <t xml:space="preserve">当期取得(26,300百万円)物件のため収入は取得日以降の期間のみ。総賃貸事業収入(百万円開示)×1000で収録(下3桁は概数)。費用内訳は物件別非開示(KDX-ALL行参照)</t>
  </si>
  <si>
    <t xml:space="preserve">CTR-ALL</t>
  </si>
  <si>
    <t xml:space="preserve">法人合計のみ（物件別収支は非開示）</t>
  </si>
  <si>
    <t xml:space="preserve">セントラル・リート投資法人 第16期有価証券報告書 主要な経営指標等の推移</t>
  </si>
  <si>
    <t xml:space="preserve">同法人は物件別の賃貸事業収支を開示していないため、法人合計値のみを収録。営業収益2,156百万円には不動産賃貸事業収益以外を含まない（第16期は全額が不動産賃貸事業収益）</t>
  </si>
  <si>
    <t xml:space="preserve">物件別の費用内訳まで開示</t>
  </si>
  <si>
    <r>
      <rPr>
        <sz val="10"/>
        <color rgb="FF0000FF"/>
        <rFont val="Arial"/>
        <family val="0"/>
        <charset val="1"/>
      </rPr>
      <t xml:space="preserve">One</t>
    </r>
    <r>
      <rPr>
        <sz val="10"/>
        <color rgb="FF0000FF"/>
        <rFont val="Noto Sans CJK SC"/>
        <family val="2"/>
      </rPr>
      <t xml:space="preserve">リート投資法人 第</t>
    </r>
    <r>
      <rPr>
        <sz val="10"/>
        <color rgb="FF0000FF"/>
        <rFont val="Arial"/>
        <family val="0"/>
        <charset val="1"/>
      </rPr>
      <t xml:space="preserve">25</t>
    </r>
    <r>
      <rPr>
        <sz val="10"/>
        <color rgb="FF0000FF"/>
        <rFont val="Noto Sans CJK SC"/>
        <family val="2"/>
      </rPr>
      <t xml:space="preserve">期（</t>
    </r>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月期）決算短信 参考情報「⑤個別物件の収益状況」</t>
    </r>
  </si>
  <si>
    <t xml:space="preserve">決算短信の「その他」欄は信託報酬を含む。内訳合計と費用計の差は千円未満の端数処理による（最大1千円）</t>
  </si>
  <si>
    <t xml:space="preserve">○（通期保有・運用日数181日）</t>
  </si>
  <si>
    <t xml:space="preserve">年換算可（181日→365日換算）</t>
  </si>
  <si>
    <t xml:space="preserve">千円単位</t>
  </si>
  <si>
    <t xml:space="preserve">収益・費用は非開示（NOIと減価償却費のみ開示）</t>
  </si>
  <si>
    <t xml:space="preserve">賃借人より個別賃料等の開示について同意を得られていないため、収益・費用は非開示</t>
  </si>
  <si>
    <r>
      <rPr>
        <sz val="10"/>
        <color rgb="FF0000FF"/>
        <rFont val="Arial"/>
        <family val="0"/>
        <charset val="1"/>
      </rPr>
      <t xml:space="preserve">×</t>
    </r>
    <r>
      <rPr>
        <sz val="10"/>
        <color rgb="FF0000FF"/>
        <rFont val="Noto Sans CJK SC"/>
        <family val="2"/>
      </rPr>
      <t xml:space="preserve">（期中取得・運用日数</t>
    </r>
    <r>
      <rPr>
        <sz val="10"/>
        <color rgb="FF0000FF"/>
        <rFont val="Arial"/>
        <family val="0"/>
        <charset val="1"/>
      </rPr>
      <t xml:space="preserve">73</t>
    </r>
    <r>
      <rPr>
        <sz val="10"/>
        <color rgb="FF0000FF"/>
        <rFont val="Noto Sans CJK SC"/>
        <family val="2"/>
      </rPr>
      <t xml:space="preserve">日）</t>
    </r>
  </si>
  <si>
    <t xml:space="preserve">年換算不可（期中取得）</t>
  </si>
  <si>
    <t xml:space="preserve">認証種別</t>
  </si>
  <si>
    <t xml:space="preserve">認証名称</t>
  </si>
  <si>
    <t xml:space="preserve">対象区分</t>
  </si>
  <si>
    <t xml:space="preserve">ランク</t>
  </si>
  <si>
    <t xml:space="preserve">出典物件名</t>
  </si>
  <si>
    <t xml:space="preserve">CASBEE</t>
  </si>
  <si>
    <r>
      <rPr>
        <sz val="10"/>
        <color rgb="FF0000FF"/>
        <rFont val="Arial"/>
        <family val="0"/>
        <charset val="1"/>
      </rPr>
      <t xml:space="preserve">CASBEE-</t>
    </r>
    <r>
      <rPr>
        <sz val="10"/>
        <color rgb="FF0000FF"/>
        <rFont val="Noto Sans CJK SC"/>
        <family val="2"/>
      </rPr>
      <t xml:space="preserve">不動産</t>
    </r>
  </si>
  <si>
    <t xml:space="preserve">S</t>
  </si>
  <si>
    <r>
      <rPr>
        <sz val="10"/>
        <color rgb="FF0000FF"/>
        <rFont val="Arial"/>
        <family val="0"/>
        <charset val="1"/>
      </rPr>
      <t xml:space="preserve">NBF</t>
    </r>
    <r>
      <rPr>
        <sz val="10"/>
        <color rgb="FF0000FF"/>
        <rFont val="Noto Sans CJK SC"/>
        <family val="2"/>
      </rPr>
      <t xml:space="preserve">品川タワー</t>
    </r>
  </si>
  <si>
    <r>
      <rPr>
        <sz val="10"/>
        <color rgb="FF0000FF"/>
        <rFont val="Arial"/>
        <family val="0"/>
        <charset val="1"/>
      </rPr>
      <t xml:space="preserve">NBF</t>
    </r>
    <r>
      <rPr>
        <sz val="10"/>
        <color rgb="FF0000FF"/>
        <rFont val="Noto Sans CJK SC"/>
        <family val="2"/>
      </rPr>
      <t xml:space="preserve">プラチナタワー</t>
    </r>
  </si>
  <si>
    <r>
      <rPr>
        <sz val="10"/>
        <color rgb="FF0000FF"/>
        <rFont val="Arial"/>
        <family val="0"/>
        <charset val="1"/>
      </rPr>
      <t xml:space="preserve">NBF</t>
    </r>
    <r>
      <rPr>
        <sz val="10"/>
        <color rgb="FF0000FF"/>
        <rFont val="Noto Sans CJK SC"/>
        <family val="2"/>
      </rPr>
      <t xml:space="preserve">コモディオ汐留</t>
    </r>
  </si>
  <si>
    <r>
      <rPr>
        <sz val="10"/>
        <color rgb="FF0000FF"/>
        <rFont val="Arial"/>
        <family val="0"/>
        <charset val="1"/>
      </rPr>
      <t xml:space="preserve">G-BASE</t>
    </r>
    <r>
      <rPr>
        <sz val="10"/>
        <color rgb="FF0000FF"/>
        <rFont val="Noto Sans CJK SC"/>
        <family val="2"/>
      </rPr>
      <t xml:space="preserve">田町</t>
    </r>
  </si>
  <si>
    <r>
      <rPr>
        <sz val="10"/>
        <color rgb="FF0000FF"/>
        <rFont val="Arial"/>
        <family val="0"/>
        <charset val="1"/>
      </rPr>
      <t xml:space="preserve">NBF</t>
    </r>
    <r>
      <rPr>
        <sz val="10"/>
        <color rgb="FF0000FF"/>
        <rFont val="Noto Sans CJK SC"/>
        <family val="2"/>
      </rPr>
      <t xml:space="preserve">渋谷ガーデンフロント</t>
    </r>
  </si>
  <si>
    <t xml:space="preserve">A</t>
  </si>
  <si>
    <r>
      <rPr>
        <sz val="10"/>
        <color rgb="FF0000FF"/>
        <rFont val="Arial"/>
        <family val="0"/>
        <charset val="1"/>
      </rPr>
      <t xml:space="preserve">NBF</t>
    </r>
    <r>
      <rPr>
        <sz val="10"/>
        <color rgb="FF0000FF"/>
        <rFont val="Noto Sans CJK SC"/>
        <family val="2"/>
      </rPr>
      <t xml:space="preserve">銀座通りビル</t>
    </r>
  </si>
  <si>
    <t xml:space="preserve">興和西新橋ビルB棟</t>
  </si>
  <si>
    <t xml:space="preserve">リバーシティM-SQUARE</t>
  </si>
  <si>
    <t xml:space="preserve">新橋M-SQUARE</t>
  </si>
  <si>
    <t xml:space="preserve">NBF ALLIANCE</t>
  </si>
  <si>
    <r>
      <rPr>
        <sz val="10"/>
        <color rgb="FF0000FF"/>
        <rFont val="Arial"/>
        <family val="0"/>
        <charset val="1"/>
      </rPr>
      <t xml:space="preserve">NBF</t>
    </r>
    <r>
      <rPr>
        <sz val="10"/>
        <color rgb="FF0000FF"/>
        <rFont val="Noto Sans CJK SC"/>
        <family val="2"/>
      </rPr>
      <t xml:space="preserve">渋谷イースト</t>
    </r>
  </si>
  <si>
    <r>
      <rPr>
        <sz val="10"/>
        <color rgb="FF0000FF"/>
        <rFont val="Arial"/>
        <family val="0"/>
        <charset val="1"/>
      </rPr>
      <t xml:space="preserve">NBF</t>
    </r>
    <r>
      <rPr>
        <sz val="10"/>
        <color rgb="FF0000FF"/>
        <rFont val="Noto Sans CJK SC"/>
        <family val="2"/>
      </rPr>
      <t xml:space="preserve">高輪ビル</t>
    </r>
  </si>
  <si>
    <r>
      <rPr>
        <sz val="10"/>
        <color rgb="FF0000FF"/>
        <rFont val="Arial"/>
        <family val="0"/>
        <charset val="1"/>
      </rPr>
      <t xml:space="preserve">NBF</t>
    </r>
    <r>
      <rPr>
        <sz val="10"/>
        <color rgb="FF0000FF"/>
        <rFont val="Noto Sans CJK SC"/>
        <family val="2"/>
      </rPr>
      <t xml:space="preserve">赤坂山王スクエア</t>
    </r>
  </si>
  <si>
    <r>
      <rPr>
        <sz val="10"/>
        <color rgb="FF0000FF"/>
        <rFont val="Arial"/>
        <family val="0"/>
        <charset val="1"/>
      </rPr>
      <t xml:space="preserve">NBF</t>
    </r>
    <r>
      <rPr>
        <sz val="10"/>
        <color rgb="FF0000FF"/>
        <rFont val="Noto Sans CJK SC"/>
        <family val="2"/>
      </rPr>
      <t xml:space="preserve">神田須田町ビル</t>
    </r>
  </si>
  <si>
    <r>
      <rPr>
        <sz val="10"/>
        <color rgb="FF0000FF"/>
        <rFont val="Arial"/>
        <family val="0"/>
        <charset val="1"/>
      </rPr>
      <t xml:space="preserve">NBF</t>
    </r>
    <r>
      <rPr>
        <sz val="10"/>
        <color rgb="FF0000FF"/>
        <rFont val="Noto Sans CJK SC"/>
        <family val="2"/>
      </rPr>
      <t xml:space="preserve">小川町ビルディング</t>
    </r>
  </si>
  <si>
    <r>
      <rPr>
        <sz val="10"/>
        <color rgb="FF0000FF"/>
        <rFont val="Arial"/>
        <family val="0"/>
        <charset val="1"/>
      </rPr>
      <t xml:space="preserve">NBF</t>
    </r>
    <r>
      <rPr>
        <sz val="10"/>
        <color rgb="FF0000FF"/>
        <rFont val="Noto Sans CJK SC"/>
        <family val="2"/>
      </rPr>
      <t xml:space="preserve">東銀座スクエア</t>
    </r>
  </si>
  <si>
    <t xml:space="preserve">日本橋兜町M-SQUARE</t>
  </si>
  <si>
    <r>
      <rPr>
        <sz val="10"/>
        <color rgb="FF0000FF"/>
        <rFont val="Arial"/>
        <family val="0"/>
        <charset val="1"/>
      </rPr>
      <t xml:space="preserve">NBF</t>
    </r>
    <r>
      <rPr>
        <sz val="10"/>
        <color rgb="FF0000FF"/>
        <rFont val="Noto Sans CJK SC"/>
        <family val="2"/>
      </rPr>
      <t xml:space="preserve">八丁堀テラス</t>
    </r>
  </si>
  <si>
    <t xml:space="preserve">神宮前M-SQUARE</t>
  </si>
  <si>
    <r>
      <rPr>
        <sz val="10"/>
        <color rgb="FF0000FF"/>
        <rFont val="Arial"/>
        <family val="0"/>
        <charset val="1"/>
      </rPr>
      <t xml:space="preserve">NBF</t>
    </r>
    <r>
      <rPr>
        <sz val="10"/>
        <color rgb="FF0000FF"/>
        <rFont val="Noto Sans CJK SC"/>
        <family val="2"/>
      </rPr>
      <t xml:space="preserve">大崎ビル</t>
    </r>
  </si>
  <si>
    <r>
      <rPr>
        <sz val="10"/>
        <color rgb="FF0000FF"/>
        <rFont val="Arial"/>
        <family val="0"/>
        <charset val="1"/>
      </rPr>
      <t xml:space="preserve">CASBEE-</t>
    </r>
    <r>
      <rPr>
        <sz val="10"/>
        <color rgb="FF0000FF"/>
        <rFont val="Noto Sans CJK SC"/>
        <family val="2"/>
      </rPr>
      <t xml:space="preserve">建築</t>
    </r>
  </si>
  <si>
    <r>
      <rPr>
        <sz val="10"/>
        <color rgb="FF0000FF"/>
        <rFont val="Arial"/>
        <family val="0"/>
        <charset val="1"/>
      </rPr>
      <t xml:space="preserve">NBF</t>
    </r>
    <r>
      <rPr>
        <sz val="10"/>
        <color rgb="FF0000FF"/>
        <rFont val="Noto Sans CJK SC"/>
        <family val="2"/>
      </rPr>
      <t xml:space="preserve">豊洲キャナルフロント</t>
    </r>
  </si>
  <si>
    <r>
      <rPr>
        <sz val="10"/>
        <color rgb="FF0000FF"/>
        <rFont val="Arial"/>
        <family val="0"/>
        <charset val="1"/>
      </rPr>
      <t xml:space="preserve">NBF</t>
    </r>
    <r>
      <rPr>
        <sz val="10"/>
        <color rgb="FF0000FF"/>
        <rFont val="Noto Sans CJK SC"/>
        <family val="2"/>
      </rPr>
      <t xml:space="preserve">豊洲ガーデンフロント</t>
    </r>
  </si>
  <si>
    <t xml:space="preserve">大崎ブライトコア（ブライトプラザ）</t>
  </si>
  <si>
    <t xml:space="preserve">中目黒GTタワー</t>
  </si>
  <si>
    <r>
      <rPr>
        <sz val="10"/>
        <color rgb="FF0000FF"/>
        <rFont val="Arial"/>
        <family val="0"/>
        <charset val="1"/>
      </rPr>
      <t xml:space="preserve">NBF</t>
    </r>
    <r>
      <rPr>
        <sz val="10"/>
        <color rgb="FF0000FF"/>
        <rFont val="Noto Sans CJK SC"/>
        <family val="2"/>
      </rPr>
      <t xml:space="preserve">池袋イースト</t>
    </r>
  </si>
  <si>
    <r>
      <rPr>
        <sz val="10"/>
        <color rgb="FF0000FF"/>
        <rFont val="Arial"/>
        <family val="0"/>
        <charset val="1"/>
      </rPr>
      <t xml:space="preserve">NBF</t>
    </r>
    <r>
      <rPr>
        <sz val="10"/>
        <color rgb="FF0000FF"/>
        <rFont val="Noto Sans CJK SC"/>
        <family val="2"/>
      </rPr>
      <t xml:space="preserve">池袋タワー</t>
    </r>
  </si>
  <si>
    <r>
      <rPr>
        <sz val="10"/>
        <color rgb="FF0000FF"/>
        <rFont val="Arial"/>
        <family val="0"/>
        <charset val="1"/>
      </rPr>
      <t xml:space="preserve">NBF</t>
    </r>
    <r>
      <rPr>
        <sz val="10"/>
        <color rgb="FF0000FF"/>
        <rFont val="Noto Sans CJK SC"/>
        <family val="2"/>
      </rPr>
      <t xml:space="preserve">池袋シティビル</t>
    </r>
  </si>
  <si>
    <t xml:space="preserve">DBJ</t>
  </si>
  <si>
    <r>
      <rPr>
        <sz val="10"/>
        <color rgb="FF0000FF"/>
        <rFont val="Arial"/>
        <family val="0"/>
        <charset val="1"/>
      </rPr>
      <t xml:space="preserve">DBJ Green Building</t>
    </r>
    <r>
      <rPr>
        <sz val="10"/>
        <color rgb="FF0000FF"/>
        <rFont val="Noto Sans CJK SC"/>
        <family val="2"/>
      </rPr>
      <t xml:space="preserve">認証</t>
    </r>
  </si>
  <si>
    <t xml:space="preserve">ランク非開示（出典に物件別の星数記載なし）</t>
  </si>
  <si>
    <t xml:space="preserve">フロンティア武蔵小杉N棟・S棟</t>
  </si>
  <si>
    <t xml:space="preserve">横浜STビル</t>
  </si>
  <si>
    <r>
      <rPr>
        <sz val="10"/>
        <color rgb="FF0000FF"/>
        <rFont val="Arial"/>
        <family val="0"/>
        <charset val="1"/>
      </rPr>
      <t xml:space="preserve">NBF</t>
    </r>
    <r>
      <rPr>
        <sz val="10"/>
        <color rgb="FF0000FF"/>
        <rFont val="Noto Sans CJK SC"/>
        <family val="2"/>
      </rPr>
      <t xml:space="preserve">浦和ビル</t>
    </r>
  </si>
  <si>
    <r>
      <rPr>
        <sz val="10"/>
        <color rgb="FF0000FF"/>
        <rFont val="Arial"/>
        <family val="0"/>
        <charset val="1"/>
      </rPr>
      <t xml:space="preserve">NBF</t>
    </r>
    <r>
      <rPr>
        <sz val="10"/>
        <color rgb="FF0000FF"/>
        <rFont val="Noto Sans CJK SC"/>
        <family val="2"/>
      </rPr>
      <t xml:space="preserve">松戸ビル</t>
    </r>
  </si>
  <si>
    <r>
      <rPr>
        <sz val="10"/>
        <color rgb="FF0000FF"/>
        <rFont val="Arial"/>
        <family val="0"/>
        <charset val="1"/>
      </rPr>
      <t xml:space="preserve">NBF</t>
    </r>
    <r>
      <rPr>
        <sz val="10"/>
        <color rgb="FF0000FF"/>
        <rFont val="Noto Sans CJK SC"/>
        <family val="2"/>
      </rPr>
      <t xml:space="preserve">札幌南二条ビル</t>
    </r>
  </si>
  <si>
    <t xml:space="preserve">ZEB</t>
  </si>
  <si>
    <t xml:space="preserve">BELS</t>
  </si>
  <si>
    <r>
      <rPr>
        <sz val="10"/>
        <color rgb="FF0000FF"/>
        <rFont val="Arial"/>
        <family val="0"/>
        <charset val="1"/>
      </rPr>
      <t xml:space="preserve">D</t>
    </r>
    <r>
      <rPr>
        <sz val="10"/>
        <color rgb="FF0000FF"/>
        <rFont val="Noto Sans CJK SC"/>
        <family val="2"/>
      </rPr>
      <t xml:space="preserve">タワー富山</t>
    </r>
  </si>
  <si>
    <t xml:space="preserve">星数非開示（出典に物件別の星数記載なし）</t>
  </si>
  <si>
    <r>
      <rPr>
        <sz val="10"/>
        <color rgb="FF0000FF"/>
        <rFont val="Arial"/>
        <family val="0"/>
        <charset val="1"/>
      </rPr>
      <t xml:space="preserve">NBF</t>
    </r>
    <r>
      <rPr>
        <sz val="10"/>
        <color rgb="FF0000FF"/>
        <rFont val="Noto Sans CJK SC"/>
        <family val="2"/>
      </rPr>
      <t xml:space="preserve">名古屋広小路ビル</t>
    </r>
  </si>
  <si>
    <t xml:space="preserve">アクア堂島NBFタワー</t>
  </si>
  <si>
    <r>
      <rPr>
        <sz val="10"/>
        <color rgb="FF0000FF"/>
        <rFont val="Arial"/>
        <family val="0"/>
        <charset val="1"/>
      </rPr>
      <t xml:space="preserve">NBF</t>
    </r>
    <r>
      <rPr>
        <sz val="10"/>
        <color rgb="FF0000FF"/>
        <rFont val="Noto Sans CJK SC"/>
        <family val="2"/>
      </rPr>
      <t xml:space="preserve">松山日銀前ビル</t>
    </r>
  </si>
  <si>
    <t xml:space="preserve">博多祇園M-SQUARE</t>
  </si>
  <si>
    <r>
      <rPr>
        <sz val="10"/>
        <color rgb="FF0000FF"/>
        <rFont val="Arial"/>
        <family val="0"/>
        <charset val="1"/>
      </rPr>
      <t xml:space="preserve">NBF</t>
    </r>
    <r>
      <rPr>
        <sz val="10"/>
        <color rgb="FF0000FF"/>
        <rFont val="Noto Sans CJK SC"/>
        <family val="2"/>
      </rPr>
      <t xml:space="preserve">熊本ビル</t>
    </r>
  </si>
  <si>
    <t xml:space="preserve">★2</t>
  </si>
  <si>
    <t xml:space="preserve">★3</t>
  </si>
  <si>
    <t xml:space="preserve">★4</t>
  </si>
  <si>
    <t xml:space="preserve">★5</t>
  </si>
  <si>
    <r>
      <rPr>
        <sz val="10"/>
        <color rgb="FF0000FF"/>
        <rFont val="Arial"/>
        <family val="0"/>
        <charset val="1"/>
      </rPr>
      <t xml:space="preserve">CASBEE-</t>
    </r>
    <r>
      <rPr>
        <sz val="10"/>
        <color rgb="FF0000FF"/>
        <rFont val="Noto Sans CJK SC"/>
        <family val="2"/>
      </rPr>
      <t xml:space="preserve">不動産／建築（区分不明）</t>
    </r>
  </si>
  <si>
    <t xml:space="preserve">出典表記が「CASBEE（不動産/建築）」等で評価ツールの区分が特定不能</t>
  </si>
  <si>
    <r>
      <rPr>
        <sz val="10"/>
        <color rgb="FF0000FF"/>
        <rFont val="Arial"/>
        <family val="0"/>
        <charset val="1"/>
      </rPr>
      <t xml:space="preserve">BELS</t>
    </r>
    <r>
      <rPr>
        <sz val="10"/>
        <color rgb="FF0000FF"/>
        <rFont val="Noto Sans CJK SC"/>
        <family val="2"/>
      </rPr>
      <t xml:space="preserve">（</t>
    </r>
    <r>
      <rPr>
        <sz val="10"/>
        <color rgb="FF0000FF"/>
        <rFont val="Arial"/>
        <family val="0"/>
        <charset val="1"/>
      </rPr>
      <t xml:space="preserve">ZEB Ready</t>
    </r>
    <r>
      <rPr>
        <sz val="10"/>
        <color rgb="FF0000FF"/>
        <rFont val="Noto Sans CJK SC"/>
        <family val="2"/>
      </rPr>
      <t xml:space="preserve">）</t>
    </r>
  </si>
  <si>
    <t xml:space="preserve">星数は物件別に特定不能（ZEB取得8物件の内訳は★6×3・★5×5）</t>
  </si>
  <si>
    <t xml:space="preserve">シーバンスS棟</t>
  </si>
  <si>
    <t xml:space="preserve">★1</t>
  </si>
  <si>
    <r>
      <rPr>
        <sz val="10"/>
        <color rgb="FF0000FF"/>
        <rFont val="Arial"/>
        <family val="0"/>
        <charset val="1"/>
      </rPr>
      <t xml:space="preserve">BELS</t>
    </r>
    <r>
      <rPr>
        <sz val="10"/>
        <color rgb="FF0000FF"/>
        <rFont val="Noto Sans CJK SC"/>
        <family val="2"/>
      </rPr>
      <t xml:space="preserve">（</t>
    </r>
    <r>
      <rPr>
        <sz val="10"/>
        <color rgb="FF0000FF"/>
        <rFont val="Arial"/>
        <family val="0"/>
        <charset val="1"/>
      </rPr>
      <t xml:space="preserve">ZEB Oriented</t>
    </r>
    <r>
      <rPr>
        <sz val="10"/>
        <color rgb="FF0000FF"/>
        <rFont val="Noto Sans CJK SC"/>
        <family val="2"/>
      </rPr>
      <t xml:space="preserve">）</t>
    </r>
  </si>
  <si>
    <t xml:space="preserve">ＴＩＸＴＯＷＥＲ　ＵＥＮＯ</t>
  </si>
  <si>
    <t xml:space="preserve">北館／事務所</t>
  </si>
  <si>
    <t xml:space="preserve">うめきた広場</t>
  </si>
  <si>
    <t xml:space="preserve">グランフロント大阪（うめきた広場）</t>
  </si>
  <si>
    <t xml:space="preserve">新四curumuビル</t>
  </si>
  <si>
    <r>
      <rPr>
        <sz val="10"/>
        <color rgb="FF0000FF"/>
        <rFont val="Arial"/>
        <family val="0"/>
        <charset val="1"/>
      </rPr>
      <t xml:space="preserve">Daiwa</t>
    </r>
    <r>
      <rPr>
        <sz val="10"/>
        <color rgb="FF0000FF"/>
        <rFont val="Noto Sans CJK SC"/>
        <family val="2"/>
      </rPr>
      <t xml:space="preserve">東日本橋ビル</t>
    </r>
  </si>
  <si>
    <r>
      <rPr>
        <sz val="10"/>
        <color rgb="FF0000FF"/>
        <rFont val="Arial"/>
        <family val="0"/>
        <charset val="1"/>
      </rPr>
      <t xml:space="preserve">A</t>
    </r>
    <r>
      <rPr>
        <sz val="10"/>
        <color rgb="FF0000FF"/>
        <rFont val="Noto Sans CJK SC"/>
        <family val="2"/>
      </rPr>
      <t xml:space="preserve">棟</t>
    </r>
  </si>
  <si>
    <t xml:space="preserve">2025/10</t>
  </si>
  <si>
    <t xml:space="preserve">2022/4</t>
  </si>
  <si>
    <t xml:space="preserve">2022/10</t>
  </si>
  <si>
    <t xml:space="preserve">2025/3</t>
  </si>
  <si>
    <t xml:space="preserve">2017/4</t>
  </si>
  <si>
    <r>
      <rPr>
        <sz val="10"/>
        <color rgb="FF0000FF"/>
        <rFont val="Arial"/>
        <family val="0"/>
        <charset val="1"/>
      </rPr>
      <t xml:space="preserve">2016</t>
    </r>
    <r>
      <rPr>
        <sz val="10"/>
        <color rgb="FF0000FF"/>
        <rFont val="Noto Sans CJK SC"/>
        <family val="2"/>
      </rPr>
      <t xml:space="preserve">年度基準</t>
    </r>
  </si>
  <si>
    <t xml:space="preserve">2025/9</t>
  </si>
  <si>
    <t xml:space="preserve">2024/4</t>
  </si>
  <si>
    <t xml:space="preserve">★6</t>
  </si>
  <si>
    <t xml:space="preserve">2026/2</t>
  </si>
  <si>
    <r>
      <rPr>
        <sz val="10"/>
        <color rgb="FF0000FF"/>
        <rFont val="Arial"/>
        <family val="0"/>
        <charset val="1"/>
      </rPr>
      <t xml:space="preserve">2024</t>
    </r>
    <r>
      <rPr>
        <sz val="10"/>
        <color rgb="FF0000FF"/>
        <rFont val="Noto Sans CJK SC"/>
        <family val="2"/>
      </rPr>
      <t xml:space="preserve">年度基準／同一</t>
    </r>
    <r>
      <rPr>
        <sz val="10"/>
        <color rgb="FF0000FF"/>
        <rFont val="Arial"/>
        <family val="0"/>
        <charset val="1"/>
      </rPr>
      <t xml:space="preserve">BELS</t>
    </r>
    <r>
      <rPr>
        <sz val="10"/>
        <color rgb="FF0000FF"/>
        <rFont val="Noto Sans CJK SC"/>
        <family val="2"/>
      </rPr>
      <t xml:space="preserve">評価書の星数と</t>
    </r>
    <r>
      <rPr>
        <sz val="10"/>
        <color rgb="FF0000FF"/>
        <rFont val="Arial"/>
        <family val="0"/>
        <charset val="1"/>
      </rPr>
      <t xml:space="preserve">ZEB</t>
    </r>
    <r>
      <rPr>
        <sz val="10"/>
        <color rgb="FF0000FF"/>
        <rFont val="Noto Sans CJK SC"/>
        <family val="2"/>
      </rPr>
      <t xml:space="preserve">表記を</t>
    </r>
    <r>
      <rPr>
        <sz val="10"/>
        <color rgb="FF0000FF"/>
        <rFont val="Arial"/>
        <family val="0"/>
        <charset val="1"/>
      </rPr>
      <t xml:space="preserve">1</t>
    </r>
    <r>
      <rPr>
        <sz val="10"/>
        <color rgb="FF0000FF"/>
        <rFont val="Noto Sans CJK SC"/>
        <family val="2"/>
      </rPr>
      <t xml:space="preserve">行に統合</t>
    </r>
  </si>
  <si>
    <t xml:space="preserve">2023/4</t>
  </si>
  <si>
    <t xml:space="preserve">2017/10</t>
  </si>
  <si>
    <t xml:space="preserve">2026/4</t>
  </si>
  <si>
    <t xml:space="preserve">2022/1</t>
  </si>
  <si>
    <t xml:space="preserve">2021/9</t>
  </si>
  <si>
    <t xml:space="preserve">ウィンゴタンダビル</t>
  </si>
  <si>
    <t xml:space="preserve">2025/12</t>
  </si>
  <si>
    <t xml:space="preserve">ウィンゴタンダビル2</t>
  </si>
  <si>
    <t xml:space="preserve">2023/10</t>
  </si>
  <si>
    <t xml:space="preserve">いちご博多明治通ビル</t>
  </si>
  <si>
    <t xml:space="preserve">事務所</t>
  </si>
  <si>
    <t xml:space="preserve">芝二丁目ビルディング（事務所）</t>
  </si>
  <si>
    <t xml:space="preserve">浜離宮インターシティ（事務所）</t>
  </si>
  <si>
    <t xml:space="preserve">LEED</t>
  </si>
  <si>
    <t xml:space="preserve">LEED O+M</t>
  </si>
  <si>
    <t xml:space="preserve">Platinum</t>
  </si>
  <si>
    <t xml:space="preserve">愛宕グリーンヒルズ MORIタワー</t>
  </si>
  <si>
    <t xml:space="preserve">2021/12</t>
  </si>
  <si>
    <r>
      <rPr>
        <sz val="10"/>
        <color rgb="FF0000FF"/>
        <rFont val="Arial"/>
        <family val="0"/>
        <charset val="1"/>
      </rPr>
      <t xml:space="preserve">JPR</t>
    </r>
    <r>
      <rPr>
        <sz val="10"/>
        <color rgb="FF0000FF"/>
        <rFont val="Noto Sans CJK SC"/>
        <family val="2"/>
      </rPr>
      <t xml:space="preserve">人形町ビル</t>
    </r>
  </si>
  <si>
    <t xml:space="preserve">2024/6</t>
  </si>
  <si>
    <t xml:space="preserve">2022/6</t>
  </si>
  <si>
    <r>
      <rPr>
        <sz val="10"/>
        <color rgb="FF0000FF"/>
        <rFont val="Arial"/>
        <family val="0"/>
        <charset val="1"/>
      </rPr>
      <t xml:space="preserve">MS</t>
    </r>
    <r>
      <rPr>
        <sz val="10"/>
        <color rgb="FF0000FF"/>
        <rFont val="Noto Sans CJK SC"/>
        <family val="2"/>
      </rPr>
      <t xml:space="preserve">芝浦ビル</t>
    </r>
  </si>
  <si>
    <r>
      <rPr>
        <sz val="10"/>
        <color rgb="FF0000FF"/>
        <rFont val="Arial"/>
        <family val="0"/>
        <charset val="1"/>
      </rPr>
      <t xml:space="preserve">JPR</t>
    </r>
    <r>
      <rPr>
        <sz val="10"/>
        <color rgb="FF0000FF"/>
        <rFont val="Noto Sans CJK SC"/>
        <family val="2"/>
      </rPr>
      <t xml:space="preserve">市ヶ谷ビル</t>
    </r>
  </si>
  <si>
    <t xml:space="preserve">2023/12</t>
  </si>
  <si>
    <t xml:space="preserve">2025/6</t>
  </si>
  <si>
    <t xml:space="preserve">2022/12</t>
  </si>
  <si>
    <r>
      <rPr>
        <sz val="10"/>
        <color rgb="FF0000FF"/>
        <rFont val="Arial"/>
        <family val="0"/>
        <charset val="1"/>
      </rPr>
      <t xml:space="preserve">JPR</t>
    </r>
    <r>
      <rPr>
        <sz val="10"/>
        <color rgb="FF0000FF"/>
        <rFont val="Noto Sans CJK SC"/>
        <family val="2"/>
      </rPr>
      <t xml:space="preserve">原宿ビル</t>
    </r>
  </si>
  <si>
    <t xml:space="preserve">2020/12</t>
  </si>
  <si>
    <r>
      <rPr>
        <sz val="10"/>
        <color rgb="FF0000FF"/>
        <rFont val="Arial"/>
        <family val="0"/>
        <charset val="1"/>
      </rPr>
      <t xml:space="preserve">JPR</t>
    </r>
    <r>
      <rPr>
        <sz val="10"/>
        <color rgb="FF0000FF"/>
        <rFont val="Noto Sans CJK SC"/>
        <family val="2"/>
      </rPr>
      <t xml:space="preserve">日本橋堀留ビル</t>
    </r>
  </si>
  <si>
    <t xml:space="preserve">2023/8</t>
  </si>
  <si>
    <r>
      <rPr>
        <sz val="10"/>
        <color rgb="FF0000FF"/>
        <rFont val="Arial"/>
        <family val="0"/>
        <charset val="1"/>
      </rPr>
      <t xml:space="preserve">JPR</t>
    </r>
    <r>
      <rPr>
        <sz val="10"/>
        <color rgb="FF0000FF"/>
        <rFont val="Noto Sans CJK SC"/>
        <family val="2"/>
      </rPr>
      <t xml:space="preserve">麹町ビル</t>
    </r>
  </si>
  <si>
    <t xml:space="preserve">2024/12</t>
  </si>
  <si>
    <t xml:space="preserve">2024/10</t>
  </si>
  <si>
    <r>
      <rPr>
        <sz val="10"/>
        <color rgb="FF0000FF"/>
        <rFont val="Arial"/>
        <family val="0"/>
        <charset val="1"/>
      </rPr>
      <t xml:space="preserve">JPR</t>
    </r>
    <r>
      <rPr>
        <sz val="10"/>
        <color rgb="FF0000FF"/>
        <rFont val="Noto Sans CJK SC"/>
        <family val="2"/>
      </rPr>
      <t xml:space="preserve">渋谷タワーレコードビル</t>
    </r>
  </si>
  <si>
    <t xml:space="preserve">2023/6</t>
  </si>
  <si>
    <r>
      <rPr>
        <sz val="10"/>
        <color rgb="FF0000FF"/>
        <rFont val="Arial"/>
        <family val="0"/>
        <charset val="1"/>
      </rPr>
      <t xml:space="preserve">JPR</t>
    </r>
    <r>
      <rPr>
        <sz val="10"/>
        <color rgb="FF0000FF"/>
        <rFont val="Noto Sans CJK SC"/>
        <family val="2"/>
      </rPr>
      <t xml:space="preserve">神宮前</t>
    </r>
    <r>
      <rPr>
        <sz val="10"/>
        <color rgb="FF0000FF"/>
        <rFont val="Arial"/>
        <family val="0"/>
        <charset val="1"/>
      </rPr>
      <t xml:space="preserve">432</t>
    </r>
  </si>
  <si>
    <r>
      <rPr>
        <sz val="10"/>
        <color rgb="FF0000FF"/>
        <rFont val="Arial"/>
        <family val="0"/>
        <charset val="1"/>
      </rPr>
      <t xml:space="preserve">JPR</t>
    </r>
    <r>
      <rPr>
        <sz val="10"/>
        <color rgb="FF0000FF"/>
        <rFont val="Noto Sans CJK SC"/>
        <family val="2"/>
      </rPr>
      <t xml:space="preserve">銀座並木通りビル</t>
    </r>
  </si>
  <si>
    <r>
      <rPr>
        <sz val="10"/>
        <color rgb="FF0000FF"/>
        <rFont val="Arial"/>
        <family val="0"/>
        <charset val="1"/>
      </rPr>
      <t xml:space="preserve">FUNDES</t>
    </r>
    <r>
      <rPr>
        <sz val="10"/>
        <color rgb="FF0000FF"/>
        <rFont val="Noto Sans CJK SC"/>
        <family val="2"/>
      </rPr>
      <t xml:space="preserve">水道橋</t>
    </r>
  </si>
  <si>
    <r>
      <rPr>
        <sz val="10"/>
        <color rgb="FF0000FF"/>
        <rFont val="Arial"/>
        <family val="0"/>
        <charset val="1"/>
      </rPr>
      <t xml:space="preserve">JPR</t>
    </r>
    <r>
      <rPr>
        <sz val="10"/>
        <color rgb="FF0000FF"/>
        <rFont val="Noto Sans CJK SC"/>
        <family val="2"/>
      </rPr>
      <t xml:space="preserve">千葉ビル</t>
    </r>
  </si>
  <si>
    <t xml:space="preserve">2021/6</t>
  </si>
  <si>
    <t xml:space="preserve">B+</t>
  </si>
  <si>
    <r>
      <rPr>
        <sz val="10"/>
        <color rgb="FF0000FF"/>
        <rFont val="Arial"/>
        <family val="0"/>
        <charset val="1"/>
      </rPr>
      <t xml:space="preserve">JPR</t>
    </r>
    <r>
      <rPr>
        <sz val="10"/>
        <color rgb="FF0000FF"/>
        <rFont val="Noto Sans CJK SC"/>
        <family val="2"/>
      </rPr>
      <t xml:space="preserve">横浜ビル</t>
    </r>
  </si>
  <si>
    <t xml:space="preserve">2022/9</t>
  </si>
  <si>
    <r>
      <rPr>
        <sz val="10"/>
        <color rgb="FF0000FF"/>
        <rFont val="Arial"/>
        <family val="0"/>
        <charset val="1"/>
      </rPr>
      <t xml:space="preserve">JPR</t>
    </r>
    <r>
      <rPr>
        <sz val="10"/>
        <color rgb="FF0000FF"/>
        <rFont val="Noto Sans CJK SC"/>
        <family val="2"/>
      </rPr>
      <t xml:space="preserve">大宮ビル</t>
    </r>
  </si>
  <si>
    <r>
      <rPr>
        <sz val="10"/>
        <color rgb="FF0000FF"/>
        <rFont val="Arial"/>
        <family val="0"/>
        <charset val="1"/>
      </rPr>
      <t xml:space="preserve">JPR</t>
    </r>
    <r>
      <rPr>
        <sz val="10"/>
        <color rgb="FF0000FF"/>
        <rFont val="Noto Sans CJK SC"/>
        <family val="2"/>
      </rPr>
      <t xml:space="preserve">武蔵小杉ビル</t>
    </r>
  </si>
  <si>
    <r>
      <rPr>
        <sz val="10"/>
        <color rgb="FF0000FF"/>
        <rFont val="Arial"/>
        <family val="0"/>
        <charset val="1"/>
      </rPr>
      <t xml:space="preserve">FUNDES</t>
    </r>
    <r>
      <rPr>
        <sz val="10"/>
        <color rgb="FF0000FF"/>
        <rFont val="Noto Sans CJK SC"/>
        <family val="2"/>
      </rPr>
      <t xml:space="preserve">上野</t>
    </r>
  </si>
  <si>
    <r>
      <rPr>
        <sz val="10"/>
        <color rgb="FF0000FF"/>
        <rFont val="Arial"/>
        <family val="0"/>
        <charset val="1"/>
      </rPr>
      <t xml:space="preserve">JPR</t>
    </r>
    <r>
      <rPr>
        <sz val="10"/>
        <color rgb="FF0000FF"/>
        <rFont val="Noto Sans CJK SC"/>
        <family val="2"/>
      </rPr>
      <t xml:space="preserve">那覇ビル</t>
    </r>
  </si>
  <si>
    <r>
      <rPr>
        <sz val="10"/>
        <color rgb="FF0000FF"/>
        <rFont val="Arial"/>
        <family val="0"/>
        <charset val="1"/>
      </rPr>
      <t xml:space="preserve">JPR</t>
    </r>
    <r>
      <rPr>
        <sz val="10"/>
        <color rgb="FF0000FF"/>
        <rFont val="Noto Sans CJK SC"/>
        <family val="2"/>
      </rPr>
      <t xml:space="preserve">堂島ビル</t>
    </r>
  </si>
  <si>
    <t xml:space="preserve">2023/5</t>
  </si>
  <si>
    <r>
      <rPr>
        <sz val="10"/>
        <color rgb="FF0000FF"/>
        <rFont val="Arial"/>
        <family val="0"/>
        <charset val="1"/>
      </rPr>
      <t xml:space="preserve">JPR</t>
    </r>
    <r>
      <rPr>
        <sz val="10"/>
        <color rgb="FF0000FF"/>
        <rFont val="Noto Sans CJK SC"/>
        <family val="2"/>
      </rPr>
      <t xml:space="preserve">心斎橋ビル</t>
    </r>
  </si>
  <si>
    <r>
      <rPr>
        <sz val="10"/>
        <color rgb="FF0000FF"/>
        <rFont val="Arial"/>
        <family val="0"/>
        <charset val="1"/>
      </rPr>
      <t xml:space="preserve">JPR</t>
    </r>
    <r>
      <rPr>
        <sz val="10"/>
        <color rgb="FF0000FF"/>
        <rFont val="Noto Sans CJK SC"/>
        <family val="2"/>
      </rPr>
      <t xml:space="preserve">心斎橋ウエスト</t>
    </r>
  </si>
  <si>
    <r>
      <rPr>
        <sz val="10"/>
        <color rgb="FF0000FF"/>
        <rFont val="Arial"/>
        <family val="0"/>
        <charset val="1"/>
      </rPr>
      <t xml:space="preserve">JPR</t>
    </r>
    <r>
      <rPr>
        <sz val="10"/>
        <color rgb="FF0000FF"/>
        <rFont val="Noto Sans CJK SC"/>
        <family val="2"/>
      </rPr>
      <t xml:space="preserve">堂島ウエスト</t>
    </r>
  </si>
  <si>
    <r>
      <rPr>
        <sz val="10"/>
        <color rgb="FF0000FF"/>
        <rFont val="Arial"/>
        <family val="0"/>
        <charset val="1"/>
      </rPr>
      <t xml:space="preserve">JPR</t>
    </r>
    <r>
      <rPr>
        <sz val="10"/>
        <color rgb="FF0000FF"/>
        <rFont val="Noto Sans CJK SC"/>
        <family val="2"/>
      </rPr>
      <t xml:space="preserve">茶屋町ビル</t>
    </r>
  </si>
  <si>
    <r>
      <rPr>
        <sz val="10"/>
        <color rgb="FF0000FF"/>
        <rFont val="Arial"/>
        <family val="0"/>
        <charset val="1"/>
      </rPr>
      <t xml:space="preserve">FUNDES</t>
    </r>
    <r>
      <rPr>
        <sz val="10"/>
        <color rgb="FF0000FF"/>
        <rFont val="Noto Sans CJK SC"/>
        <family val="2"/>
      </rPr>
      <t xml:space="preserve">天神西通り</t>
    </r>
  </si>
  <si>
    <t xml:space="preserve">2022</t>
  </si>
  <si>
    <r>
      <rPr>
        <sz val="10"/>
        <color rgb="FF0000FF"/>
        <rFont val="Arial"/>
        <family val="0"/>
        <charset val="1"/>
      </rPr>
      <t xml:space="preserve">QFRONT(</t>
    </r>
    <r>
      <rPr>
        <sz val="10"/>
        <color rgb="FF0000FF"/>
        <rFont val="Noto Sans CJK SC"/>
        <family val="2"/>
      </rPr>
      <t xml:space="preserve">キューフロント</t>
    </r>
    <r>
      <rPr>
        <sz val="10"/>
        <color rgb="FF0000FF"/>
        <rFont val="Arial"/>
        <family val="0"/>
        <charset val="1"/>
      </rPr>
      <t xml:space="preserve">)</t>
    </r>
  </si>
  <si>
    <t xml:space="preserve">2026/5</t>
  </si>
  <si>
    <r>
      <rPr>
        <sz val="10"/>
        <color rgb="FF0000FF"/>
        <rFont val="Arial"/>
        <family val="0"/>
        <charset val="1"/>
      </rPr>
      <t xml:space="preserve">TOKYU REIT</t>
    </r>
    <r>
      <rPr>
        <sz val="10"/>
        <color rgb="FF0000FF"/>
        <rFont val="Noto Sans CJK SC"/>
        <family val="2"/>
      </rPr>
      <t xml:space="preserve">表参道スクエア</t>
    </r>
  </si>
  <si>
    <r>
      <rPr>
        <sz val="10"/>
        <color rgb="FF0000FF"/>
        <rFont val="Arial"/>
        <family val="0"/>
        <charset val="1"/>
      </rPr>
      <t xml:space="preserve">cocoti(</t>
    </r>
    <r>
      <rPr>
        <sz val="10"/>
        <color rgb="FF0000FF"/>
        <rFont val="Noto Sans CJK SC"/>
        <family val="2"/>
      </rPr>
      <t xml:space="preserve">ココチ</t>
    </r>
    <r>
      <rPr>
        <sz val="10"/>
        <color rgb="FF0000FF"/>
        <rFont val="Arial"/>
        <family val="0"/>
        <charset val="1"/>
      </rPr>
      <t xml:space="preserve">)</t>
    </r>
  </si>
  <si>
    <t xml:space="preserve">2024</t>
  </si>
  <si>
    <r>
      <rPr>
        <sz val="10"/>
        <color rgb="FF0000FF"/>
        <rFont val="Arial"/>
        <family val="0"/>
        <charset val="1"/>
      </rPr>
      <t xml:space="preserve">TOKYU REIT</t>
    </r>
    <r>
      <rPr>
        <sz val="10"/>
        <color rgb="FF0000FF"/>
        <rFont val="Noto Sans CJK SC"/>
        <family val="2"/>
      </rPr>
      <t xml:space="preserve">自由が丘スクエア</t>
    </r>
  </si>
  <si>
    <r>
      <rPr>
        <sz val="10"/>
        <color rgb="FF0000FF"/>
        <rFont val="Arial"/>
        <family val="0"/>
        <charset val="1"/>
      </rPr>
      <t xml:space="preserve">1F</t>
    </r>
    <r>
      <rPr>
        <sz val="10"/>
        <color rgb="FF0000FF"/>
        <rFont val="Noto Sans CJK SC"/>
        <family val="2"/>
      </rPr>
      <t xml:space="preserve">部分</t>
    </r>
  </si>
  <si>
    <t xml:space="preserve">2026/3</t>
  </si>
  <si>
    <r>
      <rPr>
        <sz val="10"/>
        <color rgb="FF0000FF"/>
        <rFont val="Arial"/>
        <family val="0"/>
        <charset val="1"/>
      </rPr>
      <t xml:space="preserve">TOKYU REIT</t>
    </r>
    <r>
      <rPr>
        <sz val="10"/>
        <color rgb="FF0000FF"/>
        <rFont val="Noto Sans CJK SC"/>
        <family val="2"/>
      </rPr>
      <t xml:space="preserve">蒲田ビル</t>
    </r>
  </si>
  <si>
    <t xml:space="preserve">2017/1</t>
  </si>
  <si>
    <t xml:space="preserve">2024/3</t>
  </si>
  <si>
    <t xml:space="preserve">2021</t>
  </si>
  <si>
    <r>
      <rPr>
        <sz val="10"/>
        <color rgb="FF0000FF"/>
        <rFont val="Arial"/>
        <family val="0"/>
        <charset val="1"/>
      </rPr>
      <t xml:space="preserve">TOKYU REIT</t>
    </r>
    <r>
      <rPr>
        <sz val="10"/>
        <color rgb="FF0000FF"/>
        <rFont val="Noto Sans CJK SC"/>
        <family val="2"/>
      </rPr>
      <t xml:space="preserve">新宿ビル</t>
    </r>
  </si>
  <si>
    <r>
      <rPr>
        <sz val="10"/>
        <color rgb="FF0000FF"/>
        <rFont val="Arial"/>
        <family val="0"/>
        <charset val="1"/>
      </rPr>
      <t xml:space="preserve">TOKYU REIT</t>
    </r>
    <r>
      <rPr>
        <sz val="10"/>
        <color rgb="FF0000FF"/>
        <rFont val="Noto Sans CJK SC"/>
        <family val="2"/>
      </rPr>
      <t xml:space="preserve">第</t>
    </r>
    <r>
      <rPr>
        <sz val="10"/>
        <color rgb="FF0000FF"/>
        <rFont val="Arial"/>
        <family val="0"/>
        <charset val="1"/>
      </rPr>
      <t xml:space="preserve">2</t>
    </r>
    <r>
      <rPr>
        <sz val="10"/>
        <color rgb="FF0000FF"/>
        <rFont val="Noto Sans CJK SC"/>
        <family val="2"/>
      </rPr>
      <t xml:space="preserve">新宿ビル</t>
    </r>
  </si>
  <si>
    <r>
      <rPr>
        <sz val="10"/>
        <color rgb="FF0000FF"/>
        <rFont val="Arial"/>
        <family val="0"/>
        <charset val="1"/>
      </rPr>
      <t xml:space="preserve">TOKYU REIT</t>
    </r>
    <r>
      <rPr>
        <sz val="10"/>
        <color rgb="FF0000FF"/>
        <rFont val="Noto Sans CJK SC"/>
        <family val="2"/>
      </rPr>
      <t xml:space="preserve">渋谷宮下公園ビル</t>
    </r>
  </si>
  <si>
    <t xml:space="preserve">LEED NC</t>
  </si>
  <si>
    <t xml:space="preserve">タワーオフィス</t>
  </si>
  <si>
    <t xml:space="preserve">Gold</t>
  </si>
  <si>
    <t xml:space="preserve">2015/8</t>
  </si>
  <si>
    <t xml:space="preserve">LEED ND</t>
  </si>
  <si>
    <t xml:space="preserve">2015/11</t>
  </si>
  <si>
    <t xml:space="preserve">大井町再開発ビル2号棟</t>
  </si>
  <si>
    <t xml:space="preserve">大井町再開発ビル1号棟</t>
  </si>
  <si>
    <t xml:space="preserve">2021/10</t>
  </si>
  <si>
    <t xml:space="preserve">2025/7</t>
  </si>
  <si>
    <t xml:space="preserve">2021/2</t>
  </si>
  <si>
    <t xml:space="preserve">2019/12</t>
  </si>
  <si>
    <t xml:space="preserve">2023/9</t>
  </si>
  <si>
    <t xml:space="preserve">2022/8</t>
  </si>
  <si>
    <t xml:space="preserve">2023/3</t>
  </si>
  <si>
    <t xml:space="preserve">2015/2</t>
  </si>
  <si>
    <t xml:space="preserve">2022/3</t>
  </si>
  <si>
    <t xml:space="preserve">2018/2</t>
  </si>
  <si>
    <t xml:space="preserve">2024/1</t>
  </si>
  <si>
    <t xml:space="preserve">2024/9</t>
  </si>
  <si>
    <t xml:space="preserve">2024/11</t>
  </si>
  <si>
    <t xml:space="preserve">2023/2</t>
  </si>
  <si>
    <t xml:space="preserve">2024/2</t>
  </si>
  <si>
    <t xml:space="preserve">プレミア・ロッソ</t>
  </si>
  <si>
    <r>
      <rPr>
        <sz val="10"/>
        <color rgb="FF0000FF"/>
        <rFont val="Arial"/>
        <family val="0"/>
        <charset val="1"/>
      </rPr>
      <t xml:space="preserve">Walk</t>
    </r>
    <r>
      <rPr>
        <sz val="10"/>
        <color rgb="FF0000FF"/>
        <rFont val="Noto Sans CJK SC"/>
        <family val="2"/>
      </rPr>
      <t xml:space="preserve">赤坂</t>
    </r>
  </si>
  <si>
    <t xml:space="preserve">芝浦アイランドエアタワー</t>
  </si>
  <si>
    <t xml:space="preserve">ユーディーエックス特定目的会社優先出資証券（秋葉原UDX）</t>
  </si>
  <si>
    <r>
      <rPr>
        <sz val="10"/>
        <color rgb="FF0000FF"/>
        <rFont val="Arial"/>
        <family val="0"/>
        <charset val="1"/>
      </rPr>
      <t xml:space="preserve">HF</t>
    </r>
    <r>
      <rPr>
        <sz val="10"/>
        <color rgb="FF0000FF"/>
        <rFont val="Noto Sans CJK SC"/>
        <family val="2"/>
      </rPr>
      <t xml:space="preserve">桜通ビルディング</t>
    </r>
  </si>
  <si>
    <r>
      <rPr>
        <sz val="10"/>
        <color rgb="FF0000FF"/>
        <rFont val="Arial"/>
        <family val="0"/>
        <charset val="1"/>
      </rPr>
      <t xml:space="preserve">HF</t>
    </r>
    <r>
      <rPr>
        <sz val="10"/>
        <color rgb="FF0000FF"/>
        <rFont val="Noto Sans CJK SC"/>
        <family val="2"/>
      </rPr>
      <t xml:space="preserve">仙台本町ビルディング</t>
    </r>
  </si>
  <si>
    <r>
      <rPr>
        <sz val="10"/>
        <color rgb="FF0000FF"/>
        <rFont val="Arial"/>
        <family val="0"/>
        <charset val="1"/>
      </rPr>
      <t xml:space="preserve">HF</t>
    </r>
    <r>
      <rPr>
        <sz val="10"/>
        <color rgb="FF0000FF"/>
        <rFont val="Noto Sans CJK SC"/>
        <family val="2"/>
      </rPr>
      <t xml:space="preserve">上野ビルディング</t>
    </r>
  </si>
  <si>
    <r>
      <rPr>
        <sz val="10"/>
        <color rgb="FF0000FF"/>
        <rFont val="Arial"/>
        <family val="0"/>
        <charset val="1"/>
      </rPr>
      <t xml:space="preserve">HF</t>
    </r>
    <r>
      <rPr>
        <sz val="10"/>
        <color rgb="FF0000FF"/>
        <rFont val="Noto Sans CJK SC"/>
        <family val="2"/>
      </rPr>
      <t xml:space="preserve">日本橋兜町ビルディング</t>
    </r>
  </si>
  <si>
    <r>
      <rPr>
        <sz val="10"/>
        <color rgb="FF0000FF"/>
        <rFont val="Arial"/>
        <family val="0"/>
        <charset val="1"/>
      </rPr>
      <t xml:space="preserve">HF</t>
    </r>
    <r>
      <rPr>
        <sz val="10"/>
        <color rgb="FF0000FF"/>
        <rFont val="Noto Sans CJK SC"/>
        <family val="2"/>
      </rPr>
      <t xml:space="preserve">仙台一番町ビルディング</t>
    </r>
  </si>
  <si>
    <r>
      <rPr>
        <sz val="10"/>
        <color rgb="FF0000FF"/>
        <rFont val="Arial"/>
        <family val="0"/>
        <charset val="1"/>
      </rPr>
      <t xml:space="preserve">HF</t>
    </r>
    <r>
      <rPr>
        <sz val="10"/>
        <color rgb="FF0000FF"/>
        <rFont val="Noto Sans CJK SC"/>
        <family val="2"/>
      </rPr>
      <t xml:space="preserve">江坂ビルディング</t>
    </r>
  </si>
  <si>
    <r>
      <rPr>
        <sz val="10"/>
        <color rgb="FF0000FF"/>
        <rFont val="Arial"/>
        <family val="0"/>
        <charset val="1"/>
      </rPr>
      <t xml:space="preserve">HF</t>
    </r>
    <r>
      <rPr>
        <sz val="10"/>
        <color rgb="FF0000FF"/>
        <rFont val="Noto Sans CJK SC"/>
        <family val="2"/>
      </rPr>
      <t xml:space="preserve">横浜山下ビルディング</t>
    </r>
  </si>
  <si>
    <r>
      <rPr>
        <sz val="10"/>
        <color rgb="FF0000FF"/>
        <rFont val="Arial"/>
        <family val="0"/>
        <charset val="1"/>
      </rPr>
      <t xml:space="preserve">HF</t>
    </r>
    <r>
      <rPr>
        <sz val="10"/>
        <color rgb="FF0000FF"/>
        <rFont val="Noto Sans CJK SC"/>
        <family val="2"/>
      </rPr>
      <t xml:space="preserve">江坂駅前ビルディング</t>
    </r>
  </si>
  <si>
    <r>
      <rPr>
        <sz val="10"/>
        <color rgb="FF0000FF"/>
        <rFont val="Arial"/>
        <family val="0"/>
        <charset val="1"/>
      </rPr>
      <t xml:space="preserve">HF</t>
    </r>
    <r>
      <rPr>
        <sz val="10"/>
        <color rgb="FF0000FF"/>
        <rFont val="Noto Sans CJK SC"/>
        <family val="2"/>
      </rPr>
      <t xml:space="preserve">白金高輪レジデンス</t>
    </r>
  </si>
  <si>
    <r>
      <rPr>
        <sz val="10"/>
        <color rgb="FF0000FF"/>
        <rFont val="Arial"/>
        <family val="0"/>
        <charset val="1"/>
      </rPr>
      <t xml:space="preserve">HF</t>
    </r>
    <r>
      <rPr>
        <sz val="10"/>
        <color rgb="FF0000FF"/>
        <rFont val="Noto Sans CJK SC"/>
        <family val="2"/>
      </rPr>
      <t xml:space="preserve">銀座レジデンス</t>
    </r>
    <r>
      <rPr>
        <sz val="10"/>
        <color rgb="FF0000FF"/>
        <rFont val="Arial"/>
        <family val="0"/>
        <charset val="1"/>
      </rPr>
      <t xml:space="preserve">EAST</t>
    </r>
  </si>
  <si>
    <r>
      <rPr>
        <sz val="10"/>
        <color rgb="FF0000FF"/>
        <rFont val="Arial"/>
        <family val="0"/>
        <charset val="1"/>
      </rPr>
      <t xml:space="preserve">HF</t>
    </r>
    <r>
      <rPr>
        <sz val="10"/>
        <color rgb="FF0000FF"/>
        <rFont val="Noto Sans CJK SC"/>
        <family val="2"/>
      </rPr>
      <t xml:space="preserve">新横浜レジデンス</t>
    </r>
  </si>
  <si>
    <r>
      <rPr>
        <sz val="10"/>
        <color rgb="FF0000FF"/>
        <rFont val="Arial"/>
        <family val="0"/>
        <charset val="1"/>
      </rPr>
      <t xml:space="preserve">HF</t>
    </r>
    <r>
      <rPr>
        <sz val="10"/>
        <color rgb="FF0000FF"/>
        <rFont val="Noto Sans CJK SC"/>
        <family val="2"/>
      </rPr>
      <t xml:space="preserve">駒沢公園レジデンス</t>
    </r>
    <r>
      <rPr>
        <sz val="10"/>
        <color rgb="FF0000FF"/>
        <rFont val="Arial"/>
        <family val="0"/>
        <charset val="1"/>
      </rPr>
      <t xml:space="preserve">TOWER</t>
    </r>
  </si>
  <si>
    <r>
      <rPr>
        <sz val="10"/>
        <color rgb="FF0000FF"/>
        <rFont val="Arial"/>
        <family val="0"/>
        <charset val="1"/>
      </rPr>
      <t xml:space="preserve">HF</t>
    </r>
    <r>
      <rPr>
        <sz val="10"/>
        <color rgb="FF0000FF"/>
        <rFont val="Noto Sans CJK SC"/>
        <family val="2"/>
      </rPr>
      <t xml:space="preserve">平尾レジデンス</t>
    </r>
  </si>
  <si>
    <r>
      <rPr>
        <sz val="10"/>
        <color rgb="FF0000FF"/>
        <rFont val="Arial"/>
        <family val="0"/>
        <charset val="1"/>
      </rPr>
      <t xml:space="preserve">HF</t>
    </r>
    <r>
      <rPr>
        <sz val="10"/>
        <color rgb="FF0000FF"/>
        <rFont val="Noto Sans CJK SC"/>
        <family val="2"/>
      </rPr>
      <t xml:space="preserve">四条河原町レジデンス</t>
    </r>
  </si>
  <si>
    <r>
      <rPr>
        <sz val="10"/>
        <color rgb="FF0000FF"/>
        <rFont val="Arial"/>
        <family val="0"/>
        <charset val="1"/>
      </rPr>
      <t xml:space="preserve">HF</t>
    </r>
    <r>
      <rPr>
        <sz val="10"/>
        <color rgb="FF0000FF"/>
        <rFont val="Noto Sans CJK SC"/>
        <family val="2"/>
      </rPr>
      <t xml:space="preserve">早稲田レジデンス</t>
    </r>
  </si>
  <si>
    <r>
      <rPr>
        <sz val="10"/>
        <color rgb="FF0000FF"/>
        <rFont val="Arial"/>
        <family val="0"/>
        <charset val="1"/>
      </rPr>
      <t xml:space="preserve">HF</t>
    </r>
    <r>
      <rPr>
        <sz val="10"/>
        <color rgb="FF0000FF"/>
        <rFont val="Noto Sans CJK SC"/>
        <family val="2"/>
      </rPr>
      <t xml:space="preserve">名駅北レジデンス</t>
    </r>
  </si>
  <si>
    <r>
      <rPr>
        <sz val="10"/>
        <color rgb="FF0000FF"/>
        <rFont val="Arial"/>
        <family val="0"/>
        <charset val="1"/>
      </rPr>
      <t xml:space="preserve">HF</t>
    </r>
    <r>
      <rPr>
        <sz val="10"/>
        <color rgb="FF0000FF"/>
        <rFont val="Noto Sans CJK SC"/>
        <family val="2"/>
      </rPr>
      <t xml:space="preserve">東札幌レジデンス</t>
    </r>
  </si>
  <si>
    <r>
      <rPr>
        <sz val="10"/>
        <color rgb="FF0000FF"/>
        <rFont val="Arial"/>
        <family val="0"/>
        <charset val="1"/>
      </rPr>
      <t xml:space="preserve">HF</t>
    </r>
    <r>
      <rPr>
        <sz val="10"/>
        <color rgb="FF0000FF"/>
        <rFont val="Noto Sans CJK SC"/>
        <family val="2"/>
      </rPr>
      <t xml:space="preserve">田端レジデンス</t>
    </r>
  </si>
  <si>
    <r>
      <rPr>
        <sz val="10"/>
        <color rgb="FF0000FF"/>
        <rFont val="Arial"/>
        <family val="0"/>
        <charset val="1"/>
      </rPr>
      <t xml:space="preserve">HF</t>
    </r>
    <r>
      <rPr>
        <sz val="10"/>
        <color rgb="FF0000FF"/>
        <rFont val="Noto Sans CJK SC"/>
        <family val="2"/>
      </rPr>
      <t xml:space="preserve">博多東レジデンスⅡ</t>
    </r>
  </si>
  <si>
    <r>
      <rPr>
        <sz val="10"/>
        <color rgb="FF0000FF"/>
        <rFont val="Arial"/>
        <family val="0"/>
        <charset val="1"/>
      </rPr>
      <t xml:space="preserve">HF</t>
    </r>
    <r>
      <rPr>
        <sz val="10"/>
        <color rgb="FF0000FF"/>
        <rFont val="Noto Sans CJK SC"/>
        <family val="2"/>
      </rPr>
      <t xml:space="preserve">福岡レジデンス</t>
    </r>
    <r>
      <rPr>
        <sz val="10"/>
        <color rgb="FF0000FF"/>
        <rFont val="Arial"/>
        <family val="0"/>
        <charset val="1"/>
      </rPr>
      <t xml:space="preserve">EAST</t>
    </r>
  </si>
  <si>
    <r>
      <rPr>
        <sz val="10"/>
        <color rgb="FF0000FF"/>
        <rFont val="Arial"/>
        <family val="0"/>
        <charset val="1"/>
      </rPr>
      <t xml:space="preserve">HF</t>
    </r>
    <r>
      <rPr>
        <sz val="10"/>
        <color rgb="FF0000FF"/>
        <rFont val="Noto Sans CJK SC"/>
        <family val="2"/>
      </rPr>
      <t xml:space="preserve">正光寺赤羽レジデンスⅡ</t>
    </r>
  </si>
  <si>
    <r>
      <rPr>
        <sz val="10"/>
        <color rgb="FF0000FF"/>
        <rFont val="Arial"/>
        <family val="0"/>
        <charset val="1"/>
      </rPr>
      <t xml:space="preserve">HF</t>
    </r>
    <r>
      <rPr>
        <sz val="10"/>
        <color rgb="FF0000FF"/>
        <rFont val="Noto Sans CJK SC"/>
        <family val="2"/>
      </rPr>
      <t xml:space="preserve">八広レジデンス</t>
    </r>
  </si>
  <si>
    <r>
      <rPr>
        <sz val="10"/>
        <color rgb="FF0000FF"/>
        <rFont val="Arial"/>
        <family val="0"/>
        <charset val="1"/>
      </rPr>
      <t xml:space="preserve">HF</t>
    </r>
    <r>
      <rPr>
        <sz val="10"/>
        <color rgb="FF0000FF"/>
        <rFont val="Noto Sans CJK SC"/>
        <family val="2"/>
      </rPr>
      <t xml:space="preserve">辻堂レジデンス</t>
    </r>
  </si>
  <si>
    <r>
      <rPr>
        <sz val="10"/>
        <color rgb="FF0000FF"/>
        <rFont val="Arial"/>
        <family val="0"/>
        <charset val="1"/>
      </rPr>
      <t xml:space="preserve">HF</t>
    </r>
    <r>
      <rPr>
        <sz val="10"/>
        <color rgb="FF0000FF"/>
        <rFont val="Noto Sans CJK SC"/>
        <family val="2"/>
      </rPr>
      <t xml:space="preserve">北千住レジデンス</t>
    </r>
  </si>
  <si>
    <r>
      <rPr>
        <sz val="10"/>
        <color rgb="FF0000FF"/>
        <rFont val="Arial"/>
        <family val="0"/>
        <charset val="1"/>
      </rPr>
      <t xml:space="preserve">LEED</t>
    </r>
    <r>
      <rPr>
        <sz val="10"/>
        <color rgb="FF0000FF"/>
        <rFont val="Noto Sans CJK SC"/>
        <family val="2"/>
      </rPr>
      <t xml:space="preserve">（種別不明）</t>
    </r>
  </si>
  <si>
    <t xml:space="preserve">出典にLEEDの認証システム種別（BD+C/O+M/ND等）の記載なし</t>
  </si>
  <si>
    <r>
      <rPr>
        <sz val="10"/>
        <color rgb="FF0000FF"/>
        <rFont val="Arial"/>
        <family val="0"/>
        <charset val="1"/>
      </rPr>
      <t xml:space="preserve">CASBEE-</t>
    </r>
    <r>
      <rPr>
        <sz val="10"/>
        <color rgb="FF0000FF"/>
        <rFont val="Noto Sans CJK SC"/>
        <family val="2"/>
      </rPr>
      <t xml:space="preserve">ウェルネスオフィス</t>
    </r>
  </si>
  <si>
    <r>
      <rPr>
        <sz val="10"/>
        <color rgb="FF0000FF"/>
        <rFont val="Arial"/>
        <family val="0"/>
        <charset val="1"/>
      </rPr>
      <t xml:space="preserve">HK</t>
    </r>
    <r>
      <rPr>
        <sz val="10"/>
        <color rgb="FF0000FF"/>
        <rFont val="Noto Sans CJK SC"/>
        <family val="2"/>
      </rPr>
      <t xml:space="preserve">淀屋橋ガーデンアベニュー</t>
    </r>
  </si>
  <si>
    <r>
      <rPr>
        <sz val="10"/>
        <color rgb="FF0000FF"/>
        <rFont val="Arial"/>
        <family val="0"/>
        <charset val="1"/>
      </rPr>
      <t xml:space="preserve">KDX</t>
    </r>
    <r>
      <rPr>
        <sz val="10"/>
        <color rgb="FF0000FF"/>
        <rFont val="Noto Sans CJK SC"/>
        <family val="2"/>
      </rPr>
      <t xml:space="preserve">レジデンス上石神井Ⅱ</t>
    </r>
  </si>
  <si>
    <t xml:space="preserve">棟別にSランク・Aランク（出典表記「S/A」、代表してSを記載）</t>
  </si>
  <si>
    <t xml:space="preserve">沖縄プリンスホテル オーシャンビューぎのわん</t>
  </si>
  <si>
    <t xml:space="preserve">プレザングラン 大田多摩川</t>
  </si>
  <si>
    <t xml:space="preserve">セントラル・リート投資法人 公式サイト「外部認証・評価の取得」（2026年3月30日現在）</t>
  </si>
  <si>
    <t xml:space="preserve">合計</t>
  </si>
  <si>
    <r>
      <rPr>
        <sz val="10"/>
        <color rgb="FF0000FF"/>
        <rFont val="Arial"/>
        <family val="0"/>
        <charset val="1"/>
      </rPr>
      <t xml:space="preserve">One</t>
    </r>
    <r>
      <rPr>
        <sz val="10"/>
        <color rgb="FF0000FF"/>
        <rFont val="Noto Sans CJK SC"/>
        <family val="2"/>
      </rPr>
      <t xml:space="preserve">リート投資法人 公式サイト「グリーンビルディング認証」（</t>
    </r>
    <r>
      <rPr>
        <sz val="10"/>
        <color rgb="FF0000FF"/>
        <rFont val="Arial"/>
        <family val="0"/>
        <charset val="1"/>
      </rPr>
      <t xml:space="preserve">2026</t>
    </r>
    <r>
      <rPr>
        <sz val="10"/>
        <color rgb="FF0000FF"/>
        <rFont val="Noto Sans CJK SC"/>
        <family val="2"/>
      </rPr>
      <t xml:space="preserve">年時点）</t>
    </r>
  </si>
  <si>
    <t xml:space="preserve">2023</t>
  </si>
  <si>
    <t xml:space="preserve">2025</t>
  </si>
  <si>
    <t xml:space="preserve">2026</t>
  </si>
  <si>
    <t xml:space="preserve">2017</t>
  </si>
  <si>
    <t xml:space="preserve">DBJ Green Building</t>
  </si>
  <si>
    <r>
      <rPr>
        <sz val="10"/>
        <color rgb="FF0000FF"/>
        <rFont val="Arial"/>
        <family val="0"/>
        <charset val="1"/>
      </rPr>
      <t xml:space="preserve">CASBEE: </t>
    </r>
    <r>
      <rPr>
        <sz val="10"/>
        <color rgb="FF0000FF"/>
        <rFont val="Noto Sans CJK SC"/>
        <family val="2"/>
      </rPr>
      <t xml:space="preserve">「</t>
    </r>
    <r>
      <rPr>
        <sz val="10"/>
        <color rgb="FF0000FF"/>
        <rFont val="Arial"/>
        <family val="0"/>
        <charset val="1"/>
      </rPr>
      <t xml:space="preserve">CASBEE-</t>
    </r>
    <r>
      <rPr>
        <sz val="10"/>
        <color rgb="FF0000FF"/>
        <rFont val="Noto Sans CJK SC"/>
        <family val="2"/>
      </rPr>
      <t xml:space="preserve">不動産」「</t>
    </r>
    <r>
      <rPr>
        <sz val="10"/>
        <color rgb="FF0000FF"/>
        <rFont val="Arial"/>
        <family val="0"/>
        <charset val="1"/>
      </rPr>
      <t xml:space="preserve">CASBEE-</t>
    </r>
    <r>
      <rPr>
        <sz val="10"/>
        <color rgb="FF0000FF"/>
        <rFont val="Noto Sans CJK SC"/>
        <family val="2"/>
      </rPr>
      <t xml:space="preserve">建築」「</t>
    </r>
    <r>
      <rPr>
        <sz val="10"/>
        <color rgb="FF0000FF"/>
        <rFont val="Arial"/>
        <family val="0"/>
        <charset val="1"/>
      </rPr>
      <t xml:space="preserve">CASBEE-</t>
    </r>
    <r>
      <rPr>
        <sz val="10"/>
        <color rgb="FF0000FF"/>
        <rFont val="Noto Sans CJK SC"/>
        <family val="2"/>
      </rPr>
      <t xml:space="preserve">ウェルネスオフィス」に統一。出典が評価ツールを特定していないものは「</t>
    </r>
    <r>
      <rPr>
        <sz val="10"/>
        <color rgb="FF0000FF"/>
        <rFont val="Arial"/>
        <family val="0"/>
        <charset val="1"/>
      </rPr>
      <t xml:space="preserve">CASBEE-</t>
    </r>
    <r>
      <rPr>
        <sz val="10"/>
        <color rgb="FF0000FF"/>
        <rFont val="Noto Sans CJK SC"/>
        <family val="2"/>
      </rPr>
      <t xml:space="preserve">不動産／建築（区分不明）」。</t>
    </r>
  </si>
  <si>
    <t xml:space="preserve">サマリー(2026/4/30): CASBEE21(S12/A9)・DBJ23(★5×1/★4×6/★3×16)・BELS3(★5×1/★3×2)。掲載一覧と完全一致検算済。東京都低炭素モデルビル7物件は対象5分類外のため非収録。秋葉原UDXは優先出資証券のためDB上の名寄せ確認要</t>
  </si>
  <si>
    <t xml:space="preserve">サマリー(2026/5末): CASBEE不動産31(S16/A15)・DBJ2(★4×1/★3×1)・BELS7(★5×1/★4×1/★3×2/★2×2/★1×1)・環境認証計37物件70.6%。BELSのZEB表示有無はページ記載なし</t>
  </si>
  <si>
    <t xml:space="preserve">サマリー(2026/3/31): 環境認証取得15棟96.7%・CASBEE不動産11棟・DBJ3棟・BELS5棟。CASBEEはページ掲載10件(S9/A1)でサマリー11棟と1件差(掲載外1件は特定不能)。BELSの★数・ZEB表示はページ上画像のみで判読不能のためランク欄空欄</t>
  </si>
  <si>
    <t xml:space="preserve">サマリー(2024/11末): DBJ9件(★4×1/★3×6/★2×2、物件別ランクはレポート上画像のみで判別不能のためランク欄空欄・内訳は本注記に記載)・CASBEE不動産23件(S9/A14)・BELS2件(★2×2)。SMBCサステイナブルビルディング評価(HF桜通1件)は対象5分類外。栄センタービルは事務所部分の認証。HF名駅北は東棟・西棟一体</t>
  </si>
  <si>
    <r>
      <rPr>
        <sz val="11"/>
        <color theme="1"/>
        <rFont val="Calibri"/>
        <family val="2"/>
        <charset val="1"/>
      </rPr>
      <t xml:space="preserve">CASBEE-</t>
    </r>
    <r>
      <rPr>
        <sz val="11"/>
        <color theme="1"/>
        <rFont val="Noto Sans CJK SC"/>
        <family val="2"/>
      </rPr>
      <t xml:space="preserve">不動産</t>
    </r>
  </si>
  <si>
    <t xml:space="preserve">出典はサステナビリティファイナンスのインパクト・レポーティング(グリーン適格資産28物件、認証は2026/3/31時点)。適格基準(CASBEE B+以上・BELS3★以上等)未満の認証は掲載対象外の可能性あり。大井町1号・2号棟は一体建物として認証取得(注記あり)。CASBEE24(S14/A10)・DBJ7・BELS10</t>
  </si>
  <si>
    <t xml:space="preserve">英語版ESGページから収録(取得日付き)。西参道はA/B棟別認証を同一物件に2行収録。東京都低炭素モデル建物(8物件)は対象5分類外のため非収録</t>
  </si>
  <si>
    <t xml:space="preserve">サマリー(2026/6末): CASBEE不動産29物件(S19/A10)・BELS4(★4×1/★3×2/★2×1)・LEED1。芝二丁目・浜離宮は事務所/住宅別認証を同一物件に複数行収録。検算一致</t>
  </si>
  <si>
    <t xml:space="preserve">サマリー(2025/12): CASBEE43(S26/A16/B+1)・DBJ6・BELS5(うちZEB Oriented1/Ready1)=54件。掲載一覧はCASBEE42件(S26/A15/B+1)でサマリー43件と1件差(ページ掲載外1件は特定不能)。DBJ6・BELS5は一致</t>
  </si>
  <si>
    <t xml:space="preserve">サマリー: DBJ29件(★5×5/★4×10/★3×14)・CASBEE不動産S30+A11・CASBEE建築新築A2/既存A1・BELS19件(6★3/5★6/3★2/2★2/1★6)・ZEB8件。PDF機械抽出でDBJ★3の1件が判別不能(28件収録)。CASBEE Aランク14件の不動産/建築の物件別内訳は一覧上判別不能のため統合表記</t>
  </si>
  <si>
    <t xml:space="preserve">サマリー(2026/6/30): CASBEE不動産167(S49/A115/B+5)・CASBEE建築A1・ウェルネスA1・BELS10・DBJ(★4×13/★3×45/★2×4)・ResReal4。物件別一覧は2026/4/30時点で時点差あり。ResReal(不動産レジリエンス認証4件)は対象5分類外のため非収録。ケーズデンキ青森本店はCASBEE不動産S/A併記(棟別評価)のため1行でランクS/A表記</t>
  </si>
  <si>
    <r>
      <rPr>
        <sz val="10"/>
        <color rgb="FF0000FF"/>
        <rFont val="Arial"/>
        <family val="0"/>
        <charset val="1"/>
      </rPr>
      <t xml:space="preserve">LEED: </t>
    </r>
    <r>
      <rPr>
        <sz val="10"/>
        <color rgb="FF0000FF"/>
        <rFont val="Noto Sans CJK SC"/>
        <family val="2"/>
      </rPr>
      <t xml:space="preserve">認証システム種別まで含めて「</t>
    </r>
    <r>
      <rPr>
        <sz val="10"/>
        <color rgb="FF0000FF"/>
        <rFont val="Arial"/>
        <family val="0"/>
        <charset val="1"/>
      </rPr>
      <t xml:space="preserve">LEED O+M</t>
    </r>
    <r>
      <rPr>
        <sz val="10"/>
        <color rgb="FF0000FF"/>
        <rFont val="Noto Sans CJK SC"/>
        <family val="2"/>
      </rPr>
      <t xml:space="preserve">」「</t>
    </r>
    <r>
      <rPr>
        <sz val="10"/>
        <color rgb="FF0000FF"/>
        <rFont val="Arial"/>
        <family val="0"/>
        <charset val="1"/>
      </rPr>
      <t xml:space="preserve">LEED ND</t>
    </r>
    <r>
      <rPr>
        <sz val="10"/>
        <color rgb="FF0000FF"/>
        <rFont val="Noto Sans CJK SC"/>
        <family val="2"/>
      </rPr>
      <t xml:space="preserve">」「</t>
    </r>
    <r>
      <rPr>
        <sz val="10"/>
        <color rgb="FF0000FF"/>
        <rFont val="Arial"/>
        <family val="0"/>
        <charset val="1"/>
      </rPr>
      <t xml:space="preserve">LEED NC</t>
    </r>
    <r>
      <rPr>
        <sz val="10"/>
        <color rgb="FF0000FF"/>
        <rFont val="Noto Sans CJK SC"/>
        <family val="2"/>
      </rPr>
      <t xml:space="preserve">」と表記。出典が種別未開示のものは「</t>
    </r>
    <r>
      <rPr>
        <sz val="10"/>
        <color rgb="FF0000FF"/>
        <rFont val="Arial"/>
        <family val="0"/>
        <charset val="1"/>
      </rPr>
      <t xml:space="preserve">LEED</t>
    </r>
    <r>
      <rPr>
        <sz val="10"/>
        <color rgb="FF0000FF"/>
        <rFont val="Noto Sans CJK SC"/>
        <family val="2"/>
      </rPr>
      <t xml:space="preserve">（種別不明）」。</t>
    </r>
  </si>
  <si>
    <r>
      <rPr>
        <sz val="11"/>
        <color theme="1"/>
        <rFont val="Calibri"/>
        <family val="2"/>
        <charset val="1"/>
      </rPr>
      <t xml:space="preserve">One</t>
    </r>
    <r>
      <rPr>
        <sz val="11"/>
        <color theme="1"/>
        <rFont val="Noto Sans CJK SC"/>
        <family val="2"/>
      </rPr>
      <t xml:space="preserve">リート投資法人 公式サイト「グリーンビルディング認証」（</t>
    </r>
    <r>
      <rPr>
        <sz val="11"/>
        <color theme="1"/>
        <rFont val="Calibri"/>
        <family val="2"/>
        <charset val="1"/>
      </rPr>
      <t xml:space="preserve">2026</t>
    </r>
    <r>
      <rPr>
        <sz val="11"/>
        <color theme="1"/>
        <rFont val="Noto Sans CJK SC"/>
        <family val="2"/>
      </rPr>
      <t xml:space="preserve">年時点）</t>
    </r>
  </si>
  <si>
    <t xml:space="preserve">認証保有8/10物件(底地ラフォーレ原宿除く・取得価格ベース93.8%)。DBJは「国内トップクラス」表記=最高ランク★5。検算一致(CASBEE7+DBJ1)</t>
  </si>
  <si>
    <r>
      <rPr>
        <sz val="11"/>
        <color theme="1"/>
        <rFont val="Calibri"/>
        <family val="2"/>
        <charset val="1"/>
      </rPr>
      <t xml:space="preserve">ONEST</t>
    </r>
    <r>
      <rPr>
        <sz val="11"/>
        <color theme="1"/>
        <rFont val="Noto Sans CJK SC"/>
        <family val="2"/>
      </rPr>
      <t xml:space="preserve">錦糸町スクエア</t>
    </r>
  </si>
  <si>
    <r>
      <rPr>
        <sz val="10"/>
        <color rgb="FF0000FF"/>
        <rFont val="Arial"/>
        <family val="0"/>
        <charset val="1"/>
      </rPr>
      <t xml:space="preserve">19</t>
    </r>
    <r>
      <rPr>
        <sz val="10"/>
        <color rgb="FF0000FF"/>
        <rFont val="Noto Sans CJK SC"/>
        <family val="2"/>
      </rPr>
      <t xml:space="preserve">物件で認証取得</t>
    </r>
    <r>
      <rPr>
        <sz val="10"/>
        <color rgb="FF0000FF"/>
        <rFont val="Arial"/>
        <family val="0"/>
        <charset val="1"/>
      </rPr>
      <t xml:space="preserve">(</t>
    </r>
    <r>
      <rPr>
        <sz val="10"/>
        <color rgb="FF0000FF"/>
        <rFont val="Noto Sans CJK SC"/>
        <family val="2"/>
      </rPr>
      <t xml:space="preserve">底地フレスポ稲毛除き物件数・面積とも</t>
    </r>
    <r>
      <rPr>
        <sz val="10"/>
        <color rgb="FF0000FF"/>
        <rFont val="Arial"/>
        <family val="0"/>
        <charset val="1"/>
      </rPr>
      <t xml:space="preserve">100%)</t>
    </r>
    <r>
      <rPr>
        <sz val="10"/>
        <color rgb="FF0000FF"/>
        <rFont val="Noto Sans CJK SC"/>
        <family val="2"/>
      </rPr>
      <t xml:space="preserve">。</t>
    </r>
    <r>
      <rPr>
        <sz val="10"/>
        <color rgb="FF0000FF"/>
        <rFont val="Arial"/>
        <family val="0"/>
        <charset val="1"/>
      </rPr>
      <t xml:space="preserve">DBJ</t>
    </r>
    <r>
      <rPr>
        <sz val="10"/>
        <color rgb="FF0000FF"/>
        <rFont val="Noto Sans CJK SC"/>
        <family val="2"/>
      </rPr>
      <t xml:space="preserve">は評価語表記を★数に換算</t>
    </r>
    <r>
      <rPr>
        <sz val="10"/>
        <color rgb="FF0000FF"/>
        <rFont val="Arial"/>
        <family val="0"/>
        <charset val="1"/>
      </rPr>
      <t xml:space="preserve">(</t>
    </r>
    <r>
      <rPr>
        <sz val="10"/>
        <color rgb="FF0000FF"/>
        <rFont val="Noto Sans CJK SC"/>
        <family val="2"/>
      </rPr>
      <t xml:space="preserve">凡例</t>
    </r>
    <r>
      <rPr>
        <sz val="10"/>
        <color rgb="FF0000FF"/>
        <rFont val="Arial"/>
        <family val="0"/>
        <charset val="1"/>
      </rPr>
      <t xml:space="preserve">: </t>
    </r>
    <r>
      <rPr>
        <sz val="10"/>
        <color rgb="FF0000FF"/>
        <rFont val="Noto Sans CJK SC"/>
        <family val="2"/>
      </rPr>
      <t xml:space="preserve">国内トップクラス★</t>
    </r>
    <r>
      <rPr>
        <sz val="10"/>
        <color rgb="FF0000FF"/>
        <rFont val="Arial"/>
        <family val="0"/>
        <charset val="1"/>
      </rPr>
      <t xml:space="preserve">5/</t>
    </r>
    <r>
      <rPr>
        <sz val="10"/>
        <color rgb="FF0000FF"/>
        <rFont val="Noto Sans CJK SC"/>
        <family val="2"/>
      </rPr>
      <t xml:space="preserve">極めて優れた★</t>
    </r>
    <r>
      <rPr>
        <sz val="10"/>
        <color rgb="FF0000FF"/>
        <rFont val="Arial"/>
        <family val="0"/>
        <charset val="1"/>
      </rPr>
      <t xml:space="preserve">4/</t>
    </r>
    <r>
      <rPr>
        <sz val="10"/>
        <color rgb="FF0000FF"/>
        <rFont val="Noto Sans CJK SC"/>
        <family val="2"/>
      </rPr>
      <t xml:space="preserve">非常に優れた★</t>
    </r>
    <r>
      <rPr>
        <sz val="10"/>
        <color rgb="FF0000FF"/>
        <rFont val="Arial"/>
        <family val="0"/>
        <charset val="1"/>
      </rPr>
      <t xml:space="preserve">3/</t>
    </r>
    <r>
      <rPr>
        <sz val="10"/>
        <color rgb="FF0000FF"/>
        <rFont val="Noto Sans CJK SC"/>
        <family val="2"/>
      </rPr>
      <t xml:space="preserve">優れた★</t>
    </r>
    <r>
      <rPr>
        <sz val="10"/>
        <color rgb="FF0000FF"/>
        <rFont val="Arial"/>
        <family val="0"/>
        <charset val="1"/>
      </rPr>
      <t xml:space="preserve">2)</t>
    </r>
    <r>
      <rPr>
        <sz val="10"/>
        <color rgb="FF0000FF"/>
        <rFont val="Noto Sans CJK SC"/>
        <family val="2"/>
      </rPr>
      <t xml:space="preserve">。紀尾井町・渋谷フラッグは事務所</t>
    </r>
    <r>
      <rPr>
        <sz val="10"/>
        <color rgb="FF0000FF"/>
        <rFont val="Arial"/>
        <family val="0"/>
        <charset val="1"/>
      </rPr>
      <t xml:space="preserve">/</t>
    </r>
    <r>
      <rPr>
        <sz val="10"/>
        <color rgb="FF0000FF"/>
        <rFont val="Noto Sans CJK SC"/>
        <family val="2"/>
      </rPr>
      <t xml:space="preserve">住宅・店舗別認証を同一物件に</t>
    </r>
    <r>
      <rPr>
        <sz val="10"/>
        <color rgb="FF0000FF"/>
        <rFont val="Arial"/>
        <family val="0"/>
        <charset val="1"/>
      </rPr>
      <t xml:space="preserve">2</t>
    </r>
    <r>
      <rPr>
        <sz val="10"/>
        <color rgb="FF0000FF"/>
        <rFont val="Noto Sans CJK SC"/>
        <family val="2"/>
      </rPr>
      <t xml:space="preserve">行収録。東京都建築物省エネルギー性能評価書</t>
    </r>
    <r>
      <rPr>
        <sz val="10"/>
        <color rgb="FF0000FF"/>
        <rFont val="Arial"/>
        <family val="0"/>
        <charset val="1"/>
      </rPr>
      <t xml:space="preserve">(</t>
    </r>
    <r>
      <rPr>
        <sz val="10"/>
        <color rgb="FF0000FF"/>
        <rFont val="Noto Sans CJK SC"/>
        <family val="2"/>
      </rPr>
      <t xml:space="preserve">神谷町・京橋トラストタワー</t>
    </r>
    <r>
      <rPr>
        <sz val="10"/>
        <color rgb="FF0000FF"/>
        <rFont val="Arial"/>
        <family val="0"/>
        <charset val="1"/>
      </rPr>
      <t xml:space="preserve">)</t>
    </r>
    <r>
      <rPr>
        <sz val="10"/>
        <color rgb="FF0000FF"/>
        <rFont val="Noto Sans CJK SC"/>
        <family val="2"/>
      </rPr>
      <t xml:space="preserve">は対象</t>
    </r>
    <r>
      <rPr>
        <sz val="10"/>
        <color rgb="FF0000FF"/>
        <rFont val="Arial"/>
        <family val="0"/>
        <charset val="1"/>
      </rPr>
      <t xml:space="preserve">5</t>
    </r>
    <r>
      <rPr>
        <sz val="10"/>
        <color rgb="FF0000FF"/>
        <rFont val="Noto Sans CJK SC"/>
        <family val="2"/>
      </rPr>
      <t xml:space="preserve">分類外</t>
    </r>
  </si>
  <si>
    <r>
      <rPr>
        <sz val="11"/>
        <color theme="1"/>
        <rFont val="Calibri"/>
        <family val="2"/>
        <charset val="1"/>
      </rPr>
      <t xml:space="preserve">ONEST</t>
    </r>
    <r>
      <rPr>
        <sz val="11"/>
        <color theme="1"/>
        <rFont val="Noto Sans CJK SC"/>
        <family val="2"/>
      </rPr>
      <t xml:space="preserve">本郷スクエア</t>
    </r>
  </si>
  <si>
    <r>
      <rPr>
        <sz val="11"/>
        <color theme="1"/>
        <rFont val="Calibri"/>
        <family val="2"/>
        <charset val="1"/>
      </rPr>
      <t xml:space="preserve">ONEST</t>
    </r>
    <r>
      <rPr>
        <sz val="11"/>
        <color theme="1"/>
        <rFont val="Noto Sans CJK SC"/>
        <family val="2"/>
      </rPr>
      <t xml:space="preserve">神田西福田町ビル</t>
    </r>
  </si>
  <si>
    <t xml:space="preserve">フロンティア武蔵小杉はN棟S・S棟A(代表N棟S)。取得状況表: CASBEE不動産68物件(S48/A20)・取得率98.6%(底地NBF虎ノ門除く)</t>
  </si>
  <si>
    <r>
      <rPr>
        <sz val="11"/>
        <color theme="1"/>
        <rFont val="Calibri"/>
        <family val="2"/>
        <charset val="1"/>
      </rPr>
      <t xml:space="preserve">ONEST</t>
    </r>
    <r>
      <rPr>
        <sz val="11"/>
        <color theme="1"/>
        <rFont val="Noto Sans CJK SC"/>
        <family val="2"/>
      </rPr>
      <t xml:space="preserve">横浜西口ビル</t>
    </r>
  </si>
  <si>
    <r>
      <rPr>
        <sz val="11"/>
        <color theme="1"/>
        <rFont val="Calibri"/>
        <family val="2"/>
        <charset val="1"/>
      </rPr>
      <t xml:space="preserve">ONEST</t>
    </r>
    <r>
      <rPr>
        <sz val="11"/>
        <color theme="1"/>
        <rFont val="Noto Sans CJK SC"/>
        <family val="2"/>
      </rPr>
      <t xml:space="preserve">上野御徒町ビル</t>
    </r>
  </si>
  <si>
    <r>
      <rPr>
        <sz val="11"/>
        <color theme="1"/>
        <rFont val="Calibri"/>
        <family val="2"/>
        <charset val="1"/>
      </rPr>
      <t xml:space="preserve">ONEST</t>
    </r>
    <r>
      <rPr>
        <sz val="11"/>
        <color theme="1"/>
        <rFont val="Noto Sans CJK SC"/>
        <family val="2"/>
      </rPr>
      <t xml:space="preserve">名古屋錦スクエア</t>
    </r>
  </si>
  <si>
    <t xml:space="preserve">サマリー(2026/4/30): CASBEE不動産103(S35/A67/B+1)・LEED2(Gold)・BELS10(★5×9/★2×1)。掲載一覧のカウント検算はDB統合時に実施。BELS★5×9はZEH物件と同一(積水ハウスZEH、住戸単位)。Fitwel Built認証(アイビーオンボーレン★)は対象5分類外。CASBEEウェルネスオフィス(本町南A)はCASBEEとして収録</t>
  </si>
  <si>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月期決算説明資料にポートフォリオ環境認証取得割合</t>
    </r>
    <r>
      <rPr>
        <sz val="10"/>
        <color rgb="FF0000FF"/>
        <rFont val="Arial"/>
        <family val="0"/>
        <charset val="1"/>
      </rPr>
      <t xml:space="preserve">47.6%</t>
    </r>
    <r>
      <rPr>
        <sz val="10"/>
        <color rgb="FF0000FF"/>
        <rFont val="Noto Sans CJK SC"/>
        <family val="2"/>
      </rPr>
      <t xml:space="preserve">と記載</t>
    </r>
    <r>
      <rPr>
        <sz val="10"/>
        <color rgb="FF0000FF"/>
        <rFont val="Arial"/>
        <family val="0"/>
        <charset val="1"/>
      </rPr>
      <t xml:space="preserve">(</t>
    </r>
    <r>
      <rPr>
        <sz val="10"/>
        <color rgb="FF0000FF"/>
        <rFont val="Noto Sans CJK SC"/>
        <family val="2"/>
      </rPr>
      <t xml:space="preserve">算定基準・対象物件の内訳は同資料上画像掲載で特定不能</t>
    </r>
    <r>
      <rPr>
        <sz val="10"/>
        <color rgb="FF0000FF"/>
        <rFont val="Arial"/>
        <family val="0"/>
        <charset val="1"/>
      </rPr>
      <t xml:space="preserve">)</t>
    </r>
    <r>
      <rPr>
        <sz val="10"/>
        <color rgb="FF0000FF"/>
        <rFont val="Noto Sans CJK SC"/>
        <family val="2"/>
      </rPr>
      <t xml:space="preserve">。物件別に特定できたのは</t>
    </r>
    <r>
      <rPr>
        <sz val="10"/>
        <color rgb="FF0000FF"/>
        <rFont val="Arial"/>
        <family val="0"/>
        <charset val="1"/>
      </rPr>
      <t xml:space="preserve">2025/3/31</t>
    </r>
    <r>
      <rPr>
        <sz val="10"/>
        <color rgb="FF0000FF"/>
        <rFont val="Noto Sans CJK SC"/>
        <family val="2"/>
      </rPr>
      <t xml:space="preserve">取得の</t>
    </r>
    <r>
      <rPr>
        <sz val="10"/>
        <color rgb="FF0000FF"/>
        <rFont val="Arial"/>
        <family val="0"/>
        <charset val="1"/>
      </rPr>
      <t xml:space="preserve">DBJ4</t>
    </r>
    <r>
      <rPr>
        <sz val="10"/>
        <color rgb="FF0000FF"/>
        <rFont val="Noto Sans CJK SC"/>
        <family val="2"/>
      </rPr>
      <t xml:space="preserve">物件</t>
    </r>
    <r>
      <rPr>
        <sz val="10"/>
        <color rgb="FF0000FF"/>
        <rFont val="Arial"/>
        <family val="0"/>
        <charset val="1"/>
      </rPr>
      <t xml:space="preserve">(★</t>
    </r>
    <r>
      <rPr>
        <sz val="10"/>
        <color rgb="FF0000FF"/>
        <rFont val="Noto Sans CJK SC"/>
        <family val="2"/>
      </rPr>
      <t xml:space="preserve">数はプレス上特定不能のためランク空欄</t>
    </r>
    <r>
      <rPr>
        <sz val="10"/>
        <color rgb="FF0000FF"/>
        <rFont val="Arial"/>
        <family val="0"/>
        <charset val="1"/>
      </rPr>
      <t xml:space="preserve">)</t>
    </r>
    <r>
      <rPr>
        <sz val="10"/>
        <color rgb="FF0000FF"/>
        <rFont val="Noto Sans CJK SC"/>
        <family val="2"/>
      </rPr>
      <t xml:space="preserve">。他の認証物件が存在する可能性はあるが開示資料から特定不能</t>
    </r>
  </si>
  <si>
    <r>
      <rPr>
        <sz val="11"/>
        <color theme="1"/>
        <rFont val="Calibri"/>
        <family val="2"/>
        <charset val="1"/>
      </rPr>
      <t xml:space="preserve">ONEST</t>
    </r>
    <r>
      <rPr>
        <sz val="11"/>
        <color theme="1"/>
        <rFont val="Noto Sans CJK SC"/>
        <family val="2"/>
      </rPr>
      <t xml:space="preserve">西五反田スクエア</t>
    </r>
  </si>
  <si>
    <r>
      <rPr>
        <sz val="11"/>
        <color theme="1"/>
        <rFont val="Calibri"/>
        <family val="2"/>
        <charset val="1"/>
      </rPr>
      <t xml:space="preserve">ONEST</t>
    </r>
    <r>
      <rPr>
        <sz val="11"/>
        <color theme="1"/>
        <rFont val="Noto Sans CJK SC"/>
        <family val="2"/>
      </rPr>
      <t xml:space="preserve">神田スクエア</t>
    </r>
  </si>
  <si>
    <t xml:space="preserve">サマリー(2026/6/4): CASBEE14(S5/A9)・BELS12・LEED1物件(認証2件)・計21物件。BELSはページ掲載11件でサマリー12件と1件差(掲載外1件は特定不能)。DBJ・WELLの取得記載なし。JHEP(二子玉川ライズAAA)は対象5分類外</t>
  </si>
  <si>
    <t xml:space="preserve">ランク: CASBEE=S/A/B+、DBJ・BELS=★数、LEED=Platinum/Gold。空欄は出典に物件別ランクの記載がないもの(備考に理由を記載)。</t>
  </si>
  <si>
    <r>
      <rPr>
        <sz val="11"/>
        <color theme="1"/>
        <rFont val="Calibri"/>
        <family val="2"/>
        <charset val="1"/>
      </rPr>
      <t xml:space="preserve">ONEST</t>
    </r>
    <r>
      <rPr>
        <sz val="11"/>
        <color theme="1"/>
        <rFont val="Noto Sans CJK SC"/>
        <family val="2"/>
      </rPr>
      <t xml:space="preserve">京都烏丸スクエア</t>
    </r>
  </si>
  <si>
    <t xml:space="preserve">対象区分: 同一物件で棟別・用途別に認証を取得している場合の対象(事務所/住宅/店舗/北館/南館/A棟等)。空欄は物件全体。</t>
  </si>
  <si>
    <r>
      <rPr>
        <sz val="11"/>
        <color theme="1"/>
        <rFont val="Calibri"/>
        <family val="2"/>
        <charset val="1"/>
      </rPr>
      <t xml:space="preserve">ONEST</t>
    </r>
    <r>
      <rPr>
        <sz val="11"/>
        <color theme="1"/>
        <rFont val="Noto Sans CJK SC"/>
        <family val="2"/>
      </rPr>
      <t xml:space="preserve">元代々木スクエア</t>
    </r>
  </si>
  <si>
    <t xml:space="preserve">WELL</t>
  </si>
  <si>
    <t xml:space="preserve">法人×認証種別サマリー(件数)</t>
  </si>
  <si>
    <r>
      <rPr>
        <sz val="11"/>
        <color theme="1"/>
        <rFont val="Calibri"/>
        <family val="2"/>
        <charset val="1"/>
      </rPr>
      <t xml:space="preserve">ONEST</t>
    </r>
    <r>
      <rPr>
        <sz val="11"/>
        <color theme="1"/>
        <rFont val="Noto Sans CJK SC"/>
        <family val="2"/>
      </rPr>
      <t xml:space="preserve">大宮吉敷町ビル</t>
    </r>
  </si>
  <si>
    <t xml:space="preserve">法人別出典・注記</t>
  </si>
  <si>
    <r>
      <rPr>
        <sz val="11"/>
        <color theme="1"/>
        <rFont val="Calibri"/>
        <family val="2"/>
        <charset val="1"/>
      </rPr>
      <t xml:space="preserve">ONEST</t>
    </r>
    <r>
      <rPr>
        <sz val="11"/>
        <color theme="1"/>
        <rFont val="Noto Sans CJK SC"/>
        <family val="2"/>
      </rPr>
      <t xml:space="preserve">池袋イーストビル</t>
    </r>
  </si>
  <si>
    <t xml:space="preserve">認証名称の表記ルール(統一済)</t>
  </si>
  <si>
    <r>
      <rPr>
        <sz val="10"/>
        <color rgb="FF0000FF"/>
        <rFont val="Arial"/>
        <family val="0"/>
        <charset val="1"/>
      </rPr>
      <t xml:space="preserve">DBJ: </t>
    </r>
    <r>
      <rPr>
        <sz val="10"/>
        <color rgb="FF0000FF"/>
        <rFont val="Noto Sans CJK SC"/>
        <family val="2"/>
      </rPr>
      <t xml:space="preserve">「</t>
    </r>
    <r>
      <rPr>
        <sz val="10"/>
        <color rgb="FF0000FF"/>
        <rFont val="Arial"/>
        <family val="0"/>
        <charset val="1"/>
      </rPr>
      <t xml:space="preserve">DBJ Green Building</t>
    </r>
    <r>
      <rPr>
        <sz val="10"/>
        <color rgb="FF0000FF"/>
        <rFont val="Noto Sans CJK SC"/>
        <family val="2"/>
      </rPr>
      <t xml:space="preserve">認証」に統一。ランクは★</t>
    </r>
    <r>
      <rPr>
        <sz val="10"/>
        <color rgb="FF0000FF"/>
        <rFont val="Arial"/>
        <family val="0"/>
        <charset val="1"/>
      </rPr>
      <t xml:space="preserve">1</t>
    </r>
    <r>
      <rPr>
        <sz val="10"/>
        <color rgb="FF0000FF"/>
        <rFont val="Noto Sans CJK SC"/>
        <family val="2"/>
      </rPr>
      <t xml:space="preserve">〜★</t>
    </r>
    <r>
      <rPr>
        <sz val="10"/>
        <color rgb="FF0000FF"/>
        <rFont val="Arial"/>
        <family val="0"/>
        <charset val="1"/>
      </rPr>
      <t xml:space="preserve">5</t>
    </r>
    <r>
      <rPr>
        <sz val="10"/>
        <color rgb="FF0000FF"/>
        <rFont val="Noto Sans CJK SC"/>
        <family val="2"/>
      </rPr>
      <t xml:space="preserve">表記</t>
    </r>
    <r>
      <rPr>
        <sz val="10"/>
        <color rgb="FF0000FF"/>
        <rFont val="Arial"/>
        <family val="0"/>
        <charset val="1"/>
      </rPr>
      <t xml:space="preserve">(MTR</t>
    </r>
    <r>
      <rPr>
        <sz val="10"/>
        <color rgb="FF0000FF"/>
        <rFont val="Noto Sans CJK SC"/>
        <family val="2"/>
      </rPr>
      <t xml:space="preserve">の評価語表記は★数に換算、換算凡例は法人別注記参照</t>
    </r>
    <r>
      <rPr>
        <sz val="10"/>
        <color rgb="FF0000FF"/>
        <rFont val="Arial"/>
        <family val="0"/>
        <charset val="1"/>
      </rPr>
      <t xml:space="preserve">)</t>
    </r>
    <r>
      <rPr>
        <sz val="10"/>
        <color rgb="FF0000FF"/>
        <rFont val="Noto Sans CJK SC"/>
        <family val="2"/>
      </rPr>
      <t xml:space="preserve">。</t>
    </r>
  </si>
  <si>
    <r>
      <rPr>
        <sz val="10"/>
        <color rgb="FF0000FF"/>
        <rFont val="Arial"/>
        <family val="0"/>
        <charset val="1"/>
      </rPr>
      <t xml:space="preserve">ZEB: </t>
    </r>
    <r>
      <rPr>
        <sz val="10"/>
        <color rgb="FF0000FF"/>
        <rFont val="Noto Sans CJK SC"/>
        <family val="2"/>
      </rPr>
      <t xml:space="preserve">「</t>
    </r>
    <r>
      <rPr>
        <sz val="10"/>
        <color rgb="FF0000FF"/>
        <rFont val="Arial"/>
        <family val="0"/>
        <charset val="1"/>
      </rPr>
      <t xml:space="preserve">BELS</t>
    </r>
    <r>
      <rPr>
        <sz val="10"/>
        <color rgb="FF0000FF"/>
        <rFont val="Noto Sans CJK SC"/>
        <family val="2"/>
      </rPr>
      <t xml:space="preserve">」に統一。</t>
    </r>
    <r>
      <rPr>
        <sz val="10"/>
        <color rgb="FF0000FF"/>
        <rFont val="Arial"/>
        <family val="0"/>
        <charset val="1"/>
      </rPr>
      <t xml:space="preserve">ZEB</t>
    </r>
    <r>
      <rPr>
        <sz val="10"/>
        <color rgb="FF0000FF"/>
        <rFont val="Noto Sans CJK SC"/>
        <family val="2"/>
      </rPr>
      <t xml:space="preserve">評価が併記されている場合のみ「</t>
    </r>
    <r>
      <rPr>
        <sz val="10"/>
        <color rgb="FF0000FF"/>
        <rFont val="Arial"/>
        <family val="0"/>
        <charset val="1"/>
      </rPr>
      <t xml:space="preserve">BELS</t>
    </r>
    <r>
      <rPr>
        <sz val="10"/>
        <color rgb="FF0000FF"/>
        <rFont val="Noto Sans CJK SC"/>
        <family val="2"/>
      </rPr>
      <t xml:space="preserve">（</t>
    </r>
    <r>
      <rPr>
        <sz val="10"/>
        <color rgb="FF0000FF"/>
        <rFont val="Arial"/>
        <family val="0"/>
        <charset val="1"/>
      </rPr>
      <t xml:space="preserve">ZEB Ready</t>
    </r>
    <r>
      <rPr>
        <sz val="10"/>
        <color rgb="FF0000FF"/>
        <rFont val="Noto Sans CJK SC"/>
        <family val="2"/>
      </rPr>
      <t xml:space="preserve">）」「</t>
    </r>
    <r>
      <rPr>
        <sz val="10"/>
        <color rgb="FF0000FF"/>
        <rFont val="Arial"/>
        <family val="0"/>
        <charset val="1"/>
      </rPr>
      <t xml:space="preserve">BELS</t>
    </r>
    <r>
      <rPr>
        <sz val="10"/>
        <color rgb="FF0000FF"/>
        <rFont val="Noto Sans CJK SC"/>
        <family val="2"/>
      </rPr>
      <t xml:space="preserve">（</t>
    </r>
    <r>
      <rPr>
        <sz val="10"/>
        <color rgb="FF0000FF"/>
        <rFont val="Arial"/>
        <family val="0"/>
        <charset val="1"/>
      </rPr>
      <t xml:space="preserve">ZEB Oriented</t>
    </r>
    <r>
      <rPr>
        <sz val="10"/>
        <color rgb="FF0000FF"/>
        <rFont val="Noto Sans CJK SC"/>
        <family val="2"/>
      </rPr>
      <t xml:space="preserve">）」と表記</t>
    </r>
    <r>
      <rPr>
        <sz val="10"/>
        <color rgb="FF0000FF"/>
        <rFont val="Arial"/>
        <family val="0"/>
        <charset val="1"/>
      </rPr>
      <t xml:space="preserve">(=ZEB</t>
    </r>
    <r>
      <rPr>
        <sz val="10"/>
        <color rgb="FF0000FF"/>
        <rFont val="Noto Sans CJK SC"/>
        <family val="2"/>
      </rPr>
      <t xml:space="preserve">表記のない行は</t>
    </r>
    <r>
      <rPr>
        <sz val="10"/>
        <color rgb="FF0000FF"/>
        <rFont val="Arial"/>
        <family val="0"/>
        <charset val="1"/>
      </rPr>
      <t xml:space="preserve">BELS</t>
    </r>
    <r>
      <rPr>
        <sz val="10"/>
        <color rgb="FF0000FF"/>
        <rFont val="Noto Sans CJK SC"/>
        <family val="2"/>
      </rPr>
      <t xml:space="preserve">評価のみ</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BELS</t>
    </r>
    <r>
      <rPr>
        <sz val="10"/>
        <color rgb="FF0000FF"/>
        <rFont val="Noto Sans CJK SC"/>
        <family val="2"/>
      </rPr>
      <t xml:space="preserve">の評価基準年度</t>
    </r>
    <r>
      <rPr>
        <sz val="10"/>
        <color rgb="FF0000FF"/>
        <rFont val="Arial"/>
        <family val="0"/>
        <charset val="1"/>
      </rPr>
      <t xml:space="preserve">(2016/2024</t>
    </r>
    <r>
      <rPr>
        <sz val="10"/>
        <color rgb="FF0000FF"/>
        <rFont val="Noto Sans CJK SC"/>
        <family val="2"/>
      </rPr>
      <t xml:space="preserve">年度</t>
    </r>
    <r>
      <rPr>
        <sz val="10"/>
        <color rgb="FF0000FF"/>
        <rFont val="Arial"/>
        <family val="0"/>
        <charset val="1"/>
      </rPr>
      <t xml:space="preserve">)</t>
    </r>
    <r>
      <rPr>
        <sz val="10"/>
        <color rgb="FF0000FF"/>
        <rFont val="Noto Sans CJK SC"/>
        <family val="2"/>
      </rPr>
      <t xml:space="preserve">は備考に記載。</t>
    </r>
  </si>
  <si>
    <r>
      <rPr>
        <sz val="11"/>
        <color theme="1"/>
        <rFont val="Calibri"/>
        <family val="2"/>
        <charset val="1"/>
      </rPr>
      <t xml:space="preserve">ONEST</t>
    </r>
    <r>
      <rPr>
        <sz val="11"/>
        <color theme="1"/>
        <rFont val="Noto Sans CJK SC"/>
        <family val="2"/>
      </rPr>
      <t xml:space="preserve">新大阪スクエア</t>
    </r>
  </si>
  <si>
    <r>
      <rPr>
        <b val="true"/>
        <sz val="10"/>
        <rFont val="Arial"/>
        <family val="0"/>
        <charset val="1"/>
      </rPr>
      <t xml:space="preserve">PM</t>
    </r>
    <r>
      <rPr>
        <b val="true"/>
        <sz val="10"/>
        <rFont val="Noto Sans CJK SC"/>
        <family val="2"/>
      </rPr>
      <t xml:space="preserve">会社</t>
    </r>
  </si>
  <si>
    <r>
      <rPr>
        <b val="true"/>
        <sz val="10"/>
        <rFont val="Arial"/>
        <family val="0"/>
        <charset val="1"/>
      </rPr>
      <t xml:space="preserve">PM</t>
    </r>
    <r>
      <rPr>
        <b val="true"/>
        <sz val="10"/>
        <rFont val="Noto Sans CJK SC"/>
        <family val="2"/>
      </rPr>
      <t xml:space="preserve">会社系列</t>
    </r>
  </si>
  <si>
    <t xml:space="preserve">スポンサー系判定</t>
  </si>
  <si>
    <t xml:space="preserve">出典資料</t>
  </si>
  <si>
    <t xml:space="preserve">記載箇所</t>
  </si>
  <si>
    <t xml:space="preserve">三井不動産株式会社</t>
  </si>
  <si>
    <t xml:space="preserve">三井不動産系（自社）</t>
  </si>
  <si>
    <t xml:space="preserve">スポンサー系</t>
  </si>
  <si>
    <t xml:space="preserve">日本ビルファンド投資法人 有価証券報告書</t>
  </si>
  <si>
    <r>
      <rPr>
        <sz val="10"/>
        <color rgb="FF0000FF"/>
        <rFont val="Arial"/>
        <family val="0"/>
        <charset val="1"/>
      </rPr>
      <t xml:space="preserve">2025</t>
    </r>
    <r>
      <rPr>
        <sz val="10"/>
        <color rgb="FF0000FF"/>
        <rFont val="Noto Sans CJK SC"/>
        <family val="2"/>
      </rPr>
      <t xml:space="preserve">年</t>
    </r>
    <r>
      <rPr>
        <sz val="10"/>
        <color rgb="FF0000FF"/>
        <rFont val="Arial"/>
        <family val="0"/>
        <charset val="1"/>
      </rPr>
      <t xml:space="preserve">12</t>
    </r>
    <r>
      <rPr>
        <sz val="10"/>
        <color rgb="FF0000FF"/>
        <rFont val="Noto Sans CJK SC"/>
        <family val="2"/>
      </rPr>
      <t xml:space="preserve">月期</t>
    </r>
  </si>
  <si>
    <t xml:space="preserve">個別物件表「建物管理会社」欄</t>
  </si>
  <si>
    <t xml:space="preserve">有報上「建物管理会社」として記載</t>
  </si>
  <si>
    <t xml:space="preserve">三井不動産ビルマネジメント株式会社</t>
  </si>
  <si>
    <t xml:space="preserve">三井不動産系</t>
  </si>
  <si>
    <t xml:space="preserve">三井不動産ファシリティーズ株式会社</t>
  </si>
  <si>
    <t xml:space="preserve">グローブシップ株式会社</t>
  </si>
  <si>
    <t xml:space="preserve">独立系</t>
  </si>
  <si>
    <t xml:space="preserve">第三者</t>
  </si>
  <si>
    <t xml:space="preserve">日本管財株式会社</t>
  </si>
  <si>
    <t xml:space="preserve">日鉄興和不動産ファシリティーズ株式会社</t>
  </si>
  <si>
    <t xml:space="preserve">―</t>
  </si>
  <si>
    <t xml:space="preserve">記載なし・非開示</t>
  </si>
  <si>
    <t xml:space="preserve">株式会社ＪＲ東日本ビルディング</t>
  </si>
  <si>
    <t xml:space="preserve">いずみビルクリエイト株式会社</t>
  </si>
  <si>
    <t xml:space="preserve">東洋ビルメンテナンス株式会社</t>
  </si>
  <si>
    <t xml:space="preserve">株式会社シミズ・ビルライフケア</t>
  </si>
  <si>
    <t xml:space="preserve">ＡＮＡスカイビルサービス株式会社</t>
  </si>
  <si>
    <t xml:space="preserve">複数社（共同受託）</t>
  </si>
  <si>
    <t xml:space="preserve">有報上「建物管理会社」として記載 原文「ＡＮＡスカイビルサービス株式会社他」（複数社が共同受託） ／複数社への委託</t>
  </si>
  <si>
    <t xml:space="preserve">東京美装興業株式会社</t>
  </si>
  <si>
    <t xml:space="preserve">大成有楽不動産株式会社</t>
  </si>
  <si>
    <t xml:space="preserve">大成建設系</t>
  </si>
  <si>
    <t xml:space="preserve">株式会社ザイマックス北海道</t>
  </si>
  <si>
    <t xml:space="preserve">独立系（ザイマックス）</t>
  </si>
  <si>
    <t xml:space="preserve">有報上「建物管理会社」として記載 原文「大成有楽不動産株式会社他」（複数社が共同受託） ／複数社への委託</t>
  </si>
  <si>
    <t xml:space="preserve">東京美装北海道株式会社</t>
  </si>
  <si>
    <t xml:space="preserve">太平ビルサービス株式会社</t>
  </si>
  <si>
    <t xml:space="preserve">東西建築サービス株式会社</t>
  </si>
  <si>
    <t xml:space="preserve">大成株式会社</t>
  </si>
  <si>
    <t xml:space="preserve">三井不動産ファシリティーズ・ウエスト株式会社</t>
  </si>
  <si>
    <t xml:space="preserve">株式会社アサヒファシリティズ</t>
  </si>
  <si>
    <t xml:space="preserve">合同産業株式会社</t>
  </si>
  <si>
    <t xml:space="preserve">株式会社レーベントラスト</t>
  </si>
  <si>
    <t xml:space="preserve">株式会社ファビルス</t>
  </si>
  <si>
    <t xml:space="preserve">三菱地所プロパティマネジメント株式会社</t>
  </si>
  <si>
    <t xml:space="preserve">三菱地所系</t>
  </si>
  <si>
    <t xml:space="preserve">ジャパンリアルエステイト投資法人 有価証券報告書</t>
  </si>
  <si>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3</t>
    </r>
    <r>
      <rPr>
        <sz val="10"/>
        <color rgb="FF0000FF"/>
        <rFont val="Noto Sans CJK SC"/>
        <family val="2"/>
      </rPr>
      <t xml:space="preserve">月期</t>
    </r>
  </si>
  <si>
    <t xml:space="preserve">個別物件表「不動産管理会社」欄</t>
  </si>
  <si>
    <t xml:space="preserve">三井物産フォーサイト株式会社</t>
  </si>
  <si>
    <t xml:space="preserve">三井物産系</t>
  </si>
  <si>
    <t xml:space="preserve">三菱地所株式会社</t>
  </si>
  <si>
    <t xml:space="preserve">三菱地所系（自社）</t>
  </si>
  <si>
    <t xml:space="preserve">ケネディクス・プロパティ・デザイン株式会社</t>
  </si>
  <si>
    <t xml:space="preserve">ケネディクス系</t>
  </si>
  <si>
    <t xml:space="preserve">三菱地所リアルエステートサービス株式会社</t>
  </si>
  <si>
    <t xml:space="preserve">株式会社ザイマックス</t>
  </si>
  <si>
    <t xml:space="preserve">東京海上日動ファシリティーズ株式会社</t>
  </si>
  <si>
    <t xml:space="preserve">東京海上系</t>
  </si>
  <si>
    <t xml:space="preserve">株式会社第一ビルディング</t>
  </si>
  <si>
    <t xml:space="preserve">第一ビルディング（独立系）</t>
  </si>
  <si>
    <t xml:space="preserve">有報上「－」と記載（PM会社を置いていない、またはマスターリース会社が兼務）有報上「－」と記載</t>
  </si>
  <si>
    <t xml:space="preserve">清水建設株式会社</t>
  </si>
  <si>
    <t xml:space="preserve">清水建設系</t>
  </si>
  <si>
    <t xml:space="preserve">東京オペラシティビル株式会社</t>
  </si>
  <si>
    <t xml:space="preserve">物件専属SPC</t>
  </si>
  <si>
    <t xml:space="preserve">ト株式会社 / 株式会社ハーモニ</t>
  </si>
  <si>
    <t xml:space="preserve"> ／複数社への委託</t>
  </si>
  <si>
    <t xml:space="preserve">相互住宅株式会社</t>
  </si>
  <si>
    <t xml:space="preserve">シービーアールイー株式会社</t>
  </si>
  <si>
    <t xml:space="preserve">外資系（CBRE）</t>
  </si>
  <si>
    <t xml:space="preserve">森ビル株式会社</t>
  </si>
  <si>
    <t xml:space="preserve">森ビル系（自社）</t>
  </si>
  <si>
    <t xml:space="preserve">グローバル・ワン不動産投資法人 第45期有価証券報告書</t>
  </si>
  <si>
    <t xml:space="preserve">第一部 第二 1 投資資産 個別物件表</t>
  </si>
  <si>
    <t xml:space="preserve">清水総合開発株式会社</t>
  </si>
  <si>
    <t xml:space="preserve">ダイビル株式会社</t>
  </si>
  <si>
    <t xml:space="preserve">商船三井系</t>
  </si>
  <si>
    <t xml:space="preserve">伊藤忠アーバンコミュニティ株式会社</t>
  </si>
  <si>
    <t xml:space="preserve">伊藤忠系</t>
  </si>
  <si>
    <t xml:space="preserve">明治安田ビルマネジメント株式会社</t>
  </si>
  <si>
    <t xml:space="preserve">明治安田系</t>
  </si>
  <si>
    <t xml:space="preserve">株式会社ベスト・プロパティ</t>
  </si>
  <si>
    <t xml:space="preserve">大和証券オフィス投資法人 第40期有価証券報告書</t>
  </si>
  <si>
    <r>
      <rPr>
        <sz val="10"/>
        <color rgb="FF0000FF"/>
        <rFont val="Arial"/>
        <family val="0"/>
        <charset val="1"/>
      </rPr>
      <t xml:space="preserve">2025</t>
    </r>
    <r>
      <rPr>
        <sz val="10"/>
        <color rgb="FF0000FF"/>
        <rFont val="Noto Sans CJK SC"/>
        <family val="2"/>
      </rPr>
      <t xml:space="preserve">年</t>
    </r>
    <r>
      <rPr>
        <sz val="10"/>
        <color rgb="FF0000FF"/>
        <rFont val="Arial"/>
        <family val="0"/>
        <charset val="1"/>
      </rPr>
      <t xml:space="preserve">11</t>
    </r>
    <r>
      <rPr>
        <sz val="10"/>
        <color rgb="FF0000FF"/>
        <rFont val="Noto Sans CJK SC"/>
        <family val="2"/>
      </rPr>
      <t xml:space="preserve">月期</t>
    </r>
  </si>
  <si>
    <t xml:space="preserve">プロパティー・パートナーズ株式会社</t>
  </si>
  <si>
    <t xml:space="preserve">株式会社エム・エス・ビルサポート</t>
  </si>
  <si>
    <t xml:space="preserve">ジョーンズラングラサール株式会社</t>
  </si>
  <si>
    <t xml:space="preserve">外資系（JLL）</t>
  </si>
  <si>
    <t xml:space="preserve">株式会社第一ビルデイング</t>
  </si>
  <si>
    <t xml:space="preserve">いちご系</t>
  </si>
  <si>
    <t xml:space="preserve">いちごオフィスリート投資法人 有価証券報告書</t>
  </si>
  <si>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4</t>
    </r>
    <r>
      <rPr>
        <sz val="10"/>
        <color rgb="FF0000FF"/>
        <rFont val="Noto Sans CJK SC"/>
        <family val="2"/>
      </rPr>
      <t xml:space="preserve">月期</t>
    </r>
  </si>
  <si>
    <t xml:space="preserve">個別物件表「ＰＭ会社」欄</t>
  </si>
  <si>
    <t xml:space="preserve">サンフロンティア不動産株式会社</t>
  </si>
  <si>
    <t xml:space="preserve">サンフロンティア系</t>
  </si>
  <si>
    <t xml:space="preserve">株式会社スペーストラスト</t>
  </si>
  <si>
    <t xml:space="preserve">共同施設株式会社</t>
  </si>
  <si>
    <t xml:space="preserve">大和ハウスリアルティマネジメント株式会社</t>
  </si>
  <si>
    <t xml:space="preserve">大和ハウス系</t>
  </si>
  <si>
    <t xml:space="preserve">株式会社ザイマックス関西</t>
  </si>
  <si>
    <t xml:space="preserve">丸紅リアルエステートマネジメント株式会社</t>
  </si>
  <si>
    <t xml:space="preserve">丸紅系</t>
  </si>
  <si>
    <t xml:space="preserve">株式会社明和不動産管理</t>
  </si>
  <si>
    <t xml:space="preserve">株式会社ケン・コーポレーション</t>
  </si>
  <si>
    <t xml:space="preserve">東京キャピタルマネジメント株式会社</t>
  </si>
  <si>
    <t xml:space="preserve">株式会社ザイマックス九州</t>
  </si>
  <si>
    <t xml:space="preserve">福岡地所株式会社</t>
  </si>
  <si>
    <t xml:space="preserve">福岡地所系</t>
  </si>
  <si>
    <t xml:space="preserve">株式会社オー・エイチ・アイ</t>
  </si>
  <si>
    <t xml:space="preserve">ジャパンエクセレント投資法人 有価証券報告書</t>
  </si>
  <si>
    <t xml:space="preserve">個別物件表「PM会社」欄</t>
  </si>
  <si>
    <t xml:space="preserve">用途別に複数社へ委託 原文「事務所：株式会社第一ビルディング 住宅：相互住宅株式会社」（用途別に複数社へ委託） ／複数社への委託</t>
  </si>
  <si>
    <t xml:space="preserve">日鉄興和不動産株式会社</t>
  </si>
  <si>
    <t xml:space="preserve">日鉄興和系（自社）</t>
  </si>
  <si>
    <t xml:space="preserve">赤坂インターシティマネジメント株式会社</t>
  </si>
  <si>
    <t xml:space="preserve"> 原文「日鉄興和不動産株式会社、他」（複数社が共同受託） ／複数社への委託</t>
  </si>
  <si>
    <t xml:space="preserve">星光ビル管理株式会社</t>
  </si>
  <si>
    <t xml:space="preserve">有報上「非開示」と記載</t>
  </si>
  <si>
    <t xml:space="preserve">積水ハウス株式会社</t>
  </si>
  <si>
    <t xml:space="preserve">積水ハウス系（自社）</t>
  </si>
  <si>
    <t xml:space="preserve">森ヒルズリート投資法人 有価証券報告書</t>
  </si>
  <si>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1</t>
    </r>
    <r>
      <rPr>
        <sz val="10"/>
        <color rgb="FF0000FF"/>
        <rFont val="Noto Sans CJK SC"/>
        <family val="2"/>
      </rPr>
      <t xml:space="preserve">月期</t>
    </r>
  </si>
  <si>
    <t xml:space="preserve">－</t>
  </si>
  <si>
    <t xml:space="preserve">東京建物株式会社</t>
  </si>
  <si>
    <t xml:space="preserve">東京建物系（自社）</t>
  </si>
  <si>
    <t xml:space="preserve">日本プライムリアルティ投資法人 第48期有価証券報告書</t>
  </si>
  <si>
    <t xml:space="preserve">野村不動産パートナーズ株式会社</t>
  </si>
  <si>
    <t xml:space="preserve">野村不動産系</t>
  </si>
  <si>
    <t xml:space="preserve">大成建設株式会社</t>
  </si>
  <si>
    <t xml:space="preserve"> 原文「大成建設株式会社、安田不動産株式会社」（複数社が共同受託） ／複数社への委託</t>
  </si>
  <si>
    <t xml:space="preserve">株式会社プライムプレイス</t>
  </si>
  <si>
    <t xml:space="preserve">ＪＬＬリテールマネジメント株式会社</t>
  </si>
  <si>
    <t xml:space="preserve">野村不動産コマース株式会社</t>
  </si>
  <si>
    <t xml:space="preserve">株式会社大央</t>
  </si>
  <si>
    <t xml:space="preserve">東急プロパティマネジメント株式会社</t>
  </si>
  <si>
    <t xml:space="preserve">東急系</t>
  </si>
  <si>
    <t xml:space="preserve">東急リアル・エステート投資法人 有価証券報告書</t>
  </si>
  <si>
    <t xml:space="preserve">株式会社東急コミュニティー</t>
  </si>
  <si>
    <t xml:space="preserve">東急住宅リース株式会社</t>
  </si>
  <si>
    <t xml:space="preserve">東急不動産HD系</t>
  </si>
  <si>
    <t xml:space="preserve">東急株式会社</t>
  </si>
  <si>
    <t xml:space="preserve">東急系（自社）</t>
  </si>
  <si>
    <t xml:space="preserve">ヒューリック株式会社</t>
  </si>
  <si>
    <t xml:space="preserve">ヒューリック系（自社）</t>
  </si>
  <si>
    <t xml:space="preserve">ヒューリックリート投資法人 有価証券報告書</t>
  </si>
  <si>
    <r>
      <rPr>
        <sz val="10"/>
        <color rgb="FF0000FF"/>
        <rFont val="Arial"/>
        <family val="0"/>
        <charset val="1"/>
      </rPr>
      <t xml:space="preserve">2025</t>
    </r>
    <r>
      <rPr>
        <sz val="10"/>
        <color rgb="FF0000FF"/>
        <rFont val="Noto Sans CJK SC"/>
        <family val="2"/>
      </rPr>
      <t xml:space="preserve">年</t>
    </r>
    <r>
      <rPr>
        <sz val="10"/>
        <color rgb="FF0000FF"/>
        <rFont val="Arial"/>
        <family val="0"/>
        <charset val="1"/>
      </rPr>
      <t xml:space="preserve">8</t>
    </r>
    <r>
      <rPr>
        <sz val="10"/>
        <color rgb="FF0000FF"/>
        <rFont val="Noto Sans CJK SC"/>
        <family val="2"/>
      </rPr>
      <t xml:space="preserve">月期</t>
    </r>
  </si>
  <si>
    <t xml:space="preserve">安田不動産株式会社</t>
  </si>
  <si>
    <t xml:space="preserve">安田不動産系</t>
  </si>
  <si>
    <t xml:space="preserve">アール・エー・アセット・マネジメント株式会社</t>
  </si>
  <si>
    <r>
      <rPr>
        <sz val="10"/>
        <color rgb="FF0000FF"/>
        <rFont val="Arial"/>
        <family val="0"/>
        <charset val="1"/>
      </rPr>
      <t xml:space="preserve">NTT</t>
    </r>
    <r>
      <rPr>
        <sz val="10"/>
        <color rgb="FF0000FF"/>
        <rFont val="Noto Sans CJK SC"/>
        <family val="2"/>
      </rPr>
      <t xml:space="preserve">都市開発系</t>
    </r>
  </si>
  <si>
    <r>
      <rPr>
        <sz val="10"/>
        <color rgb="FF0000FF"/>
        <rFont val="Arial"/>
        <family val="0"/>
        <charset val="1"/>
      </rPr>
      <t xml:space="preserve">NTT</t>
    </r>
    <r>
      <rPr>
        <sz val="10"/>
        <color rgb="FF0000FF"/>
        <rFont val="Noto Sans CJK SC"/>
        <family val="2"/>
      </rPr>
      <t xml:space="preserve">都市開発リート投資法人 有価証券報告書</t>
    </r>
  </si>
  <si>
    <t xml:space="preserve">ＮＴＴアーバンバリューサポート株式会社</t>
  </si>
  <si>
    <r>
      <rPr>
        <sz val="10"/>
        <color rgb="FF0000FF"/>
        <rFont val="Arial"/>
        <family val="0"/>
        <charset val="1"/>
      </rPr>
      <t xml:space="preserve">NTT</t>
    </r>
    <r>
      <rPr>
        <sz val="10"/>
        <color rgb="FF0000FF"/>
        <rFont val="Noto Sans CJK SC"/>
        <family val="2"/>
      </rPr>
      <t xml:space="preserve">系</t>
    </r>
  </si>
  <si>
    <t xml:space="preserve">ＮＴＴ都市開発株式会社</t>
  </si>
  <si>
    <r>
      <rPr>
        <sz val="10"/>
        <color rgb="FF0000FF"/>
        <rFont val="Arial"/>
        <family val="0"/>
        <charset val="1"/>
      </rPr>
      <t xml:space="preserve">NTT</t>
    </r>
    <r>
      <rPr>
        <sz val="10"/>
        <color rgb="FF0000FF"/>
        <rFont val="Noto Sans CJK SC"/>
        <family val="2"/>
      </rPr>
      <t xml:space="preserve">都市開発系（自社）</t>
    </r>
  </si>
  <si>
    <t xml:space="preserve">三井不動産レジデンシャルリース株式会社</t>
  </si>
  <si>
    <t xml:space="preserve">スターツアメニティー株式会社</t>
  </si>
  <si>
    <t xml:space="preserve">スターツ系</t>
  </si>
  <si>
    <t xml:space="preserve">株式会社Ｓ－ＦＩＴパートナーズ</t>
  </si>
  <si>
    <t xml:space="preserve">株式会社学生情報センター</t>
  </si>
  <si>
    <t xml:space="preserve">独立系（学生住宅特化）</t>
  </si>
  <si>
    <t xml:space="preserve">株式会社Ｇｏｏｄリアルエステート</t>
  </si>
  <si>
    <t xml:space="preserve">平和不動産株式会社</t>
  </si>
  <si>
    <t xml:space="preserve">平和不動産系（自社）</t>
  </si>
  <si>
    <t xml:space="preserve">平和不動産リート投資法人 有価証券報告書</t>
  </si>
  <si>
    <t xml:space="preserve">大星ビル管理株式会社</t>
  </si>
  <si>
    <r>
      <rPr>
        <sz val="10"/>
        <color rgb="FF0000FF"/>
        <rFont val="Arial"/>
        <family val="0"/>
        <charset val="1"/>
      </rPr>
      <t xml:space="preserve">Apaman Property</t>
    </r>
    <r>
      <rPr>
        <sz val="10"/>
        <color rgb="FF0000FF"/>
        <rFont val="Noto Sans CJK SC"/>
        <family val="2"/>
      </rPr>
      <t xml:space="preserve">株式会社</t>
    </r>
  </si>
  <si>
    <t xml:space="preserve">アパマン系</t>
  </si>
  <si>
    <t xml:space="preserve">株式会社長谷工ライブネット</t>
  </si>
  <si>
    <t xml:space="preserve">長谷工系</t>
  </si>
  <si>
    <t xml:space="preserve">株式会社ミヨシアセットマネジメント</t>
  </si>
  <si>
    <t xml:space="preserve">積水ハウスシャーメゾンPM東京株式会社</t>
  </si>
  <si>
    <t xml:space="preserve">積水ハウス系</t>
  </si>
  <si>
    <t xml:space="preserve">積水ハウス・リート投資法人 有価証券報告書</t>
  </si>
  <si>
    <t xml:space="preserve">積水ハウスGMパートナーズ株式会社</t>
  </si>
  <si>
    <t xml:space="preserve">株式会社三好不動産</t>
  </si>
  <si>
    <t xml:space="preserve">積水ハウスシャーメゾンPM中部株式会社</t>
  </si>
  <si>
    <t xml:space="preserve">積水ハウスシャーメゾンPM九州株式会社</t>
  </si>
  <si>
    <t xml:space="preserve">アンド マネージメント株式会社</t>
  </si>
  <si>
    <t xml:space="preserve">積水ハウスシャーメゾンPM関西株式会社</t>
  </si>
  <si>
    <t xml:space="preserve">Holland Residential, LLC</t>
  </si>
  <si>
    <t xml:space="preserve">米国現地PM</t>
  </si>
  <si>
    <t xml:space="preserve">Roadside Realty, LLC</t>
  </si>
  <si>
    <t xml:space="preserve">株式会社ザイマックス東海</t>
  </si>
  <si>
    <t xml:space="preserve">株式会社サンケイビルマネジメント</t>
  </si>
  <si>
    <t xml:space="preserve">サンケイビル系（自社）</t>
  </si>
  <si>
    <t xml:space="preserve">サンケイリアルエステート投資法人 有価証券報告書</t>
  </si>
  <si>
    <r>
      <rPr>
        <sz val="10"/>
        <color rgb="FF0000FF"/>
        <rFont val="Arial"/>
        <family val="0"/>
        <charset val="1"/>
      </rPr>
      <t xml:space="preserve">2026</t>
    </r>
    <r>
      <rPr>
        <sz val="10"/>
        <color rgb="FF0000FF"/>
        <rFont val="Noto Sans CJK SC"/>
        <family val="2"/>
      </rPr>
      <t xml:space="preserve">年</t>
    </r>
    <r>
      <rPr>
        <sz val="10"/>
        <color rgb="FF0000FF"/>
        <rFont val="Arial"/>
        <family val="0"/>
        <charset val="1"/>
      </rPr>
      <t xml:space="preserve">2</t>
    </r>
    <r>
      <rPr>
        <sz val="10"/>
        <color rgb="FF0000FF"/>
        <rFont val="Noto Sans CJK SC"/>
        <family val="2"/>
      </rPr>
      <t xml:space="preserve">月期</t>
    </r>
  </si>
  <si>
    <t xml:space="preserve">ケネディクス・オフィス投資法人 有価証券報告書</t>
  </si>
  <si>
    <t xml:space="preserve">株式会社タイセイ・ハウジープロパティ</t>
  </si>
  <si>
    <t xml:space="preserve">東京建物不動産販売株式会社</t>
  </si>
  <si>
    <t xml:space="preserve">株式会社ケン・プロパティマネジメント</t>
  </si>
  <si>
    <t xml:space="preserve">株式会社常口アトム</t>
  </si>
  <si>
    <t xml:space="preserve">グローバルコミュニティ株式会社</t>
  </si>
  <si>
    <t xml:space="preserve">阪急阪神ビルマネジメント株式会社</t>
  </si>
  <si>
    <t xml:space="preserve">株式会社イリスケアー</t>
  </si>
  <si>
    <t xml:space="preserve">ザイマックス系（スポンサー）</t>
  </si>
  <si>
    <t xml:space="preserve">セントラル・リート投資法人 第16期有価証券報告書</t>
  </si>
  <si>
    <t xml:space="preserve">大和ライフネクスト株式会社</t>
  </si>
  <si>
    <r>
      <rPr>
        <sz val="10"/>
        <color rgb="FF0000FF"/>
        <rFont val="Arial"/>
        <family val="0"/>
        <charset val="1"/>
      </rPr>
      <t xml:space="preserve">One</t>
    </r>
    <r>
      <rPr>
        <sz val="10"/>
        <color rgb="FF0000FF"/>
        <rFont val="Noto Sans CJK SC"/>
        <family val="2"/>
      </rPr>
      <t xml:space="preserve">リート投資法人 第</t>
    </r>
    <r>
      <rPr>
        <sz val="10"/>
        <color rgb="FF0000FF"/>
        <rFont val="Arial"/>
        <family val="0"/>
        <charset val="1"/>
      </rPr>
      <t xml:space="preserve">25</t>
    </r>
    <r>
      <rPr>
        <sz val="10"/>
        <color rgb="FF0000FF"/>
        <rFont val="Noto Sans CJK SC"/>
        <family val="2"/>
      </rPr>
      <t xml:space="preserve">期有価証券報告書</t>
    </r>
  </si>
  <si>
    <t xml:space="preserve">東洋不動産プロパティマネジメント株式会社</t>
  </si>
  <si>
    <t xml:space="preserve">ザイマックス系</t>
  </si>
  <si>
    <t xml:space="preserve">ＪＬＬリテールマネジメント株式会社社</t>
  </si>
  <si>
    <t xml:space="preserve">保有物件数</t>
  </si>
  <si>
    <r>
      <rPr>
        <b val="true"/>
        <sz val="10"/>
        <rFont val="Arial"/>
        <family val="0"/>
        <charset val="1"/>
      </rPr>
      <t xml:space="preserve">PM</t>
    </r>
    <r>
      <rPr>
        <b val="true"/>
        <sz val="10"/>
        <rFont val="Noto Sans CJK SC"/>
        <family val="2"/>
      </rPr>
      <t xml:space="preserve">会社が判明した物件数</t>
    </r>
  </si>
  <si>
    <t xml:space="preserve">カバー率(%)</t>
  </si>
  <si>
    <r>
      <rPr>
        <b val="true"/>
        <sz val="10"/>
        <rFont val="Arial"/>
        <family val="0"/>
        <charset val="1"/>
      </rPr>
      <t xml:space="preserve">PM</t>
    </r>
    <r>
      <rPr>
        <b val="true"/>
        <sz val="10"/>
        <rFont val="Noto Sans CJK SC"/>
        <family val="2"/>
      </rPr>
      <t xml:space="preserve">会社数</t>
    </r>
  </si>
  <si>
    <t xml:space="preserve">最多PM会社</t>
  </si>
  <si>
    <t xml:space="preserve">最多社のシェア(%)</t>
  </si>
  <si>
    <t xml:space="preserve">スポンサー系PMの比率(%)</t>
  </si>
  <si>
    <t xml:space="preserve">取得日</t>
  </si>
  <si>
    <t xml:space="preserve">2026-08-16</t>
  </si>
  <si>
    <t xml:space="preserve">—</t>
  </si>
  <si>
    <r>
      <rPr>
        <b val="true"/>
        <sz val="10"/>
        <rFont val="Arial"/>
        <family val="0"/>
        <charset val="1"/>
      </rPr>
      <t xml:space="preserve">GRESB</t>
    </r>
    <r>
      <rPr>
        <b val="true"/>
        <sz val="10"/>
        <rFont val="Noto Sans CJK SC"/>
        <family val="2"/>
      </rPr>
      <t xml:space="preserve">星数（</t>
    </r>
    <r>
      <rPr>
        <b val="true"/>
        <sz val="10"/>
        <rFont val="Arial"/>
        <family val="0"/>
        <charset val="1"/>
      </rPr>
      <t xml:space="preserve">2025</t>
    </r>
    <r>
      <rPr>
        <b val="true"/>
        <sz val="10"/>
        <rFont val="Noto Sans CJK SC"/>
        <family val="2"/>
      </rPr>
      <t xml:space="preserve">）</t>
    </r>
  </si>
  <si>
    <t xml:space="preserve">グリーンスター</t>
  </si>
  <si>
    <t xml:space="preserve">開示評価</t>
  </si>
  <si>
    <t xml:space="preserve">評価年</t>
  </si>
  <si>
    <t xml:space="preserve">主要用途</t>
  </si>
  <si>
    <t xml:space="preserve">情報源</t>
  </si>
  <si>
    <t xml:space="preserve">あり</t>
  </si>
  <si>
    <r>
      <rPr>
        <sz val="10"/>
        <color rgb="FF0000FF"/>
        <rFont val="Arial"/>
        <family val="0"/>
        <charset val="1"/>
      </rPr>
      <t xml:space="preserve">A</t>
    </r>
    <r>
      <rPr>
        <sz val="10"/>
        <color rgb="FF0000FF"/>
        <rFont val="Noto Sans CJK SC"/>
        <family val="2"/>
      </rPr>
      <t xml:space="preserve">（</t>
    </r>
    <r>
      <rPr>
        <sz val="10"/>
        <color rgb="FF0000FF"/>
        <rFont val="Arial"/>
        <family val="0"/>
        <charset val="1"/>
      </rPr>
      <t xml:space="preserve">8</t>
    </r>
    <r>
      <rPr>
        <sz val="10"/>
        <color rgb="FF0000FF"/>
        <rFont val="Noto Sans CJK SC"/>
        <family val="2"/>
      </rPr>
      <t xml:space="preserve">年連続）</t>
    </r>
  </si>
  <si>
    <t xml:space="preserve">適時開示2025/10/2</t>
  </si>
  <si>
    <r>
      <rPr>
        <sz val="10"/>
        <color rgb="FF0000FF"/>
        <rFont val="Arial"/>
        <family val="0"/>
        <charset val="1"/>
      </rPr>
      <t xml:space="preserve">10</t>
    </r>
    <r>
      <rPr>
        <sz val="10"/>
        <color rgb="FF0000FF"/>
        <rFont val="Noto Sans CJK SC"/>
        <family val="2"/>
      </rPr>
      <t xml:space="preserve">年連続</t>
    </r>
  </si>
  <si>
    <r>
      <rPr>
        <sz val="10"/>
        <color rgb="FF0000FF"/>
        <rFont val="Arial"/>
        <family val="0"/>
        <charset val="1"/>
      </rPr>
      <t xml:space="preserve">ESG</t>
    </r>
    <r>
      <rPr>
        <sz val="10"/>
        <color rgb="FF0000FF"/>
        <rFont val="Noto Sans CJK SC"/>
        <family val="2"/>
      </rPr>
      <t xml:space="preserve">サイト</t>
    </r>
  </si>
  <si>
    <t xml:space="preserve">ユーザー提供（2026/8/16）</t>
  </si>
  <si>
    <r>
      <rPr>
        <sz val="10"/>
        <color rgb="FF0000FF"/>
        <rFont val="Arial"/>
        <family val="0"/>
        <charset val="1"/>
      </rPr>
      <t xml:space="preserve">14</t>
    </r>
    <r>
      <rPr>
        <sz val="10"/>
        <color rgb="FF0000FF"/>
        <rFont val="Noto Sans CJK SC"/>
        <family val="2"/>
      </rPr>
      <t xml:space="preserve">年連続</t>
    </r>
  </si>
  <si>
    <t xml:space="preserve">公式サイト</t>
  </si>
  <si>
    <t xml:space="preserve">継続取得</t>
  </si>
  <si>
    <t xml:space="preserve">ユーザー提供</t>
  </si>
  <si>
    <r>
      <rPr>
        <sz val="10"/>
        <color rgb="FF0000FF"/>
        <rFont val="Arial"/>
        <family val="0"/>
        <charset val="1"/>
      </rPr>
      <t xml:space="preserve">11</t>
    </r>
    <r>
      <rPr>
        <sz val="10"/>
        <color rgb="FF0000FF"/>
        <rFont val="Noto Sans CJK SC"/>
        <family val="2"/>
      </rPr>
      <t xml:space="preserve">年連続</t>
    </r>
  </si>
  <si>
    <t xml:space="preserve">総合</t>
  </si>
  <si>
    <t xml:space="preserve">資産運用報告</t>
  </si>
  <si>
    <r>
      <rPr>
        <sz val="10"/>
        <color rgb="FF0000FF"/>
        <rFont val="Arial"/>
        <family val="0"/>
        <charset val="1"/>
      </rPr>
      <t xml:space="preserve">9</t>
    </r>
    <r>
      <rPr>
        <sz val="10"/>
        <color rgb="FF0000FF"/>
        <rFont val="Noto Sans CJK SC"/>
        <family val="2"/>
      </rPr>
      <t xml:space="preserve">年連続</t>
    </r>
  </si>
  <si>
    <r>
      <rPr>
        <sz val="10"/>
        <color rgb="FF0000FF"/>
        <rFont val="Arial"/>
        <family val="0"/>
        <charset val="1"/>
      </rPr>
      <t xml:space="preserve">A</t>
    </r>
    <r>
      <rPr>
        <sz val="10"/>
        <color rgb="FF0000FF"/>
        <rFont val="Noto Sans CJK SC"/>
        <family val="2"/>
      </rPr>
      <t xml:space="preserve">（</t>
    </r>
    <r>
      <rPr>
        <sz val="10"/>
        <color rgb="FF0000FF"/>
        <rFont val="Arial"/>
        <family val="0"/>
        <charset val="1"/>
      </rPr>
      <t xml:space="preserve">7</t>
    </r>
    <r>
      <rPr>
        <sz val="10"/>
        <color rgb="FF0000FF"/>
        <rFont val="Noto Sans CJK SC"/>
        <family val="2"/>
      </rPr>
      <t xml:space="preserve">年連続）</t>
    </r>
  </si>
  <si>
    <r>
      <rPr>
        <sz val="10"/>
        <color rgb="FF0000FF"/>
        <rFont val="Arial"/>
        <family val="0"/>
        <charset val="1"/>
      </rPr>
      <t xml:space="preserve">A</t>
    </r>
    <r>
      <rPr>
        <sz val="10"/>
        <color rgb="FF0000FF"/>
        <rFont val="Noto Sans CJK SC"/>
        <family val="2"/>
      </rPr>
      <t xml:space="preserve">（</t>
    </r>
    <r>
      <rPr>
        <sz val="10"/>
        <color rgb="FF0000FF"/>
        <rFont val="Arial"/>
        <family val="0"/>
        <charset val="1"/>
      </rPr>
      <t xml:space="preserve">6</t>
    </r>
    <r>
      <rPr>
        <sz val="10"/>
        <color rgb="FF0000FF"/>
        <rFont val="Noto Sans CJK SC"/>
        <family val="2"/>
      </rPr>
      <t xml:space="preserve">年連続）</t>
    </r>
  </si>
  <si>
    <t xml:space="preserve">ユーザー提供（2024は4スター＝降格）</t>
  </si>
  <si>
    <r>
      <rPr>
        <sz val="10"/>
        <color rgb="FF0000FF"/>
        <rFont val="Arial"/>
        <family val="0"/>
        <charset val="1"/>
      </rPr>
      <t xml:space="preserve">2024</t>
    </r>
    <r>
      <rPr>
        <sz val="10"/>
        <color rgb="FF0000FF"/>
        <rFont val="Noto Sans CJK SC"/>
        <family val="2"/>
      </rPr>
      <t xml:space="preserve">年は</t>
    </r>
    <r>
      <rPr>
        <sz val="10"/>
        <color rgb="FF0000FF"/>
        <rFont val="Arial"/>
        <family val="0"/>
        <charset val="1"/>
      </rPr>
      <t xml:space="preserve">4</t>
    </r>
    <r>
      <rPr>
        <sz val="10"/>
        <color rgb="FF0000FF"/>
        <rFont val="Noto Sans CJK SC"/>
        <family val="2"/>
      </rPr>
      <t xml:space="preserve">スター。</t>
    </r>
    <r>
      <rPr>
        <sz val="10"/>
        <color rgb="FF0000FF"/>
        <rFont val="Arial"/>
        <family val="0"/>
        <charset val="1"/>
      </rPr>
      <t xml:space="preserve">2025</t>
    </r>
    <r>
      <rPr>
        <sz val="10"/>
        <color rgb="FF0000FF"/>
        <rFont val="Noto Sans CJK SC"/>
        <family val="2"/>
      </rPr>
      <t xml:space="preserve">年に</t>
    </r>
    <r>
      <rPr>
        <sz val="10"/>
        <color rgb="FF0000FF"/>
        <rFont val="Arial"/>
        <family val="0"/>
        <charset val="1"/>
      </rPr>
      <t xml:space="preserve">3</t>
    </r>
    <r>
      <rPr>
        <sz val="10"/>
        <color rgb="FF0000FF"/>
        <rFont val="Noto Sans CJK SC"/>
        <family val="2"/>
      </rPr>
      <t xml:space="preserve">スターへ降格</t>
    </r>
  </si>
  <si>
    <r>
      <rPr>
        <sz val="10"/>
        <color rgb="FF0000FF"/>
        <rFont val="Arial"/>
        <family val="0"/>
        <charset val="1"/>
      </rPr>
      <t xml:space="preserve">IR</t>
    </r>
    <r>
      <rPr>
        <sz val="10"/>
        <color rgb="FF0000FF"/>
        <rFont val="Noto Sans CJK SC"/>
        <family val="2"/>
      </rPr>
      <t xml:space="preserve">見出し（本文要再確認）</t>
    </r>
  </si>
  <si>
    <r>
      <rPr>
        <sz val="10"/>
        <color rgb="FF0000FF"/>
        <rFont val="Arial"/>
        <family val="0"/>
        <charset val="1"/>
      </rPr>
      <t xml:space="preserve">2025</t>
    </r>
    <r>
      <rPr>
        <sz val="10"/>
        <color rgb="FF0000FF"/>
        <rFont val="Noto Sans CJK SC"/>
        <family val="2"/>
      </rPr>
      <t xml:space="preserve">年</t>
    </r>
    <r>
      <rPr>
        <sz val="10"/>
        <color rgb="FF0000FF"/>
        <rFont val="Arial"/>
        <family val="0"/>
        <charset val="1"/>
      </rPr>
      <t xml:space="preserve">11</t>
    </r>
    <r>
      <rPr>
        <sz val="10"/>
        <color rgb="FF0000FF"/>
        <rFont val="Noto Sans CJK SC"/>
        <family val="2"/>
      </rPr>
      <t xml:space="preserve">月にセントラル・リート投資法人へ商号変更。評価はザイマックス・リート投資法人として受審</t>
    </r>
  </si>
  <si>
    <t xml:space="preserve">マネジメント・コンポーネント 30点 ─ 指標別の配点と要求水準</t>
  </si>
  <si>
    <t xml:space="preserve">全指標が静的採点（絶対評価）。自助努力で満点到達が可能な領域。E:0% / S:34% / G:66%</t>
  </si>
  <si>
    <t xml:space="preserve">アスペクト</t>
  </si>
  <si>
    <t xml:space="preserve">指標</t>
  </si>
  <si>
    <t xml:space="preserve">指標名</t>
  </si>
  <si>
    <t xml:space="preserve">配点</t>
  </si>
  <si>
    <t xml:space="preserve">次元</t>
  </si>
  <si>
    <t xml:space="preserve">満点を取るための要求水準・要件</t>
  </si>
  <si>
    <t xml:space="preserve">乗数・減点機構</t>
  </si>
  <si>
    <r>
      <rPr>
        <sz val="10"/>
        <color rgb="FF0000FF"/>
        <rFont val="Arial"/>
        <family val="0"/>
        <charset val="1"/>
      </rPr>
      <t xml:space="preserve">2026</t>
    </r>
    <r>
      <rPr>
        <sz val="10"/>
        <color rgb="FF0000FF"/>
        <rFont val="Noto Sans CJK SC"/>
        <family val="2"/>
      </rPr>
      <t xml:space="preserve">年変更</t>
    </r>
  </si>
  <si>
    <t xml:space="preserve">リーダーシップ</t>
  </si>
  <si>
    <t xml:space="preserve">LE1</t>
  </si>
  <si>
    <r>
      <rPr>
        <sz val="10"/>
        <color rgb="FF0000FF"/>
        <rFont val="Arial"/>
        <family val="0"/>
        <charset val="1"/>
      </rPr>
      <t xml:space="preserve">ESG</t>
    </r>
    <r>
      <rPr>
        <sz val="10"/>
        <color rgb="FF0000FF"/>
        <rFont val="Noto Sans CJK SC"/>
        <family val="2"/>
      </rPr>
      <t xml:space="preserve">リーダーシップ・コミットメント</t>
    </r>
  </si>
  <si>
    <t xml:space="preserve">G</t>
  </si>
  <si>
    <r>
      <rPr>
        <sz val="10"/>
        <color rgb="FF0000FF"/>
        <rFont val="Arial"/>
        <family val="0"/>
        <charset val="1"/>
      </rPr>
      <t xml:space="preserve">PRI</t>
    </r>
    <r>
      <rPr>
        <sz val="10"/>
        <color rgb="FF0000FF"/>
        <rFont val="Noto Sans CJK SC"/>
        <family val="2"/>
      </rPr>
      <t xml:space="preserve">・</t>
    </r>
    <r>
      <rPr>
        <sz val="10"/>
        <color rgb="FF0000FF"/>
        <rFont val="Arial"/>
        <family val="0"/>
        <charset val="1"/>
      </rPr>
      <t xml:space="preserve">SBTi</t>
    </r>
    <r>
      <rPr>
        <sz val="10"/>
        <color rgb="FF0000FF"/>
        <rFont val="Noto Sans CJK SC"/>
        <family val="2"/>
      </rPr>
      <t xml:space="preserve">・</t>
    </r>
    <r>
      <rPr>
        <sz val="10"/>
        <color rgb="FF0000FF"/>
        <rFont val="Arial"/>
        <family val="0"/>
        <charset val="1"/>
      </rPr>
      <t xml:space="preserve">TCFD</t>
    </r>
    <r>
      <rPr>
        <sz val="10"/>
        <color rgb="FF0000FF"/>
        <rFont val="Noto Sans CJK SC"/>
        <family val="2"/>
      </rPr>
      <t xml:space="preserve">・</t>
    </r>
    <r>
      <rPr>
        <sz val="10"/>
        <color rgb="FF0000FF"/>
        <rFont val="Arial"/>
        <family val="0"/>
        <charset val="1"/>
      </rPr>
      <t xml:space="preserve">UNGC</t>
    </r>
    <r>
      <rPr>
        <sz val="10"/>
        <color rgb="FF0000FF"/>
        <rFont val="Noto Sans CJK SC"/>
        <family val="2"/>
      </rPr>
      <t xml:space="preserve">等への公的コミットメント、およびネットゼロ・コミットメント（</t>
    </r>
    <r>
      <rPr>
        <sz val="10"/>
        <color rgb="FF0000FF"/>
        <rFont val="Arial"/>
        <family val="0"/>
        <charset val="1"/>
      </rPr>
      <t xml:space="preserve">SBTi</t>
    </r>
    <r>
      <rPr>
        <sz val="10"/>
        <color rgb="FF0000FF"/>
        <rFont val="Noto Sans CJK SC"/>
        <family val="2"/>
      </rPr>
      <t xml:space="preserve">ネットゼロ基準、</t>
    </r>
    <r>
      <rPr>
        <sz val="10"/>
        <color rgb="FF0000FF"/>
        <rFont val="Arial"/>
        <family val="0"/>
        <charset val="1"/>
      </rPr>
      <t xml:space="preserve">WorldGBC</t>
    </r>
    <r>
      <rPr>
        <sz val="10"/>
        <color rgb="FF0000FF"/>
        <rFont val="Noto Sans CJK SC"/>
        <family val="2"/>
      </rPr>
      <t xml:space="preserve">等）を選択</t>
    </r>
  </si>
  <si>
    <t xml:space="preserve">―（非採点・報告目的のみ）</t>
  </si>
  <si>
    <t xml:space="preserve">変更なし</t>
  </si>
  <si>
    <t xml:space="preserve">LE2</t>
  </si>
  <si>
    <r>
      <rPr>
        <sz val="10"/>
        <color rgb="FF0000FF"/>
        <rFont val="Arial"/>
        <family val="0"/>
        <charset val="1"/>
      </rPr>
      <t xml:space="preserve">ESG</t>
    </r>
    <r>
      <rPr>
        <sz val="10"/>
        <color rgb="FF0000FF"/>
        <rFont val="Noto Sans CJK SC"/>
        <family val="2"/>
      </rPr>
      <t xml:space="preserve">目標</t>
    </r>
  </si>
  <si>
    <t xml:space="preserve">一般目標(環境/社会/ガバナンスの3分野=各1/3)を全て設定し「公開されている」を選択(公開2/4・非公開0/4)。課題別目標(人的資本・健康)も加点</t>
  </si>
  <si>
    <t xml:space="preserve">LE3</t>
  </si>
  <si>
    <r>
      <rPr>
        <sz val="10"/>
        <color rgb="FF0000FF"/>
        <rFont val="Arial"/>
        <family val="0"/>
        <charset val="1"/>
      </rPr>
      <t xml:space="preserve">ESG</t>
    </r>
    <r>
      <rPr>
        <sz val="10"/>
        <color rgb="FF0000FF"/>
        <rFont val="Noto Sans CJK SC"/>
        <family val="2"/>
      </rPr>
      <t xml:space="preserve">責任者</t>
    </r>
  </si>
  <si>
    <r>
      <rPr>
        <sz val="10"/>
        <color rgb="FF0000FF"/>
        <rFont val="Arial"/>
        <family val="0"/>
        <charset val="1"/>
      </rPr>
      <t xml:space="preserve">ESG(3/5)</t>
    </r>
    <r>
      <rPr>
        <sz val="10"/>
        <color rgb="FF0000FF"/>
        <rFont val="Noto Sans CJK SC"/>
        <family val="2"/>
      </rPr>
      <t xml:space="preserve">・気候関連</t>
    </r>
    <r>
      <rPr>
        <sz val="10"/>
        <color rgb="FF0000FF"/>
        <rFont val="Arial"/>
        <family val="0"/>
        <charset val="1"/>
      </rPr>
      <t xml:space="preserve">(1/5)</t>
    </r>
    <r>
      <rPr>
        <sz val="10"/>
        <color rgb="FF0000FF"/>
        <rFont val="Noto Sans CJK SC"/>
        <family val="2"/>
      </rPr>
      <t xml:space="preserve">・人的資本</t>
    </r>
    <r>
      <rPr>
        <sz val="10"/>
        <color rgb="FF0000FF"/>
        <rFont val="Arial"/>
        <family val="0"/>
        <charset val="1"/>
      </rPr>
      <t xml:space="preserve">(1/5)</t>
    </r>
    <r>
      <rPr>
        <sz val="10"/>
        <color rgb="FF0000FF"/>
        <rFont val="Noto Sans CJK SC"/>
        <family val="2"/>
      </rPr>
      <t xml:space="preserve">の</t>
    </r>
    <r>
      <rPr>
        <sz val="10"/>
        <color rgb="FF0000FF"/>
        <rFont val="Arial"/>
        <family val="0"/>
        <charset val="1"/>
      </rPr>
      <t xml:space="preserve">3</t>
    </r>
    <r>
      <rPr>
        <sz val="10"/>
        <color rgb="FF0000FF"/>
        <rFont val="Noto Sans CJK SC"/>
        <family val="2"/>
      </rPr>
      <t xml:space="preserve">領域それぞれで「</t>
    </r>
    <r>
      <rPr>
        <sz val="10"/>
        <color rgb="FF0000FF"/>
        <rFont val="Arial"/>
        <family val="0"/>
        <charset val="1"/>
      </rPr>
      <t xml:space="preserve">ESG</t>
    </r>
    <r>
      <rPr>
        <sz val="10"/>
        <color rgb="FF0000FF"/>
        <rFont val="Noto Sans CJK SC"/>
        <family val="2"/>
      </rPr>
      <t xml:space="preserve">が中核責務の専任従業員」を配置</t>
    </r>
    <r>
      <rPr>
        <sz val="10"/>
        <color rgb="FF0000FF"/>
        <rFont val="Arial"/>
        <family val="0"/>
        <charset val="1"/>
      </rPr>
      <t xml:space="preserve">(5/5)</t>
    </r>
    <r>
      <rPr>
        <sz val="10"/>
        <color rgb="FF0000FF"/>
        <rFont val="Noto Sans CJK SC"/>
        <family val="2"/>
      </rPr>
      <t xml:space="preserve">。兼務は</t>
    </r>
    <r>
      <rPr>
        <sz val="10"/>
        <color rgb="FF0000FF"/>
        <rFont val="Arial"/>
        <family val="0"/>
        <charset val="1"/>
      </rPr>
      <t xml:space="preserve">3/5</t>
    </r>
    <r>
      <rPr>
        <sz val="10"/>
        <color rgb="FF0000FF"/>
        <rFont val="Noto Sans CJK SC"/>
        <family val="2"/>
      </rPr>
      <t xml:space="preserve">、外部コンサルは</t>
    </r>
    <r>
      <rPr>
        <sz val="10"/>
        <color rgb="FF0000FF"/>
        <rFont val="Arial"/>
        <family val="0"/>
        <charset val="1"/>
      </rPr>
      <t xml:space="preserve">2/5</t>
    </r>
    <r>
      <rPr>
        <sz val="10"/>
        <color rgb="FF0000FF"/>
        <rFont val="Noto Sans CJK SC"/>
        <family val="2"/>
      </rPr>
      <t xml:space="preserve">に減点</t>
    </r>
  </si>
  <si>
    <t xml:space="preserve">★指標廃止(▲2点)</t>
  </si>
  <si>
    <t xml:space="preserve">LE4</t>
  </si>
  <si>
    <r>
      <rPr>
        <sz val="10"/>
        <color rgb="FF0000FF"/>
        <rFont val="Arial"/>
        <family val="0"/>
        <charset val="1"/>
      </rPr>
      <t xml:space="preserve">ESG</t>
    </r>
    <r>
      <rPr>
        <sz val="10"/>
        <color rgb="FF0000FF"/>
        <rFont val="Noto Sans CJK SC"/>
        <family val="2"/>
      </rPr>
      <t xml:space="preserve">タスクフォース</t>
    </r>
    <r>
      <rPr>
        <sz val="10"/>
        <color rgb="FF0000FF"/>
        <rFont val="Arial"/>
        <family val="0"/>
        <charset val="1"/>
      </rPr>
      <t xml:space="preserve">/</t>
    </r>
    <r>
      <rPr>
        <sz val="10"/>
        <color rgb="FF0000FF"/>
        <rFont val="Noto Sans CJK SC"/>
        <family val="2"/>
      </rPr>
      <t xml:space="preserve">委員会</t>
    </r>
  </si>
  <si>
    <t xml:space="preserve">取締役会・Cスイート・投資委員会・ファンド/ポートフォリオマネージャー(各3/8)から3者以上を委員に含める。実務担当者層は各2/8</t>
  </si>
  <si>
    <t xml:space="preserve">「その他」は手動検証(受理1/1・不受理0)</t>
  </si>
  <si>
    <t xml:space="preserve">LE5</t>
  </si>
  <si>
    <t xml:space="preserve">上級意思決定者</t>
  </si>
  <si>
    <r>
      <rPr>
        <sz val="10"/>
        <color rgb="FF0000FF"/>
        <rFont val="Arial"/>
        <family val="0"/>
        <charset val="1"/>
      </rPr>
      <t xml:space="preserve">ESG(3/5)</t>
    </r>
    <r>
      <rPr>
        <sz val="10"/>
        <color rgb="FF0000FF"/>
        <rFont val="Noto Sans CJK SC"/>
        <family val="2"/>
      </rPr>
      <t xml:space="preserve">・気候</t>
    </r>
    <r>
      <rPr>
        <sz val="10"/>
        <color rgb="FF0000FF"/>
        <rFont val="Arial"/>
        <family val="0"/>
        <charset val="1"/>
      </rPr>
      <t xml:space="preserve">(1/5)</t>
    </r>
    <r>
      <rPr>
        <sz val="10"/>
        <color rgb="FF0000FF"/>
        <rFont val="Noto Sans CJK SC"/>
        <family val="2"/>
      </rPr>
      <t xml:space="preserve">・人的資本</t>
    </r>
    <r>
      <rPr>
        <sz val="10"/>
        <color rgb="FF0000FF"/>
        <rFont val="Arial"/>
        <family val="0"/>
        <charset val="1"/>
      </rPr>
      <t xml:space="preserve">(1/5)</t>
    </r>
    <r>
      <rPr>
        <sz val="10"/>
        <color rgb="FF0000FF"/>
        <rFont val="Noto Sans CJK SC"/>
        <family val="2"/>
      </rPr>
      <t xml:space="preserve">それぞれで、取締役会</t>
    </r>
    <r>
      <rPr>
        <sz val="10"/>
        <color rgb="FF0000FF"/>
        <rFont val="Arial"/>
        <family val="0"/>
        <charset val="1"/>
      </rPr>
      <t xml:space="preserve">/C</t>
    </r>
    <r>
      <rPr>
        <sz val="10"/>
        <color rgb="FF0000FF"/>
        <rFont val="Noto Sans CJK SC"/>
        <family val="2"/>
      </rPr>
      <t xml:space="preserve">スイート</t>
    </r>
    <r>
      <rPr>
        <sz val="10"/>
        <color rgb="FF0000FF"/>
        <rFont val="Arial"/>
        <family val="0"/>
        <charset val="1"/>
      </rPr>
      <t xml:space="preserve">/</t>
    </r>
    <r>
      <rPr>
        <sz val="10"/>
        <color rgb="FF0000FF"/>
        <rFont val="Noto Sans CJK SC"/>
        <family val="2"/>
      </rPr>
      <t xml:space="preserve">投資委員会のいずれかに属する最上位意思決定者を指名</t>
    </r>
  </si>
  <si>
    <t xml:space="preserve">「その他」は手動検証</t>
  </si>
  <si>
    <t xml:space="preserve">LE6</t>
  </si>
  <si>
    <t xml:space="preserve">従業員ESG業績目標</t>
  </si>
  <si>
    <t xml:space="preserve">★前提条件: ESG目標に「あらかじめ定められた財務的帰結がある」こと。その上で取締役会・Cスイート・投資委員会・ファンドマネージャー(各3/8)を対象に含める。単なる目標設定では0点</t>
  </si>
  <si>
    <t xml:space="preserve">エビデンス必須。手動検証で受理2/2・部分受理1/2・不受理0</t>
  </si>
  <si>
    <t xml:space="preserve">方針</t>
  </si>
  <si>
    <t xml:space="preserve">PO1</t>
  </si>
  <si>
    <t xml:space="preserve">環境方針</t>
  </si>
  <si>
    <t xml:space="preserve">環境課題13項目(生物多様性・気候変動適応・エネルギー・GHG・室内環境品質・資材調達・汚染防止・再エネ・災害レジリエンス・持続可能な調達・廃棄物・水・その他)を網羅=2/3。加えてネットゼロ方針の保有=1/3</t>
  </si>
  <si>
    <t xml:space="preserve">エビデンス必須。受理2/2・部分受理1/2・不受理0</t>
  </si>
  <si>
    <t xml:space="preserve">PO2</t>
  </si>
  <si>
    <t xml:space="preserve">社会方針</t>
  </si>
  <si>
    <t xml:space="preserve">社会課題17項目(児童労働・地域開発・顧客満足・従業員エンゲージメント・健康福祉・報酬・強制労働・結社の自由・安全衛生4分類・人権・人的資本・労働基準・社会的企業連携・ステークホルダー関係)を網羅</t>
  </si>
  <si>
    <t xml:space="preserve">エビデンス必須。同上</t>
  </si>
  <si>
    <t xml:space="preserve">PO3</t>
  </si>
  <si>
    <t xml:space="preserve">ガバナンス方針</t>
  </si>
  <si>
    <t xml:space="preserve">ガバナンス課題8項目(贈収賄・サイバーセキュリティ・データ保護・役員報酬・受託者責任・不正・政治献金・株主の権利)を網羅</t>
  </si>
  <si>
    <t xml:space="preserve">報告</t>
  </si>
  <si>
    <t xml:space="preserve">RP1</t>
  </si>
  <si>
    <r>
      <rPr>
        <sz val="10"/>
        <color rgb="FF0000FF"/>
        <rFont val="Arial"/>
        <family val="0"/>
        <charset val="1"/>
      </rPr>
      <t xml:space="preserve">ESG</t>
    </r>
    <r>
      <rPr>
        <sz val="10"/>
        <color rgb="FF0000FF"/>
        <rFont val="Noto Sans CJK SC"/>
        <family val="2"/>
      </rPr>
      <t xml:space="preserve">報告</t>
    </r>
  </si>
  <si>
    <r>
      <rPr>
        <sz val="10"/>
        <color rgb="FF0000FF"/>
        <rFont val="Arial"/>
        <family val="0"/>
        <charset val="1"/>
      </rPr>
      <t xml:space="preserve">★MC</t>
    </r>
    <r>
      <rPr>
        <sz val="10"/>
        <color rgb="FF0000FF"/>
        <rFont val="Noto Sans CJK SC"/>
        <family val="2"/>
      </rPr>
      <t xml:space="preserve">最大配点。統合報告書</t>
    </r>
    <r>
      <rPr>
        <sz val="10"/>
        <color rgb="FF0000FF"/>
        <rFont val="Arial"/>
        <family val="0"/>
        <charset val="1"/>
      </rPr>
      <t xml:space="preserve">(3/6</t>
    </r>
    <r>
      <rPr>
        <sz val="10"/>
        <color rgb="FF0000FF"/>
        <rFont val="Noto Sans CJK SC"/>
        <family val="2"/>
      </rPr>
      <t xml:space="preserve">・</t>
    </r>
    <r>
      <rPr>
        <sz val="10"/>
        <color rgb="FF0000FF"/>
        <rFont val="Arial"/>
        <family val="0"/>
        <charset val="1"/>
      </rPr>
      <t xml:space="preserve">IIRC</t>
    </r>
    <r>
      <rPr>
        <sz val="10"/>
        <color rgb="FF0000FF"/>
        <rFont val="Noto Sans CJK SC"/>
        <family val="2"/>
      </rPr>
      <t xml:space="preserve">フレームワーク準拠必須</t>
    </r>
    <r>
      <rPr>
        <sz val="10"/>
        <color rgb="FF0000FF"/>
        <rFont val="Arial"/>
        <family val="0"/>
        <charset val="1"/>
      </rPr>
      <t xml:space="preserve">)</t>
    </r>
    <r>
      <rPr>
        <sz val="10"/>
        <color rgb="FF0000FF"/>
        <rFont val="Noto Sans CJK SC"/>
        <family val="2"/>
      </rPr>
      <t xml:space="preserve">＋単独サステナビリティ報告書</t>
    </r>
    <r>
      <rPr>
        <sz val="10"/>
        <color rgb="FF0000FF"/>
        <rFont val="Arial"/>
        <family val="0"/>
        <charset val="1"/>
      </rPr>
      <t xml:space="preserve">(2/6)</t>
    </r>
    <r>
      <rPr>
        <sz val="10"/>
        <color rgb="FF0000FF"/>
        <rFont val="Noto Sans CJK SC"/>
        <family val="2"/>
      </rPr>
      <t xml:space="preserve">＋年次報告書内のセクション</t>
    </r>
    <r>
      <rPr>
        <sz val="10"/>
        <color rgb="FF0000FF"/>
        <rFont val="Arial"/>
        <family val="0"/>
        <charset val="1"/>
      </rPr>
      <t xml:space="preserve">(2/6)</t>
    </r>
    <r>
      <rPr>
        <sz val="10"/>
        <color rgb="FF0000FF"/>
        <rFont val="Noto Sans CJK SC"/>
        <family val="2"/>
      </rPr>
      <t xml:space="preserve">＋自社サイト専用ページ</t>
    </r>
    <r>
      <rPr>
        <sz val="10"/>
        <color rgb="FF0000FF"/>
        <rFont val="Arial"/>
        <family val="0"/>
        <charset val="1"/>
      </rPr>
      <t xml:space="preserve">(2/3)</t>
    </r>
    <r>
      <rPr>
        <sz val="10"/>
        <color rgb="FF0000FF"/>
        <rFont val="Noto Sans CJK SC"/>
        <family val="2"/>
      </rPr>
      <t xml:space="preserve">を組合せ。各々で</t>
    </r>
    <r>
      <rPr>
        <sz val="10"/>
        <color rgb="FF0000FF"/>
        <rFont val="Arial"/>
        <family val="0"/>
        <charset val="1"/>
      </rPr>
      <t xml:space="preserve">(a)</t>
    </r>
    <r>
      <rPr>
        <sz val="10"/>
        <color rgb="FF0000FF"/>
        <rFont val="Noto Sans CJK SC"/>
        <family val="2"/>
      </rPr>
      <t xml:space="preserve">報告レベルは「エンティティ」を選択</t>
    </r>
    <r>
      <rPr>
        <sz val="10"/>
        <color rgb="FF0000FF"/>
        <rFont val="Arial"/>
        <family val="0"/>
        <charset val="1"/>
      </rPr>
      <t xml:space="preserve">(2/2</t>
    </r>
    <r>
      <rPr>
        <sz val="10"/>
        <color rgb="FF0000FF"/>
        <rFont val="Noto Sans CJK SC"/>
        <family val="2"/>
      </rPr>
      <t xml:space="preserve">、投資顧問</t>
    </r>
    <r>
      <rPr>
        <sz val="10"/>
        <color rgb="FF0000FF"/>
        <rFont val="Arial"/>
        <family val="0"/>
        <charset val="1"/>
      </rPr>
      <t xml:space="preserve">/</t>
    </r>
    <r>
      <rPr>
        <sz val="10"/>
        <color rgb="FF0000FF"/>
        <rFont val="Noto Sans CJK SC"/>
        <family val="2"/>
      </rPr>
      <t xml:space="preserve">グループは</t>
    </r>
    <r>
      <rPr>
        <sz val="10"/>
        <color rgb="FF0000FF"/>
        <rFont val="Arial"/>
        <family val="0"/>
        <charset val="1"/>
      </rPr>
      <t xml:space="preserve">1/2)</t>
    </r>
    <r>
      <rPr>
        <sz val="10"/>
        <color rgb="FF0000FF"/>
        <rFont val="Noto Sans CJK SC"/>
        <family val="2"/>
      </rPr>
      <t xml:space="preserve">、</t>
    </r>
    <r>
      <rPr>
        <sz val="10"/>
        <color rgb="FF0000FF"/>
        <rFont val="Arial"/>
        <family val="0"/>
        <charset val="1"/>
      </rPr>
      <t xml:space="preserve">(b)GRI</t>
    </r>
    <r>
      <rPr>
        <sz val="10"/>
        <color rgb="FF0000FF"/>
        <rFont val="Noto Sans CJK SC"/>
        <family val="2"/>
      </rPr>
      <t xml:space="preserve">・</t>
    </r>
    <r>
      <rPr>
        <sz val="10"/>
        <color rgb="FF0000FF"/>
        <rFont val="Arial"/>
        <family val="0"/>
        <charset val="1"/>
      </rPr>
      <t xml:space="preserve">EPRA</t>
    </r>
    <r>
      <rPr>
        <sz val="10"/>
        <color rgb="FF0000FF"/>
        <rFont val="Noto Sans CJK SC"/>
        <family val="2"/>
      </rPr>
      <t xml:space="preserve">・</t>
    </r>
    <r>
      <rPr>
        <sz val="10"/>
        <color rgb="FF0000FF"/>
        <rFont val="Arial"/>
        <family val="0"/>
        <charset val="1"/>
      </rPr>
      <t xml:space="preserve">ISSB</t>
    </r>
    <r>
      <rPr>
        <sz val="10"/>
        <color rgb="FF0000FF"/>
        <rFont val="Noto Sans CJK SC"/>
        <family val="2"/>
      </rPr>
      <t xml:space="preserve">等のガイドライン準拠</t>
    </r>
    <r>
      <rPr>
        <sz val="10"/>
        <color rgb="FF0000FF"/>
        <rFont val="Arial"/>
        <family val="0"/>
        <charset val="1"/>
      </rPr>
      <t xml:space="preserve">(1/6)</t>
    </r>
    <r>
      <rPr>
        <sz val="10"/>
        <color rgb="FF0000FF"/>
        <rFont val="Noto Sans CJK SC"/>
        <family val="2"/>
      </rPr>
      <t xml:space="preserve">、</t>
    </r>
    <r>
      <rPr>
        <sz val="10"/>
        <color rgb="FF0000FF"/>
        <rFont val="Arial"/>
        <family val="0"/>
        <charset val="1"/>
      </rPr>
      <t xml:space="preserve">(c)</t>
    </r>
    <r>
      <rPr>
        <sz val="10"/>
        <color rgb="FF0000FF"/>
        <rFont val="Noto Sans CJK SC"/>
        <family val="2"/>
      </rPr>
      <t xml:space="preserve">第三者レビューは「外部保証</t>
    </r>
    <r>
      <rPr>
        <sz val="10"/>
        <color rgb="FF0000FF"/>
        <rFont val="Arial"/>
        <family val="0"/>
        <charset val="1"/>
      </rPr>
      <t xml:space="preserve">(assured)</t>
    </r>
    <r>
      <rPr>
        <sz val="10"/>
        <color rgb="FF0000FF"/>
        <rFont val="Noto Sans CJK SC"/>
        <family val="2"/>
      </rPr>
      <t xml:space="preserve">」または「外部検証</t>
    </r>
    <r>
      <rPr>
        <sz val="10"/>
        <color rgb="FF0000FF"/>
        <rFont val="Arial"/>
        <family val="0"/>
        <charset val="1"/>
      </rPr>
      <t xml:space="preserve">(verified)</t>
    </r>
    <r>
      <rPr>
        <sz val="10"/>
        <color rgb="FF0000FF"/>
        <rFont val="Noto Sans CJK SC"/>
        <family val="2"/>
      </rPr>
      <t xml:space="preserve">」で</t>
    </r>
    <r>
      <rPr>
        <sz val="10"/>
        <color rgb="FF0000FF"/>
        <rFont val="Arial"/>
        <family val="0"/>
        <charset val="1"/>
      </rPr>
      <t xml:space="preserve">3/3(</t>
    </r>
    <r>
      <rPr>
        <sz val="10"/>
        <color rgb="FF0000FF"/>
        <rFont val="Noto Sans CJK SC"/>
        <family val="2"/>
      </rPr>
      <t xml:space="preserve">「外部チェック</t>
    </r>
    <r>
      <rPr>
        <sz val="10"/>
        <color rgb="FF0000FF"/>
        <rFont val="Arial"/>
        <family val="0"/>
        <charset val="1"/>
      </rPr>
      <t xml:space="preserve">(checked)</t>
    </r>
    <r>
      <rPr>
        <sz val="10"/>
        <color rgb="FF0000FF"/>
        <rFont val="Noto Sans CJK SC"/>
        <family val="2"/>
      </rPr>
      <t xml:space="preserve">」のみは</t>
    </r>
    <r>
      <rPr>
        <sz val="10"/>
        <color rgb="FF0000FF"/>
        <rFont val="Arial"/>
        <family val="0"/>
        <charset val="1"/>
      </rPr>
      <t xml:space="preserve">1/3)</t>
    </r>
  </si>
  <si>
    <t xml:space="preserve">RP2.1</t>
  </si>
  <si>
    <t xml:space="preserve">インシデント監視</t>
  </si>
  <si>
    <t xml:space="preserve">不祥事・違反等の監視プロセスを保有し、顧客・従業員・投資家(各1/4)への外部コミュニケーションを含める。全選択肢を選ばなくても満点可</t>
  </si>
  <si>
    <t xml:space="preserve">「その他」は自動検証。※セクターリーダー選定の判断材料に使用される</t>
  </si>
  <si>
    <t xml:space="preserve">RP2.2</t>
  </si>
  <si>
    <r>
      <rPr>
        <sz val="10"/>
        <color rgb="FF0000FF"/>
        <rFont val="Arial"/>
        <family val="0"/>
        <charset val="1"/>
      </rPr>
      <t xml:space="preserve">ESG</t>
    </r>
    <r>
      <rPr>
        <sz val="10"/>
        <color rgb="FF0000FF"/>
        <rFont val="Noto Sans CJK SC"/>
        <family val="2"/>
      </rPr>
      <t xml:space="preserve">インシデント発生状況</t>
    </r>
  </si>
  <si>
    <t xml:space="preserve">報告年度中の罰金・制裁を伴うESG関連違反の件数・金額・係属中調査件数を報告</t>
  </si>
  <si>
    <t xml:space="preserve">―（非採点）※セクターリーダー選定の判断材料</t>
  </si>
  <si>
    <t xml:space="preserve">リスク管理</t>
  </si>
  <si>
    <t xml:space="preserve">RM1</t>
  </si>
  <si>
    <t xml:space="preserve">環境マネジメントシステム(EMS)</t>
  </si>
  <si>
    <r>
      <rPr>
        <sz val="10"/>
        <color rgb="FF0000FF"/>
        <rFont val="Arial"/>
        <family val="0"/>
        <charset val="1"/>
      </rPr>
      <t xml:space="preserve">★ISO14001</t>
    </r>
    <r>
      <rPr>
        <sz val="10"/>
        <color rgb="FF0000FF"/>
        <rFont val="Noto Sans CJK SC"/>
        <family val="2"/>
      </rPr>
      <t xml:space="preserve">または</t>
    </r>
    <r>
      <rPr>
        <sz val="10"/>
        <color rgb="FF0000FF"/>
        <rFont val="Arial"/>
        <family val="0"/>
        <charset val="1"/>
      </rPr>
      <t xml:space="preserve">EMAS</t>
    </r>
    <r>
      <rPr>
        <sz val="10"/>
        <color rgb="FF0000FF"/>
        <rFont val="Noto Sans CJK SC"/>
        <family val="2"/>
      </rPr>
      <t xml:space="preserve">による「第三者による外部認証」を取得</t>
    </r>
    <r>
      <rPr>
        <sz val="10"/>
        <color rgb="FF0000FF"/>
        <rFont val="Arial"/>
        <family val="0"/>
        <charset val="1"/>
      </rPr>
      <t xml:space="preserve">=2/2</t>
    </r>
    <r>
      <rPr>
        <sz val="10"/>
        <color rgb="FF0000FF"/>
        <rFont val="Noto Sans CJK SC"/>
        <family val="2"/>
      </rPr>
      <t xml:space="preserve">。標準に準拠しているだけ</t>
    </r>
    <r>
      <rPr>
        <sz val="10"/>
        <color rgb="FF0000FF"/>
        <rFont val="Arial"/>
        <family val="0"/>
        <charset val="1"/>
      </rPr>
      <t xml:space="preserve">(</t>
    </r>
    <r>
      <rPr>
        <sz val="10"/>
        <color rgb="FF0000FF"/>
        <rFont val="Noto Sans CJK SC"/>
        <family val="2"/>
      </rPr>
      <t xml:space="preserve">未認証</t>
    </r>
    <r>
      <rPr>
        <sz val="10"/>
        <color rgb="FF0000FF"/>
        <rFont val="Arial"/>
        <family val="0"/>
        <charset val="1"/>
      </rPr>
      <t xml:space="preserve">)</t>
    </r>
    <r>
      <rPr>
        <sz val="10"/>
        <color rgb="FF0000FF"/>
        <rFont val="Noto Sans CJK SC"/>
        <family val="2"/>
      </rPr>
      <t xml:space="preserve">は</t>
    </r>
    <r>
      <rPr>
        <sz val="10"/>
        <color rgb="FF0000FF"/>
        <rFont val="Arial"/>
        <family val="0"/>
        <charset val="1"/>
      </rPr>
      <t xml:space="preserve">1/2</t>
    </r>
    <r>
      <rPr>
        <sz val="10"/>
        <color rgb="FF0000FF"/>
        <rFont val="Noto Sans CJK SC"/>
        <family val="2"/>
      </rPr>
      <t xml:space="preserve">と半減。未準拠は</t>
    </r>
    <r>
      <rPr>
        <sz val="10"/>
        <color rgb="FF0000FF"/>
        <rFont val="Arial"/>
        <family val="0"/>
        <charset val="1"/>
      </rPr>
      <t xml:space="preserve">0</t>
    </r>
  </si>
  <si>
    <t xml:space="preserve">RM2</t>
  </si>
  <si>
    <t xml:space="preserve">ガバナンス方針の実施プロセス</t>
  </si>
  <si>
    <t xml:space="preserve">報酬連動・ヘルプデスク/ホットライン・懲戒措置・人事評価への統合・投資デューデリ・責任と報告ラインの明確化・研修(新任時+定期の両方で1/2ずつ)・内部通報制度(各1/4)</t>
  </si>
  <si>
    <t xml:space="preserve">RM3.1</t>
  </si>
  <si>
    <t xml:space="preserve">社会リスク評価</t>
  </si>
  <si>
    <t xml:space="preserve">過去3年以内に社会リスク評価を実施し、17項目(各1/6)を網羅</t>
  </si>
  <si>
    <t xml:space="preserve">RM3.2</t>
  </si>
  <si>
    <t xml:space="preserve">ガバナンスリスク評価</t>
  </si>
  <si>
    <t xml:space="preserve">過去3年以内にガバナンスリスク評価を実施し、8項目(各1/6)を網羅</t>
  </si>
  <si>
    <t xml:space="preserve">RM4.1</t>
  </si>
  <si>
    <t xml:space="preserve">新規取得時のESGデューデリジェンス</t>
  </si>
  <si>
    <t xml:space="preserve">新規取得の標準プロセスとして資産レベルの環境・社会リスク評価を実施。17項目(生物多様性・建物安全性・気候変動適応・法令遵守・土壌汚染・省エネ・エネルギー供給・洪水・GHG・健康福祉・室内環境・自然災害・社会経済・交通・廃棄物・水効率・水供給、各1/8)</t>
  </si>
  <si>
    <t xml:space="preserve">RM4.2</t>
  </si>
  <si>
    <t xml:space="preserve">取得時のエンボディドカーボン</t>
  </si>
  <si>
    <t xml:space="preserve">新規取得時の内包炭素の資産レベルリスク評価（定量/定性、新築/既存、建設時実績/改修時見込）</t>
  </si>
  <si>
    <t xml:space="preserve">―（非採点・2025年新設）</t>
  </si>
  <si>
    <t xml:space="preserve">変更なし(非採点継続)</t>
  </si>
  <si>
    <t xml:space="preserve">RM5</t>
  </si>
  <si>
    <t xml:space="preserve">気候レジリエンス</t>
  </si>
  <si>
    <t xml:space="preserve">気候戦略にレジリエンスを組み込む。シナリオ分析(移行:CRREM1.5C/IEA NZE2050/NGFS/SBTi等、物理:RCP・SSP)の使用</t>
  </si>
  <si>
    <t xml:space="preserve">RM6.1</t>
  </si>
  <si>
    <t xml:space="preserve">移行リスクの特定</t>
  </si>
  <si>
    <t xml:space="preserve">★財務的影響が重要となる移行リスクを特定する「体系的プロセス」を保有。政策法務・技術・市場・レピュテーションの4要素を網羅し、各領域で特定されたリスクを具体的に開示。エンティティレベルの結果であることが要件</t>
  </si>
  <si>
    <r>
      <rPr>
        <sz val="10"/>
        <color rgb="FF0000FF"/>
        <rFont val="Arial"/>
        <family val="0"/>
        <charset val="1"/>
      </rPr>
      <t xml:space="preserve">★+0.5</t>
    </r>
    <r>
      <rPr>
        <sz val="10"/>
        <color rgb="FF0000FF"/>
        <rFont val="Noto Sans CJK SC"/>
        <family val="2"/>
      </rPr>
      <t xml:space="preserve">点</t>
    </r>
    <r>
      <rPr>
        <sz val="10"/>
        <color rgb="FF0000FF"/>
        <rFont val="Arial"/>
        <family val="0"/>
        <charset val="1"/>
      </rPr>
      <t xml:space="preserve">(1</t>
    </r>
    <r>
      <rPr>
        <sz val="10"/>
        <color rgb="FF0000FF"/>
        <rFont val="Noto Sans CJK SC"/>
        <family val="2"/>
      </rPr>
      <t xml:space="preserve">点へ</t>
    </r>
    <r>
      <rPr>
        <sz val="10"/>
        <color rgb="FF0000FF"/>
        <rFont val="Arial"/>
        <family val="0"/>
        <charset val="1"/>
      </rPr>
      <t xml:space="preserve">)</t>
    </r>
  </si>
  <si>
    <t xml:space="preserve">RM6.2</t>
  </si>
  <si>
    <t xml:space="preserve">移行リスクの影響評価</t>
  </si>
  <si>
    <t xml:space="preserve">移行リスクの財務的影響を事業計画/財務計画に対して評価する体系的プロセス。4要素それぞれで重要と判断した影響(操業コスト増・減損・早期除却等)を特定</t>
  </si>
  <si>
    <t xml:space="preserve">RM6.3</t>
  </si>
  <si>
    <t xml:space="preserve">物理リスクの特定</t>
  </si>
  <si>
    <t xml:space="preserve">急性ハザード(温帯低気圧・鉄砲水・雹・河川氾濫・高潮・熱帯低気圧)と慢性ストレッサー(干ばつ・火災気象・熱・降水・平均気温上昇・海面上昇)の双方を網羅する体系的プロセス</t>
  </si>
  <si>
    <t xml:space="preserve">RM6.4</t>
  </si>
  <si>
    <t xml:space="preserve">物理リスクの影響評価</t>
  </si>
  <si>
    <t xml:space="preserve">直接影響(資本コスト増)と間接影響(保険料上昇・高リスク立地での付保困難・操業コスト増・収益減・早期除却)の双方を評価する体系的プロセス</t>
  </si>
  <si>
    <t xml:space="preserve">RM7</t>
  </si>
  <si>
    <t xml:space="preserve">生物多様性・自然関連戦略</t>
  </si>
  <si>
    <r>
      <rPr>
        <sz val="10"/>
        <color rgb="FF0000FF"/>
        <rFont val="Arial"/>
        <family val="0"/>
        <charset val="1"/>
      </rPr>
      <t xml:space="preserve">TNFD</t>
    </r>
    <r>
      <rPr>
        <sz val="10"/>
        <color rgb="FF0000FF"/>
        <rFont val="Noto Sans CJK SC"/>
        <family val="2"/>
      </rPr>
      <t xml:space="preserve">整合の生物多様性・自然関連戦略（依存・影響・リスク・機会の考慮）</t>
    </r>
  </si>
  <si>
    <t xml:space="preserve">―（非採点・2025年新設の実験的指標）</t>
  </si>
  <si>
    <t xml:space="preserve">ステークホルダー</t>
  </si>
  <si>
    <t xml:space="preserve">SE1</t>
  </si>
  <si>
    <t xml:space="preserve">従業員研修</t>
  </si>
  <si>
    <t xml:space="preserve">専門研修の受講率(1/2)とESG特化研修の受講率(1/2)。★受講率がそのまま乗数になるため100%が必要。ESG研修は環境・社会・ガバナンスの3分野をカバー</t>
  </si>
  <si>
    <t xml:space="preserve">受講率(%)が乗数</t>
  </si>
  <si>
    <t xml:space="preserve">SE2.1</t>
  </si>
  <si>
    <t xml:space="preserve">従業員満足度調査</t>
  </si>
  <si>
    <t xml:space="preserve">過去3年以内に実施。★独立第三者による実施=3/3(社内実施は2/3)。対象従業員比率が乗数。定量指標(1/3)ではNPS採用=3/3(総合満足度スコア等は2/3)</t>
  </si>
  <si>
    <t xml:space="preserve">対象比率(%)が乗数。エビデンス手動検証。回答率は採点対象外</t>
  </si>
  <si>
    <t xml:space="preserve">★指標廃止対象外(SE2.2が廃止)</t>
  </si>
  <si>
    <t xml:space="preserve">SE2.2</t>
  </si>
  <si>
    <t xml:space="preserve">従業員エンゲージメント・プログラム</t>
  </si>
  <si>
    <r>
      <rPr>
        <sz val="10"/>
        <color rgb="FF0000FF"/>
        <rFont val="Arial"/>
        <family val="0"/>
        <charset val="1"/>
      </rPr>
      <t xml:space="preserve">SE2.1</t>
    </r>
    <r>
      <rPr>
        <sz val="10"/>
        <color rgb="FF0000FF"/>
        <rFont val="Noto Sans CJK SC"/>
        <family val="2"/>
      </rPr>
      <t xml:space="preserve">の調査結果に基づく改善プログラム。計画準備・アクションプラン策定・実施・研修・レビュー評価・経営層とのフィードバック・部門別セッション・フォーカスグループ</t>
    </r>
    <r>
      <rPr>
        <sz val="10"/>
        <color rgb="FF0000FF"/>
        <rFont val="Arial"/>
        <family val="0"/>
        <charset val="1"/>
      </rPr>
      <t xml:space="preserve">(</t>
    </r>
    <r>
      <rPr>
        <sz val="10"/>
        <color rgb="FF0000FF"/>
        <rFont val="Noto Sans CJK SC"/>
        <family val="2"/>
      </rPr>
      <t xml:space="preserve">各</t>
    </r>
    <r>
      <rPr>
        <sz val="10"/>
        <color rgb="FF0000FF"/>
        <rFont val="Arial"/>
        <family val="0"/>
        <charset val="1"/>
      </rPr>
      <t xml:space="preserve">1/2)</t>
    </r>
    <r>
      <rPr>
        <sz val="10"/>
        <color rgb="FF0000FF"/>
        <rFont val="Noto Sans CJK SC"/>
        <family val="2"/>
      </rPr>
      <t xml:space="preserve">から</t>
    </r>
    <r>
      <rPr>
        <sz val="10"/>
        <color rgb="FF0000FF"/>
        <rFont val="Arial"/>
        <family val="0"/>
        <charset val="1"/>
      </rPr>
      <t xml:space="preserve">2</t>
    </r>
    <r>
      <rPr>
        <sz val="10"/>
        <color rgb="FF0000FF"/>
        <rFont val="Noto Sans CJK SC"/>
        <family val="2"/>
      </rPr>
      <t xml:space="preserve">つ以上</t>
    </r>
  </si>
  <si>
    <r>
      <rPr>
        <sz val="10"/>
        <color rgb="FF0000FF"/>
        <rFont val="Arial"/>
        <family val="0"/>
        <charset val="1"/>
      </rPr>
      <t xml:space="preserve">★SE2.1</t>
    </r>
    <r>
      <rPr>
        <sz val="10"/>
        <color rgb="FF0000FF"/>
        <rFont val="Noto Sans CJK SC"/>
        <family val="2"/>
      </rPr>
      <t xml:space="preserve">で</t>
    </r>
    <r>
      <rPr>
        <sz val="10"/>
        <color rgb="FF0000FF"/>
        <rFont val="Arial"/>
        <family val="0"/>
        <charset val="1"/>
      </rPr>
      <t xml:space="preserve">0</t>
    </r>
    <r>
      <rPr>
        <sz val="10"/>
        <color rgb="FF0000FF"/>
        <rFont val="Noto Sans CJK SC"/>
        <family val="2"/>
      </rPr>
      <t xml:space="preserve">点の場合、本指標も</t>
    </r>
    <r>
      <rPr>
        <sz val="10"/>
        <color rgb="FF0000FF"/>
        <rFont val="Arial"/>
        <family val="0"/>
        <charset val="1"/>
      </rPr>
      <t xml:space="preserve">0</t>
    </r>
    <r>
      <rPr>
        <sz val="10"/>
        <color rgb="FF0000FF"/>
        <rFont val="Noto Sans CJK SC"/>
        <family val="2"/>
      </rPr>
      <t xml:space="preserve">点</t>
    </r>
    <r>
      <rPr>
        <sz val="10"/>
        <color rgb="FF0000FF"/>
        <rFont val="Arial"/>
        <family val="0"/>
        <charset val="1"/>
      </rPr>
      <t xml:space="preserve">(</t>
    </r>
    <r>
      <rPr>
        <sz val="10"/>
        <color rgb="FF0000FF"/>
        <rFont val="Noto Sans CJK SC"/>
        <family val="2"/>
      </rPr>
      <t xml:space="preserve">連動制約</t>
    </r>
    <r>
      <rPr>
        <sz val="10"/>
        <color rgb="FF0000FF"/>
        <rFont val="Arial"/>
        <family val="0"/>
        <charset val="1"/>
      </rPr>
      <t xml:space="preserve">)</t>
    </r>
  </si>
  <si>
    <t xml:space="preserve">★指標廃止(▲1点)</t>
  </si>
  <si>
    <t xml:space="preserve">SE3.1</t>
  </si>
  <si>
    <t xml:space="preserve">従業員の健康・福祉プログラム</t>
  </si>
  <si>
    <t xml:space="preserve">ニーズ評価・目標設定・アクション・モニタリングの4段階(各1/4)を全て実施</t>
  </si>
  <si>
    <t xml:space="preserve">SE3.2</t>
  </si>
  <si>
    <t xml:space="preserve">従業員の健康・福祉施策</t>
  </si>
  <si>
    <t xml:space="preserve">ニーズ評価(2/4)＝健康調査・心身の健康診断の実施率、目標設定(1/4)＝心/身/社会的健康、施策(1/4)＝音環境・バイオフィリック・保育・柔軟勤務・空気質・法定超の育休等20項目(各1/6)、成果モニタリング(1/4)</t>
  </si>
  <si>
    <t xml:space="preserve">対象従業員比率(%)が乗数。★SE3.1で0点なら本指標も0点</t>
  </si>
  <si>
    <t xml:space="preserve">SE4</t>
  </si>
  <si>
    <t xml:space="preserve">従業員安全指標</t>
  </si>
  <si>
    <r>
      <rPr>
        <sz val="10"/>
        <color rgb="FF0000FF"/>
        <rFont val="Arial"/>
        <family val="0"/>
        <charset val="1"/>
      </rPr>
      <t xml:space="preserve">★2025</t>
    </r>
    <r>
      <rPr>
        <sz val="10"/>
        <color rgb="FF0000FF"/>
        <rFont val="Noto Sans CJK SC"/>
        <family val="2"/>
      </rPr>
      <t xml:space="preserve">年改定により</t>
    </r>
    <r>
      <rPr>
        <sz val="10"/>
        <color rgb="FF0000FF"/>
        <rFont val="Arial"/>
        <family val="0"/>
        <charset val="1"/>
      </rPr>
      <t xml:space="preserve">4</t>
    </r>
    <r>
      <rPr>
        <sz val="10"/>
        <color rgb="FF0000FF"/>
        <rFont val="Noto Sans CJK SC"/>
        <family val="2"/>
      </rPr>
      <t xml:space="preserve">項目すべて</t>
    </r>
    <r>
      <rPr>
        <sz val="10"/>
        <color rgb="FF0000FF"/>
        <rFont val="Arial"/>
        <family val="0"/>
        <charset val="1"/>
      </rPr>
      <t xml:space="preserve">(</t>
    </r>
    <r>
      <rPr>
        <sz val="10"/>
        <color rgb="FF0000FF"/>
        <rFont val="Noto Sans CJK SC"/>
        <family val="2"/>
      </rPr>
      <t xml:space="preserve">職場チェック・欠勤率・傷害率・休業日数率、各</t>
    </r>
    <r>
      <rPr>
        <sz val="10"/>
        <color rgb="FF0000FF"/>
        <rFont val="Arial"/>
        <family val="0"/>
        <charset val="1"/>
      </rPr>
      <t xml:space="preserve">1/4)</t>
    </r>
    <r>
      <rPr>
        <sz val="10"/>
        <color rgb="FF0000FF"/>
        <rFont val="Noto Sans CJK SC"/>
        <family val="2"/>
      </rPr>
      <t xml:space="preserve">の報告が満点条件に変更（従来は</t>
    </r>
    <r>
      <rPr>
        <sz val="10"/>
        <color rgb="FF0000FF"/>
        <rFont val="Arial"/>
        <family val="0"/>
        <charset val="1"/>
      </rPr>
      <t xml:space="preserve">1/2</t>
    </r>
    <r>
      <rPr>
        <sz val="10"/>
        <color rgb="FF0000FF"/>
        <rFont val="Noto Sans CJK SC"/>
        <family val="2"/>
      </rPr>
      <t xml:space="preserve">ずつで</t>
    </r>
    <r>
      <rPr>
        <sz val="10"/>
        <color rgb="FF0000FF"/>
        <rFont val="Arial"/>
        <family val="0"/>
        <charset val="1"/>
      </rPr>
      <t xml:space="preserve">2</t>
    </r>
    <r>
      <rPr>
        <sz val="10"/>
        <color rgb="FF0000FF"/>
        <rFont val="Noto Sans CJK SC"/>
        <family val="2"/>
      </rPr>
      <t xml:space="preserve">項目で満点だった）</t>
    </r>
  </si>
  <si>
    <t xml:space="preserve">対象従業員比率(%)が乗数</t>
  </si>
  <si>
    <t xml:space="preserve">SE5</t>
  </si>
  <si>
    <t xml:space="preserve">人的資本</t>
  </si>
  <si>
    <t xml:space="preserve">統治機関(1/2)と全従業員(1/2)の双方で人的資本指標を測定。★男女賃金格差と男女比率が各2/4と高ウェイト。年齢構成・在任期間・国際性・人種多様性・社会経済的背景は各1/4</t>
  </si>
  <si>
    <t xml:space="preserve">エビデンス手動検証</t>
  </si>
  <si>
    <r>
      <rPr>
        <sz val="10"/>
        <color rgb="FF0000FF"/>
        <rFont val="Arial"/>
        <family val="0"/>
        <charset val="1"/>
      </rPr>
      <t xml:space="preserve">★+1</t>
    </r>
    <r>
      <rPr>
        <sz val="10"/>
        <color rgb="FF0000FF"/>
        <rFont val="Noto Sans CJK SC"/>
        <family val="2"/>
      </rPr>
      <t xml:space="preserve">点</t>
    </r>
    <r>
      <rPr>
        <sz val="10"/>
        <color rgb="FF0000FF"/>
        <rFont val="Arial"/>
        <family val="0"/>
        <charset val="1"/>
      </rPr>
      <t xml:space="preserve">(1.5</t>
    </r>
    <r>
      <rPr>
        <sz val="10"/>
        <color rgb="FF0000FF"/>
        <rFont val="Noto Sans CJK SC"/>
        <family val="2"/>
      </rPr>
      <t xml:space="preserve">点へ</t>
    </r>
    <r>
      <rPr>
        <sz val="10"/>
        <color rgb="FF0000FF"/>
        <rFont val="Arial"/>
        <family val="0"/>
        <charset val="1"/>
      </rPr>
      <t xml:space="preserve">)</t>
    </r>
  </si>
  <si>
    <t xml:space="preserve">SE6</t>
  </si>
  <si>
    <t xml:space="preserve">サプライチェーン・エンゲージメント</t>
  </si>
  <si>
    <r>
      <rPr>
        <sz val="10"/>
        <color rgb="FF0000FF"/>
        <rFont val="Arial"/>
        <family val="0"/>
        <charset val="1"/>
      </rPr>
      <t xml:space="preserve">3</t>
    </r>
    <r>
      <rPr>
        <sz val="10"/>
        <color rgb="FF0000FF"/>
        <rFont val="Noto Sans CJK SC"/>
        <family val="2"/>
      </rPr>
      <t xml:space="preserve">つの主要オプション</t>
    </r>
    <r>
      <rPr>
        <sz val="10"/>
        <color rgb="FF0000FF"/>
        <rFont val="Arial"/>
        <family val="0"/>
        <charset val="1"/>
      </rPr>
      <t xml:space="preserve">(</t>
    </r>
    <r>
      <rPr>
        <sz val="10"/>
        <color rgb="FF0000FF"/>
        <rFont val="Noto Sans CJK SC"/>
        <family val="2"/>
      </rPr>
      <t xml:space="preserve">各</t>
    </r>
    <r>
      <rPr>
        <sz val="10"/>
        <color rgb="FF0000FF"/>
        <rFont val="Arial"/>
        <family val="0"/>
        <charset val="1"/>
      </rPr>
      <t xml:space="preserve">1/3)</t>
    </r>
    <r>
      <rPr>
        <sz val="10"/>
        <color rgb="FF0000FF"/>
        <rFont val="Noto Sans CJK SC"/>
        <family val="2"/>
      </rPr>
      <t xml:space="preserve">で構成。</t>
    </r>
    <r>
      <rPr>
        <sz val="10"/>
        <color rgb="FF0000FF"/>
        <rFont val="Arial"/>
        <family val="0"/>
        <charset val="1"/>
      </rPr>
      <t xml:space="preserve">(1)</t>
    </r>
    <r>
      <rPr>
        <sz val="10"/>
        <color rgb="FF0000FF"/>
        <rFont val="Noto Sans CJK SC"/>
        <family val="2"/>
      </rPr>
      <t xml:space="preserve">プログラム要素</t>
    </r>
    <r>
      <rPr>
        <sz val="10"/>
        <color rgb="FF0000FF"/>
        <rFont val="Arial"/>
        <family val="0"/>
        <charset val="1"/>
      </rPr>
      <t xml:space="preserve">8</t>
    </r>
    <r>
      <rPr>
        <sz val="10"/>
        <color rgb="FF0000FF"/>
        <rFont val="Noto Sans CJK SC"/>
        <family val="2"/>
      </rPr>
      <t xml:space="preserve">項目から</t>
    </r>
    <r>
      <rPr>
        <sz val="10"/>
        <color rgb="FF0000FF"/>
        <rFont val="Arial"/>
        <family val="0"/>
        <charset val="1"/>
      </rPr>
      <t xml:space="preserve">4</t>
    </r>
    <r>
      <rPr>
        <sz val="10"/>
        <color rgb="FF0000FF"/>
        <rFont val="Noto Sans CJK SC"/>
        <family val="2"/>
      </rPr>
      <t xml:space="preserve">つ以上、</t>
    </r>
    <r>
      <rPr>
        <sz val="10"/>
        <color rgb="FF0000FF"/>
        <rFont val="Arial"/>
        <family val="0"/>
        <charset val="1"/>
      </rPr>
      <t xml:space="preserve">(2)</t>
    </r>
    <r>
      <rPr>
        <sz val="10"/>
        <color rgb="FF0000FF"/>
        <rFont val="Noto Sans CJK SC"/>
        <family val="2"/>
      </rPr>
      <t xml:space="preserve">対象トピック</t>
    </r>
    <r>
      <rPr>
        <sz val="10"/>
        <color rgb="FF0000FF"/>
        <rFont val="Arial"/>
        <family val="0"/>
        <charset val="1"/>
      </rPr>
      <t xml:space="preserve">10</t>
    </r>
    <r>
      <rPr>
        <sz val="10"/>
        <color rgb="FF0000FF"/>
        <rFont val="Noto Sans CJK SC"/>
        <family val="2"/>
      </rPr>
      <t xml:space="preserve">項目から</t>
    </r>
    <r>
      <rPr>
        <sz val="10"/>
        <color rgb="FF0000FF"/>
        <rFont val="Arial"/>
        <family val="0"/>
        <charset val="1"/>
      </rPr>
      <t xml:space="preserve">4</t>
    </r>
    <r>
      <rPr>
        <sz val="10"/>
        <color rgb="FF0000FF"/>
        <rFont val="Noto Sans CJK SC"/>
        <family val="2"/>
      </rPr>
      <t xml:space="preserve">つ以上、</t>
    </r>
    <r>
      <rPr>
        <sz val="10"/>
        <color rgb="FF0000FF"/>
        <rFont val="Arial"/>
        <family val="0"/>
        <charset val="1"/>
      </rPr>
      <t xml:space="preserve">(3)</t>
    </r>
    <r>
      <rPr>
        <sz val="10"/>
        <color rgb="FF0000FF"/>
        <rFont val="Noto Sans CJK SC"/>
        <family val="2"/>
      </rPr>
      <t xml:space="preserve">適用対象は請負業者・サプライヤー・</t>
    </r>
    <r>
      <rPr>
        <sz val="10"/>
        <color rgb="FF0000FF"/>
        <rFont val="Arial"/>
        <family val="0"/>
        <charset val="1"/>
      </rPr>
      <t xml:space="preserve">2</t>
    </r>
    <r>
      <rPr>
        <sz val="10"/>
        <color rgb="FF0000FF"/>
        <rFont val="Noto Sans CJK SC"/>
        <family val="2"/>
      </rPr>
      <t xml:space="preserve">次以降のサプライチェーン</t>
    </r>
    <r>
      <rPr>
        <sz val="10"/>
        <color rgb="FF0000FF"/>
        <rFont val="Arial"/>
        <family val="0"/>
        <charset val="1"/>
      </rPr>
      <t xml:space="preserve">(</t>
    </r>
    <r>
      <rPr>
        <sz val="10"/>
        <color rgb="FF0000FF"/>
        <rFont val="Noto Sans CJK SC"/>
        <family val="2"/>
      </rPr>
      <t xml:space="preserve">各</t>
    </r>
    <r>
      <rPr>
        <sz val="10"/>
        <color rgb="FF0000FF"/>
        <rFont val="Arial"/>
        <family val="0"/>
        <charset val="1"/>
      </rPr>
      <t xml:space="preserve">1/2)</t>
    </r>
    <r>
      <rPr>
        <sz val="10"/>
        <color rgb="FF0000FF"/>
        <rFont val="Noto Sans CJK SC"/>
        <family val="2"/>
      </rPr>
      <t xml:space="preserve">から</t>
    </r>
    <r>
      <rPr>
        <sz val="10"/>
        <color rgb="FF0000FF"/>
        <rFont val="Arial"/>
        <family val="0"/>
        <charset val="1"/>
      </rPr>
      <t xml:space="preserve">2</t>
    </r>
    <r>
      <rPr>
        <sz val="10"/>
        <color rgb="FF0000FF"/>
        <rFont val="Noto Sans CJK SC"/>
        <family val="2"/>
      </rPr>
      <t xml:space="preserve">つ以上</t>
    </r>
  </si>
  <si>
    <t xml:space="preserve">SE7.1</t>
  </si>
  <si>
    <r>
      <rPr>
        <sz val="10"/>
        <color rgb="FF0000FF"/>
        <rFont val="Arial"/>
        <family val="0"/>
        <charset val="1"/>
      </rPr>
      <t xml:space="preserve">PM/AM</t>
    </r>
    <r>
      <rPr>
        <sz val="10"/>
        <color rgb="FF0000FF"/>
        <rFont val="Noto Sans CJK SC"/>
        <family val="2"/>
      </rPr>
      <t xml:space="preserve">のモニタリング</t>
    </r>
  </si>
  <si>
    <t xml:space="preserve">内部・外部双方のPM/AMのESG要件遵守を監視。手法6種(独立第三者チェック・ESG研修・自己評価・自社従業員による定例確認・専門基準への準拠要求、各1/2)から2つ以上</t>
  </si>
  <si>
    <t xml:space="preserve">SE7.2</t>
  </si>
  <si>
    <t xml:space="preserve">外部サプライヤーのモニタリング</t>
  </si>
  <si>
    <t xml:space="preserve">その他の直接的な外部サプライヤー/サービス提供者の遵守を監視。手法6種(各1/2)から2つ以上</t>
  </si>
  <si>
    <t xml:space="preserve">SE8</t>
  </si>
  <si>
    <t xml:space="preserve">ステークホルダー苦情処理プロセス</t>
  </si>
  <si>
    <t xml:space="preserve">正式な苦情処理プロセス。(1)特性9項目(アクセス容易・匿名・対話型・公平・改善志向・正当安全・予測可能・報復禁止・透明、各1/4)から4つ以上=2/3、(2)適用対象9者(各1/3)から3者以上=1/3</t>
  </si>
  <si>
    <r>
      <rPr>
        <sz val="10"/>
        <color rgb="FF0000FF"/>
        <rFont val="Arial"/>
        <family val="0"/>
        <charset val="1"/>
      </rPr>
      <t xml:space="preserve">MC </t>
    </r>
    <r>
      <rPr>
        <sz val="10"/>
        <color rgb="FF0000FF"/>
        <rFont val="Noto Sans CJK SC"/>
        <family val="2"/>
      </rPr>
      <t xml:space="preserve">合計</t>
    </r>
  </si>
  <si>
    <t xml:space="preserve">パフォーマンス・コンポーネント 70点 ─ 指標別の配点と要求水準（既存物件運用）</t>
  </si>
  <si>
    <t xml:space="preserve">静的採点27.5点＋相対採点42.5点。E:89% / S:11% / G:0%。オレンジ=相対採点（他社比較で決定）、緑=静的採点（自助努力で満点可能）</t>
  </si>
  <si>
    <t xml:space="preserve">採点方式</t>
  </si>
  <si>
    <t xml:space="preserve">内訳（サブ配点）</t>
  </si>
  <si>
    <t xml:space="preserve">報告特性</t>
  </si>
  <si>
    <t xml:space="preserve">R1</t>
  </si>
  <si>
    <t xml:space="preserve">スタンディング投資ポートフォリオ</t>
  </si>
  <si>
    <t xml:space="preserve">アセットポータルの資産レベルデータから自動生成。%GAVと国のみ修正可能。★%GAVはエンティティ分類とピアグループ判定に使われるため、正確な入力が必須</t>
  </si>
  <si>
    <t xml:space="preserve">―（非採点）</t>
  </si>
  <si>
    <t xml:space="preserve">リスク評価</t>
  </si>
  <si>
    <t xml:space="preserve">RA1</t>
  </si>
  <si>
    <t xml:space="preserve">ポートフォリオのリスク評価</t>
  </si>
  <si>
    <t xml:space="preserve">静的</t>
  </si>
  <si>
    <t xml:space="preserve">E</t>
  </si>
  <si>
    <t xml:space="preserve">過去3年以内に資産レベルの環境・社会リスク評価を実施。18項目(生物多様性・建物安全性と資材・気候変動適応・土壌汚染・省エネ・エネルギー供給・洪水・GHG・健康福祉・室内環境品質・自然災害・規制・レジリエンス・社会経済・交通・廃棄物・水効率・水供給、各1/6)を選択し、★各項目ごとにポートフォリオカバー率100%を確保。ISO31000等の第三者標準への準拠も報告</t>
  </si>
  <si>
    <t xml:space="preserve">ポートフォリオカバー率(%)が乗数</t>
  </si>
  <si>
    <t xml:space="preserve">RA2</t>
  </si>
  <si>
    <t xml:space="preserve">技術的建物診断</t>
  </si>
  <si>
    <t xml:space="preserve">エネルギー1.5 / 水1.0 / 廃棄物0.5</t>
  </si>
  <si>
    <t xml:space="preserve">過去3年以内に実施した技術的建物診断(テクニカル・ビルディング・アセスメント)。★エネルギー診断が1.5点と最大。資産レベルデータから自動集計され、カバー率が乗数として作用するため全物件での実施が必要</t>
  </si>
  <si>
    <t xml:space="preserve">カバー率(%)が乗数(ポートフォリオレベルに集計)</t>
  </si>
  <si>
    <r>
      <rPr>
        <sz val="10"/>
        <color rgb="FF0000FF"/>
        <rFont val="Arial"/>
        <family val="0"/>
        <charset val="1"/>
      </rPr>
      <t xml:space="preserve">★▲1</t>
    </r>
    <r>
      <rPr>
        <sz val="10"/>
        <color rgb="FF0000FF"/>
        <rFont val="Noto Sans CJK SC"/>
        <family val="2"/>
      </rPr>
      <t xml:space="preserve">点</t>
    </r>
    <r>
      <rPr>
        <sz val="10"/>
        <color rgb="FF0000FF"/>
        <rFont val="Arial"/>
        <family val="0"/>
        <charset val="1"/>
      </rPr>
      <t xml:space="preserve">(2</t>
    </r>
    <r>
      <rPr>
        <sz val="10"/>
        <color rgb="FF0000FF"/>
        <rFont val="Noto Sans CJK SC"/>
        <family val="2"/>
      </rPr>
      <t xml:space="preserve">点へ</t>
    </r>
    <r>
      <rPr>
        <sz val="10"/>
        <color rgb="FF0000FF"/>
        <rFont val="Arial"/>
        <family val="0"/>
        <charset val="1"/>
      </rPr>
      <t xml:space="preserve">)</t>
    </r>
  </si>
  <si>
    <t xml:space="preserve">RA3</t>
  </si>
  <si>
    <t xml:space="preserve">省エネ施策</t>
  </si>
  <si>
    <r>
      <rPr>
        <sz val="10"/>
        <color rgb="FF0000FF"/>
        <rFont val="Arial"/>
        <family val="0"/>
        <charset val="1"/>
      </rPr>
      <t xml:space="preserve">0.25</t>
    </r>
    <r>
      <rPr>
        <sz val="10"/>
        <color rgb="FF0000FF"/>
        <rFont val="Noto Sans CJK SC"/>
        <family val="2"/>
      </rPr>
      <t xml:space="preserve">点</t>
    </r>
    <r>
      <rPr>
        <sz val="10"/>
        <color rgb="FF0000FF"/>
        <rFont val="Arial"/>
        <family val="0"/>
        <charset val="1"/>
      </rPr>
      <t xml:space="preserve">×6</t>
    </r>
    <r>
      <rPr>
        <sz val="10"/>
        <color rgb="FF0000FF"/>
        <rFont val="Noto Sans CJK SC"/>
        <family val="2"/>
      </rPr>
      <t xml:space="preserve">施策</t>
    </r>
  </si>
  <si>
    <t xml:space="preserve">過去3年以内に実施した省エネ施策を資産ポータルで報告。★報告した施策1件につき0.25点。6種類の施策を報告すれば満点</t>
  </si>
  <si>
    <t xml:space="preserve">―（施策数がそのまま点数）</t>
  </si>
  <si>
    <r>
      <rPr>
        <sz val="10"/>
        <color rgb="FF0000FF"/>
        <rFont val="Arial"/>
        <family val="0"/>
        <charset val="1"/>
      </rPr>
      <t xml:space="preserve">★▲1</t>
    </r>
    <r>
      <rPr>
        <sz val="10"/>
        <color rgb="FF0000FF"/>
        <rFont val="Noto Sans CJK SC"/>
        <family val="2"/>
      </rPr>
      <t xml:space="preserve">点</t>
    </r>
    <r>
      <rPr>
        <sz val="10"/>
        <color rgb="FF0000FF"/>
        <rFont val="Arial"/>
        <family val="0"/>
        <charset val="1"/>
      </rPr>
      <t xml:space="preserve">(0.5</t>
    </r>
    <r>
      <rPr>
        <sz val="10"/>
        <color rgb="FF0000FF"/>
        <rFont val="Noto Sans CJK SC"/>
        <family val="2"/>
      </rPr>
      <t xml:space="preserve">点へ</t>
    </r>
    <r>
      <rPr>
        <sz val="10"/>
        <color rgb="FF0000FF"/>
        <rFont val="Arial"/>
        <family val="0"/>
        <charset val="1"/>
      </rPr>
      <t xml:space="preserve">)</t>
    </r>
  </si>
  <si>
    <t xml:space="preserve">RA4</t>
  </si>
  <si>
    <t xml:space="preserve">節水施策</t>
  </si>
  <si>
    <r>
      <rPr>
        <sz val="10"/>
        <color rgb="FF0000FF"/>
        <rFont val="Arial"/>
        <family val="0"/>
        <charset val="1"/>
      </rPr>
      <t xml:space="preserve">0.25</t>
    </r>
    <r>
      <rPr>
        <sz val="10"/>
        <color rgb="FF0000FF"/>
        <rFont val="Noto Sans CJK SC"/>
        <family val="2"/>
      </rPr>
      <t xml:space="preserve">点</t>
    </r>
    <r>
      <rPr>
        <sz val="10"/>
        <color rgb="FF0000FF"/>
        <rFont val="Arial"/>
        <family val="0"/>
        <charset val="1"/>
      </rPr>
      <t xml:space="preserve">×4</t>
    </r>
    <r>
      <rPr>
        <sz val="10"/>
        <color rgb="FF0000FF"/>
        <rFont val="Noto Sans CJK SC"/>
        <family val="2"/>
      </rPr>
      <t xml:space="preserve">施策</t>
    </r>
  </si>
  <si>
    <t xml:space="preserve">過去3年以内に実施した節水施策。1件につき0.25点、4種類で満点</t>
  </si>
  <si>
    <r>
      <rPr>
        <sz val="10"/>
        <color rgb="FF0000FF"/>
        <rFont val="Arial"/>
        <family val="0"/>
        <charset val="1"/>
      </rPr>
      <t xml:space="preserve">★▲0.75</t>
    </r>
    <r>
      <rPr>
        <sz val="10"/>
        <color rgb="FF0000FF"/>
        <rFont val="Noto Sans CJK SC"/>
        <family val="2"/>
      </rPr>
      <t xml:space="preserve">点</t>
    </r>
    <r>
      <rPr>
        <sz val="10"/>
        <color rgb="FF0000FF"/>
        <rFont val="Arial"/>
        <family val="0"/>
        <charset val="1"/>
      </rPr>
      <t xml:space="preserve">(0.25</t>
    </r>
    <r>
      <rPr>
        <sz val="10"/>
        <color rgb="FF0000FF"/>
        <rFont val="Noto Sans CJK SC"/>
        <family val="2"/>
      </rPr>
      <t xml:space="preserve">点へ</t>
    </r>
    <r>
      <rPr>
        <sz val="10"/>
        <color rgb="FF0000FF"/>
        <rFont val="Arial"/>
        <family val="0"/>
        <charset val="1"/>
      </rPr>
      <t xml:space="preserve">)</t>
    </r>
  </si>
  <si>
    <t xml:space="preserve">RA5</t>
  </si>
  <si>
    <t xml:space="preserve">廃棄物管理施策</t>
  </si>
  <si>
    <r>
      <rPr>
        <sz val="10"/>
        <color rgb="FF0000FF"/>
        <rFont val="Arial"/>
        <family val="0"/>
        <charset val="1"/>
      </rPr>
      <t xml:space="preserve">0.25</t>
    </r>
    <r>
      <rPr>
        <sz val="10"/>
        <color rgb="FF0000FF"/>
        <rFont val="Noto Sans CJK SC"/>
        <family val="2"/>
      </rPr>
      <t xml:space="preserve">点</t>
    </r>
    <r>
      <rPr>
        <sz val="10"/>
        <color rgb="FF0000FF"/>
        <rFont val="Arial"/>
        <family val="0"/>
        <charset val="1"/>
      </rPr>
      <t xml:space="preserve">×2</t>
    </r>
    <r>
      <rPr>
        <sz val="10"/>
        <color rgb="FF0000FF"/>
        <rFont val="Noto Sans CJK SC"/>
        <family val="2"/>
      </rPr>
      <t xml:space="preserve">施策</t>
    </r>
  </si>
  <si>
    <t xml:space="preserve">過去3年以内に実施した廃棄物管理施策。1件につき0.25点、2種類で満点</t>
  </si>
  <si>
    <r>
      <rPr>
        <sz val="10"/>
        <color rgb="FF0000FF"/>
        <rFont val="Arial"/>
        <family val="0"/>
        <charset val="1"/>
      </rPr>
      <t xml:space="preserve">★▲0.25</t>
    </r>
    <r>
      <rPr>
        <sz val="10"/>
        <color rgb="FF0000FF"/>
        <rFont val="Noto Sans CJK SC"/>
        <family val="2"/>
      </rPr>
      <t xml:space="preserve">点</t>
    </r>
    <r>
      <rPr>
        <sz val="10"/>
        <color rgb="FF0000FF"/>
        <rFont val="Arial"/>
        <family val="0"/>
        <charset val="1"/>
      </rPr>
      <t xml:space="preserve">(0.25</t>
    </r>
    <r>
      <rPr>
        <sz val="10"/>
        <color rgb="FF0000FF"/>
        <rFont val="Noto Sans CJK SC"/>
        <family val="2"/>
      </rPr>
      <t xml:space="preserve">点へ</t>
    </r>
    <r>
      <rPr>
        <sz val="10"/>
        <color rgb="FF0000FF"/>
        <rFont val="Arial"/>
        <family val="0"/>
        <charset val="1"/>
      </rPr>
      <t xml:space="preserve">)</t>
    </r>
  </si>
  <si>
    <t xml:space="preserve">目標</t>
  </si>
  <si>
    <t xml:space="preserve">T1.1</t>
  </si>
  <si>
    <t xml:space="preserve">ポートフォリオ改善目標</t>
  </si>
  <si>
    <r>
      <rPr>
        <sz val="10"/>
        <color rgb="FF0000FF"/>
        <rFont val="Arial"/>
        <family val="0"/>
        <charset val="1"/>
      </rPr>
      <t xml:space="preserve">2/9×</t>
    </r>
    <r>
      <rPr>
        <sz val="10"/>
        <color rgb="FF0000FF"/>
        <rFont val="Noto Sans CJK SC"/>
        <family val="2"/>
      </rPr>
      <t xml:space="preserve">目標＋</t>
    </r>
    <r>
      <rPr>
        <sz val="10"/>
        <color rgb="FF0000FF"/>
        <rFont val="Arial"/>
        <family val="0"/>
        <charset val="1"/>
      </rPr>
      <t xml:space="preserve">1/9(</t>
    </r>
    <r>
      <rPr>
        <sz val="10"/>
        <color rgb="FF0000FF"/>
        <rFont val="Noto Sans CJK SC"/>
        <family val="2"/>
      </rPr>
      <t xml:space="preserve">外部公表</t>
    </r>
    <r>
      <rPr>
        <sz val="10"/>
        <color rgb="FF0000FF"/>
        <rFont val="Arial"/>
        <family val="0"/>
        <charset val="1"/>
      </rPr>
      <t xml:space="preserve">)</t>
    </r>
  </si>
  <si>
    <t xml:space="preserve">長期の性能改善目標を設定。★目標1件につき最大点の2/9、さらにその目標を外部公表していれば1/9が加算。3件の目標を設定し全て外部公表すれば満点(2/9×3＋1/9×3=1)</t>
  </si>
  <si>
    <t xml:space="preserve">T1.2</t>
  </si>
  <si>
    <t xml:space="preserve">ネットゼロ目標</t>
  </si>
  <si>
    <t xml:space="preserve">ネットゼロに整合したGHG削減目標の存在。★2025年からエビデンス提出が必須化(2025年は手動検証の対象外だが将来の検証基準策定に使用)。達成方法(省エネ・再エネ・オフセット・脱炭素予算・取得売却方針)の説明も記載</t>
  </si>
  <si>
    <t xml:space="preserve">エビデンス提出必須</t>
  </si>
  <si>
    <r>
      <rPr>
        <sz val="10"/>
        <color rgb="FF0000FF"/>
        <rFont val="Arial"/>
        <family val="0"/>
        <charset val="1"/>
      </rPr>
      <t xml:space="preserve">★+1</t>
    </r>
    <r>
      <rPr>
        <sz val="10"/>
        <color rgb="FF0000FF"/>
        <rFont val="Noto Sans CJK SC"/>
        <family val="2"/>
      </rPr>
      <t xml:space="preserve">点</t>
    </r>
    <r>
      <rPr>
        <sz val="10"/>
        <color rgb="FF0000FF"/>
        <rFont val="Arial"/>
        <family val="0"/>
        <charset val="1"/>
      </rPr>
      <t xml:space="preserve">(2</t>
    </r>
    <r>
      <rPr>
        <sz val="10"/>
        <color rgb="FF0000FF"/>
        <rFont val="Noto Sans CJK SC"/>
        <family val="2"/>
      </rPr>
      <t xml:space="preserve">点へ</t>
    </r>
    <r>
      <rPr>
        <sz val="10"/>
        <color rgb="FF0000FF"/>
        <rFont val="Arial"/>
        <family val="0"/>
        <charset val="1"/>
      </rPr>
      <t xml:space="preserve">)</t>
    </r>
  </si>
  <si>
    <t xml:space="preserve">テナント＆コミュニティ</t>
  </si>
  <si>
    <t xml:space="preserve">TC1</t>
  </si>
  <si>
    <t xml:space="preserve">テナント・エンゲージメント・プログラム</t>
  </si>
  <si>
    <r>
      <rPr>
        <sz val="10"/>
        <color rgb="FF0000FF"/>
        <rFont val="Arial"/>
        <family val="0"/>
        <charset val="1"/>
      </rPr>
      <t xml:space="preserve">ESG</t>
    </r>
    <r>
      <rPr>
        <sz val="10"/>
        <color rgb="FF0000FF"/>
        <rFont val="Noto Sans CJK SC"/>
        <family val="2"/>
      </rPr>
      <t xml:space="preserve">課題を含むテナント </t>
    </r>
    <r>
      <rPr>
        <sz val="10"/>
        <color rgb="FF0000FF"/>
        <rFont val="Arial"/>
        <family val="0"/>
        <charset val="1"/>
      </rPr>
      <t xml:space="preserve">engagement</t>
    </r>
    <r>
      <rPr>
        <sz val="10"/>
        <color rgb="FF0000FF"/>
        <rFont val="Noto Sans CJK SC"/>
        <family val="2"/>
      </rPr>
      <t xml:space="preserve">。手法</t>
    </r>
    <r>
      <rPr>
        <sz val="10"/>
        <color rgb="FF0000FF"/>
        <rFont val="Arial"/>
        <family val="0"/>
        <charset val="1"/>
      </rPr>
      <t xml:space="preserve">9</t>
    </r>
    <r>
      <rPr>
        <sz val="10"/>
        <color rgb="FF0000FF"/>
        <rFont val="Noto Sans CJK SC"/>
        <family val="2"/>
      </rPr>
      <t xml:space="preserve">種</t>
    </r>
    <r>
      <rPr>
        <sz val="10"/>
        <color rgb="FF0000FF"/>
        <rFont val="Arial"/>
        <family val="0"/>
        <charset val="1"/>
      </rPr>
      <t xml:space="preserve">(</t>
    </r>
    <r>
      <rPr>
        <sz val="10"/>
        <color rgb="FF0000FF"/>
        <rFont val="Noto Sans CJK SC"/>
        <family val="2"/>
      </rPr>
      <t xml:space="preserve">建物コミュニケーション・個別</t>
    </r>
    <r>
      <rPr>
        <sz val="10"/>
        <color rgb="FF0000FF"/>
        <rFont val="Arial"/>
        <family val="0"/>
        <charset val="1"/>
      </rPr>
      <t xml:space="preserve">FB</t>
    </r>
    <r>
      <rPr>
        <sz val="10"/>
        <color rgb="FF0000FF"/>
        <rFont val="Noto Sans CJK SC"/>
        <family val="2"/>
      </rPr>
      <t xml:space="preserve">セッション・エネルギー</t>
    </r>
    <r>
      <rPr>
        <sz val="10"/>
        <color rgb="FF0000FF"/>
        <rFont val="Arial"/>
        <family val="0"/>
        <charset val="1"/>
      </rPr>
      <t xml:space="preserve">/</t>
    </r>
    <r>
      <rPr>
        <sz val="10"/>
        <color rgb="FF0000FF"/>
        <rFont val="Noto Sans CJK SC"/>
        <family val="2"/>
      </rPr>
      <t xml:space="preserve">水</t>
    </r>
    <r>
      <rPr>
        <sz val="10"/>
        <color rgb="FF0000FF"/>
        <rFont val="Arial"/>
        <family val="0"/>
        <charset val="1"/>
      </rPr>
      <t xml:space="preserve">/</t>
    </r>
    <r>
      <rPr>
        <sz val="10"/>
        <color rgb="FF0000FF"/>
        <rFont val="Noto Sans CJK SC"/>
        <family val="2"/>
      </rPr>
      <t xml:space="preserve">廃棄物消費の</t>
    </r>
    <r>
      <rPr>
        <sz val="10"/>
        <color rgb="FF0000FF"/>
        <rFont val="Arial"/>
        <family val="0"/>
        <charset val="1"/>
      </rPr>
      <t xml:space="preserve">FB</t>
    </r>
    <r>
      <rPr>
        <sz val="10"/>
        <color rgb="FF0000FF"/>
        <rFont val="Noto Sans CJK SC"/>
        <family val="2"/>
      </rPr>
      <t xml:space="preserve">提供・</t>
    </r>
    <r>
      <rPr>
        <sz val="10"/>
        <color rgb="FF0000FF"/>
        <rFont val="Arial"/>
        <family val="0"/>
        <charset val="1"/>
      </rPr>
      <t xml:space="preserve">SNS/</t>
    </r>
    <r>
      <rPr>
        <sz val="10"/>
        <color rgb="FF0000FF"/>
        <rFont val="Noto Sans CJK SC"/>
        <family val="2"/>
      </rPr>
      <t xml:space="preserve">オンライン・エンゲージメント会議・テナント</t>
    </r>
    <r>
      <rPr>
        <sz val="10"/>
        <color rgb="FF0000FF"/>
        <rFont val="Arial"/>
        <family val="0"/>
        <charset val="1"/>
      </rPr>
      <t xml:space="preserve">ESG</t>
    </r>
    <r>
      <rPr>
        <sz val="10"/>
        <color rgb="FF0000FF"/>
        <rFont val="Noto Sans CJK SC"/>
        <family val="2"/>
      </rPr>
      <t xml:space="preserve">ガイド・テナント</t>
    </r>
    <r>
      <rPr>
        <sz val="10"/>
        <color rgb="FF0000FF"/>
        <rFont val="Arial"/>
        <family val="0"/>
        <charset val="1"/>
      </rPr>
      <t xml:space="preserve">ESG</t>
    </r>
    <r>
      <rPr>
        <sz val="10"/>
        <color rgb="FF0000FF"/>
        <rFont val="Noto Sans CJK SC"/>
        <family val="2"/>
      </rPr>
      <t xml:space="preserve">研修・</t>
    </r>
    <r>
      <rPr>
        <sz val="10"/>
        <color rgb="FF0000FF"/>
        <rFont val="Arial"/>
        <family val="0"/>
        <charset val="1"/>
      </rPr>
      <t xml:space="preserve">ESG</t>
    </r>
    <r>
      <rPr>
        <sz val="10"/>
        <color rgb="FF0000FF"/>
        <rFont val="Noto Sans CJK SC"/>
        <family val="2"/>
      </rPr>
      <t xml:space="preserve">啓発イベント、各</t>
    </r>
    <r>
      <rPr>
        <sz val="10"/>
        <color rgb="FF0000FF"/>
        <rFont val="Arial"/>
        <family val="0"/>
        <charset val="1"/>
      </rPr>
      <t xml:space="preserve">1/4)</t>
    </r>
    <r>
      <rPr>
        <sz val="10"/>
        <color rgb="FF0000FF"/>
        <rFont val="Noto Sans CJK SC"/>
        <family val="2"/>
      </rPr>
      <t xml:space="preserve">から</t>
    </r>
    <r>
      <rPr>
        <sz val="10"/>
        <color rgb="FF0000FF"/>
        <rFont val="Arial"/>
        <family val="0"/>
        <charset val="1"/>
      </rPr>
      <t xml:space="preserve">4</t>
    </r>
    <r>
      <rPr>
        <sz val="10"/>
        <color rgb="FF0000FF"/>
        <rFont val="Noto Sans CJK SC"/>
        <family val="2"/>
      </rPr>
      <t xml:space="preserve">つ以上</t>
    </r>
  </si>
  <si>
    <t xml:space="preserve">★カバー率はドロップダウン選択で乗数化: 0-25%=0.25 / 25-50%=0.5 / 50-75%=0.75 / 75-100%=1.00</t>
  </si>
  <si>
    <t xml:space="preserve">TC2.1</t>
  </si>
  <si>
    <t xml:space="preserve">テナント満足度調査</t>
  </si>
  <si>
    <t xml:space="preserve">調査種別2/3＋定量指標1/3</t>
  </si>
  <si>
    <t xml:space="preserve">過去3年以内に実施。★独立第三者による調査=3/3(社内実施は2/3)。テナントカバー率が乗数。定量指標(1/3)ではNPS採用=3/3(その他指標は2/3)</t>
  </si>
  <si>
    <t xml:space="preserve">テナントカバー率(%)が乗数。エビデンス手動検証。回答率は採点対象外</t>
  </si>
  <si>
    <t xml:space="preserve">TC2.2</t>
  </si>
  <si>
    <t xml:space="preserve">テナント満足度改善プログラム</t>
  </si>
  <si>
    <r>
      <rPr>
        <sz val="10"/>
        <color rgb="FF0000FF"/>
        <rFont val="Arial"/>
        <family val="0"/>
        <charset val="1"/>
      </rPr>
      <t xml:space="preserve">TC2.1</t>
    </r>
    <r>
      <rPr>
        <sz val="10"/>
        <color rgb="FF0000FF"/>
        <rFont val="Noto Sans CJK SC"/>
        <family val="2"/>
      </rPr>
      <t xml:space="preserve">の結果に基づく改善プログラム。資産別アクションプラン策定・</t>
    </r>
    <r>
      <rPr>
        <sz val="10"/>
        <color rgb="FF0000FF"/>
        <rFont val="Arial"/>
        <family val="0"/>
        <charset val="1"/>
      </rPr>
      <t xml:space="preserve">PM/AM</t>
    </r>
    <r>
      <rPr>
        <sz val="10"/>
        <color rgb="FF0000FF"/>
        <rFont val="Noto Sans CJK SC"/>
        <family val="2"/>
      </rPr>
      <t xml:space="preserve">との</t>
    </r>
    <r>
      <rPr>
        <sz val="10"/>
        <color rgb="FF0000FF"/>
        <rFont val="Arial"/>
        <family val="0"/>
        <charset val="1"/>
      </rPr>
      <t xml:space="preserve">FB</t>
    </r>
    <r>
      <rPr>
        <sz val="10"/>
        <color rgb="FF0000FF"/>
        <rFont val="Noto Sans CJK SC"/>
        <family val="2"/>
      </rPr>
      <t xml:space="preserve">セッション・個別テナントとの</t>
    </r>
    <r>
      <rPr>
        <sz val="10"/>
        <color rgb="FF0000FF"/>
        <rFont val="Arial"/>
        <family val="0"/>
        <charset val="1"/>
      </rPr>
      <t xml:space="preserve">FB</t>
    </r>
    <r>
      <rPr>
        <sz val="10"/>
        <color rgb="FF0000FF"/>
        <rFont val="Noto Sans CJK SC"/>
        <family val="2"/>
      </rPr>
      <t xml:space="preserve">セッション</t>
    </r>
    <r>
      <rPr>
        <sz val="10"/>
        <color rgb="FF0000FF"/>
        <rFont val="Arial"/>
        <family val="0"/>
        <charset val="1"/>
      </rPr>
      <t xml:space="preserve">(</t>
    </r>
    <r>
      <rPr>
        <sz val="10"/>
        <color rgb="FF0000FF"/>
        <rFont val="Noto Sans CJK SC"/>
        <family val="2"/>
      </rPr>
      <t xml:space="preserve">各</t>
    </r>
    <r>
      <rPr>
        <sz val="10"/>
        <color rgb="FF0000FF"/>
        <rFont val="Arial"/>
        <family val="0"/>
        <charset val="1"/>
      </rPr>
      <t xml:space="preserve">1/2)</t>
    </r>
    <r>
      <rPr>
        <sz val="10"/>
        <color rgb="FF0000FF"/>
        <rFont val="Noto Sans CJK SC"/>
        <family val="2"/>
      </rPr>
      <t xml:space="preserve">から</t>
    </r>
    <r>
      <rPr>
        <sz val="10"/>
        <color rgb="FF0000FF"/>
        <rFont val="Arial"/>
        <family val="0"/>
        <charset val="1"/>
      </rPr>
      <t xml:space="preserve">2</t>
    </r>
    <r>
      <rPr>
        <sz val="10"/>
        <color rgb="FF0000FF"/>
        <rFont val="Noto Sans CJK SC"/>
        <family val="2"/>
      </rPr>
      <t xml:space="preserve">つ以上</t>
    </r>
  </si>
  <si>
    <r>
      <rPr>
        <sz val="10"/>
        <color rgb="FF0000FF"/>
        <rFont val="Arial"/>
        <family val="0"/>
        <charset val="1"/>
      </rPr>
      <t xml:space="preserve">★TC2.1</t>
    </r>
    <r>
      <rPr>
        <sz val="10"/>
        <color rgb="FF0000FF"/>
        <rFont val="Noto Sans CJK SC"/>
        <family val="2"/>
      </rPr>
      <t xml:space="preserve">で</t>
    </r>
    <r>
      <rPr>
        <sz val="10"/>
        <color rgb="FF0000FF"/>
        <rFont val="Arial"/>
        <family val="0"/>
        <charset val="1"/>
      </rPr>
      <t xml:space="preserve">0</t>
    </r>
    <r>
      <rPr>
        <sz val="10"/>
        <color rgb="FF0000FF"/>
        <rFont val="Noto Sans CJK SC"/>
        <family val="2"/>
      </rPr>
      <t xml:space="preserve">点の場合、本指標も</t>
    </r>
    <r>
      <rPr>
        <sz val="10"/>
        <color rgb="FF0000FF"/>
        <rFont val="Arial"/>
        <family val="0"/>
        <charset val="1"/>
      </rPr>
      <t xml:space="preserve">0</t>
    </r>
    <r>
      <rPr>
        <sz val="10"/>
        <color rgb="FF0000FF"/>
        <rFont val="Noto Sans CJK SC"/>
        <family val="2"/>
      </rPr>
      <t xml:space="preserve">点</t>
    </r>
    <r>
      <rPr>
        <sz val="10"/>
        <color rgb="FF0000FF"/>
        <rFont val="Arial"/>
        <family val="0"/>
        <charset val="1"/>
      </rPr>
      <t xml:space="preserve">(</t>
    </r>
    <r>
      <rPr>
        <sz val="10"/>
        <color rgb="FF0000FF"/>
        <rFont val="Noto Sans CJK SC"/>
        <family val="2"/>
      </rPr>
      <t xml:space="preserve">連動制約</t>
    </r>
    <r>
      <rPr>
        <sz val="10"/>
        <color rgb="FF0000FF"/>
        <rFont val="Arial"/>
        <family val="0"/>
        <charset val="1"/>
      </rPr>
      <t xml:space="preserve">)</t>
    </r>
  </si>
  <si>
    <t xml:space="preserve">TC3</t>
  </si>
  <si>
    <t xml:space="preserve">テナント内装・改修プログラム</t>
  </si>
  <si>
    <r>
      <rPr>
        <sz val="10"/>
        <color rgb="FF0000FF"/>
        <rFont val="Arial"/>
        <family val="0"/>
        <charset val="1"/>
      </rPr>
      <t xml:space="preserve">ESG</t>
    </r>
    <r>
      <rPr>
        <sz val="10"/>
        <color rgb="FF0000FF"/>
        <rFont val="Noto Sans CJK SC"/>
        <family val="2"/>
      </rPr>
      <t xml:space="preserve">課題を含む内装・改修プログラム。最低内装基準の達成支援・テナント内装ガイド・最低内装基準の規定・調達支援</t>
    </r>
    <r>
      <rPr>
        <sz val="10"/>
        <color rgb="FF0000FF"/>
        <rFont val="Arial"/>
        <family val="0"/>
        <charset val="1"/>
      </rPr>
      <t xml:space="preserve">(</t>
    </r>
    <r>
      <rPr>
        <sz val="10"/>
        <color rgb="FF0000FF"/>
        <rFont val="Noto Sans CJK SC"/>
        <family val="2"/>
      </rPr>
      <t xml:space="preserve">各</t>
    </r>
    <r>
      <rPr>
        <sz val="10"/>
        <color rgb="FF0000FF"/>
        <rFont val="Arial"/>
        <family val="0"/>
        <charset val="1"/>
      </rPr>
      <t xml:space="preserve">1/3)</t>
    </r>
    <r>
      <rPr>
        <sz val="10"/>
        <color rgb="FF0000FF"/>
        <rFont val="Noto Sans CJK SC"/>
        <family val="2"/>
      </rPr>
      <t xml:space="preserve">から</t>
    </r>
    <r>
      <rPr>
        <sz val="10"/>
        <color rgb="FF0000FF"/>
        <rFont val="Arial"/>
        <family val="0"/>
        <charset val="1"/>
      </rPr>
      <t xml:space="preserve">3</t>
    </r>
    <r>
      <rPr>
        <sz val="10"/>
        <color rgb="FF0000FF"/>
        <rFont val="Noto Sans CJK SC"/>
        <family val="2"/>
      </rPr>
      <t xml:space="preserve">つ以上。</t>
    </r>
    <r>
      <rPr>
        <sz val="10"/>
        <color rgb="FF0000FF"/>
        <rFont val="Arial"/>
        <family val="0"/>
        <charset val="1"/>
      </rPr>
      <t xml:space="preserve">2025</t>
    </r>
    <r>
      <rPr>
        <sz val="10"/>
        <color rgb="FF0000FF"/>
        <rFont val="Noto Sans CJK SC"/>
        <family val="2"/>
      </rPr>
      <t xml:space="preserve">年新設の非採点セクションで</t>
    </r>
    <r>
      <rPr>
        <sz val="10"/>
        <color rgb="FF0000FF"/>
        <rFont val="Arial"/>
        <family val="0"/>
        <charset val="1"/>
      </rPr>
      <t xml:space="preserve">ESG</t>
    </r>
    <r>
      <rPr>
        <sz val="10"/>
        <color rgb="FF0000FF"/>
        <rFont val="Noto Sans CJK SC"/>
        <family val="2"/>
      </rPr>
      <t xml:space="preserve">トピック</t>
    </r>
    <r>
      <rPr>
        <sz val="10"/>
        <color rgb="FF0000FF"/>
        <rFont val="Arial"/>
        <family val="0"/>
        <charset val="1"/>
      </rPr>
      <t xml:space="preserve">(</t>
    </r>
    <r>
      <rPr>
        <sz val="10"/>
        <color rgb="FF0000FF"/>
        <rFont val="Noto Sans CJK SC"/>
        <family val="2"/>
      </rPr>
      <t xml:space="preserve">アップフロントカーボン・省エネ・廃棄物・節水・空気質・生物多様性</t>
    </r>
    <r>
      <rPr>
        <sz val="10"/>
        <color rgb="FF0000FF"/>
        <rFont val="Arial"/>
        <family val="0"/>
        <charset val="1"/>
      </rPr>
      <t xml:space="preserve">)</t>
    </r>
    <r>
      <rPr>
        <sz val="10"/>
        <color rgb="FF0000FF"/>
        <rFont val="Noto Sans CJK SC"/>
        <family val="2"/>
      </rPr>
      <t xml:space="preserve">を報告</t>
    </r>
  </si>
  <si>
    <t xml:space="preserve">カバー率ドロップダウンが乗数(0.25/0.5/0.75/1.00)</t>
  </si>
  <si>
    <r>
      <rPr>
        <sz val="10"/>
        <color rgb="FF0000FF"/>
        <rFont val="Arial"/>
        <family val="0"/>
        <charset val="1"/>
      </rPr>
      <t xml:space="preserve">★+1</t>
    </r>
    <r>
      <rPr>
        <sz val="10"/>
        <color rgb="FF0000FF"/>
        <rFont val="Noto Sans CJK SC"/>
        <family val="2"/>
      </rPr>
      <t xml:space="preserve">点</t>
    </r>
    <r>
      <rPr>
        <sz val="10"/>
        <color rgb="FF0000FF"/>
        <rFont val="Arial"/>
        <family val="0"/>
        <charset val="1"/>
      </rPr>
      <t xml:space="preserve">(2.5</t>
    </r>
    <r>
      <rPr>
        <sz val="10"/>
        <color rgb="FF0000FF"/>
        <rFont val="Noto Sans CJK SC"/>
        <family val="2"/>
      </rPr>
      <t xml:space="preserve">点へ</t>
    </r>
    <r>
      <rPr>
        <sz val="10"/>
        <color rgb="FF0000FF"/>
        <rFont val="Arial"/>
        <family val="0"/>
        <charset val="1"/>
      </rPr>
      <t xml:space="preserve">)</t>
    </r>
    <r>
      <rPr>
        <sz val="10"/>
        <color rgb="FF0000FF"/>
        <rFont val="Noto Sans CJK SC"/>
        <family val="2"/>
      </rPr>
      <t xml:space="preserve">。追加</t>
    </r>
    <r>
      <rPr>
        <sz val="10"/>
        <color rgb="FF0000FF"/>
        <rFont val="Arial"/>
        <family val="0"/>
        <charset val="1"/>
      </rPr>
      <t xml:space="preserve">1</t>
    </r>
    <r>
      <rPr>
        <sz val="10"/>
        <color rgb="FF0000FF"/>
        <rFont val="Noto Sans CJK SC"/>
        <family val="2"/>
      </rPr>
      <t xml:space="preserve">点は</t>
    </r>
    <r>
      <rPr>
        <sz val="10"/>
        <color rgb="FF0000FF"/>
        <rFont val="Arial"/>
        <family val="0"/>
        <charset val="1"/>
      </rPr>
      <t xml:space="preserve">ESG</t>
    </r>
    <r>
      <rPr>
        <sz val="10"/>
        <color rgb="FF0000FF"/>
        <rFont val="Noto Sans CJK SC"/>
        <family val="2"/>
      </rPr>
      <t xml:space="preserve">トピック</t>
    </r>
    <r>
      <rPr>
        <sz val="10"/>
        <color rgb="FF0000FF"/>
        <rFont val="Arial"/>
        <family val="0"/>
        <charset val="1"/>
      </rPr>
      <t xml:space="preserve">(</t>
    </r>
    <r>
      <rPr>
        <sz val="10"/>
        <color rgb="FF0000FF"/>
        <rFont val="Noto Sans CJK SC"/>
        <family val="2"/>
      </rPr>
      <t xml:space="preserve">内包炭素含む</t>
    </r>
    <r>
      <rPr>
        <sz val="10"/>
        <color rgb="FF0000FF"/>
        <rFont val="Arial"/>
        <family val="0"/>
        <charset val="1"/>
      </rPr>
      <t xml:space="preserve">)</t>
    </r>
    <r>
      <rPr>
        <sz val="10"/>
        <color rgb="FF0000FF"/>
        <rFont val="Noto Sans CJK SC"/>
        <family val="2"/>
      </rPr>
      <t xml:space="preserve">に配分</t>
    </r>
  </si>
  <si>
    <t xml:space="preserve">TC4</t>
  </si>
  <si>
    <t xml:space="preserve">グリーンリース(賃貸借契約のESG条項)</t>
  </si>
  <si>
    <r>
      <rPr>
        <sz val="10"/>
        <color rgb="FF0000FF"/>
        <rFont val="Arial"/>
        <family val="0"/>
        <charset val="1"/>
      </rPr>
      <t xml:space="preserve">3</t>
    </r>
    <r>
      <rPr>
        <sz val="10"/>
        <color rgb="FF0000FF"/>
        <rFont val="Noto Sans CJK SC"/>
        <family val="2"/>
      </rPr>
      <t xml:space="preserve">カテゴリ</t>
    </r>
    <r>
      <rPr>
        <sz val="10"/>
        <color rgb="FF0000FF"/>
        <rFont val="Arial"/>
        <family val="0"/>
        <charset val="1"/>
      </rPr>
      <t xml:space="preserve">×</t>
    </r>
    <r>
      <rPr>
        <sz val="10"/>
        <color rgb="FF0000FF"/>
        <rFont val="Noto Sans CJK SC"/>
        <family val="2"/>
      </rPr>
      <t xml:space="preserve">各</t>
    </r>
    <r>
      <rPr>
        <sz val="10"/>
        <color rgb="FF0000FF"/>
        <rFont val="Arial"/>
        <family val="0"/>
        <charset val="1"/>
      </rPr>
      <t xml:space="preserve">1/3</t>
    </r>
  </si>
  <si>
    <t xml:space="preserve">標準賃貸借契約にESG条項を規定。(1)協働・工事(環境施策・改修工事の許容・ESG管理協働・性能重視の設計・工事廃棄物管理・社会施策、各1/2)、(2)管理・消費(エネルギー/水/廃棄物/室内環境/持続可能な調達/ユーティリティ/交通/清掃、各1/2)、(3)報告・基準(情報共有・性能格付・設計格付・性能基準・メーター・快適性、各1/2)。★ESG条項付き契約の割合(床面積ベース)は2025年時点では非採点</t>
  </si>
  <si>
    <t xml:space="preserve">「その他」は手動検証。条項付き契約割合は報告目的のみ</t>
  </si>
  <si>
    <r>
      <rPr>
        <sz val="10"/>
        <color rgb="FF0000FF"/>
        <rFont val="Arial"/>
        <family val="0"/>
        <charset val="1"/>
      </rPr>
      <t xml:space="preserve">★+1</t>
    </r>
    <r>
      <rPr>
        <sz val="10"/>
        <color rgb="FF0000FF"/>
        <rFont val="Noto Sans CJK SC"/>
        <family val="2"/>
      </rPr>
      <t xml:space="preserve">点</t>
    </r>
    <r>
      <rPr>
        <sz val="10"/>
        <color rgb="FF0000FF"/>
        <rFont val="Arial"/>
        <family val="0"/>
        <charset val="1"/>
      </rPr>
      <t xml:space="preserve">(2.5</t>
    </r>
    <r>
      <rPr>
        <sz val="10"/>
        <color rgb="FF0000FF"/>
        <rFont val="Noto Sans CJK SC"/>
        <family val="2"/>
      </rPr>
      <t xml:space="preserve">点へ</t>
    </r>
    <r>
      <rPr>
        <sz val="10"/>
        <color rgb="FF0000FF"/>
        <rFont val="Arial"/>
        <family val="0"/>
        <charset val="1"/>
      </rPr>
      <t xml:space="preserve">)</t>
    </r>
    <r>
      <rPr>
        <sz val="10"/>
        <color rgb="FF0000FF"/>
        <rFont val="Noto Sans CJK SC"/>
        <family val="2"/>
      </rPr>
      <t xml:space="preserve">。追加</t>
    </r>
    <r>
      <rPr>
        <sz val="10"/>
        <color rgb="FF0000FF"/>
        <rFont val="Arial"/>
        <family val="0"/>
        <charset val="1"/>
      </rPr>
      <t xml:space="preserve">1</t>
    </r>
    <r>
      <rPr>
        <sz val="10"/>
        <color rgb="FF0000FF"/>
        <rFont val="Noto Sans CJK SC"/>
        <family val="2"/>
      </rPr>
      <t xml:space="preserve">点はデータ共有・メーター条項に配分</t>
    </r>
  </si>
  <si>
    <t xml:space="preserve">TC5.1</t>
  </si>
  <si>
    <t xml:space="preserve">テナントの健康・福祉プログラム</t>
  </si>
  <si>
    <t xml:space="preserve">テナント・顧客・周辺地域の健康福祉促進プログラム。ニーズ評価・目標設定・アクション・モニタリングの4段階(各1/4)を全て実施</t>
  </si>
  <si>
    <t xml:space="preserve">TC5.2</t>
  </si>
  <si>
    <t xml:space="preserve">テナントの健康・福祉施策</t>
  </si>
  <si>
    <t xml:space="preserve">ニーズ評価(2/4)＝テナント調査・地域対話・二次データ、目標設定(1/4)、施策(1/4)＝音環境・バイオフィリック・地域開発・運動・健康的な食・地域向け健康イベント・周辺インフラ改善・インクルーシブ設計・空気質・採光・医療アクセス・社会的交流・温熱快適性・都市再生・水質(各1/6)、成果モニタリング(1/4)</t>
  </si>
  <si>
    <r>
      <rPr>
        <sz val="10"/>
        <color rgb="FF0000FF"/>
        <rFont val="Arial"/>
        <family val="0"/>
        <charset val="1"/>
      </rPr>
      <t xml:space="preserve">★TC5.1</t>
    </r>
    <r>
      <rPr>
        <sz val="10"/>
        <color rgb="FF0000FF"/>
        <rFont val="Noto Sans CJK SC"/>
        <family val="2"/>
      </rPr>
      <t xml:space="preserve">で</t>
    </r>
    <r>
      <rPr>
        <sz val="10"/>
        <color rgb="FF0000FF"/>
        <rFont val="Arial"/>
        <family val="0"/>
        <charset val="1"/>
      </rPr>
      <t xml:space="preserve">0</t>
    </r>
    <r>
      <rPr>
        <sz val="10"/>
        <color rgb="FF0000FF"/>
        <rFont val="Noto Sans CJK SC"/>
        <family val="2"/>
      </rPr>
      <t xml:space="preserve">点なら本指標も</t>
    </r>
    <r>
      <rPr>
        <sz val="10"/>
        <color rgb="FF0000FF"/>
        <rFont val="Arial"/>
        <family val="0"/>
        <charset val="1"/>
      </rPr>
      <t xml:space="preserve">0</t>
    </r>
    <r>
      <rPr>
        <sz val="10"/>
        <color rgb="FF0000FF"/>
        <rFont val="Noto Sans CJK SC"/>
        <family val="2"/>
      </rPr>
      <t xml:space="preserve">点</t>
    </r>
    <r>
      <rPr>
        <sz val="10"/>
        <color rgb="FF0000FF"/>
        <rFont val="Arial"/>
        <family val="0"/>
        <charset val="1"/>
      </rPr>
      <t xml:space="preserve">(</t>
    </r>
    <r>
      <rPr>
        <sz val="10"/>
        <color rgb="FF0000FF"/>
        <rFont val="Noto Sans CJK SC"/>
        <family val="2"/>
      </rPr>
      <t xml:space="preserve">連動制約</t>
    </r>
    <r>
      <rPr>
        <sz val="10"/>
        <color rgb="FF0000FF"/>
        <rFont val="Arial"/>
        <family val="0"/>
        <charset val="1"/>
      </rPr>
      <t xml:space="preserve">)</t>
    </r>
  </si>
  <si>
    <t xml:space="preserve">TC6.1</t>
  </si>
  <si>
    <t xml:space="preserve">コミュニティ・エンゲージメント</t>
  </si>
  <si>
    <t xml:space="preserve">★テナント＆コミュニティ内で最大配点。ESG課題を含む地域連携プログラム。8トピック(地域の健康福祉・地域の懸念への対応プロセス・公共空間の改善・地域雇用創出・研究とネットワーク活動・災害時の支援を含むレジリエンス・慈善団体支援・ESG教育プログラム、各1/3)から3つ以上</t>
  </si>
  <si>
    <t xml:space="preserve">TC6.2</t>
  </si>
  <si>
    <t xml:space="preserve">コミュニティへの影響モニタリング</t>
  </si>
  <si>
    <t xml:space="preserve">地域への影響を測定。住宅アフォーダビリティ・犯罪率への影響・リバビリティスコア・地域所得創出・住民のウェルビーイング・ウォーカビリティスコア(各1/2)から2つ以上</t>
  </si>
  <si>
    <t xml:space="preserve">エネルギー</t>
  </si>
  <si>
    <t xml:space="preserve">EN1</t>
  </si>
  <si>
    <t xml:space="preserve">エネルギー消費</t>
  </si>
  <si>
    <t xml:space="preserve">相対</t>
  </si>
  <si>
    <t xml:space="preserve">データカバー率8.5 ／ エネルギー性能2.5 ／ 再生可能エネルギー3</t>
  </si>
  <si>
    <t xml:space="preserve">★単一指標で最大配点(PCの20%)。(1)データカバー率8.5点=面積×時間で算出、オーナー管理エリアとテナント管理エリアを別々にベンチマーク比較。基準階＋テナント区画の物件は基準階40%・テナント区画60%の固定ウェイト。(2)エネルギー性能2.5点=「省エネ効率」か「LFL(前年同期比)」のいずれか。★省エネ効率で2.5点満点を取る条件: ①スタンディング投資に分類 ②355日以上のデータ ③空室率20%未満 ④エネルギーデータカバー率75%以上 ⑤EUIがASHRAE Standard 100:2024の閾値を下回る。非該当物件はLFL評価(データ利用可能性0.5＋改善実績2.0)に回り、消費増加または横ばいは0点。(3)再エネ3点=オンサイト発電が全資産で1点(オフサイトのみは0.5点)＋前年比改善実績2点</t>
  </si>
  <si>
    <t xml:space="preserve">ベンチマーク比較(相対)。%GAV加重で集計。外れ値は集計対象だがベンチマーク作成からは除外</t>
  </si>
  <si>
    <t xml:space="preserve">GHG</t>
  </si>
  <si>
    <t xml:space="preserve">GH1</t>
  </si>
  <si>
    <r>
      <rPr>
        <sz val="10"/>
        <color rgb="FF0000FF"/>
        <rFont val="Arial"/>
        <family val="0"/>
        <charset val="1"/>
      </rPr>
      <t xml:space="preserve">GHG</t>
    </r>
    <r>
      <rPr>
        <sz val="10"/>
        <color rgb="FF0000FF"/>
        <rFont val="Noto Sans CJK SC"/>
        <family val="2"/>
      </rPr>
      <t xml:space="preserve">排出量</t>
    </r>
  </si>
  <si>
    <t xml:space="preserve">データカバー率5.0 ／ LFL改善2.0</t>
  </si>
  <si>
    <r>
      <rPr>
        <sz val="10"/>
        <color rgb="FF0000FF"/>
        <rFont val="Arial"/>
        <family val="0"/>
        <charset val="1"/>
      </rPr>
      <t xml:space="preserve">(1)</t>
    </r>
    <r>
      <rPr>
        <sz val="10"/>
        <color rgb="FF0000FF"/>
        <rFont val="Noto Sans CJK SC"/>
        <family val="2"/>
      </rPr>
      <t xml:space="preserve">データカバー率</t>
    </r>
    <r>
      <rPr>
        <sz val="10"/>
        <color rgb="FF0000FF"/>
        <rFont val="Arial"/>
        <family val="0"/>
        <charset val="1"/>
      </rPr>
      <t xml:space="preserve">5</t>
    </r>
    <r>
      <rPr>
        <sz val="10"/>
        <color rgb="FF0000FF"/>
        <rFont val="Noto Sans CJK SC"/>
        <family val="2"/>
      </rPr>
      <t xml:space="preserve">点</t>
    </r>
    <r>
      <rPr>
        <sz val="10"/>
        <color rgb="FF0000FF"/>
        <rFont val="Arial"/>
        <family val="0"/>
        <charset val="1"/>
      </rPr>
      <t xml:space="preserve">=Scope1+2</t>
    </r>
    <r>
      <rPr>
        <sz val="10"/>
        <color rgb="FF0000FF"/>
        <rFont val="Noto Sans CJK SC"/>
        <family val="2"/>
      </rPr>
      <t xml:space="preserve">と</t>
    </r>
    <r>
      <rPr>
        <sz val="10"/>
        <color rgb="FF0000FF"/>
        <rFont val="Arial"/>
        <family val="0"/>
        <charset val="1"/>
      </rPr>
      <t xml:space="preserve">Scope3</t>
    </r>
    <r>
      <rPr>
        <sz val="10"/>
        <color rgb="FF0000FF"/>
        <rFont val="Noto Sans CJK SC"/>
        <family val="2"/>
      </rPr>
      <t xml:space="preserve">を別々に算出しベンチマーク比較。最大床面積で加重平均。★</t>
    </r>
    <r>
      <rPr>
        <sz val="10"/>
        <color rgb="FF0000FF"/>
        <rFont val="Arial"/>
        <family val="0"/>
        <charset val="1"/>
      </rPr>
      <t xml:space="preserve">GRESB</t>
    </r>
    <r>
      <rPr>
        <sz val="10"/>
        <color rgb="FF0000FF"/>
        <rFont val="Noto Sans CJK SC"/>
        <family val="2"/>
      </rPr>
      <t xml:space="preserve">の</t>
    </r>
    <r>
      <rPr>
        <sz val="10"/>
        <color rgb="FF0000FF"/>
        <rFont val="Arial"/>
        <family val="0"/>
        <charset val="1"/>
      </rPr>
      <t xml:space="preserve">Scope3</t>
    </r>
    <r>
      <rPr>
        <sz val="10"/>
        <color rgb="FF0000FF"/>
        <rFont val="Noto Sans CJK SC"/>
        <family val="2"/>
      </rPr>
      <t xml:space="preserve">はテナント区画の排出量を指し、自社操業・従業員・送配電損失・上流サプライチェーンは含まない。</t>
    </r>
    <r>
      <rPr>
        <sz val="10"/>
        <color rgb="FF0000FF"/>
        <rFont val="Arial"/>
        <family val="0"/>
        <charset val="1"/>
      </rPr>
      <t xml:space="preserve">(2)LFL</t>
    </r>
    <r>
      <rPr>
        <sz val="10"/>
        <color rgb="FF0000FF"/>
        <rFont val="Noto Sans CJK SC"/>
        <family val="2"/>
      </rPr>
      <t xml:space="preserve">改善</t>
    </r>
    <r>
      <rPr>
        <sz val="10"/>
        <color rgb="FF0000FF"/>
        <rFont val="Arial"/>
        <family val="0"/>
        <charset val="1"/>
      </rPr>
      <t xml:space="preserve">2</t>
    </r>
    <r>
      <rPr>
        <sz val="10"/>
        <color rgb="FF0000FF"/>
        <rFont val="Noto Sans CJK SC"/>
        <family val="2"/>
      </rPr>
      <t xml:space="preserve">点</t>
    </r>
    <r>
      <rPr>
        <sz val="10"/>
        <color rgb="FF0000FF"/>
        <rFont val="Arial"/>
        <family val="0"/>
        <charset val="1"/>
      </rPr>
      <t xml:space="preserve">=Scope1+2</t>
    </r>
    <r>
      <rPr>
        <sz val="10"/>
        <color rgb="FF0000FF"/>
        <rFont val="Noto Sans CJK SC"/>
        <family val="2"/>
      </rPr>
      <t xml:space="preserve">と</t>
    </r>
    <r>
      <rPr>
        <sz val="10"/>
        <color rgb="FF0000FF"/>
        <rFont val="Arial"/>
        <family val="0"/>
        <charset val="1"/>
      </rPr>
      <t xml:space="preserve">Scope3</t>
    </r>
    <r>
      <rPr>
        <sz val="10"/>
        <color rgb="FF0000FF"/>
        <rFont val="Noto Sans CJK SC"/>
        <family val="2"/>
      </rPr>
      <t xml:space="preserve">を別々にベンチマーク比較。★カーボンオフセットは一切採点に影響しない</t>
    </r>
    <r>
      <rPr>
        <sz val="10"/>
        <color rgb="FF0000FF"/>
        <rFont val="Arial"/>
        <family val="0"/>
        <charset val="1"/>
      </rPr>
      <t xml:space="preserve">(</t>
    </r>
    <r>
      <rPr>
        <sz val="10"/>
        <color rgb="FF0000FF"/>
        <rFont val="Noto Sans CJK SC"/>
        <family val="2"/>
      </rPr>
      <t xml:space="preserve">報告目的のみ</t>
    </r>
    <r>
      <rPr>
        <sz val="10"/>
        <color rgb="FF0000FF"/>
        <rFont val="Arial"/>
        <family val="0"/>
        <charset val="1"/>
      </rPr>
      <t xml:space="preserve">)</t>
    </r>
  </si>
  <si>
    <t xml:space="preserve">ベンチマーク比較。消費増加・横ばいは0点</t>
  </si>
  <si>
    <t xml:space="preserve">水</t>
  </si>
  <si>
    <t xml:space="preserve">WT1</t>
  </si>
  <si>
    <t xml:space="preserve">水使用量</t>
  </si>
  <si>
    <t xml:space="preserve">データカバー率4.0 ／ LFL改善2.0 ／ 再利用・リサイクル1.0</t>
  </si>
  <si>
    <t xml:space="preserve">★配点は廃棄物(4点)の約2倍、GHGと同額。(1)データカバー率4点=オーナー管理/テナント管理を別ベンチマークで評価。(2)LFL改善2点。(3)水の再利用・リサイクル1点=オンサイト再利用0.25点＋実績0.75点</t>
  </si>
  <si>
    <t xml:space="preserve">ベンチマーク比較</t>
  </si>
  <si>
    <t xml:space="preserve">廃棄物</t>
  </si>
  <si>
    <t xml:space="preserve">WS1</t>
  </si>
  <si>
    <t xml:space="preserve">廃棄物管理</t>
  </si>
  <si>
    <t xml:space="preserve">データカバー率＋廃棄物転換率(リサイクル率)</t>
  </si>
  <si>
    <t xml:space="preserve">廃棄物データのカバー率と転換率(diversion rate)をベンチマーク比較。★2026年基準ではコンポストは「リサイクル」として報告する旨が明確化された</t>
  </si>
  <si>
    <t xml:space="preserve">データ監視・レビュー</t>
  </si>
  <si>
    <t xml:space="preserve">MR1</t>
  </si>
  <si>
    <r>
      <rPr>
        <sz val="10"/>
        <color rgb="FF0000FF"/>
        <rFont val="Arial"/>
        <family val="0"/>
        <charset val="1"/>
      </rPr>
      <t xml:space="preserve">ESG</t>
    </r>
    <r>
      <rPr>
        <sz val="10"/>
        <color rgb="FF0000FF"/>
        <rFont val="Noto Sans CJK SC"/>
        <family val="2"/>
      </rPr>
      <t xml:space="preserve">データのレビュー・検証・保証</t>
    </r>
  </si>
  <si>
    <r>
      <rPr>
        <sz val="10"/>
        <color rgb="FF0000FF"/>
        <rFont val="Arial"/>
        <family val="0"/>
        <charset val="1"/>
      </rPr>
      <t xml:space="preserve">★MR</t>
    </r>
    <r>
      <rPr>
        <sz val="10"/>
        <color rgb="FF0000FF"/>
        <rFont val="Noto Sans CJK SC"/>
        <family val="2"/>
      </rPr>
      <t xml:space="preserve">グループ最大配点。エネルギー・</t>
    </r>
    <r>
      <rPr>
        <sz val="10"/>
        <color rgb="FF0000FF"/>
        <rFont val="Arial"/>
        <family val="0"/>
        <charset val="1"/>
      </rPr>
      <t xml:space="preserve">GHG</t>
    </r>
    <r>
      <rPr>
        <sz val="10"/>
        <color rgb="FF0000FF"/>
        <rFont val="Noto Sans CJK SC"/>
        <family val="2"/>
      </rPr>
      <t xml:space="preserve">・水・廃棄物の各実績データについて、内部レビュー→第三者検証→第三者保証の水準を高めるほど加点。</t>
    </r>
    <r>
      <rPr>
        <sz val="10"/>
        <color rgb="FF0000FF"/>
        <rFont val="Arial"/>
        <family val="0"/>
        <charset val="1"/>
      </rPr>
      <t xml:space="preserve">ISAE3000</t>
    </r>
    <r>
      <rPr>
        <sz val="10"/>
        <color rgb="FF0000FF"/>
        <rFont val="Noto Sans CJK SC"/>
        <family val="2"/>
      </rPr>
      <t xml:space="preserve">・</t>
    </r>
    <r>
      <rPr>
        <sz val="10"/>
        <color rgb="FF0000FF"/>
        <rFont val="Arial"/>
        <family val="0"/>
        <charset val="1"/>
      </rPr>
      <t xml:space="preserve">ISO14064-3</t>
    </r>
    <r>
      <rPr>
        <sz val="10"/>
        <color rgb="FF0000FF"/>
        <rFont val="Noto Sans CJK SC"/>
        <family val="2"/>
      </rPr>
      <t xml:space="preserve">等の保証スキームを使用</t>
    </r>
  </si>
  <si>
    <t xml:space="preserve">MR2</t>
  </si>
  <si>
    <t xml:space="preserve">同上</t>
  </si>
  <si>
    <t xml:space="preserve">データの検証・保証の範囲拡大</t>
  </si>
  <si>
    <t xml:space="preserve">MR3</t>
  </si>
  <si>
    <t xml:space="preserve">MR4</t>
  </si>
  <si>
    <t xml:space="preserve">建物認証</t>
  </si>
  <si>
    <t xml:space="preserve">BC1</t>
  </si>
  <si>
    <t xml:space="preserve">建物認証(BC1.1設計時＋BC1.2運用時)</t>
  </si>
  <si>
    <r>
      <rPr>
        <sz val="10"/>
        <color rgb="FF0000FF"/>
        <rFont val="Arial"/>
        <family val="0"/>
        <charset val="1"/>
      </rPr>
      <t xml:space="preserve">BC1.1(</t>
    </r>
    <r>
      <rPr>
        <sz val="10"/>
        <color rgb="FF0000FF"/>
        <rFont val="Noto Sans CJK SC"/>
        <family val="2"/>
      </rPr>
      <t xml:space="preserve">設計</t>
    </r>
    <r>
      <rPr>
        <sz val="10"/>
        <color rgb="FF0000FF"/>
        <rFont val="Arial"/>
        <family val="0"/>
        <charset val="1"/>
      </rPr>
      <t xml:space="preserve">/</t>
    </r>
    <r>
      <rPr>
        <sz val="10"/>
        <color rgb="FF0000FF"/>
        <rFont val="Noto Sans CJK SC"/>
        <family val="2"/>
      </rPr>
      <t xml:space="preserve">建設時・内装</t>
    </r>
    <r>
      <rPr>
        <sz val="10"/>
        <color rgb="FF0000FF"/>
        <rFont val="Arial"/>
        <family val="0"/>
        <charset val="1"/>
      </rPr>
      <t xml:space="preserve">)</t>
    </r>
    <r>
      <rPr>
        <sz val="10"/>
        <color rgb="FF0000FF"/>
        <rFont val="Noto Sans CJK SC"/>
        <family val="2"/>
      </rPr>
      <t xml:space="preserve">＋</t>
    </r>
    <r>
      <rPr>
        <sz val="10"/>
        <color rgb="FF0000FF"/>
        <rFont val="Arial"/>
        <family val="0"/>
        <charset val="1"/>
      </rPr>
      <t xml:space="preserve">BC1.2(</t>
    </r>
    <r>
      <rPr>
        <sz val="10"/>
        <color rgb="FF0000FF"/>
        <rFont val="Noto Sans CJK SC"/>
        <family val="2"/>
      </rPr>
      <t xml:space="preserve">運用時</t>
    </r>
    <r>
      <rPr>
        <sz val="10"/>
        <color rgb="FF0000FF"/>
        <rFont val="Arial"/>
        <family val="0"/>
        <charset val="1"/>
      </rPr>
      <t xml:space="preserve">)</t>
    </r>
  </si>
  <si>
    <t xml:space="preserve">★認証を受けた延床面積の割合(% floor area certified)を、同一の物件サブタイプ×国のベンチマーク分布と比較して採点。%GAV加重で集計。★認証のランク(LEEDプラチナかゴールドか、CASBEEのSかB+か)はスコアに一切影響しない(報告目的のみ)。★2024年基準で導入された「時間係数」により、取得後4年経過した運用時認証は係数50%に減衰。★報告年度以前に失効した認証は報告不可</t>
  </si>
  <si>
    <t xml:space="preserve">★認証制度の検証ステータスが乗数: フルポイント100% / パーシャルプラス60% / パーシャルマイナス30%</t>
  </si>
  <si>
    <t xml:space="preserve">配点変更なし。ただし認定制度リストが2028年基準で刷新予定</t>
  </si>
  <si>
    <t xml:space="preserve">BC2</t>
  </si>
  <si>
    <t xml:space="preserve">省エネ格付(エネルギー・レーティング)</t>
  </si>
  <si>
    <r>
      <rPr>
        <sz val="10"/>
        <color rgb="FF0000FF"/>
        <rFont val="Arial"/>
        <family val="0"/>
        <charset val="1"/>
      </rPr>
      <t xml:space="preserve">BELS</t>
    </r>
    <r>
      <rPr>
        <sz val="10"/>
        <color rgb="FF0000FF"/>
        <rFont val="Noto Sans CJK SC"/>
        <family val="2"/>
      </rPr>
      <t xml:space="preserve">、</t>
    </r>
    <r>
      <rPr>
        <sz val="10"/>
        <color rgb="FF0000FF"/>
        <rFont val="Arial"/>
        <family val="0"/>
        <charset val="1"/>
      </rPr>
      <t xml:space="preserve">EPC</t>
    </r>
    <r>
      <rPr>
        <sz val="10"/>
        <color rgb="FF0000FF"/>
        <rFont val="Noto Sans CJK SC"/>
        <family val="2"/>
      </rPr>
      <t xml:space="preserve">等の省エネルギー格付を取得した延床面積の割合。★</t>
    </r>
    <r>
      <rPr>
        <sz val="10"/>
        <color rgb="FF0000FF"/>
        <rFont val="Arial"/>
        <family val="0"/>
        <charset val="1"/>
      </rPr>
      <t xml:space="preserve">BC1</t>
    </r>
    <r>
      <rPr>
        <sz val="10"/>
        <color rgb="FF0000FF"/>
        <rFont val="Noto Sans CJK SC"/>
        <family val="2"/>
      </rPr>
      <t xml:space="preserve">とは別枠のため、</t>
    </r>
    <r>
      <rPr>
        <sz val="10"/>
        <color rgb="FF0000FF"/>
        <rFont val="Arial"/>
        <family val="0"/>
        <charset val="1"/>
      </rPr>
      <t xml:space="preserve">CASBEE/DBJ Green Building(BC1.2)</t>
    </r>
    <r>
      <rPr>
        <sz val="10"/>
        <color rgb="FF0000FF"/>
        <rFont val="Noto Sans CJK SC"/>
        <family val="2"/>
      </rPr>
      <t xml:space="preserve">と</t>
    </r>
    <r>
      <rPr>
        <sz val="10"/>
        <color rgb="FF0000FF"/>
        <rFont val="Arial"/>
        <family val="0"/>
        <charset val="1"/>
      </rPr>
      <t xml:space="preserve">BELS(BC2)</t>
    </r>
    <r>
      <rPr>
        <sz val="10"/>
        <color rgb="FF0000FF"/>
        <rFont val="Noto Sans CJK SC"/>
        <family val="2"/>
      </rPr>
      <t xml:space="preserve">の併用が両方の点を取る定石</t>
    </r>
  </si>
  <si>
    <r>
      <rPr>
        <sz val="10"/>
        <color rgb="FF0000FF"/>
        <rFont val="Arial"/>
        <family val="0"/>
        <charset val="1"/>
      </rPr>
      <t xml:space="preserve">PC </t>
    </r>
    <r>
      <rPr>
        <sz val="10"/>
        <color rgb="FF0000FF"/>
        <rFont val="Noto Sans CJK SC"/>
        <family val="2"/>
      </rPr>
      <t xml:space="preserve">合計</t>
    </r>
  </si>
  <si>
    <t xml:space="preserve">うち相対採点</t>
  </si>
  <si>
    <t xml:space="preserve">うち静的採点</t>
  </si>
</sst>
</file>

<file path=xl/styles.xml><?xml version="1.0" encoding="utf-8"?>
<styleSheet xmlns="http://schemas.openxmlformats.org/spreadsheetml/2006/main">
  <numFmts count="10">
    <numFmt numFmtId="164" formatCode="General"/>
    <numFmt numFmtId="165" formatCode="yyyy/mm/dd"/>
    <numFmt numFmtId="166" formatCode="#,##0"/>
    <numFmt numFmtId="167" formatCode="General"/>
    <numFmt numFmtId="168" formatCode="0.0%"/>
    <numFmt numFmtId="169" formatCode="#,##0.00"/>
    <numFmt numFmtId="170" formatCode="yyyy\年mm\月"/>
    <numFmt numFmtId="171" formatCode="0.0"/>
    <numFmt numFmtId="172" formatCode="yyyy/mm"/>
    <numFmt numFmtId="173" formatCode="yyyy\-mm\-dd"/>
  </numFmts>
  <fonts count="2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4"/>
      <name val="Noto Sans CJK SC"/>
      <family val="2"/>
    </font>
    <font>
      <b val="true"/>
      <sz val="11"/>
      <color rgb="FF0000FF"/>
      <name val="Noto Sans CJK SC"/>
      <family val="2"/>
      <charset val="1"/>
    </font>
    <font>
      <b val="true"/>
      <sz val="10"/>
      <name val="Arial"/>
      <family val="0"/>
      <charset val="1"/>
    </font>
    <font>
      <b val="true"/>
      <sz val="10"/>
      <name val="Noto Sans CJK SC"/>
      <family val="2"/>
    </font>
    <font>
      <sz val="10"/>
      <color rgb="FF0000FF"/>
      <name val="Arial"/>
      <family val="0"/>
      <charset val="1"/>
    </font>
    <font>
      <sz val="10"/>
      <color rgb="FF0000FF"/>
      <name val="Noto Sans CJK SC"/>
      <family val="2"/>
    </font>
    <font>
      <sz val="10"/>
      <name val="Noto Sans CJK SC"/>
      <family val="2"/>
      <charset val="1"/>
    </font>
    <font>
      <sz val="10"/>
      <color rgb="FF0000FF"/>
      <name val="Noto Sans CJK SC"/>
      <family val="2"/>
      <charset val="1"/>
    </font>
    <font>
      <sz val="10"/>
      <name val="Arial"/>
      <family val="0"/>
      <charset val="1"/>
    </font>
    <font>
      <sz val="10"/>
      <name val="Noto Sans CJK SC"/>
      <family val="2"/>
    </font>
    <font>
      <b val="true"/>
      <sz val="10"/>
      <name val="Noto Sans CJK SC"/>
      <family val="2"/>
      <charset val="1"/>
    </font>
    <font>
      <b val="true"/>
      <sz val="10"/>
      <color rgb="FFFFFFFF"/>
      <name val="Noto Sans CJK SC"/>
      <family val="2"/>
      <charset val="1"/>
    </font>
    <font>
      <b val="true"/>
      <sz val="10"/>
      <color rgb="FFFFFFFF"/>
      <name val="Arial"/>
      <family val="0"/>
      <charset val="1"/>
    </font>
    <font>
      <b val="true"/>
      <sz val="10"/>
      <color rgb="FF000000"/>
      <name val="Noto Sans CJK SC"/>
      <family val="2"/>
      <charset val="1"/>
    </font>
    <font>
      <sz val="11"/>
      <color theme="1"/>
      <name val="Noto Sans CJK SC"/>
      <family val="2"/>
      <charset val="1"/>
    </font>
    <font>
      <sz val="11"/>
      <color theme="1"/>
      <name val="Noto Sans CJK SC"/>
      <family val="2"/>
    </font>
    <font>
      <b val="true"/>
      <sz val="10"/>
      <color rgb="FFFFFFFF"/>
      <name val="Noto Sans CJK SC"/>
      <family val="2"/>
    </font>
  </fonts>
  <fills count="6">
    <fill>
      <patternFill patternType="none"/>
    </fill>
    <fill>
      <patternFill patternType="gray125"/>
    </fill>
    <fill>
      <patternFill patternType="solid">
        <fgColor rgb="FFD9E2F3"/>
        <bgColor rgb="FFCCFFFF"/>
      </patternFill>
    </fill>
    <fill>
      <patternFill patternType="solid">
        <fgColor rgb="FFFFFF00"/>
        <bgColor rgb="FFFFFF00"/>
      </patternFill>
    </fill>
    <fill>
      <patternFill patternType="solid">
        <fgColor rgb="FF1F3864"/>
        <bgColor rgb="FF333333"/>
      </patternFill>
    </fill>
    <fill>
      <patternFill patternType="solid">
        <fgColor rgb="FFFFF2CC"/>
        <bgColor rgb="FFFFFFFF"/>
      </patternFill>
    </fill>
  </fills>
  <borders count="3">
    <border diagonalUp="false" diagonalDown="false">
      <left/>
      <right/>
      <top/>
      <bottom/>
      <diagonal/>
    </border>
    <border diagonalUp="false" diagonalDown="false">
      <left/>
      <right/>
      <top/>
      <bottom style="thin">
        <color rgb="FFBFBFBF"/>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6" fillId="4" borderId="0" xfId="0" applyFont="true" applyBorder="fals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7" fontId="13"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general" vertical="bottom" textRotation="0" wrapText="false" indent="0" shrinkToFit="false"/>
      <protection locked="true" hidden="false"/>
    </xf>
    <xf numFmtId="164" fontId="15"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12" fillId="0" borderId="2"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17" fillId="4" borderId="0" xfId="0" applyFont="true" applyBorder="false" applyAlignment="true" applyProtection="false">
      <alignment horizontal="center" vertical="center" textRotation="0" wrapText="true" indent="0" shrinkToFit="false"/>
      <protection locked="true" hidden="false"/>
    </xf>
    <xf numFmtId="164" fontId="18" fillId="0" borderId="2" xfId="0" applyFont="true" applyBorder="true" applyAlignment="true" applyProtection="false">
      <alignment horizontal="general" vertical="bottom" textRotation="0" wrapText="false" indent="0" shrinkToFit="false"/>
      <protection locked="true" hidden="false"/>
    </xf>
    <xf numFmtId="164" fontId="15" fillId="0" borderId="2"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1" fontId="13"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6" fontId="13" fillId="0"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71" fontId="9" fillId="0" borderId="0" xfId="0" applyFont="true" applyBorder="fals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3" fontId="9" fillId="0" borderId="0" xfId="0" applyFont="true" applyBorder="false" applyAlignment="tru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100"/>
  </cols>
  <sheetData>
    <row r="1" customFormat="false" ht="21" hidden="false" customHeight="true" outlineLevel="0" collapsed="false">
      <c r="B1" s="2" t="s">
        <v>0</v>
      </c>
    </row>
    <row r="3" customFormat="false" ht="15" hidden="false" customHeight="true" outlineLevel="0" collapsed="false">
      <c r="A3" s="3" t="s">
        <v>1</v>
      </c>
      <c r="B3" s="4" t="s">
        <v>2</v>
      </c>
      <c r="C3" s="5"/>
    </row>
    <row r="4" customFormat="false" ht="15" hidden="false" customHeight="true" outlineLevel="0" collapsed="false">
      <c r="A4" s="6" t="s">
        <v>3</v>
      </c>
      <c r="B4" s="7" t="s">
        <v>4</v>
      </c>
      <c r="C4" s="8" t="s">
        <v>5</v>
      </c>
    </row>
    <row r="5" customFormat="false" ht="15" hidden="false" customHeight="true" outlineLevel="0" collapsed="false">
      <c r="A5" s="9" t="s">
        <v>6</v>
      </c>
      <c r="B5" s="7" t="s">
        <v>7</v>
      </c>
      <c r="C5" s="10" t="n">
        <v>46241</v>
      </c>
    </row>
    <row r="6" customFormat="false" ht="29.25" hidden="false" customHeight="true" outlineLevel="0" collapsed="false">
      <c r="A6" s="9" t="s">
        <v>8</v>
      </c>
      <c r="B6" s="7" t="s">
        <v>9</v>
      </c>
      <c r="C6" s="7" t="s">
        <v>10</v>
      </c>
    </row>
    <row r="7" customFormat="false" ht="29.25" hidden="false" customHeight="true" outlineLevel="0" collapsed="false">
      <c r="A7" s="9" t="s">
        <v>11</v>
      </c>
      <c r="B7" s="7" t="s">
        <v>12</v>
      </c>
      <c r="C7" s="7" t="s">
        <v>13</v>
      </c>
    </row>
    <row r="9" customFormat="false" ht="15" hidden="false" customHeight="true" outlineLevel="0" collapsed="false">
      <c r="B9" s="4" t="s">
        <v>14</v>
      </c>
      <c r="C9" s="5"/>
    </row>
    <row r="10" customFormat="false" ht="15" hidden="false" customHeight="true" outlineLevel="0" collapsed="false">
      <c r="B10" s="7" t="s">
        <v>15</v>
      </c>
      <c r="C10" s="11" t="s">
        <v>16</v>
      </c>
    </row>
    <row r="11" customFormat="false" ht="15" hidden="false" customHeight="true" outlineLevel="0" collapsed="false">
      <c r="B11" s="7" t="s">
        <v>17</v>
      </c>
      <c r="C11" s="7" t="s">
        <v>18</v>
      </c>
    </row>
    <row r="12" customFormat="false" ht="15" hidden="false" customHeight="true" outlineLevel="0" collapsed="false">
      <c r="B12" s="7" t="s">
        <v>19</v>
      </c>
      <c r="C12" s="7" t="s">
        <v>20</v>
      </c>
    </row>
    <row r="13" customFormat="false" ht="29.25" hidden="false" customHeight="true" outlineLevel="0" collapsed="false">
      <c r="B13" s="7" t="s">
        <v>21</v>
      </c>
      <c r="C13" s="7" t="s">
        <v>22</v>
      </c>
    </row>
    <row r="15" customFormat="false" ht="15" hidden="false" customHeight="true" outlineLevel="0" collapsed="false">
      <c r="B15" s="4" t="s">
        <v>23</v>
      </c>
      <c r="C15" s="5"/>
    </row>
    <row r="16" customFormat="false" ht="15" hidden="false" customHeight="true" outlineLevel="0" collapsed="false">
      <c r="B16" s="7" t="s">
        <v>24</v>
      </c>
      <c r="C16" s="7" t="s">
        <v>25</v>
      </c>
    </row>
    <row r="17" customFormat="false" ht="15" hidden="false" customHeight="true" outlineLevel="0" collapsed="false">
      <c r="B17" s="7" t="s">
        <v>26</v>
      </c>
      <c r="C17" s="7" t="s">
        <v>27</v>
      </c>
    </row>
    <row r="18" customFormat="false" ht="15" hidden="false" customHeight="true" outlineLevel="0" collapsed="false">
      <c r="B18" s="7" t="s">
        <v>28</v>
      </c>
      <c r="C18" s="7" t="s">
        <v>29</v>
      </c>
    </row>
    <row r="19" customFormat="false" ht="15" hidden="false" customHeight="true" outlineLevel="0" collapsed="false">
      <c r="B19" s="7" t="s">
        <v>30</v>
      </c>
      <c r="C19" s="7" t="s">
        <v>31</v>
      </c>
    </row>
    <row r="20" customFormat="false" ht="29.25" hidden="false" customHeight="true" outlineLevel="0" collapsed="false">
      <c r="B20" s="7" t="s">
        <v>32</v>
      </c>
      <c r="C20" s="12" t="s">
        <v>33</v>
      </c>
    </row>
    <row r="22" customFormat="false" ht="15" hidden="false" customHeight="true" outlineLevel="0" collapsed="false">
      <c r="B22" s="4" t="s">
        <v>34</v>
      </c>
      <c r="C22" s="5"/>
    </row>
    <row r="23" customFormat="false" ht="15" hidden="false" customHeight="true" outlineLevel="0" collapsed="false">
      <c r="B23" s="7" t="s">
        <v>35</v>
      </c>
      <c r="C23" s="13" t="s">
        <v>36</v>
      </c>
    </row>
    <row r="24" customFormat="false" ht="15" hidden="false" customHeight="true" outlineLevel="0" collapsed="false">
      <c r="B24" s="7" t="s">
        <v>37</v>
      </c>
      <c r="C24" s="7" t="s">
        <v>38</v>
      </c>
    </row>
    <row r="25" customFormat="false" ht="15" hidden="false" customHeight="true" outlineLevel="0" collapsed="false">
      <c r="B25" s="7" t="s">
        <v>39</v>
      </c>
      <c r="C25" s="12" t="s">
        <v>40</v>
      </c>
    </row>
    <row r="26" customFormat="false" ht="15" hidden="false" customHeight="true" outlineLevel="0" collapsed="false">
      <c r="B26" s="7" t="s">
        <v>41</v>
      </c>
      <c r="C26" s="7" t="s">
        <v>42</v>
      </c>
    </row>
    <row r="28" customFormat="false" ht="15" hidden="false" customHeight="true" outlineLevel="0" collapsed="false">
      <c r="B28" s="4" t="s">
        <v>43</v>
      </c>
      <c r="C28" s="5"/>
    </row>
    <row r="29" customFormat="false" ht="15" hidden="false" customHeight="true" outlineLevel="0" collapsed="false">
      <c r="B29" s="11" t="s">
        <v>44</v>
      </c>
      <c r="C29" s="7" t="s">
        <v>45</v>
      </c>
    </row>
    <row r="30" customFormat="false" ht="15" hidden="false" customHeight="true" outlineLevel="0" collapsed="false">
      <c r="B30" s="11" t="s">
        <v>46</v>
      </c>
      <c r="C30" s="7" t="s">
        <v>47</v>
      </c>
    </row>
    <row r="31" customFormat="false" ht="15" hidden="false" customHeight="true" outlineLevel="0" collapsed="false">
      <c r="B31" s="11" t="s">
        <v>48</v>
      </c>
      <c r="C31" s="7" t="s">
        <v>49</v>
      </c>
    </row>
    <row r="32" customFormat="false" ht="29.25" hidden="false" customHeight="true" outlineLevel="0" collapsed="false">
      <c r="B32" s="7" t="s">
        <v>50</v>
      </c>
      <c r="C32" s="12" t="s">
        <v>51</v>
      </c>
    </row>
    <row r="34" customFormat="false" ht="15" hidden="false" customHeight="true" outlineLevel="0" collapsed="false">
      <c r="B34" s="4" t="s">
        <v>52</v>
      </c>
      <c r="C34" s="5"/>
    </row>
    <row r="35" customFormat="false" ht="15" hidden="false" customHeight="true" outlineLevel="0" collapsed="false">
      <c r="B35" s="7" t="s">
        <v>53</v>
      </c>
      <c r="C35" s="7" t="s">
        <v>54</v>
      </c>
    </row>
    <row r="36" customFormat="false" ht="15" hidden="false" customHeight="true" outlineLevel="0" collapsed="false">
      <c r="B36" s="7" t="s">
        <v>55</v>
      </c>
      <c r="C36" s="7" t="s">
        <v>56</v>
      </c>
    </row>
    <row r="37" customFormat="false" ht="29.25" hidden="false" customHeight="true" outlineLevel="0" collapsed="false">
      <c r="B37" s="7" t="s">
        <v>57</v>
      </c>
      <c r="C37" s="7" t="s">
        <v>58</v>
      </c>
    </row>
    <row r="38" customFormat="false" ht="29.25" hidden="false" customHeight="true" outlineLevel="0" collapsed="false">
      <c r="B38" s="7" t="s">
        <v>59</v>
      </c>
      <c r="C38" s="7" t="s">
        <v>60</v>
      </c>
    </row>
    <row r="39" customFormat="false" ht="15" hidden="false" customHeight="true" outlineLevel="0" collapsed="false">
      <c r="B39" s="7" t="s">
        <v>61</v>
      </c>
      <c r="C39" s="7" t="s">
        <v>62</v>
      </c>
    </row>
    <row r="41" customFormat="false" ht="15" hidden="false" customHeight="true" outlineLevel="0" collapsed="false">
      <c r="B41" s="4" t="s">
        <v>63</v>
      </c>
      <c r="C41" s="5"/>
    </row>
    <row r="42" customFormat="false" ht="15" hidden="false" customHeight="true" outlineLevel="0" collapsed="false">
      <c r="B42" s="7" t="s">
        <v>15</v>
      </c>
      <c r="C42" s="8" t="s">
        <v>64</v>
      </c>
    </row>
    <row r="43" customFormat="false" ht="15" hidden="false" customHeight="true" outlineLevel="0" collapsed="false">
      <c r="B43" s="7" t="s">
        <v>65</v>
      </c>
      <c r="C43" s="14" t="s">
        <v>66</v>
      </c>
    </row>
    <row r="45" customFormat="false" ht="15" hidden="false" customHeight="true" outlineLevel="0" collapsed="false">
      <c r="A45" s="15" t="s">
        <v>67</v>
      </c>
    </row>
    <row r="46" customFormat="false" ht="15" hidden="false" customHeight="true" outlineLevel="0" collapsed="false">
      <c r="A46" s="16" t="s">
        <v>68</v>
      </c>
    </row>
    <row r="47" customFormat="false" ht="15" hidden="false" customHeight="true" outlineLevel="0" collapsed="false">
      <c r="A47" s="16" t="s">
        <v>69</v>
      </c>
    </row>
    <row r="48" customFormat="false" ht="15" hidden="false" customHeight="true" outlineLevel="0" collapsed="false">
      <c r="A48" s="16" t="s">
        <v>70</v>
      </c>
    </row>
    <row r="49" customFormat="false" ht="15" hidden="false" customHeight="true" outlineLevel="0" collapsed="false">
      <c r="A49" s="16" t="s">
        <v>71</v>
      </c>
    </row>
    <row r="50" customFormat="false" ht="15" hidden="false" customHeight="true" outlineLevel="0" collapsed="false">
      <c r="A50" s="16" t="s">
        <v>72</v>
      </c>
    </row>
    <row r="51" customFormat="false" ht="15" hidden="false" customHeight="true" outlineLevel="0" collapsed="false">
      <c r="A51" s="16" t="s">
        <v>73</v>
      </c>
    </row>
    <row r="52" customFormat="false" ht="15" hidden="false" customHeight="true" outlineLevel="0" collapsed="false">
      <c r="A52" s="16" t="s">
        <v>74</v>
      </c>
    </row>
    <row r="53" customFormat="false" ht="15" hidden="false" customHeight="true" outlineLevel="0" collapsed="false">
      <c r="A53" s="16" t="s">
        <v>75</v>
      </c>
    </row>
    <row r="55" customFormat="false" ht="15" hidden="false" customHeight="true" outlineLevel="0" collapsed="false">
      <c r="A55" s="15" t="s">
        <v>76</v>
      </c>
    </row>
    <row r="56" customFormat="false" ht="15" hidden="false" customHeight="true" outlineLevel="0" collapsed="false">
      <c r="A56" s="16" t="s">
        <v>77</v>
      </c>
    </row>
    <row r="57" customFormat="false" ht="15" hidden="false" customHeight="true" outlineLevel="0" collapsed="false">
      <c r="A57" s="16" t="s">
        <v>78</v>
      </c>
    </row>
    <row r="58" customFormat="false" ht="15" hidden="false" customHeight="true" outlineLevel="0" collapsed="false">
      <c r="A58" s="16" t="s">
        <v>79</v>
      </c>
    </row>
    <row r="59" customFormat="false" ht="15" hidden="false" customHeight="true" outlineLevel="0" collapsed="false">
      <c r="A59" s="16" t="s">
        <v>80</v>
      </c>
    </row>
    <row r="60" customFormat="false" ht="15" hidden="false" customHeight="true" outlineLevel="0" collapsed="false">
      <c r="A60" s="16" t="s">
        <v>81</v>
      </c>
    </row>
    <row r="61" customFormat="false" ht="15" hidden="false" customHeight="true" outlineLevel="0" collapsed="false">
      <c r="A61" s="16" t="s">
        <v>82</v>
      </c>
    </row>
    <row r="63" customFormat="false" ht="15" hidden="false" customHeight="true" outlineLevel="0" collapsed="false">
      <c r="A63" s="15" t="s">
        <v>83</v>
      </c>
    </row>
    <row r="64" customFormat="false" ht="15" hidden="false" customHeight="true" outlineLevel="0" collapsed="false">
      <c r="A64" s="16" t="s">
        <v>84</v>
      </c>
    </row>
    <row r="65" customFormat="false" ht="15" hidden="false" customHeight="true" outlineLevel="0" collapsed="false">
      <c r="A65" s="16" t="s">
        <v>85</v>
      </c>
    </row>
    <row r="66" customFormat="false" ht="15" hidden="false" customHeight="true" outlineLevel="0" collapsed="false">
      <c r="A66" s="16" t="s">
        <v>86</v>
      </c>
    </row>
    <row r="67" customFormat="false" ht="15" hidden="false" customHeight="true" outlineLevel="0" collapsed="false">
      <c r="A67" s="16" t="s">
        <v>87</v>
      </c>
    </row>
    <row r="68" customFormat="false" ht="15" hidden="false" customHeight="true" outlineLevel="0" collapsed="false">
      <c r="A68" s="16" t="s">
        <v>88</v>
      </c>
    </row>
    <row r="70" customFormat="false" ht="15" hidden="false" customHeight="true" outlineLevel="0" collapsed="false">
      <c r="A70" s="15" t="s">
        <v>89</v>
      </c>
    </row>
    <row r="71" customFormat="false" ht="15" hidden="false" customHeight="true" outlineLevel="0" collapsed="false">
      <c r="A71" s="16" t="s">
        <v>90</v>
      </c>
    </row>
    <row r="72" customFormat="false" ht="15" hidden="false" customHeight="true" outlineLevel="0" collapsed="false">
      <c r="A72" s="16" t="s">
        <v>91</v>
      </c>
    </row>
    <row r="73" customFormat="false" ht="15" hidden="false" customHeight="true" outlineLevel="0" collapsed="false">
      <c r="A73" s="16" t="s">
        <v>92</v>
      </c>
    </row>
    <row r="74" customFormat="false" ht="15" hidden="false" customHeight="true" outlineLevel="0" collapsed="false">
      <c r="A74" s="16" t="s">
        <v>93</v>
      </c>
    </row>
    <row r="75" customFormat="false" ht="15" hidden="false" customHeight="true" outlineLevel="0" collapsed="false">
      <c r="A75" s="16" t="s">
        <v>94</v>
      </c>
    </row>
    <row r="77" customFormat="false" ht="15" hidden="false" customHeight="true" outlineLevel="0" collapsed="false">
      <c r="A77" s="15" t="s">
        <v>95</v>
      </c>
    </row>
    <row r="78" customFormat="false" ht="15" hidden="false" customHeight="true" outlineLevel="0" collapsed="false">
      <c r="A78" s="16" t="s">
        <v>96</v>
      </c>
    </row>
    <row r="79" customFormat="false" ht="15" hidden="false" customHeight="true" outlineLevel="0" collapsed="false">
      <c r="A79" s="16" t="s">
        <v>97</v>
      </c>
    </row>
    <row r="80" customFormat="false" ht="15" hidden="false" customHeight="true" outlineLevel="0" collapsed="false">
      <c r="A80" s="16" t="s">
        <v>98</v>
      </c>
    </row>
    <row r="81" customFormat="false" ht="15" hidden="false" customHeight="true" outlineLevel="0" collapsed="false">
      <c r="A81" s="16" t="s">
        <v>99</v>
      </c>
    </row>
    <row r="82" customFormat="false" ht="15" hidden="false" customHeight="true" outlineLevel="0" collapsed="false">
      <c r="A82" s="16" t="s">
        <v>100</v>
      </c>
    </row>
    <row r="84" customFormat="false" ht="15" hidden="false" customHeight="true" outlineLevel="0" collapsed="false">
      <c r="A84" s="15" t="s">
        <v>101</v>
      </c>
    </row>
    <row r="85" customFormat="false" ht="15" hidden="false" customHeight="true" outlineLevel="0" collapsed="false">
      <c r="A85" s="16" t="s">
        <v>102</v>
      </c>
    </row>
    <row r="86" customFormat="false" ht="15" hidden="false" customHeight="true" outlineLevel="0" collapsed="false">
      <c r="A86" s="16" t="s">
        <v>103</v>
      </c>
    </row>
    <row r="87" customFormat="false" ht="15" hidden="false" customHeight="true" outlineLevel="0" collapsed="false">
      <c r="A87" s="16" t="s">
        <v>104</v>
      </c>
    </row>
    <row r="88" customFormat="false" ht="15" hidden="false" customHeight="true" outlineLevel="0" collapsed="false">
      <c r="A88" s="16" t="s">
        <v>105</v>
      </c>
    </row>
    <row r="89" customFormat="false" ht="15" hidden="false" customHeight="true" outlineLevel="0" collapsed="false">
      <c r="A89" s="16" t="s">
        <v>106</v>
      </c>
    </row>
    <row r="90" customFormat="false" ht="15" hidden="false" customHeight="true" outlineLevel="0" collapsed="false">
      <c r="A90" s="16" t="s">
        <v>107</v>
      </c>
    </row>
    <row r="91" customFormat="false" ht="15" hidden="false" customHeight="true" outlineLevel="0" collapsed="false">
      <c r="A91" s="16" t="s">
        <v>108</v>
      </c>
    </row>
    <row r="92" customFormat="false" ht="15" hidden="false" customHeight="true" outlineLevel="0" collapsed="false">
      <c r="A92" s="16" t="s">
        <v>109</v>
      </c>
    </row>
    <row r="93" customFormat="false" ht="15" hidden="false" customHeight="true" outlineLevel="0" collapsed="false">
      <c r="A93" s="16" t="s">
        <v>110</v>
      </c>
    </row>
    <row r="94" customFormat="false" ht="15" hidden="false" customHeight="true" outlineLevel="0" collapsed="false">
      <c r="A94" s="16" t="s">
        <v>111</v>
      </c>
    </row>
    <row r="95" customFormat="false" ht="15" hidden="false" customHeight="true" outlineLevel="0" collapsed="false">
      <c r="A95" s="16" t="s">
        <v>112</v>
      </c>
    </row>
    <row r="97" customFormat="false" ht="15" hidden="false" customHeight="true" outlineLevel="0" collapsed="false">
      <c r="A97" s="15" t="s">
        <v>113</v>
      </c>
    </row>
    <row r="98" customFormat="false" ht="15" hidden="false" customHeight="true" outlineLevel="0" collapsed="false">
      <c r="A98" s="16" t="s">
        <v>114</v>
      </c>
    </row>
    <row r="99" customFormat="false" ht="15" hidden="false" customHeight="true" outlineLevel="0" collapsed="false">
      <c r="A99" s="16" t="s">
        <v>115</v>
      </c>
    </row>
    <row r="100" customFormat="false" ht="15" hidden="false" customHeight="true" outlineLevel="0" collapsed="false">
      <c r="A100" s="16" t="s">
        <v>116</v>
      </c>
    </row>
    <row r="101" customFormat="false" ht="15" hidden="false" customHeight="true" outlineLevel="0" collapsed="false">
      <c r="A101" s="16" t="s">
        <v>117</v>
      </c>
    </row>
    <row r="102" customFormat="false" ht="15" hidden="false" customHeight="true" outlineLevel="0" collapsed="false">
      <c r="A102" s="16" t="s">
        <v>118</v>
      </c>
    </row>
    <row r="103" customFormat="false" ht="15" hidden="false" customHeight="true" outlineLevel="0" collapsed="false">
      <c r="A103" s="16" t="s">
        <v>119</v>
      </c>
    </row>
    <row r="104" customFormat="false" ht="15" hidden="false" customHeight="true" outlineLevel="0" collapsed="false">
      <c r="A104" s="16" t="s">
        <v>120</v>
      </c>
    </row>
    <row r="106" customFormat="false" ht="15" hidden="false" customHeight="true" outlineLevel="0" collapsed="false">
      <c r="A106" s="15" t="s">
        <v>121</v>
      </c>
    </row>
    <row r="107" customFormat="false" ht="15" hidden="false" customHeight="true" outlineLevel="0" collapsed="false">
      <c r="A107" s="16" t="s">
        <v>122</v>
      </c>
    </row>
    <row r="108" customFormat="false" ht="15" hidden="false" customHeight="true" outlineLevel="0" collapsed="false">
      <c r="A108" s="16" t="s">
        <v>123</v>
      </c>
    </row>
    <row r="109" customFormat="false" ht="15" hidden="false" customHeight="true" outlineLevel="0" collapsed="false">
      <c r="A109" s="16" t="s">
        <v>124</v>
      </c>
    </row>
    <row r="110" customFormat="false" ht="15" hidden="false" customHeight="true" outlineLevel="0" collapsed="false">
      <c r="A110" s="16" t="s">
        <v>125</v>
      </c>
    </row>
    <row r="111" customFormat="false" ht="15" hidden="false" customHeight="true" outlineLevel="0" collapsed="false">
      <c r="A111" s="16" t="s">
        <v>126</v>
      </c>
    </row>
    <row r="112" customFormat="false" ht="15" hidden="false" customHeight="true" outlineLevel="0" collapsed="false">
      <c r="A112" s="16" t="s">
        <v>127</v>
      </c>
    </row>
    <row r="113" customFormat="false" ht="15" hidden="false" customHeight="true" outlineLevel="0" collapsed="false">
      <c r="A113" s="16" t="s">
        <v>128</v>
      </c>
    </row>
    <row r="114" customFormat="false" ht="15" hidden="false" customHeight="true" outlineLevel="0" collapsed="false">
      <c r="A114" s="16" t="s">
        <v>129</v>
      </c>
    </row>
    <row r="115" customFormat="false" ht="15" hidden="false" customHeight="true" outlineLevel="0" collapsed="false">
      <c r="A115" s="16" t="s">
        <v>130</v>
      </c>
    </row>
    <row r="116" customFormat="false" ht="15" hidden="false" customHeight="true" outlineLevel="0" collapsed="false">
      <c r="A116" s="16" t="s">
        <v>131</v>
      </c>
    </row>
    <row r="117" customFormat="false" ht="15" hidden="false" customHeight="true" outlineLevel="0" collapsed="false">
      <c r="A117" s="16" t="s">
        <v>132</v>
      </c>
    </row>
    <row r="119" customFormat="false" ht="15" hidden="false" customHeight="true" outlineLevel="0" collapsed="false">
      <c r="A119" s="15" t="s">
        <v>133</v>
      </c>
    </row>
    <row r="120" customFormat="false" ht="15" hidden="false" customHeight="true" outlineLevel="0" collapsed="false">
      <c r="A120" s="16" t="s">
        <v>134</v>
      </c>
    </row>
    <row r="121" customFormat="false" ht="15" hidden="false" customHeight="true" outlineLevel="0" collapsed="false">
      <c r="A121" s="16" t="s">
        <v>135</v>
      </c>
    </row>
    <row r="122" customFormat="false" ht="15" hidden="false" customHeight="true" outlineLevel="0" collapsed="false">
      <c r="A122" s="16" t="s">
        <v>136</v>
      </c>
    </row>
    <row r="123" customFormat="false" ht="15" hidden="false" customHeight="true" outlineLevel="0" collapsed="false">
      <c r="A123" s="16" t="s">
        <v>137</v>
      </c>
    </row>
    <row r="124" customFormat="false" ht="15" hidden="false" customHeight="true" outlineLevel="0" collapsed="false">
      <c r="A124" s="16" t="s">
        <v>138</v>
      </c>
    </row>
    <row r="125" customFormat="false" ht="15" hidden="false" customHeight="true" outlineLevel="0" collapsed="false">
      <c r="A125" s="16" t="s">
        <v>139</v>
      </c>
    </row>
    <row r="126" customFormat="false" ht="15" hidden="false" customHeight="true" outlineLevel="0" collapsed="false">
      <c r="A126" s="16" t="s">
        <v>140</v>
      </c>
    </row>
    <row r="127" customFormat="false" ht="15" hidden="false" customHeight="true" outlineLevel="0" collapsed="false">
      <c r="A127" s="16" t="s">
        <v>141</v>
      </c>
    </row>
    <row r="128" customFormat="false" ht="15" hidden="false" customHeight="true" outlineLevel="0" collapsed="false">
      <c r="A128" s="16" t="s">
        <v>142</v>
      </c>
    </row>
    <row r="129" customFormat="false" ht="15" hidden="false" customHeight="true" outlineLevel="0" collapsed="false">
      <c r="A129" s="16" t="s">
        <v>143</v>
      </c>
    </row>
    <row r="130" customFormat="false" ht="15" hidden="false" customHeight="true" outlineLevel="0" collapsed="false">
      <c r="A130" s="16" t="s">
        <v>144</v>
      </c>
    </row>
    <row r="132" customFormat="false" ht="15" hidden="false" customHeight="true" outlineLevel="0" collapsed="false">
      <c r="A132" s="15" t="s">
        <v>145</v>
      </c>
    </row>
    <row r="133" customFormat="false" ht="15" hidden="false" customHeight="true" outlineLevel="0" collapsed="false">
      <c r="A133" s="16" t="s">
        <v>146</v>
      </c>
    </row>
    <row r="134" customFormat="false" ht="15" hidden="false" customHeight="true" outlineLevel="0" collapsed="false">
      <c r="A134" s="16" t="s">
        <v>147</v>
      </c>
    </row>
    <row r="135" customFormat="false" ht="15" hidden="false" customHeight="true" outlineLevel="0" collapsed="false">
      <c r="A135" s="16" t="s">
        <v>148</v>
      </c>
    </row>
    <row r="136" customFormat="false" ht="15" hidden="false" customHeight="true" outlineLevel="0" collapsed="false">
      <c r="A136" s="16" t="s">
        <v>149</v>
      </c>
    </row>
    <row r="137" customFormat="false" ht="15" hidden="false" customHeight="true" outlineLevel="0" collapsed="false">
      <c r="A137" s="16" t="s">
        <v>150</v>
      </c>
    </row>
    <row r="138" customFormat="false" ht="15" hidden="false" customHeight="true" outlineLevel="0" collapsed="false">
      <c r="A138" s="16" t="s">
        <v>151</v>
      </c>
    </row>
    <row r="139" customFormat="false" ht="15" hidden="false" customHeight="true" outlineLevel="0" collapsed="false">
      <c r="A139" s="16" t="s">
        <v>152</v>
      </c>
    </row>
    <row r="140" customFormat="false" ht="15" hidden="false" customHeight="true" outlineLevel="0" collapsed="false">
      <c r="A140" s="16" t="s">
        <v>153</v>
      </c>
    </row>
    <row r="141" customFormat="false" ht="15" hidden="false" customHeight="true" outlineLevel="0" collapsed="false">
      <c r="A141" s="16" t="s">
        <v>154</v>
      </c>
    </row>
    <row r="142" customFormat="false" ht="15" hidden="false" customHeight="true" outlineLevel="0" collapsed="false">
      <c r="A142" s="16" t="s">
        <v>155</v>
      </c>
    </row>
    <row r="143" customFormat="false" ht="15" hidden="false" customHeight="true" outlineLevel="0" collapsed="false">
      <c r="A143" s="16" t="s">
        <v>156</v>
      </c>
    </row>
    <row r="144" customFormat="false" ht="15" hidden="false" customHeight="true" outlineLevel="0" collapsed="false">
      <c r="A144" s="16" t="s">
        <v>157</v>
      </c>
    </row>
    <row r="146" customFormat="false" ht="15" hidden="false" customHeight="true" outlineLevel="0" collapsed="false">
      <c r="A146" s="15" t="s">
        <v>158</v>
      </c>
    </row>
    <row r="147" customFormat="false" ht="15" hidden="false" customHeight="true" outlineLevel="0" collapsed="false">
      <c r="A147" s="16" t="s">
        <v>159</v>
      </c>
    </row>
    <row r="148" customFormat="false" ht="15" hidden="false" customHeight="true" outlineLevel="0" collapsed="false">
      <c r="A148" s="16" t="s">
        <v>160</v>
      </c>
    </row>
    <row r="149" customFormat="false" ht="15" hidden="false" customHeight="true" outlineLevel="0" collapsed="false">
      <c r="A149" s="16" t="s">
        <v>161</v>
      </c>
    </row>
    <row r="150" customFormat="false" ht="15" hidden="false" customHeight="true" outlineLevel="0" collapsed="false">
      <c r="A150" s="16" t="s">
        <v>162</v>
      </c>
    </row>
    <row r="151" customFormat="false" ht="15" hidden="false" customHeight="true" outlineLevel="0" collapsed="false">
      <c r="A151" s="16" t="s">
        <v>163</v>
      </c>
    </row>
    <row r="152" customFormat="false" ht="15" hidden="false" customHeight="true" outlineLevel="0" collapsed="false">
      <c r="A152" s="16" t="s">
        <v>164</v>
      </c>
    </row>
    <row r="154" customFormat="false" ht="15" hidden="false" customHeight="true" outlineLevel="0" collapsed="false">
      <c r="A154" s="15" t="s">
        <v>165</v>
      </c>
    </row>
    <row r="155" customFormat="false" ht="15" hidden="false" customHeight="true" outlineLevel="0" collapsed="false">
      <c r="A155" s="16" t="s">
        <v>166</v>
      </c>
    </row>
    <row r="156" customFormat="false" ht="15" hidden="false" customHeight="true" outlineLevel="0" collapsed="false">
      <c r="A156" s="16" t="s">
        <v>167</v>
      </c>
    </row>
    <row r="157" customFormat="false" ht="15" hidden="false" customHeight="true" outlineLevel="0" collapsed="false">
      <c r="A157" s="16" t="s">
        <v>168</v>
      </c>
    </row>
    <row r="158" customFormat="false" ht="15" hidden="false" customHeight="true" outlineLevel="0" collapsed="false">
      <c r="A158" s="16" t="s">
        <v>169</v>
      </c>
    </row>
    <row r="159" customFormat="false" ht="15" hidden="false" customHeight="true" outlineLevel="0" collapsed="false">
      <c r="A159" s="16" t="s">
        <v>170</v>
      </c>
    </row>
    <row r="160" customFormat="false" ht="15" hidden="false" customHeight="true" outlineLevel="0" collapsed="false">
      <c r="A160" s="16" t="s">
        <v>171</v>
      </c>
    </row>
    <row r="161" customFormat="false" ht="15" hidden="false" customHeight="true" outlineLevel="0" collapsed="false">
      <c r="A161" s="16" t="s">
        <v>172</v>
      </c>
    </row>
    <row r="162" customFormat="false" ht="15" hidden="false" customHeight="true" outlineLevel="0" collapsed="false">
      <c r="A162" s="16" t="s">
        <v>173</v>
      </c>
    </row>
    <row r="163" customFormat="false" ht="15" hidden="false" customHeight="true" outlineLevel="0" collapsed="false">
      <c r="A163" s="16" t="s">
        <v>174</v>
      </c>
    </row>
    <row r="164" customFormat="false" ht="15" hidden="false" customHeight="true" outlineLevel="0" collapsed="false">
      <c r="A164" s="16" t="s">
        <v>175</v>
      </c>
    </row>
    <row r="165" customFormat="false" ht="15" hidden="false" customHeight="true" outlineLevel="0" collapsed="false">
      <c r="A165" s="16" t="s">
        <v>176</v>
      </c>
    </row>
    <row r="167" customFormat="false" ht="15" hidden="false" customHeight="true" outlineLevel="0" collapsed="false">
      <c r="A167" s="15" t="s">
        <v>177</v>
      </c>
    </row>
    <row r="168" customFormat="false" ht="15" hidden="false" customHeight="true" outlineLevel="0" collapsed="false">
      <c r="A168" s="16" t="s">
        <v>178</v>
      </c>
    </row>
    <row r="169" customFormat="false" ht="15" hidden="false" customHeight="true" outlineLevel="0" collapsed="false">
      <c r="A169" s="16" t="s">
        <v>179</v>
      </c>
    </row>
    <row r="170" customFormat="false" ht="15" hidden="false" customHeight="true" outlineLevel="0" collapsed="false">
      <c r="A170" s="16" t="s">
        <v>180</v>
      </c>
    </row>
    <row r="171" customFormat="false" ht="15" hidden="false" customHeight="true" outlineLevel="0" collapsed="false">
      <c r="A171" s="16" t="s">
        <v>181</v>
      </c>
    </row>
    <row r="172" customFormat="false" ht="15" hidden="false" customHeight="true" outlineLevel="0" collapsed="false">
      <c r="A172" s="16" t="s">
        <v>182</v>
      </c>
    </row>
    <row r="173" customFormat="false" ht="15" hidden="false" customHeight="true" outlineLevel="0" collapsed="false">
      <c r="A173" s="16" t="s">
        <v>183</v>
      </c>
    </row>
    <row r="175" customFormat="false" ht="15" hidden="false" customHeight="true" outlineLevel="0" collapsed="false">
      <c r="A175" s="15" t="s">
        <v>184</v>
      </c>
    </row>
    <row r="176" customFormat="false" ht="15" hidden="false" customHeight="true" outlineLevel="0" collapsed="false">
      <c r="A176" s="16" t="s">
        <v>185</v>
      </c>
    </row>
    <row r="177" customFormat="false" ht="15" hidden="false" customHeight="true" outlineLevel="0" collapsed="false">
      <c r="A177" s="16" t="s">
        <v>186</v>
      </c>
    </row>
    <row r="178" customFormat="false" ht="15" hidden="false" customHeight="true" outlineLevel="0" collapsed="false">
      <c r="A178" s="16" t="s">
        <v>187</v>
      </c>
    </row>
    <row r="179" customFormat="false" ht="15" hidden="false" customHeight="true" outlineLevel="0" collapsed="false">
      <c r="A179" s="16" t="s">
        <v>188</v>
      </c>
    </row>
    <row r="180" customFormat="false" ht="15" hidden="false" customHeight="true" outlineLevel="0" collapsed="false">
      <c r="A180" s="16" t="s">
        <v>189</v>
      </c>
    </row>
    <row r="181" customFormat="false" ht="15" hidden="false" customHeight="true" outlineLevel="0" collapsed="false">
      <c r="A181" s="16" t="s">
        <v>190</v>
      </c>
    </row>
    <row r="182" customFormat="false" ht="15" hidden="false" customHeight="true" outlineLevel="0" collapsed="false">
      <c r="A182" s="16" t="s">
        <v>191</v>
      </c>
    </row>
    <row r="184" customFormat="false" ht="15" hidden="false" customHeight="true" outlineLevel="0" collapsed="false">
      <c r="A184" s="15" t="s">
        <v>192</v>
      </c>
    </row>
    <row r="185" customFormat="false" ht="15" hidden="false" customHeight="true" outlineLevel="0" collapsed="false">
      <c r="A185" s="16" t="s">
        <v>193</v>
      </c>
    </row>
    <row r="186" customFormat="false" ht="15" hidden="false" customHeight="true" outlineLevel="0" collapsed="false">
      <c r="A186" s="16" t="s">
        <v>194</v>
      </c>
    </row>
    <row r="187" customFormat="false" ht="15" hidden="false" customHeight="true" outlineLevel="0" collapsed="false">
      <c r="A187" s="16" t="s">
        <v>195</v>
      </c>
    </row>
    <row r="188" customFormat="false" ht="15" hidden="false" customHeight="true" outlineLevel="0" collapsed="false">
      <c r="A188" s="16" t="s">
        <v>196</v>
      </c>
    </row>
    <row r="189" customFormat="false" ht="15" hidden="false" customHeight="true" outlineLevel="0" collapsed="false">
      <c r="A189" s="16" t="s">
        <v>197</v>
      </c>
    </row>
    <row r="190" customFormat="false" ht="15" hidden="false" customHeight="true" outlineLevel="0" collapsed="false">
      <c r="A190" s="16" t="s">
        <v>198</v>
      </c>
    </row>
    <row r="191" customFormat="false" ht="15" hidden="false" customHeight="true" outlineLevel="0" collapsed="false">
      <c r="A191" s="16" t="s">
        <v>199</v>
      </c>
    </row>
    <row r="192" customFormat="false" ht="15" hidden="false" customHeight="true" outlineLevel="0" collapsed="false">
      <c r="A192" s="16" t="s">
        <v>200</v>
      </c>
    </row>
    <row r="194" customFormat="false" ht="15" hidden="false" customHeight="true" outlineLevel="0" collapsed="false">
      <c r="A194" s="15" t="s">
        <v>201</v>
      </c>
    </row>
    <row r="195" customFormat="false" ht="15" hidden="false" customHeight="true" outlineLevel="0" collapsed="false">
      <c r="A195" s="16" t="s">
        <v>202</v>
      </c>
    </row>
    <row r="196" customFormat="false" ht="15" hidden="false" customHeight="true" outlineLevel="0" collapsed="false">
      <c r="A196" s="16" t="s">
        <v>203</v>
      </c>
    </row>
    <row r="197" customFormat="false" ht="15" hidden="false" customHeight="true" outlineLevel="0" collapsed="false">
      <c r="A197" s="16" t="s">
        <v>204</v>
      </c>
    </row>
    <row r="198" customFormat="false" ht="15" hidden="false" customHeight="true" outlineLevel="0" collapsed="false">
      <c r="A198" s="16" t="s">
        <v>205</v>
      </c>
    </row>
    <row r="199" customFormat="false" ht="15" hidden="false" customHeight="true" outlineLevel="0" collapsed="false">
      <c r="A199" s="16" t="s">
        <v>206</v>
      </c>
    </row>
    <row r="201" customFormat="false" ht="15" hidden="false" customHeight="true" outlineLevel="0" collapsed="false">
      <c r="A201" s="15" t="s">
        <v>207</v>
      </c>
    </row>
    <row r="202" customFormat="false" ht="15" hidden="false" customHeight="true" outlineLevel="0" collapsed="false">
      <c r="A202" s="16" t="s">
        <v>208</v>
      </c>
    </row>
    <row r="203" customFormat="false" ht="15" hidden="false" customHeight="true" outlineLevel="0" collapsed="false">
      <c r="A203" s="16" t="s">
        <v>209</v>
      </c>
    </row>
    <row r="204" customFormat="false" ht="15" hidden="false" customHeight="true" outlineLevel="0" collapsed="false">
      <c r="A204" s="16" t="s">
        <v>210</v>
      </c>
    </row>
    <row r="205" customFormat="false" ht="15" hidden="false" customHeight="true" outlineLevel="0" collapsed="false">
      <c r="A205" s="16" t="s">
        <v>211</v>
      </c>
    </row>
    <row r="206" customFormat="false" ht="15" hidden="false" customHeight="true" outlineLevel="0" collapsed="false">
      <c r="A206" s="16" t="s">
        <v>212</v>
      </c>
    </row>
    <row r="207" customFormat="false" ht="15" hidden="false" customHeight="true" outlineLevel="0" collapsed="false">
      <c r="A207" s="16" t="s">
        <v>213</v>
      </c>
    </row>
    <row r="208" customFormat="false" ht="15" hidden="false" customHeight="true" outlineLevel="0" collapsed="false">
      <c r="A208" s="16" t="s">
        <v>214</v>
      </c>
    </row>
    <row r="209" customFormat="false" ht="15" hidden="false" customHeight="true" outlineLevel="0" collapsed="false">
      <c r="A209" s="16" t="s">
        <v>215</v>
      </c>
    </row>
    <row r="210" customFormat="false" ht="15" hidden="false" customHeight="true" outlineLevel="0" collapsed="false">
      <c r="A210" s="16" t="s">
        <v>216</v>
      </c>
    </row>
    <row r="211" customFormat="false" ht="15" hidden="false" customHeight="true" outlineLevel="0" collapsed="false">
      <c r="A211" s="16" t="s">
        <v>217</v>
      </c>
    </row>
    <row r="212" customFormat="false" ht="15" hidden="false" customHeight="true" outlineLevel="0" collapsed="false">
      <c r="A212" s="16" t="s">
        <v>218</v>
      </c>
    </row>
    <row r="214" customFormat="false" ht="15" hidden="false" customHeight="true" outlineLevel="0" collapsed="false">
      <c r="A214" s="15" t="s">
        <v>219</v>
      </c>
    </row>
    <row r="215" customFormat="false" ht="15" hidden="false" customHeight="true" outlineLevel="0" collapsed="false">
      <c r="A215" s="16" t="s">
        <v>220</v>
      </c>
    </row>
    <row r="216" customFormat="false" ht="15" hidden="false" customHeight="true" outlineLevel="0" collapsed="false">
      <c r="A216" s="16" t="s">
        <v>221</v>
      </c>
    </row>
    <row r="217" customFormat="false" ht="15" hidden="false" customHeight="true" outlineLevel="0" collapsed="false">
      <c r="A217" s="16" t="s">
        <v>222</v>
      </c>
    </row>
    <row r="218" customFormat="false" ht="15" hidden="false" customHeight="true" outlineLevel="0" collapsed="false">
      <c r="A218" s="16" t="s">
        <v>223</v>
      </c>
    </row>
    <row r="219" customFormat="false" ht="15" hidden="false" customHeight="true" outlineLevel="0" collapsed="false">
      <c r="A219" s="16" t="s">
        <v>224</v>
      </c>
    </row>
    <row r="220" customFormat="false" ht="15" hidden="false" customHeight="true" outlineLevel="0" collapsed="false">
      <c r="A220" s="16" t="s">
        <v>225</v>
      </c>
    </row>
    <row r="221" customFormat="false" ht="15" hidden="false" customHeight="true" outlineLevel="0" collapsed="false">
      <c r="A221" s="16" t="s">
        <v>226</v>
      </c>
    </row>
    <row r="223" customFormat="false" ht="15" hidden="false" customHeight="true" outlineLevel="0" collapsed="false">
      <c r="A223" s="15" t="s">
        <v>227</v>
      </c>
    </row>
    <row r="224" customFormat="false" ht="15" hidden="false" customHeight="true" outlineLevel="0" collapsed="false">
      <c r="A224" s="16" t="s">
        <v>228</v>
      </c>
    </row>
    <row r="225" customFormat="false" ht="15" hidden="false" customHeight="true" outlineLevel="0" collapsed="false">
      <c r="A225" s="16" t="s">
        <v>229</v>
      </c>
    </row>
    <row r="226" customFormat="false" ht="15" hidden="false" customHeight="true" outlineLevel="0" collapsed="false">
      <c r="A226" s="16" t="s">
        <v>230</v>
      </c>
    </row>
    <row r="227" customFormat="false" ht="15" hidden="false" customHeight="true" outlineLevel="0" collapsed="false">
      <c r="A227" s="16" t="s">
        <v>231</v>
      </c>
    </row>
    <row r="228" customFormat="false" ht="15" hidden="false" customHeight="true" outlineLevel="0" collapsed="false">
      <c r="A228" s="16" t="s">
        <v>232</v>
      </c>
    </row>
    <row r="229" customFormat="false" ht="15" hidden="false" customHeight="true" outlineLevel="0" collapsed="false">
      <c r="A229" s="16" t="s">
        <v>233</v>
      </c>
    </row>
    <row r="230" customFormat="false" ht="15" hidden="false" customHeight="true" outlineLevel="0" collapsed="false">
      <c r="A230" s="16" t="s">
        <v>234</v>
      </c>
    </row>
    <row r="231" customFormat="false" ht="15" hidden="false" customHeight="true" outlineLevel="0" collapsed="false">
      <c r="A231" s="16" t="s">
        <v>235</v>
      </c>
    </row>
    <row r="232" customFormat="false" ht="15" hidden="false" customHeight="true" outlineLevel="0" collapsed="false">
      <c r="A232" s="17" t="s">
        <v>236</v>
      </c>
    </row>
    <row r="233" customFormat="false" ht="15" hidden="false" customHeight="true" outlineLevel="0" collapsed="false">
      <c r="A233" s="16" t="s">
        <v>237</v>
      </c>
    </row>
    <row r="234" customFormat="false" ht="15" hidden="false" customHeight="true" outlineLevel="0" collapsed="false">
      <c r="A234" s="16" t="s">
        <v>238</v>
      </c>
    </row>
    <row r="236" customFormat="false" ht="15" hidden="false" customHeight="true" outlineLevel="0" collapsed="false">
      <c r="A236" s="15" t="s">
        <v>239</v>
      </c>
    </row>
    <row r="237" customFormat="false" ht="15" hidden="false" customHeight="true" outlineLevel="0" collapsed="false">
      <c r="A237" s="16" t="s">
        <v>240</v>
      </c>
    </row>
    <row r="238" customFormat="false" ht="15" hidden="false" customHeight="true" outlineLevel="0" collapsed="false">
      <c r="A238" s="16" t="s">
        <v>241</v>
      </c>
    </row>
    <row r="239" customFormat="false" ht="15" hidden="false" customHeight="true" outlineLevel="0" collapsed="false">
      <c r="A239" s="16" t="s">
        <v>242</v>
      </c>
    </row>
    <row r="240" customFormat="false" ht="15" hidden="false" customHeight="true" outlineLevel="0" collapsed="false">
      <c r="A240" s="16" t="s">
        <v>243</v>
      </c>
    </row>
    <row r="241" customFormat="false" ht="15" hidden="false" customHeight="true" outlineLevel="0" collapsed="false">
      <c r="A241" s="16" t="s">
        <v>244</v>
      </c>
    </row>
    <row r="242" customFormat="false" ht="15" hidden="false" customHeight="true" outlineLevel="0" collapsed="false">
      <c r="A242" s="16" t="s">
        <v>245</v>
      </c>
    </row>
    <row r="243" customFormat="false" ht="15" hidden="false" customHeight="true" outlineLevel="0" collapsed="false">
      <c r="A243" s="16" t="s">
        <v>246</v>
      </c>
    </row>
    <row r="245" customFormat="false" ht="15" hidden="false" customHeight="true" outlineLevel="0" collapsed="false">
      <c r="A245" s="15" t="s">
        <v>247</v>
      </c>
    </row>
    <row r="246" customFormat="false" ht="15" hidden="false" customHeight="true" outlineLevel="0" collapsed="false">
      <c r="A246" s="16" t="s">
        <v>248</v>
      </c>
    </row>
    <row r="247" customFormat="false" ht="15" hidden="false" customHeight="true" outlineLevel="0" collapsed="false">
      <c r="A247" s="16" t="s">
        <v>249</v>
      </c>
    </row>
    <row r="248" customFormat="false" ht="15" hidden="false" customHeight="true" outlineLevel="0" collapsed="false">
      <c r="A248" s="16" t="s">
        <v>250</v>
      </c>
    </row>
    <row r="249" customFormat="false" ht="15" hidden="false" customHeight="true" outlineLevel="0" collapsed="false">
      <c r="A249" s="16" t="s">
        <v>251</v>
      </c>
    </row>
    <row r="250" customFormat="false" ht="15" hidden="false" customHeight="true" outlineLevel="0" collapsed="false">
      <c r="A250" s="16" t="s">
        <v>252</v>
      </c>
    </row>
    <row r="251" customFormat="false" ht="15" hidden="false" customHeight="true" outlineLevel="0" collapsed="false">
      <c r="A251" s="16" t="s">
        <v>253</v>
      </c>
    </row>
    <row r="252" customFormat="false" ht="15" hidden="false" customHeight="true" outlineLevel="0" collapsed="false">
      <c r="A252" s="16" t="s">
        <v>254</v>
      </c>
    </row>
    <row r="253" customFormat="false" ht="15" hidden="false" customHeight="true" outlineLevel="0" collapsed="false">
      <c r="A253" s="16" t="s">
        <v>255</v>
      </c>
    </row>
    <row r="254" customFormat="false" ht="15" hidden="false" customHeight="true" outlineLevel="0" collapsed="false">
      <c r="A254" s="16" t="s">
        <v>256</v>
      </c>
    </row>
    <row r="256" customFormat="false" ht="15" hidden="false" customHeight="true" outlineLevel="0" collapsed="false">
      <c r="A256" s="15" t="s">
        <v>257</v>
      </c>
    </row>
    <row r="257" customFormat="false" ht="15" hidden="false" customHeight="true" outlineLevel="0" collapsed="false">
      <c r="A257" s="16" t="s">
        <v>258</v>
      </c>
    </row>
    <row r="258" customFormat="false" ht="15" hidden="false" customHeight="true" outlineLevel="0" collapsed="false">
      <c r="A258" s="16" t="s">
        <v>259</v>
      </c>
    </row>
    <row r="259" customFormat="false" ht="15" hidden="false" customHeight="true" outlineLevel="0" collapsed="false">
      <c r="A259" s="16" t="s">
        <v>260</v>
      </c>
    </row>
    <row r="260" customFormat="false" ht="15" hidden="false" customHeight="true" outlineLevel="0" collapsed="false">
      <c r="A260" s="16" t="s">
        <v>261</v>
      </c>
    </row>
    <row r="261" customFormat="false" ht="15" hidden="false" customHeight="true" outlineLevel="0" collapsed="false">
      <c r="A261" s="16" t="s">
        <v>262</v>
      </c>
    </row>
    <row r="262" customFormat="false" ht="15" hidden="false" customHeight="true" outlineLevel="0" collapsed="false">
      <c r="A262" s="16" t="s">
        <v>263</v>
      </c>
    </row>
    <row r="263" customFormat="false" ht="15" hidden="false" customHeight="true" outlineLevel="0" collapsed="false">
      <c r="A263" s="16" t="s">
        <v>264</v>
      </c>
    </row>
    <row r="264" customFormat="false" ht="15" hidden="false" customHeight="true" outlineLevel="0" collapsed="false">
      <c r="A264" s="16" t="s">
        <v>265</v>
      </c>
    </row>
    <row r="265" customFormat="false" ht="15" hidden="false" customHeight="true" outlineLevel="0" collapsed="false">
      <c r="A265" s="16" t="s">
        <v>266</v>
      </c>
    </row>
    <row r="266" customFormat="false" ht="15" hidden="false" customHeight="true" outlineLevel="0" collapsed="false">
      <c r="A266" s="16" t="s">
        <v>267</v>
      </c>
    </row>
    <row r="268" customFormat="false" ht="15" hidden="false" customHeight="true" outlineLevel="0" collapsed="false">
      <c r="A268" s="15" t="s">
        <v>268</v>
      </c>
    </row>
    <row r="269" customFormat="false" ht="15" hidden="false" customHeight="true" outlineLevel="0" collapsed="false">
      <c r="A269" s="17" t="s">
        <v>269</v>
      </c>
    </row>
    <row r="270" customFormat="false" ht="15" hidden="false" customHeight="true" outlineLevel="0" collapsed="false">
      <c r="A270" s="16" t="s">
        <v>270</v>
      </c>
    </row>
    <row r="271" customFormat="false" ht="15" hidden="false" customHeight="true" outlineLevel="0" collapsed="false">
      <c r="A271" s="16" t="s">
        <v>271</v>
      </c>
    </row>
    <row r="272" customFormat="false" ht="15" hidden="false" customHeight="true" outlineLevel="0" collapsed="false">
      <c r="A272" s="16" t="s">
        <v>272</v>
      </c>
    </row>
    <row r="273" customFormat="false" ht="15" hidden="false" customHeight="true" outlineLevel="0" collapsed="false">
      <c r="A273" s="16" t="s">
        <v>273</v>
      </c>
    </row>
    <row r="274" customFormat="false" ht="15" hidden="false" customHeight="true" outlineLevel="0" collapsed="false">
      <c r="A274" s="16" t="s">
        <v>274</v>
      </c>
    </row>
    <row r="275" customFormat="false" ht="15" hidden="false" customHeight="true" outlineLevel="0" collapsed="false">
      <c r="A275" s="16" t="s">
        <v>275</v>
      </c>
    </row>
    <row r="276" customFormat="false" ht="15" hidden="false" customHeight="true" outlineLevel="0" collapsed="false">
      <c r="A276" s="16" t="s">
        <v>276</v>
      </c>
    </row>
    <row r="278" customFormat="false" ht="15" hidden="false" customHeight="true" outlineLevel="0" collapsed="false">
      <c r="A278" s="15" t="s">
        <v>277</v>
      </c>
    </row>
    <row r="279" customFormat="false" ht="15" hidden="false" customHeight="true" outlineLevel="0" collapsed="false">
      <c r="A279" s="16" t="s">
        <v>278</v>
      </c>
    </row>
    <row r="280" customFormat="false" ht="15" hidden="false" customHeight="true" outlineLevel="0" collapsed="false">
      <c r="A280" s="16" t="s">
        <v>279</v>
      </c>
    </row>
    <row r="281" customFormat="false" ht="15" hidden="false" customHeight="true" outlineLevel="0" collapsed="false">
      <c r="A281" s="16" t="s">
        <v>280</v>
      </c>
    </row>
    <row r="282" customFormat="false" ht="15" hidden="false" customHeight="true" outlineLevel="0" collapsed="false">
      <c r="A282" s="16" t="s">
        <v>281</v>
      </c>
    </row>
    <row r="283" customFormat="false" ht="15" hidden="false" customHeight="true" outlineLevel="0" collapsed="false">
      <c r="A283" s="16" t="s">
        <v>282</v>
      </c>
    </row>
    <row r="284" customFormat="false" ht="15" hidden="false" customHeight="true" outlineLevel="0" collapsed="false">
      <c r="A284" s="16" t="s">
        <v>283</v>
      </c>
    </row>
    <row r="285" customFormat="false" ht="15" hidden="false" customHeight="true" outlineLevel="0" collapsed="false">
      <c r="A285" s="16" t="s">
        <v>284</v>
      </c>
    </row>
    <row r="286" customFormat="false" ht="15" hidden="false" customHeight="true" outlineLevel="0" collapsed="false">
      <c r="A286" s="16" t="s">
        <v>285</v>
      </c>
    </row>
    <row r="287" customFormat="false" ht="15" hidden="false" customHeight="true" outlineLevel="0" collapsed="false">
      <c r="A287" s="16" t="s">
        <v>286</v>
      </c>
    </row>
    <row r="289" customFormat="false" ht="15" hidden="false" customHeight="true" outlineLevel="0" collapsed="false">
      <c r="A289" s="15" t="s">
        <v>287</v>
      </c>
    </row>
    <row r="290" customFormat="false" ht="15" hidden="false" customHeight="true" outlineLevel="0" collapsed="false">
      <c r="A290" s="16" t="s">
        <v>288</v>
      </c>
    </row>
    <row r="291" customFormat="false" ht="15" hidden="false" customHeight="true" outlineLevel="0" collapsed="false">
      <c r="A291" s="16" t="s">
        <v>289</v>
      </c>
    </row>
    <row r="292" customFormat="false" ht="15" hidden="false" customHeight="true" outlineLevel="0" collapsed="false">
      <c r="A292" s="16" t="s">
        <v>290</v>
      </c>
    </row>
    <row r="293" customFormat="false" ht="15" hidden="false" customHeight="true" outlineLevel="0" collapsed="false">
      <c r="A293" s="16" t="s">
        <v>291</v>
      </c>
    </row>
    <row r="295" customFormat="false" ht="15" hidden="false" customHeight="true" outlineLevel="0" collapsed="false">
      <c r="A295" s="15" t="s">
        <v>292</v>
      </c>
    </row>
    <row r="296" customFormat="false" ht="15" hidden="false" customHeight="true" outlineLevel="0" collapsed="false">
      <c r="A296" s="16" t="s">
        <v>293</v>
      </c>
    </row>
    <row r="297" customFormat="false" ht="15" hidden="false" customHeight="true" outlineLevel="0" collapsed="false">
      <c r="A297" s="16" t="s">
        <v>294</v>
      </c>
    </row>
    <row r="298" customFormat="false" ht="15" hidden="false" customHeight="true" outlineLevel="0" collapsed="false">
      <c r="A298" s="16" t="s">
        <v>295</v>
      </c>
    </row>
    <row r="299" customFormat="false" ht="15" hidden="false" customHeight="true" outlineLevel="0" collapsed="false">
      <c r="A299" s="16" t="s">
        <v>296</v>
      </c>
    </row>
    <row r="300" customFormat="false" ht="15" hidden="false" customHeight="true" outlineLevel="0" collapsed="false">
      <c r="A300" s="16" t="s">
        <v>297</v>
      </c>
    </row>
    <row r="301" customFormat="false" ht="15" hidden="false" customHeight="true" outlineLevel="0" collapsed="false">
      <c r="A301" s="16" t="s">
        <v>298</v>
      </c>
    </row>
    <row r="303" customFormat="false" ht="15" hidden="false" customHeight="true" outlineLevel="0" collapsed="false">
      <c r="A303" s="15" t="s">
        <v>299</v>
      </c>
    </row>
    <row r="304" customFormat="false" ht="15" hidden="false" customHeight="true" outlineLevel="0" collapsed="false">
      <c r="A304" s="16" t="s">
        <v>300</v>
      </c>
    </row>
    <row r="305" customFormat="false" ht="15" hidden="false" customHeight="true" outlineLevel="0" collapsed="false">
      <c r="A305" s="16" t="s">
        <v>301</v>
      </c>
    </row>
    <row r="306" customFormat="false" ht="15" hidden="false" customHeight="true" outlineLevel="0" collapsed="false">
      <c r="A306" s="16" t="s">
        <v>302</v>
      </c>
    </row>
    <row r="307" customFormat="false" ht="15" hidden="false" customHeight="true" outlineLevel="0" collapsed="false">
      <c r="A307" s="16" t="s">
        <v>303</v>
      </c>
    </row>
    <row r="308" customFormat="false" ht="15" hidden="false" customHeight="true" outlineLevel="0" collapsed="false">
      <c r="A308" s="16" t="s">
        <v>304</v>
      </c>
    </row>
    <row r="309" customFormat="false" ht="15" hidden="false" customHeight="true" outlineLevel="0" collapsed="false">
      <c r="A309" s="16" t="s">
        <v>305</v>
      </c>
    </row>
    <row r="311" customFormat="false" ht="15" hidden="false" customHeight="true" outlineLevel="0" collapsed="false">
      <c r="A311" s="15" t="s">
        <v>306</v>
      </c>
    </row>
    <row r="312" customFormat="false" ht="15" hidden="false" customHeight="true" outlineLevel="0" collapsed="false">
      <c r="A312" s="16" t="s">
        <v>307</v>
      </c>
    </row>
    <row r="313" customFormat="false" ht="15" hidden="false" customHeight="true" outlineLevel="0" collapsed="false">
      <c r="A313" s="16" t="s">
        <v>308</v>
      </c>
    </row>
    <row r="314" customFormat="false" ht="15" hidden="false" customHeight="true" outlineLevel="0" collapsed="false">
      <c r="A314" s="16" t="s">
        <v>309</v>
      </c>
    </row>
    <row r="315" customFormat="false" ht="15" hidden="false" customHeight="true" outlineLevel="0" collapsed="false">
      <c r="A315" s="16" t="s">
        <v>310</v>
      </c>
    </row>
    <row r="316" customFormat="false" ht="15" hidden="false" customHeight="true" outlineLevel="0" collapsed="false">
      <c r="A316" s="16" t="s">
        <v>311</v>
      </c>
    </row>
    <row r="317" customFormat="false" ht="15" hidden="false" customHeight="true" outlineLevel="0" collapsed="false">
      <c r="A317" s="16" t="s">
        <v>312</v>
      </c>
    </row>
    <row r="318" customFormat="false" ht="15" hidden="false" customHeight="true" outlineLevel="0" collapsed="false">
      <c r="A318" s="17" t="s">
        <v>313</v>
      </c>
    </row>
    <row r="320" customFormat="false" ht="15" hidden="false" customHeight="true" outlineLevel="0" collapsed="false">
      <c r="A320" s="15" t="s">
        <v>314</v>
      </c>
    </row>
    <row r="321" customFormat="false" ht="15" hidden="false" customHeight="true" outlineLevel="0" collapsed="false">
      <c r="A321" s="16" t="s">
        <v>315</v>
      </c>
    </row>
    <row r="322" customFormat="false" ht="15" hidden="false" customHeight="true" outlineLevel="0" collapsed="false">
      <c r="A322" s="16" t="s">
        <v>316</v>
      </c>
    </row>
    <row r="323" customFormat="false" ht="15" hidden="false" customHeight="true" outlineLevel="0" collapsed="false">
      <c r="A323" s="16" t="s">
        <v>317</v>
      </c>
    </row>
    <row r="324" customFormat="false" ht="15" hidden="false" customHeight="true" outlineLevel="0" collapsed="false">
      <c r="A324" s="17" t="s">
        <v>318</v>
      </c>
    </row>
    <row r="325" customFormat="false" ht="15" hidden="false" customHeight="true" outlineLevel="0" collapsed="false">
      <c r="A325" s="16" t="s">
        <v>319</v>
      </c>
    </row>
    <row r="326" customFormat="false" ht="15" hidden="false" customHeight="true" outlineLevel="0" collapsed="false">
      <c r="A326" s="16" t="s">
        <v>320</v>
      </c>
    </row>
    <row r="327" customFormat="false" ht="15" hidden="false" customHeight="true" outlineLevel="0" collapsed="false">
      <c r="A327" s="16" t="s">
        <v>321</v>
      </c>
    </row>
    <row r="329" customFormat="false" ht="15" hidden="false" customHeight="true" outlineLevel="0" collapsed="false">
      <c r="A329" s="15" t="s">
        <v>322</v>
      </c>
    </row>
    <row r="330" customFormat="false" ht="15" hidden="false" customHeight="true" outlineLevel="0" collapsed="false">
      <c r="A330" s="16" t="s">
        <v>323</v>
      </c>
    </row>
    <row r="331" customFormat="false" ht="15" hidden="false" customHeight="true" outlineLevel="0" collapsed="false">
      <c r="A331" s="16" t="s">
        <v>324</v>
      </c>
    </row>
    <row r="332" customFormat="false" ht="15" hidden="false" customHeight="true" outlineLevel="0" collapsed="false">
      <c r="A332" s="16" t="s">
        <v>325</v>
      </c>
    </row>
    <row r="333" customFormat="false" ht="15" hidden="false" customHeight="true" outlineLevel="0" collapsed="false">
      <c r="A333" s="16" t="s">
        <v>326</v>
      </c>
    </row>
    <row r="334" customFormat="false" ht="15" hidden="false" customHeight="true" outlineLevel="0" collapsed="false">
      <c r="A334" s="16" t="s">
        <v>327</v>
      </c>
    </row>
    <row r="335" customFormat="false" ht="15" hidden="false" customHeight="true" outlineLevel="0" collapsed="false">
      <c r="A335" s="16" t="s">
        <v>328</v>
      </c>
    </row>
    <row r="336" customFormat="false" ht="15" hidden="false" customHeight="true" outlineLevel="0" collapsed="false">
      <c r="A336" s="16" t="s">
        <v>329</v>
      </c>
    </row>
    <row r="338" customFormat="false" ht="15" hidden="false" customHeight="true" outlineLevel="0" collapsed="false">
      <c r="A338" s="15" t="s">
        <v>330</v>
      </c>
    </row>
    <row r="339" customFormat="false" ht="15" hidden="false" customHeight="true" outlineLevel="0" collapsed="false">
      <c r="A339" s="16" t="s">
        <v>331</v>
      </c>
    </row>
    <row r="340" customFormat="false" ht="15" hidden="false" customHeight="true" outlineLevel="0" collapsed="false">
      <c r="A340" s="16" t="s">
        <v>332</v>
      </c>
    </row>
    <row r="341" customFormat="false" ht="15" hidden="false" customHeight="true" outlineLevel="0" collapsed="false">
      <c r="A341" s="16" t="s">
        <v>333</v>
      </c>
    </row>
    <row r="342" customFormat="false" ht="15" hidden="false" customHeight="true" outlineLevel="0" collapsed="false">
      <c r="A342" s="16" t="s">
        <v>334</v>
      </c>
    </row>
    <row r="343" customFormat="false" ht="15" hidden="false" customHeight="true" outlineLevel="0" collapsed="false">
      <c r="A343" s="16" t="s">
        <v>335</v>
      </c>
    </row>
    <row r="345" customFormat="false" ht="15" hidden="false" customHeight="true" outlineLevel="0" collapsed="false">
      <c r="A345" s="15" t="s">
        <v>336</v>
      </c>
    </row>
    <row r="346" customFormat="false" ht="15" hidden="false" customHeight="true" outlineLevel="0" collapsed="false">
      <c r="A346" s="16" t="s">
        <v>337</v>
      </c>
    </row>
    <row r="347" customFormat="false" ht="15" hidden="false" customHeight="true" outlineLevel="0" collapsed="false">
      <c r="A347" s="16" t="s">
        <v>338</v>
      </c>
    </row>
    <row r="348" customFormat="false" ht="15" hidden="false" customHeight="true" outlineLevel="0" collapsed="false">
      <c r="A348" s="16" t="s">
        <v>339</v>
      </c>
    </row>
    <row r="349" customFormat="false" ht="15" hidden="false" customHeight="true" outlineLevel="0" collapsed="false">
      <c r="A349" s="16" t="s">
        <v>340</v>
      </c>
    </row>
    <row r="350" customFormat="false" ht="15" hidden="false" customHeight="true" outlineLevel="0" collapsed="false">
      <c r="A350" s="16" t="s">
        <v>341</v>
      </c>
    </row>
    <row r="351" customFormat="false" ht="15" hidden="false" customHeight="true" outlineLevel="0" collapsed="false">
      <c r="A351" s="16" t="s">
        <v>342</v>
      </c>
    </row>
    <row r="352" customFormat="false" ht="15" hidden="false" customHeight="true" outlineLevel="0" collapsed="false">
      <c r="A352" s="16" t="s">
        <v>343</v>
      </c>
    </row>
    <row r="354" customFormat="false" ht="15" hidden="false" customHeight="true" outlineLevel="0" collapsed="false">
      <c r="A354" s="15" t="s">
        <v>344</v>
      </c>
    </row>
    <row r="355" customFormat="false" ht="15" hidden="false" customHeight="true" outlineLevel="0" collapsed="false">
      <c r="A355" s="16" t="s">
        <v>345</v>
      </c>
    </row>
    <row r="356" customFormat="false" ht="15" hidden="false" customHeight="true" outlineLevel="0" collapsed="false">
      <c r="A356" s="16" t="s">
        <v>346</v>
      </c>
    </row>
    <row r="357" customFormat="false" ht="15" hidden="false" customHeight="true" outlineLevel="0" collapsed="false">
      <c r="A357" s="16" t="s">
        <v>347</v>
      </c>
    </row>
    <row r="358" customFormat="false" ht="15" hidden="false" customHeight="true" outlineLevel="0" collapsed="false">
      <c r="A358" s="16" t="s">
        <v>348</v>
      </c>
    </row>
    <row r="359" customFormat="false" ht="15" hidden="false" customHeight="true" outlineLevel="0" collapsed="false">
      <c r="A359" s="16" t="s">
        <v>349</v>
      </c>
    </row>
    <row r="360" customFormat="false" ht="15" hidden="false" customHeight="true" outlineLevel="0" collapsed="false">
      <c r="A360" s="16" t="s">
        <v>350</v>
      </c>
    </row>
    <row r="361" customFormat="false" ht="15" hidden="false" customHeight="true" outlineLevel="0" collapsed="false">
      <c r="A361" s="16" t="s">
        <v>351</v>
      </c>
    </row>
    <row r="363" customFormat="false" ht="15" hidden="false" customHeight="true" outlineLevel="0" collapsed="false">
      <c r="A363" s="15" t="s">
        <v>352</v>
      </c>
    </row>
    <row r="364" customFormat="false" ht="15" hidden="false" customHeight="true" outlineLevel="0" collapsed="false">
      <c r="A364" s="16" t="s">
        <v>353</v>
      </c>
    </row>
    <row r="365" customFormat="false" ht="15" hidden="false" customHeight="true" outlineLevel="0" collapsed="false">
      <c r="A365" s="16" t="s">
        <v>354</v>
      </c>
    </row>
    <row r="366" customFormat="false" ht="15" hidden="false" customHeight="true" outlineLevel="0" collapsed="false">
      <c r="A366" s="16" t="s">
        <v>355</v>
      </c>
    </row>
    <row r="367" customFormat="false" ht="15" hidden="false" customHeight="true" outlineLevel="0" collapsed="false">
      <c r="A367" s="17" t="s">
        <v>356</v>
      </c>
    </row>
    <row r="368" customFormat="false" ht="15" hidden="false" customHeight="true" outlineLevel="0" collapsed="false">
      <c r="A368" s="16" t="s">
        <v>357</v>
      </c>
    </row>
    <row r="369" customFormat="false" ht="15" hidden="false" customHeight="true" outlineLevel="0" collapsed="false">
      <c r="A369" s="16" t="s">
        <v>358</v>
      </c>
    </row>
    <row r="370" customFormat="false" ht="15" hidden="false" customHeight="true" outlineLevel="0" collapsed="false">
      <c r="A370" s="16" t="s">
        <v>359</v>
      </c>
    </row>
    <row r="372" customFormat="false" ht="15" hidden="false" customHeight="true" outlineLevel="0" collapsed="false">
      <c r="A372" s="15" t="s">
        <v>360</v>
      </c>
    </row>
    <row r="373" customFormat="false" ht="15" hidden="false" customHeight="true" outlineLevel="0" collapsed="false">
      <c r="A373" s="16" t="s">
        <v>361</v>
      </c>
    </row>
    <row r="374" customFormat="false" ht="15" hidden="false" customHeight="true" outlineLevel="0" collapsed="false">
      <c r="A374" s="16" t="s">
        <v>362</v>
      </c>
    </row>
    <row r="375" customFormat="false" ht="15" hidden="false" customHeight="true" outlineLevel="0" collapsed="false">
      <c r="A375" s="16" t="s">
        <v>363</v>
      </c>
    </row>
    <row r="376" customFormat="false" ht="15" hidden="false" customHeight="true" outlineLevel="0" collapsed="false">
      <c r="A376" s="16" t="s">
        <v>364</v>
      </c>
    </row>
    <row r="377" customFormat="false" ht="15" hidden="false" customHeight="true" outlineLevel="0" collapsed="false">
      <c r="A377" s="16" t="s">
        <v>365</v>
      </c>
    </row>
    <row r="378" customFormat="false" ht="15" hidden="false" customHeight="true" outlineLevel="0" collapsed="false">
      <c r="A378" s="16" t="s">
        <v>366</v>
      </c>
    </row>
    <row r="379" customFormat="false" ht="15" hidden="false" customHeight="true" outlineLevel="0" collapsed="false">
      <c r="A379" s="16" t="s">
        <v>367</v>
      </c>
    </row>
    <row r="381" customFormat="false" ht="15" hidden="false" customHeight="true" outlineLevel="0" collapsed="false">
      <c r="A381" s="15" t="s">
        <v>368</v>
      </c>
    </row>
    <row r="382" customFormat="false" ht="15" hidden="false" customHeight="true" outlineLevel="0" collapsed="false">
      <c r="A382" s="16" t="s">
        <v>369</v>
      </c>
    </row>
    <row r="383" customFormat="false" ht="15" hidden="false" customHeight="true" outlineLevel="0" collapsed="false">
      <c r="A383" s="16" t="s">
        <v>370</v>
      </c>
    </row>
    <row r="384" customFormat="false" ht="15" hidden="false" customHeight="true" outlineLevel="0" collapsed="false">
      <c r="A384" s="16" t="s">
        <v>371</v>
      </c>
    </row>
    <row r="385" customFormat="false" ht="15" hidden="false" customHeight="true" outlineLevel="0" collapsed="false">
      <c r="A385" s="16" t="s">
        <v>372</v>
      </c>
    </row>
    <row r="386" customFormat="false" ht="15" hidden="false" customHeight="true" outlineLevel="0" collapsed="false">
      <c r="A386" s="16" t="s">
        <v>373</v>
      </c>
    </row>
    <row r="387" customFormat="false" ht="15" hidden="false" customHeight="true" outlineLevel="0" collapsed="false">
      <c r="A387" s="16" t="s">
        <v>374</v>
      </c>
    </row>
    <row r="388" customFormat="false" ht="15" hidden="false" customHeight="true" outlineLevel="0" collapsed="false">
      <c r="A388" s="17" t="s">
        <v>375</v>
      </c>
    </row>
    <row r="389" customFormat="false" ht="15" hidden="false" customHeight="true" outlineLevel="0" collapsed="false">
      <c r="A389" s="16" t="s">
        <v>376</v>
      </c>
    </row>
    <row r="390" customFormat="false" ht="15" hidden="false" customHeight="true" outlineLevel="0" collapsed="false">
      <c r="A390" s="16" t="s">
        <v>377</v>
      </c>
    </row>
    <row r="392" customFormat="false" ht="15" hidden="false" customHeight="true" outlineLevel="0" collapsed="false">
      <c r="A392" s="15" t="s">
        <v>378</v>
      </c>
    </row>
    <row r="393" customFormat="false" ht="15" hidden="false" customHeight="true" outlineLevel="0" collapsed="false">
      <c r="A393" s="16" t="s">
        <v>379</v>
      </c>
    </row>
    <row r="394" customFormat="false" ht="15" hidden="false" customHeight="true" outlineLevel="0" collapsed="false">
      <c r="A394" s="16" t="s">
        <v>380</v>
      </c>
    </row>
    <row r="395" customFormat="false" ht="15" hidden="false" customHeight="true" outlineLevel="0" collapsed="false">
      <c r="A395" s="16" t="s">
        <v>381</v>
      </c>
    </row>
    <row r="396" customFormat="false" ht="15" hidden="false" customHeight="true" outlineLevel="0" collapsed="false">
      <c r="A396" s="16" t="s">
        <v>382</v>
      </c>
    </row>
    <row r="397" customFormat="false" ht="15" hidden="false" customHeight="true" outlineLevel="0" collapsed="false">
      <c r="A397" s="16" t="s">
        <v>383</v>
      </c>
    </row>
    <row r="398" customFormat="false" ht="15" hidden="false" customHeight="true" outlineLevel="0" collapsed="false">
      <c r="A398" s="16" t="s">
        <v>384</v>
      </c>
    </row>
    <row r="399" customFormat="false" ht="15" hidden="false" customHeight="true" outlineLevel="0" collapsed="false">
      <c r="A399" s="16" t="s">
        <v>385</v>
      </c>
    </row>
    <row r="400" customFormat="false" ht="15" hidden="false" customHeight="true" outlineLevel="0" collapsed="false">
      <c r="A400" s="16" t="s">
        <v>386</v>
      </c>
    </row>
    <row r="401" customFormat="false" ht="15" hidden="false" customHeight="true" outlineLevel="0" collapsed="false">
      <c r="A401" s="16" t="s">
        <v>387</v>
      </c>
    </row>
    <row r="403" customFormat="false" ht="15" hidden="false" customHeight="true" outlineLevel="0" collapsed="false">
      <c r="A403" s="15" t="s">
        <v>388</v>
      </c>
    </row>
    <row r="404" customFormat="false" ht="15" hidden="false" customHeight="true" outlineLevel="0" collapsed="false">
      <c r="A404" s="16" t="s">
        <v>389</v>
      </c>
    </row>
    <row r="405" customFormat="false" ht="15" hidden="false" customHeight="true" outlineLevel="0" collapsed="false">
      <c r="A405" s="17" t="s">
        <v>390</v>
      </c>
    </row>
    <row r="406" customFormat="false" ht="15" hidden="false" customHeight="true" outlineLevel="0" collapsed="false">
      <c r="A406" s="16" t="s">
        <v>391</v>
      </c>
    </row>
    <row r="407" customFormat="false" ht="15" hidden="false" customHeight="true" outlineLevel="0" collapsed="false">
      <c r="A407" s="17" t="s">
        <v>392</v>
      </c>
    </row>
    <row r="408" customFormat="false" ht="15" hidden="false" customHeight="true" outlineLevel="0" collapsed="false">
      <c r="A408" s="16" t="s">
        <v>393</v>
      </c>
    </row>
    <row r="409" customFormat="false" ht="15" hidden="false" customHeight="true" outlineLevel="0" collapsed="false">
      <c r="A409" s="16" t="s">
        <v>394</v>
      </c>
    </row>
    <row r="410" customFormat="false" ht="15" hidden="false" customHeight="true" outlineLevel="0" collapsed="false">
      <c r="A410" s="16" t="s">
        <v>395</v>
      </c>
    </row>
    <row r="412" customFormat="false" ht="15" hidden="false" customHeight="true" outlineLevel="0" collapsed="false">
      <c r="A412" s="15" t="s">
        <v>396</v>
      </c>
    </row>
    <row r="413" customFormat="false" ht="15" hidden="false" customHeight="true" outlineLevel="0" collapsed="false">
      <c r="A413" s="17" t="s">
        <v>397</v>
      </c>
    </row>
    <row r="414" customFormat="false" ht="15" hidden="false" customHeight="true" outlineLevel="0" collapsed="false">
      <c r="A414" s="16" t="s">
        <v>398</v>
      </c>
    </row>
    <row r="415" customFormat="false" ht="15" hidden="false" customHeight="true" outlineLevel="0" collapsed="false">
      <c r="A415" s="17" t="s">
        <v>399</v>
      </c>
    </row>
    <row r="416" customFormat="false" ht="15" hidden="false" customHeight="true" outlineLevel="0" collapsed="false">
      <c r="A416" s="17" t="s">
        <v>400</v>
      </c>
    </row>
    <row r="417" customFormat="false" ht="15" hidden="false" customHeight="true" outlineLevel="0" collapsed="false">
      <c r="A417" s="16" t="s">
        <v>401</v>
      </c>
    </row>
    <row r="418" customFormat="false" ht="15" hidden="false" customHeight="true" outlineLevel="0" collapsed="false">
      <c r="A418" s="16" t="s">
        <v>402</v>
      </c>
    </row>
    <row r="419" customFormat="false" ht="15" hidden="false" customHeight="true" outlineLevel="0" collapsed="false">
      <c r="A419" s="16" t="s">
        <v>403</v>
      </c>
    </row>
    <row r="420" customFormat="false" ht="15" hidden="false" customHeight="true" outlineLevel="0" collapsed="false">
      <c r="A420" s="16" t="s">
        <v>404</v>
      </c>
    </row>
    <row r="421" customFormat="false" ht="15" hidden="false" customHeight="true" outlineLevel="0" collapsed="false">
      <c r="A421" s="16" t="s">
        <v>405</v>
      </c>
    </row>
    <row r="422" customFormat="false" ht="15" hidden="false" customHeight="true" outlineLevel="0" collapsed="false">
      <c r="A422" s="16" t="s">
        <v>406</v>
      </c>
    </row>
    <row r="424" customFormat="false" ht="15" hidden="false" customHeight="true" outlineLevel="0" collapsed="false">
      <c r="A424" s="15" t="s">
        <v>407</v>
      </c>
    </row>
    <row r="425" customFormat="false" ht="15" hidden="false" customHeight="true" outlineLevel="0" collapsed="false">
      <c r="A425" s="16" t="s">
        <v>408</v>
      </c>
    </row>
    <row r="426" customFormat="false" ht="15" hidden="false" customHeight="true" outlineLevel="0" collapsed="false">
      <c r="A426" s="16" t="s">
        <v>409</v>
      </c>
    </row>
    <row r="427" customFormat="false" ht="15" hidden="false" customHeight="true" outlineLevel="0" collapsed="false">
      <c r="A427" s="16" t="s">
        <v>410</v>
      </c>
    </row>
    <row r="428" customFormat="false" ht="15" hidden="false" customHeight="true" outlineLevel="0" collapsed="false">
      <c r="A428" s="16" t="s">
        <v>411</v>
      </c>
    </row>
    <row r="429" customFormat="false" ht="15" hidden="false" customHeight="true" outlineLevel="0" collapsed="false">
      <c r="A429" s="16" t="s">
        <v>412</v>
      </c>
    </row>
    <row r="430" customFormat="false" ht="15" hidden="false" customHeight="true" outlineLevel="0" collapsed="false">
      <c r="A430" s="16" t="s">
        <v>413</v>
      </c>
    </row>
    <row r="431" customFormat="false" ht="15" hidden="false" customHeight="true" outlineLevel="0" collapsed="false">
      <c r="A431" s="16" t="s">
        <v>414</v>
      </c>
    </row>
    <row r="433" customFormat="false" ht="15" hidden="false" customHeight="true" outlineLevel="0" collapsed="false">
      <c r="A433" s="15" t="s">
        <v>415</v>
      </c>
    </row>
    <row r="434" customFormat="false" ht="15" hidden="false" customHeight="true" outlineLevel="0" collapsed="false">
      <c r="A434" s="16" t="s">
        <v>416</v>
      </c>
    </row>
    <row r="435" customFormat="false" ht="15" hidden="false" customHeight="true" outlineLevel="0" collapsed="false">
      <c r="A435" s="16" t="s">
        <v>417</v>
      </c>
    </row>
    <row r="436" customFormat="false" ht="15" hidden="false" customHeight="true" outlineLevel="0" collapsed="false">
      <c r="A436" s="16" t="s">
        <v>418</v>
      </c>
    </row>
    <row r="437" customFormat="false" ht="15" hidden="false" customHeight="true" outlineLevel="0" collapsed="false">
      <c r="A437" s="16" t="s">
        <v>419</v>
      </c>
    </row>
    <row r="438" customFormat="false" ht="15" hidden="false" customHeight="true" outlineLevel="0" collapsed="false">
      <c r="A438" s="16" t="s">
        <v>420</v>
      </c>
    </row>
    <row r="439" customFormat="false" ht="15" hidden="false" customHeight="true" outlineLevel="0" collapsed="false">
      <c r="A439" s="16" t="s">
        <v>421</v>
      </c>
    </row>
    <row r="440" customFormat="false" ht="15" hidden="false" customHeight="true" outlineLevel="0" collapsed="false">
      <c r="A440" s="16" t="s">
        <v>422</v>
      </c>
    </row>
    <row r="442" customFormat="false" ht="15" hidden="false" customHeight="true" outlineLevel="0" collapsed="false">
      <c r="A442" s="15" t="s">
        <v>423</v>
      </c>
    </row>
    <row r="443" customFormat="false" ht="15" hidden="false" customHeight="true" outlineLevel="0" collapsed="false">
      <c r="A443" s="16" t="s">
        <v>424</v>
      </c>
    </row>
    <row r="444" customFormat="false" ht="15" hidden="false" customHeight="true" outlineLevel="0" collapsed="false">
      <c r="A444" s="16" t="s">
        <v>425</v>
      </c>
    </row>
    <row r="445" customFormat="false" ht="15" hidden="false" customHeight="true" outlineLevel="0" collapsed="false">
      <c r="A445" s="16" t="s">
        <v>426</v>
      </c>
    </row>
    <row r="446" customFormat="false" ht="15" hidden="false" customHeight="true" outlineLevel="0" collapsed="false">
      <c r="A446" s="16" t="s">
        <v>427</v>
      </c>
    </row>
    <row r="447" customFormat="false" ht="15" hidden="false" customHeight="true" outlineLevel="0" collapsed="false">
      <c r="A447" s="16" t="s">
        <v>428</v>
      </c>
    </row>
    <row r="448" customFormat="false" ht="15" hidden="false" customHeight="true" outlineLevel="0" collapsed="false">
      <c r="A448" s="16" t="s">
        <v>429</v>
      </c>
    </row>
    <row r="450" customFormat="false" ht="15" hidden="false" customHeight="false" outlineLevel="0" collapsed="false">
      <c r="A450" s="18" t="s">
        <v>430</v>
      </c>
    </row>
    <row r="451" customFormat="false" ht="15" hidden="false" customHeight="false" outlineLevel="0" collapsed="false">
      <c r="A451" s="19" t="s">
        <v>431</v>
      </c>
    </row>
    <row r="452" customFormat="false" ht="15" hidden="false" customHeight="false" outlineLevel="0" collapsed="false">
      <c r="A452" s="19" t="s">
        <v>432</v>
      </c>
    </row>
    <row r="453" customFormat="false" ht="15" hidden="false" customHeight="false" outlineLevel="0" collapsed="false">
      <c r="A453" s="19" t="s">
        <v>433</v>
      </c>
    </row>
    <row r="454" customFormat="false" ht="15" hidden="false" customHeight="false" outlineLevel="0" collapsed="false">
      <c r="A454" s="19" t="s">
        <v>434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9"/>
    <col collapsed="false" customWidth="true" hidden="false" outlineLevel="0" max="3" min="3" style="1" width="26"/>
    <col collapsed="false" customWidth="true" hidden="false" outlineLevel="0" max="4" min="4" style="1" width="18"/>
    <col collapsed="false" customWidth="true" hidden="false" outlineLevel="0" max="5" min="5" style="1" width="14"/>
    <col collapsed="false" customWidth="true" hidden="false" outlineLevel="0" max="6" min="6" style="1" width="30"/>
    <col collapsed="false" customWidth="true" hidden="false" outlineLevel="0" max="7" min="7" style="1" width="10"/>
    <col collapsed="false" customWidth="true" hidden="false" outlineLevel="0" max="8" min="8" style="1" width="24"/>
    <col collapsed="false" customWidth="true" hidden="false" outlineLevel="0" max="9" min="9" style="1" width="12"/>
    <col collapsed="false" customWidth="true" hidden="false" outlineLevel="0" max="10" min="10" style="1" width="14"/>
    <col collapsed="false" customWidth="true" hidden="false" outlineLevel="0" max="12" min="11" style="1" width="12"/>
    <col collapsed="false" customWidth="true" hidden="false" outlineLevel="0" max="13" min="13" style="1" width="46"/>
  </cols>
  <sheetData>
    <row r="1" customFormat="false" ht="43.5" hidden="false" customHeight="true" outlineLevel="0" collapsed="false">
      <c r="A1" s="20" t="s">
        <v>435</v>
      </c>
      <c r="B1" s="20" t="s">
        <v>436</v>
      </c>
      <c r="C1" s="20" t="s">
        <v>437</v>
      </c>
      <c r="D1" s="20" t="s">
        <v>438</v>
      </c>
      <c r="E1" s="20" t="s">
        <v>439</v>
      </c>
      <c r="F1" s="20" t="s">
        <v>440</v>
      </c>
      <c r="G1" s="20" t="s">
        <v>441</v>
      </c>
      <c r="H1" s="20" t="s">
        <v>442</v>
      </c>
      <c r="I1" s="20" t="s">
        <v>443</v>
      </c>
      <c r="J1" s="20" t="s">
        <v>444</v>
      </c>
      <c r="K1" s="20" t="s">
        <v>445</v>
      </c>
      <c r="L1" s="20" t="s">
        <v>446</v>
      </c>
      <c r="M1" s="20" t="s">
        <v>447</v>
      </c>
    </row>
    <row r="2" customFormat="false" ht="29.25" hidden="false" customHeight="true" outlineLevel="0" collapsed="false">
      <c r="A2" s="21" t="s">
        <v>448</v>
      </c>
      <c r="B2" s="21" t="s">
        <v>449</v>
      </c>
      <c r="C2" s="22" t="s">
        <v>450</v>
      </c>
      <c r="D2" s="22" t="s">
        <v>451</v>
      </c>
      <c r="E2" s="22" t="s">
        <v>452</v>
      </c>
      <c r="F2" s="22" t="s">
        <v>453</v>
      </c>
      <c r="G2" s="21" t="s">
        <v>454</v>
      </c>
      <c r="H2" s="21" t="s">
        <v>455</v>
      </c>
      <c r="I2" s="21" t="n">
        <v>70</v>
      </c>
      <c r="J2" s="23" t="n">
        <v>1519039</v>
      </c>
      <c r="K2" s="24" t="n">
        <f aca="false">COUNTIF(物件マスタ!$B:$B,$A2)</f>
        <v>71</v>
      </c>
      <c r="L2" s="22" t="s">
        <v>456</v>
      </c>
      <c r="M2" s="22" t="s">
        <v>457</v>
      </c>
    </row>
    <row r="3" customFormat="false" ht="29.25" hidden="false" customHeight="true" outlineLevel="0" collapsed="false">
      <c r="A3" s="21" t="s">
        <v>458</v>
      </c>
      <c r="B3" s="21" t="s">
        <v>459</v>
      </c>
      <c r="C3" s="22" t="s">
        <v>460</v>
      </c>
      <c r="D3" s="22" t="s">
        <v>451</v>
      </c>
      <c r="E3" s="22" t="s">
        <v>452</v>
      </c>
      <c r="F3" s="22" t="s">
        <v>461</v>
      </c>
      <c r="G3" s="21" t="s">
        <v>462</v>
      </c>
      <c r="H3" s="25" t="s">
        <v>463</v>
      </c>
      <c r="I3" s="21" t="n">
        <v>79</v>
      </c>
      <c r="J3" s="23" t="n">
        <v>1197029</v>
      </c>
      <c r="K3" s="24" t="n">
        <f aca="false">COUNTIF(物件マスタ!$B:$B,$A3)</f>
        <v>80</v>
      </c>
      <c r="L3" s="26" t="s">
        <v>456</v>
      </c>
      <c r="M3" s="22" t="s">
        <v>464</v>
      </c>
    </row>
    <row r="4" customFormat="false" ht="29.25" hidden="false" customHeight="true" outlineLevel="0" collapsed="false">
      <c r="A4" s="21" t="s">
        <v>465</v>
      </c>
      <c r="B4" s="21" t="s">
        <v>466</v>
      </c>
      <c r="C4" s="22" t="s">
        <v>467</v>
      </c>
      <c r="D4" s="22" t="s">
        <v>451</v>
      </c>
      <c r="E4" s="22" t="s">
        <v>452</v>
      </c>
      <c r="F4" s="22" t="s">
        <v>468</v>
      </c>
      <c r="G4" s="21" t="s">
        <v>462</v>
      </c>
      <c r="H4" s="21" t="s">
        <v>469</v>
      </c>
      <c r="I4" s="21" t="n">
        <v>17</v>
      </c>
      <c r="J4" s="23" t="n">
        <v>232273</v>
      </c>
      <c r="K4" s="24" t="n">
        <f aca="false">COUNTIF(物件マスタ!$B:$B,$A4)</f>
        <v>19</v>
      </c>
      <c r="L4" s="22" t="s">
        <v>456</v>
      </c>
      <c r="M4" s="22" t="s">
        <v>470</v>
      </c>
    </row>
    <row r="5" customFormat="false" ht="29.25" hidden="false" customHeight="true" outlineLevel="0" collapsed="false">
      <c r="A5" s="21" t="s">
        <v>471</v>
      </c>
      <c r="B5" s="21" t="s">
        <v>472</v>
      </c>
      <c r="C5" s="22" t="s">
        <v>473</v>
      </c>
      <c r="D5" s="22" t="s">
        <v>451</v>
      </c>
      <c r="E5" s="22" t="s">
        <v>452</v>
      </c>
      <c r="F5" s="22" t="s">
        <v>474</v>
      </c>
      <c r="G5" s="21" t="s">
        <v>475</v>
      </c>
      <c r="H5" s="21" t="s">
        <v>476</v>
      </c>
      <c r="I5" s="21" t="n">
        <v>58</v>
      </c>
      <c r="J5" s="23" t="n">
        <v>487709</v>
      </c>
      <c r="K5" s="24" t="n">
        <f aca="false">COUNTIF(物件マスタ!$B:$B,$A5)</f>
        <v>61</v>
      </c>
      <c r="L5" s="22" t="s">
        <v>456</v>
      </c>
      <c r="M5" s="22" t="s">
        <v>477</v>
      </c>
    </row>
    <row r="6" customFormat="false" ht="15" hidden="false" customHeight="true" outlineLevel="0" collapsed="false">
      <c r="A6" s="21" t="s">
        <v>478</v>
      </c>
      <c r="B6" s="21" t="s">
        <v>479</v>
      </c>
      <c r="C6" s="22" t="s">
        <v>480</v>
      </c>
      <c r="D6" s="22" t="s">
        <v>481</v>
      </c>
      <c r="E6" s="22" t="s">
        <v>482</v>
      </c>
      <c r="F6" s="22" t="s">
        <v>483</v>
      </c>
      <c r="G6" s="21" t="s">
        <v>484</v>
      </c>
      <c r="H6" s="21" t="s">
        <v>485</v>
      </c>
      <c r="I6" s="21" t="n">
        <v>87</v>
      </c>
      <c r="J6" s="23" t="n">
        <v>222508</v>
      </c>
      <c r="K6" s="24" t="n">
        <f aca="false">COUNTIF(物件マスタ!$B:$B,$A6)</f>
        <v>89</v>
      </c>
      <c r="L6" s="22" t="s">
        <v>456</v>
      </c>
      <c r="M6" s="22" t="s">
        <v>486</v>
      </c>
    </row>
    <row r="7" customFormat="false" ht="29.25" hidden="false" customHeight="true" outlineLevel="0" collapsed="false">
      <c r="A7" s="21" t="s">
        <v>487</v>
      </c>
      <c r="B7" s="21" t="s">
        <v>488</v>
      </c>
      <c r="C7" s="22" t="s">
        <v>489</v>
      </c>
      <c r="D7" s="22" t="s">
        <v>451</v>
      </c>
      <c r="E7" s="22" t="s">
        <v>452</v>
      </c>
      <c r="F7" s="22" t="s">
        <v>490</v>
      </c>
      <c r="G7" s="21" t="s">
        <v>454</v>
      </c>
      <c r="H7" s="21" t="s">
        <v>491</v>
      </c>
      <c r="I7" s="21" t="n">
        <v>33</v>
      </c>
      <c r="J7" s="23" t="n">
        <v>290534</v>
      </c>
      <c r="K7" s="24" t="n">
        <f aca="false">COUNTIF(物件マスタ!$B:$B,$A7)</f>
        <v>35</v>
      </c>
      <c r="L7" s="22" t="s">
        <v>456</v>
      </c>
      <c r="M7" s="21" t="s">
        <v>492</v>
      </c>
    </row>
    <row r="8" customFormat="false" ht="29.25" hidden="false" customHeight="true" outlineLevel="0" collapsed="false">
      <c r="A8" s="21" t="s">
        <v>493</v>
      </c>
      <c r="B8" s="21" t="s">
        <v>494</v>
      </c>
      <c r="C8" s="22" t="s">
        <v>495</v>
      </c>
      <c r="D8" s="22" t="s">
        <v>496</v>
      </c>
      <c r="E8" s="22" t="s">
        <v>497</v>
      </c>
      <c r="F8" s="22" t="s">
        <v>498</v>
      </c>
      <c r="G8" s="21" t="s">
        <v>499</v>
      </c>
      <c r="H8" s="21" t="s">
        <v>500</v>
      </c>
      <c r="I8" s="21" t="n">
        <v>11</v>
      </c>
      <c r="J8" s="23" t="n">
        <v>416049</v>
      </c>
      <c r="K8" s="24" t="n">
        <f aca="false">COUNTIF(物件マスタ!$B:$B,$A8)</f>
        <v>12</v>
      </c>
      <c r="L8" s="22" t="s">
        <v>456</v>
      </c>
      <c r="M8" s="22" t="s">
        <v>501</v>
      </c>
    </row>
    <row r="9" customFormat="false" ht="29.25" hidden="false" customHeight="true" outlineLevel="0" collapsed="false">
      <c r="A9" s="21" t="s">
        <v>502</v>
      </c>
      <c r="B9" s="21" t="s">
        <v>503</v>
      </c>
      <c r="C9" s="22" t="s">
        <v>504</v>
      </c>
      <c r="D9" s="22" t="s">
        <v>505</v>
      </c>
      <c r="E9" s="22" t="s">
        <v>482</v>
      </c>
      <c r="F9" s="22" t="s">
        <v>506</v>
      </c>
      <c r="G9" s="21" t="s">
        <v>454</v>
      </c>
      <c r="H9" s="21" t="s">
        <v>507</v>
      </c>
      <c r="I9" s="21" t="n">
        <v>67</v>
      </c>
      <c r="J9" s="23" t="n">
        <v>556828</v>
      </c>
      <c r="K9" s="24" t="n">
        <f aca="false">COUNTIF(物件マスタ!$B:$B,$A9)</f>
        <v>69</v>
      </c>
      <c r="L9" s="22" t="s">
        <v>456</v>
      </c>
      <c r="M9" s="22" t="s">
        <v>508</v>
      </c>
    </row>
    <row r="10" customFormat="false" ht="29.25" hidden="false" customHeight="true" outlineLevel="0" collapsed="false">
      <c r="A10" s="21" t="s">
        <v>509</v>
      </c>
      <c r="B10" s="21" t="s">
        <v>510</v>
      </c>
      <c r="C10" s="22" t="s">
        <v>511</v>
      </c>
      <c r="D10" s="22" t="s">
        <v>505</v>
      </c>
      <c r="E10" s="22" t="s">
        <v>482</v>
      </c>
      <c r="F10" s="22" t="s">
        <v>512</v>
      </c>
      <c r="G10" s="21" t="s">
        <v>499</v>
      </c>
      <c r="H10" s="21" t="s">
        <v>513</v>
      </c>
      <c r="I10" s="21" t="n">
        <v>28</v>
      </c>
      <c r="J10" s="23" t="n">
        <v>244261</v>
      </c>
      <c r="K10" s="24" t="n">
        <f aca="false">COUNTIF(物件マスタ!$B:$B,$A10)</f>
        <v>29</v>
      </c>
      <c r="L10" s="22" t="s">
        <v>456</v>
      </c>
      <c r="M10" s="22" t="s">
        <v>514</v>
      </c>
    </row>
    <row r="11" customFormat="false" ht="43.5" hidden="false" customHeight="true" outlineLevel="0" collapsed="false">
      <c r="A11" s="21" t="s">
        <v>515</v>
      </c>
      <c r="B11" s="21" t="s">
        <v>516</v>
      </c>
      <c r="C11" s="22" t="s">
        <v>517</v>
      </c>
      <c r="D11" s="22" t="s">
        <v>518</v>
      </c>
      <c r="E11" s="22" t="s">
        <v>482</v>
      </c>
      <c r="F11" s="22" t="s">
        <v>519</v>
      </c>
      <c r="G11" s="21" t="s">
        <v>520</v>
      </c>
      <c r="H11" s="25" t="s">
        <v>521</v>
      </c>
      <c r="I11" s="21" t="n">
        <v>67</v>
      </c>
      <c r="J11" s="23" t="n">
        <v>421530</v>
      </c>
      <c r="K11" s="24" t="n">
        <f aca="false">COUNTIF(物件マスタ!$B:$B,$A11)</f>
        <v>70</v>
      </c>
      <c r="L11" s="26" t="s">
        <v>456</v>
      </c>
      <c r="M11" s="22" t="s">
        <v>522</v>
      </c>
    </row>
    <row r="12" customFormat="false" ht="29.25" hidden="false" customHeight="true" outlineLevel="0" collapsed="false">
      <c r="A12" s="21" t="s">
        <v>523</v>
      </c>
      <c r="B12" s="21" t="s">
        <v>524</v>
      </c>
      <c r="C12" s="21" t="s">
        <v>525</v>
      </c>
      <c r="D12" s="22" t="s">
        <v>526</v>
      </c>
      <c r="E12" s="22" t="s">
        <v>527</v>
      </c>
      <c r="F12" s="21" t="s">
        <v>528</v>
      </c>
      <c r="G12" s="21" t="s">
        <v>484</v>
      </c>
      <c r="H12" s="21" t="s">
        <v>529</v>
      </c>
      <c r="I12" s="21" t="n">
        <v>62</v>
      </c>
      <c r="J12" s="23" t="n">
        <v>295266</v>
      </c>
      <c r="K12" s="24" t="n">
        <f aca="false">COUNTIF(物件マスタ!$B:$B,$A12)</f>
        <v>64</v>
      </c>
      <c r="L12" s="22" t="s">
        <v>456</v>
      </c>
      <c r="M12" s="22" t="s">
        <v>530</v>
      </c>
    </row>
    <row r="13" customFormat="false" ht="29.25" hidden="false" customHeight="true" outlineLevel="0" collapsed="false">
      <c r="A13" s="21" t="s">
        <v>531</v>
      </c>
      <c r="B13" s="21" t="s">
        <v>532</v>
      </c>
      <c r="C13" s="22" t="s">
        <v>533</v>
      </c>
      <c r="D13" s="22" t="s">
        <v>526</v>
      </c>
      <c r="E13" s="22" t="s">
        <v>534</v>
      </c>
      <c r="F13" s="22" t="s">
        <v>535</v>
      </c>
      <c r="G13" s="21" t="s">
        <v>475</v>
      </c>
      <c r="H13" s="21" t="s">
        <v>536</v>
      </c>
      <c r="I13" s="21" t="n">
        <v>136</v>
      </c>
      <c r="J13" s="23" t="n">
        <v>265046</v>
      </c>
      <c r="K13" s="24" t="n">
        <f aca="false">COUNTIF(物件マスタ!$B:$B,$A13)</f>
        <v>139</v>
      </c>
      <c r="L13" s="22" t="s">
        <v>456</v>
      </c>
      <c r="M13" s="22" t="s">
        <v>537</v>
      </c>
    </row>
    <row r="14" customFormat="false" ht="29.25" hidden="false" customHeight="true" outlineLevel="0" collapsed="false">
      <c r="A14" s="21" t="s">
        <v>538</v>
      </c>
      <c r="B14" s="21" t="s">
        <v>539</v>
      </c>
      <c r="C14" s="22" t="s">
        <v>540</v>
      </c>
      <c r="D14" s="22" t="s">
        <v>526</v>
      </c>
      <c r="E14" s="22" t="s">
        <v>534</v>
      </c>
      <c r="F14" s="22" t="s">
        <v>541</v>
      </c>
      <c r="G14" s="21" t="s">
        <v>484</v>
      </c>
      <c r="H14" s="21" t="s">
        <v>542</v>
      </c>
      <c r="I14" s="21" t="n">
        <v>138</v>
      </c>
      <c r="J14" s="23" t="n">
        <v>561102</v>
      </c>
      <c r="K14" s="24" t="n">
        <f aca="false">COUNTIF(物件マスタ!$B:$B,$A14)</f>
        <v>151</v>
      </c>
      <c r="L14" s="22" t="s">
        <v>456</v>
      </c>
      <c r="M14" s="22" t="s">
        <v>543</v>
      </c>
    </row>
    <row r="15" customFormat="false" ht="29.25" hidden="false" customHeight="true" outlineLevel="0" collapsed="false">
      <c r="A15" s="21" t="s">
        <v>544</v>
      </c>
      <c r="B15" s="21" t="s">
        <v>545</v>
      </c>
      <c r="C15" s="22" t="s">
        <v>546</v>
      </c>
      <c r="D15" s="22" t="s">
        <v>547</v>
      </c>
      <c r="E15" s="22" t="s">
        <v>527</v>
      </c>
      <c r="F15" s="22" t="s">
        <v>548</v>
      </c>
      <c r="G15" s="21" t="s">
        <v>520</v>
      </c>
      <c r="H15" s="25" t="s">
        <v>549</v>
      </c>
      <c r="I15" s="21" t="n">
        <v>20</v>
      </c>
      <c r="J15" s="23" t="n">
        <v>463522</v>
      </c>
      <c r="K15" s="24" t="n">
        <f aca="false">COUNTIF(物件マスタ!$B:$B,$A15)</f>
        <v>21</v>
      </c>
      <c r="L15" s="26" t="s">
        <v>456</v>
      </c>
      <c r="M15" s="21" t="s">
        <v>550</v>
      </c>
    </row>
    <row r="16" customFormat="false" ht="29.25" hidden="false" customHeight="true" outlineLevel="0" collapsed="false">
      <c r="A16" s="21" t="s">
        <v>551</v>
      </c>
      <c r="B16" s="21" t="s">
        <v>552</v>
      </c>
      <c r="C16" s="22" t="s">
        <v>553</v>
      </c>
      <c r="D16" s="22" t="s">
        <v>554</v>
      </c>
      <c r="E16" s="21" t="s">
        <v>555</v>
      </c>
      <c r="F16" s="22" t="s">
        <v>556</v>
      </c>
      <c r="G16" s="21" t="s">
        <v>520</v>
      </c>
      <c r="H16" s="25" t="s">
        <v>557</v>
      </c>
      <c r="I16" s="21" t="n">
        <v>16</v>
      </c>
      <c r="J16" s="23" t="n">
        <v>93938</v>
      </c>
      <c r="K16" s="24" t="n">
        <f aca="false">COUNTIF(物件マスタ!$B:$B,$A16)</f>
        <v>17</v>
      </c>
      <c r="L16" s="26" t="s">
        <v>456</v>
      </c>
      <c r="M16" s="22" t="s">
        <v>558</v>
      </c>
    </row>
    <row r="17" customFormat="false" ht="29.25" hidden="false" customHeight="true" outlineLevel="0" collapsed="false">
      <c r="A17" s="21" t="s">
        <v>559</v>
      </c>
      <c r="B17" s="21" t="s">
        <v>560</v>
      </c>
      <c r="C17" s="22" t="s">
        <v>561</v>
      </c>
      <c r="D17" s="22" t="s">
        <v>562</v>
      </c>
      <c r="E17" s="22" t="s">
        <v>534</v>
      </c>
      <c r="F17" s="22" t="s">
        <v>563</v>
      </c>
      <c r="G17" s="21" t="s">
        <v>484</v>
      </c>
      <c r="H17" s="21" t="s">
        <v>564</v>
      </c>
      <c r="I17" s="21" t="n">
        <v>343</v>
      </c>
      <c r="J17" s="23" t="n">
        <v>1218978</v>
      </c>
      <c r="K17" s="24" t="n">
        <f aca="false">COUNTIF(物件マスタ!$B:$B,$A17)</f>
        <v>346</v>
      </c>
      <c r="L17" s="22" t="s">
        <v>456</v>
      </c>
      <c r="M17" s="22" t="s">
        <v>565</v>
      </c>
    </row>
    <row r="18" customFormat="false" ht="15" hidden="false" customHeight="true" outlineLevel="0" collapsed="false">
      <c r="A18" s="27" t="s">
        <v>566</v>
      </c>
      <c r="B18" s="27" t="s">
        <v>567</v>
      </c>
      <c r="C18" s="28" t="s">
        <v>568</v>
      </c>
      <c r="D18" s="28" t="s">
        <v>569</v>
      </c>
      <c r="E18" s="28" t="s">
        <v>570</v>
      </c>
      <c r="F18" s="28" t="s">
        <v>571</v>
      </c>
      <c r="G18" s="27" t="s">
        <v>520</v>
      </c>
      <c r="H18" s="28" t="s">
        <v>572</v>
      </c>
      <c r="I18" s="27" t="n">
        <v>20</v>
      </c>
      <c r="J18" s="27" t="n">
        <v>50591</v>
      </c>
      <c r="K18" s="27" t="n">
        <v>20</v>
      </c>
      <c r="L18" s="28" t="s">
        <v>573</v>
      </c>
      <c r="M18" s="27" t="s">
        <v>574</v>
      </c>
    </row>
    <row r="19" customFormat="false" ht="15" hidden="false" customHeight="true" outlineLevel="0" collapsed="false">
      <c r="A19" s="27" t="s">
        <v>575</v>
      </c>
      <c r="B19" s="27" t="s">
        <v>576</v>
      </c>
      <c r="C19" s="27" t="s">
        <v>577</v>
      </c>
      <c r="D19" s="28" t="s">
        <v>578</v>
      </c>
      <c r="E19" s="28" t="s">
        <v>579</v>
      </c>
      <c r="F19" s="28" t="s">
        <v>580</v>
      </c>
      <c r="G19" s="27" t="s">
        <v>520</v>
      </c>
      <c r="H19" s="28" t="s">
        <v>581</v>
      </c>
      <c r="I19" s="27" t="n">
        <v>34</v>
      </c>
      <c r="J19" s="27" t="n">
        <v>151202</v>
      </c>
      <c r="K19" s="27" t="n">
        <v>34</v>
      </c>
      <c r="L19" s="28" t="s">
        <v>582</v>
      </c>
      <c r="M19" s="27" t="s">
        <v>583</v>
      </c>
    </row>
  </sheetData>
  <autoFilter ref="A1:M3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24"/>
    <col collapsed="false" customWidth="true" hidden="false" outlineLevel="0" max="4" min="4" style="1" width="30"/>
    <col collapsed="false" customWidth="true" hidden="false" outlineLevel="0" max="5" min="5" style="1" width="66"/>
    <col collapsed="false" customWidth="true" hidden="false" outlineLevel="0" max="7" min="6" style="1" width="50"/>
    <col collapsed="false" customWidth="true" hidden="false" outlineLevel="0" max="18" min="8" style="1" width="13"/>
    <col collapsed="false" customWidth="true" hidden="false" outlineLevel="0" max="20" min="19" style="1" width="30"/>
    <col collapsed="false" customWidth="true" hidden="false" outlineLevel="0" max="21" min="21" style="1" width="13"/>
    <col collapsed="false" customWidth="true" hidden="false" outlineLevel="0" max="24" min="22" style="1" width="17"/>
  </cols>
  <sheetData>
    <row r="1" customFormat="false" ht="29.25" hidden="false" customHeight="true" outlineLevel="0" collapsed="false">
      <c r="A1" s="29" t="s">
        <v>435</v>
      </c>
      <c r="B1" s="29" t="s">
        <v>437</v>
      </c>
      <c r="C1" s="29" t="s">
        <v>584</v>
      </c>
      <c r="D1" s="29" t="s">
        <v>585</v>
      </c>
      <c r="E1" s="29" t="s">
        <v>586</v>
      </c>
      <c r="F1" s="29" t="s">
        <v>587</v>
      </c>
      <c r="G1" s="30" t="s">
        <v>588</v>
      </c>
      <c r="H1" s="29" t="s">
        <v>589</v>
      </c>
      <c r="I1" s="29" t="s">
        <v>590</v>
      </c>
      <c r="J1" s="29" t="s">
        <v>591</v>
      </c>
      <c r="K1" s="29" t="s">
        <v>592</v>
      </c>
      <c r="L1" s="29" t="s">
        <v>593</v>
      </c>
      <c r="M1" s="29" t="s">
        <v>594</v>
      </c>
      <c r="N1" s="29" t="s">
        <v>595</v>
      </c>
      <c r="O1" s="29" t="s">
        <v>596</v>
      </c>
      <c r="P1" s="29" t="s">
        <v>597</v>
      </c>
      <c r="Q1" s="29" t="s">
        <v>598</v>
      </c>
      <c r="R1" s="29" t="s">
        <v>599</v>
      </c>
      <c r="S1" s="29" t="s">
        <v>600</v>
      </c>
      <c r="T1" s="29" t="s">
        <v>601</v>
      </c>
      <c r="U1" s="29" t="s">
        <v>602</v>
      </c>
      <c r="V1" s="15" t="s">
        <v>603</v>
      </c>
      <c r="W1" s="15" t="s">
        <v>604</v>
      </c>
      <c r="X1" s="15" t="s">
        <v>605</v>
      </c>
      <c r="Y1" s="15" t="s">
        <v>606</v>
      </c>
      <c r="Z1" s="15" t="s">
        <v>607</v>
      </c>
    </row>
    <row r="2" customFormat="false" ht="96" hidden="false" customHeight="true" outlineLevel="0" collapsed="false">
      <c r="A2" s="27" t="s">
        <v>448</v>
      </c>
      <c r="B2" s="28" t="s">
        <v>450</v>
      </c>
      <c r="C2" s="31" t="s">
        <v>608</v>
      </c>
      <c r="D2" s="31" t="s">
        <v>609</v>
      </c>
      <c r="E2" s="32" t="s">
        <v>610</v>
      </c>
      <c r="F2" s="31" t="s">
        <v>611</v>
      </c>
      <c r="G2" s="31" t="s">
        <v>612</v>
      </c>
      <c r="H2" s="27" t="n">
        <v>70</v>
      </c>
      <c r="I2" s="27" t="n">
        <v>1.78</v>
      </c>
      <c r="J2" s="27" t="n">
        <v>25403</v>
      </c>
      <c r="K2" s="27" t="n">
        <v>32.5</v>
      </c>
      <c r="L2" s="27" t="n">
        <v>6.25</v>
      </c>
      <c r="M2" s="27"/>
      <c r="N2" s="27" t="n">
        <v>100</v>
      </c>
      <c r="O2" s="27" t="n">
        <v>12481</v>
      </c>
      <c r="P2" s="27" t="n">
        <v>74.3</v>
      </c>
      <c r="Q2" s="27" t="n">
        <v>44.3</v>
      </c>
      <c r="R2" s="27" t="n">
        <v>100</v>
      </c>
      <c r="S2" s="28" t="s">
        <v>613</v>
      </c>
      <c r="T2" s="28" t="s">
        <v>614</v>
      </c>
      <c r="U2" s="28" t="n">
        <v>97.1</v>
      </c>
      <c r="V2" s="6" t="n">
        <v>70</v>
      </c>
      <c r="W2" s="6" t="n">
        <v>100</v>
      </c>
      <c r="X2" s="6" t="n">
        <v>1.52</v>
      </c>
      <c r="Y2" s="6" t="n">
        <v>54</v>
      </c>
      <c r="Z2" s="6" t="n">
        <v>69</v>
      </c>
    </row>
    <row r="3" customFormat="false" ht="96" hidden="false" customHeight="true" outlineLevel="0" collapsed="false">
      <c r="A3" s="27" t="s">
        <v>458</v>
      </c>
      <c r="B3" s="28" t="s">
        <v>460</v>
      </c>
      <c r="C3" s="31" t="s">
        <v>615</v>
      </c>
      <c r="D3" s="31" t="s">
        <v>616</v>
      </c>
      <c r="E3" s="31" t="s">
        <v>617</v>
      </c>
      <c r="F3" s="31" t="s">
        <v>618</v>
      </c>
      <c r="G3" s="31" t="s">
        <v>619</v>
      </c>
      <c r="H3" s="28" t="n">
        <v>79</v>
      </c>
      <c r="I3" s="28" t="n">
        <v>1.45</v>
      </c>
      <c r="J3" s="28" t="n">
        <v>18320</v>
      </c>
      <c r="K3" s="28" t="n">
        <v>29.5</v>
      </c>
      <c r="L3" s="28" t="n">
        <v>5.74</v>
      </c>
      <c r="M3" s="28"/>
      <c r="N3" s="28" t="n">
        <v>100</v>
      </c>
      <c r="O3" s="28" t="n">
        <v>7880</v>
      </c>
      <c r="P3" s="28" t="n">
        <v>67.1</v>
      </c>
      <c r="Q3" s="28" t="n">
        <v>49.4</v>
      </c>
      <c r="R3" s="28" t="n">
        <v>100</v>
      </c>
      <c r="S3" s="28" t="s">
        <v>613</v>
      </c>
      <c r="T3" s="28" t="s">
        <v>620</v>
      </c>
      <c r="U3" s="28" t="n">
        <v>91.1</v>
      </c>
      <c r="V3" s="6" t="n">
        <v>79</v>
      </c>
      <c r="W3" s="6" t="n">
        <v>100</v>
      </c>
      <c r="X3" s="6" t="n">
        <v>1.2</v>
      </c>
      <c r="Y3" s="6" t="n">
        <v>73</v>
      </c>
      <c r="Z3" s="6" t="n">
        <v>78</v>
      </c>
    </row>
    <row r="4" customFormat="false" ht="96" hidden="false" customHeight="true" outlineLevel="0" collapsed="false">
      <c r="A4" s="27" t="s">
        <v>465</v>
      </c>
      <c r="B4" s="28" t="s">
        <v>467</v>
      </c>
      <c r="C4" s="31" t="s">
        <v>621</v>
      </c>
      <c r="D4" s="32" t="s">
        <v>622</v>
      </c>
      <c r="E4" s="31" t="s">
        <v>623</v>
      </c>
      <c r="F4" s="31" t="s">
        <v>624</v>
      </c>
      <c r="G4" s="31" t="s">
        <v>625</v>
      </c>
      <c r="H4" s="28" t="n">
        <v>18</v>
      </c>
      <c r="I4" s="28" t="n">
        <v>0.25</v>
      </c>
      <c r="J4" s="28" t="n">
        <v>15788</v>
      </c>
      <c r="K4" s="28" t="n">
        <v>48.9</v>
      </c>
      <c r="L4" s="28" t="n">
        <v>4.6</v>
      </c>
      <c r="M4" s="28" t="n">
        <v>16.7</v>
      </c>
      <c r="N4" s="28" t="n">
        <v>100</v>
      </c>
      <c r="O4" s="28" t="n">
        <v>8890</v>
      </c>
      <c r="P4" s="28" t="n">
        <v>55.6</v>
      </c>
      <c r="Q4" s="28" t="n">
        <v>22.2</v>
      </c>
      <c r="R4" s="28" t="n">
        <v>100</v>
      </c>
      <c r="S4" s="28" t="s">
        <v>613</v>
      </c>
      <c r="T4" s="28" t="s">
        <v>626</v>
      </c>
      <c r="U4" s="28" t="n">
        <v>77.8</v>
      </c>
      <c r="V4" s="6" t="n">
        <v>16</v>
      </c>
      <c r="W4" s="6" t="n">
        <v>94.4</v>
      </c>
      <c r="X4" s="6" t="n">
        <v>0.23</v>
      </c>
      <c r="Y4" s="6" t="n">
        <v>15</v>
      </c>
      <c r="Z4" s="6" t="n">
        <v>16</v>
      </c>
    </row>
    <row r="5" customFormat="false" ht="96" hidden="false" customHeight="true" outlineLevel="0" collapsed="false">
      <c r="A5" s="27" t="s">
        <v>471</v>
      </c>
      <c r="B5" s="28" t="s">
        <v>473</v>
      </c>
      <c r="C5" s="31" t="s">
        <v>627</v>
      </c>
      <c r="D5" s="31" t="s">
        <v>628</v>
      </c>
      <c r="E5" s="31" t="s">
        <v>629</v>
      </c>
      <c r="F5" s="31" t="s">
        <v>630</v>
      </c>
      <c r="G5" s="31" t="s">
        <v>631</v>
      </c>
      <c r="H5" s="28" t="n">
        <v>58</v>
      </c>
      <c r="I5" s="28" t="n">
        <v>0.63</v>
      </c>
      <c r="J5" s="28" t="n">
        <v>10828</v>
      </c>
      <c r="K5" s="28" t="n">
        <v>34.3</v>
      </c>
      <c r="L5" s="28" t="n">
        <v>5.2</v>
      </c>
      <c r="M5" s="28" t="n">
        <v>28.7</v>
      </c>
      <c r="N5" s="28" t="n">
        <v>100</v>
      </c>
      <c r="O5" s="28" t="n">
        <v>3794</v>
      </c>
      <c r="P5" s="28" t="n">
        <v>98.3</v>
      </c>
      <c r="Q5" s="28" t="n">
        <v>82.8</v>
      </c>
      <c r="R5" s="28" t="n">
        <v>100</v>
      </c>
      <c r="S5" s="28" t="s">
        <v>613</v>
      </c>
      <c r="T5" s="28" t="s">
        <v>632</v>
      </c>
      <c r="U5" s="28" t="n">
        <v>63.8</v>
      </c>
      <c r="V5" s="6" t="n">
        <v>58</v>
      </c>
      <c r="W5" s="6" t="n">
        <v>96.7</v>
      </c>
      <c r="X5" s="6" t="n">
        <v>0.49</v>
      </c>
      <c r="Y5" s="6" t="n">
        <v>50</v>
      </c>
      <c r="Z5" s="6" t="n">
        <v>58</v>
      </c>
    </row>
    <row r="6" customFormat="false" ht="96" hidden="false" customHeight="true" outlineLevel="0" collapsed="false">
      <c r="A6" s="27" t="s">
        <v>478</v>
      </c>
      <c r="B6" s="28" t="s">
        <v>480</v>
      </c>
      <c r="C6" s="31" t="s">
        <v>633</v>
      </c>
      <c r="D6" s="31" t="s">
        <v>634</v>
      </c>
      <c r="E6" s="32" t="s">
        <v>635</v>
      </c>
      <c r="F6" s="31" t="s">
        <v>636</v>
      </c>
      <c r="G6" s="31" t="s">
        <v>637</v>
      </c>
      <c r="H6" s="28" t="n">
        <v>87</v>
      </c>
      <c r="I6" s="28" t="n">
        <v>0.29</v>
      </c>
      <c r="J6" s="28" t="n">
        <v>3319</v>
      </c>
      <c r="K6" s="28" t="n">
        <v>14.9</v>
      </c>
      <c r="L6" s="28" t="n">
        <v>5.64</v>
      </c>
      <c r="M6" s="28"/>
      <c r="N6" s="28" t="n">
        <v>100</v>
      </c>
      <c r="O6" s="28" t="n">
        <v>2765</v>
      </c>
      <c r="P6" s="28" t="n">
        <v>75.9</v>
      </c>
      <c r="Q6" s="28" t="n">
        <v>41.4</v>
      </c>
      <c r="R6" s="28" t="n">
        <v>97.7</v>
      </c>
      <c r="S6" s="28" t="s">
        <v>638</v>
      </c>
      <c r="T6" s="28" t="s">
        <v>639</v>
      </c>
      <c r="U6" s="28" t="n">
        <v>21.8</v>
      </c>
      <c r="V6" s="6" t="n">
        <v>87</v>
      </c>
      <c r="W6" s="6" t="n">
        <v>0</v>
      </c>
      <c r="X6" s="6"/>
      <c r="Y6" s="6" t="n">
        <v>87</v>
      </c>
      <c r="Z6" s="6" t="n">
        <v>87</v>
      </c>
    </row>
    <row r="7" customFormat="false" ht="96" hidden="false" customHeight="true" outlineLevel="0" collapsed="false">
      <c r="A7" s="27" t="s">
        <v>487</v>
      </c>
      <c r="B7" s="28" t="s">
        <v>489</v>
      </c>
      <c r="C7" s="31" t="s">
        <v>640</v>
      </c>
      <c r="D7" s="31" t="s">
        <v>641</v>
      </c>
      <c r="E7" s="32" t="s">
        <v>642</v>
      </c>
      <c r="F7" s="31" t="s">
        <v>643</v>
      </c>
      <c r="G7" s="31" t="s">
        <v>644</v>
      </c>
      <c r="H7" s="28" t="n">
        <v>33</v>
      </c>
      <c r="I7" s="28" t="n">
        <v>0.35</v>
      </c>
      <c r="J7" s="28" t="n">
        <v>10655</v>
      </c>
      <c r="K7" s="28" t="n">
        <v>40</v>
      </c>
      <c r="L7" s="28" t="n">
        <v>7.06</v>
      </c>
      <c r="M7" s="28"/>
      <c r="N7" s="28" t="n">
        <v>100</v>
      </c>
      <c r="O7" s="28" t="n">
        <v>6634</v>
      </c>
      <c r="P7" s="28" t="n">
        <v>69.7</v>
      </c>
      <c r="Q7" s="28" t="n">
        <v>39.4</v>
      </c>
      <c r="R7" s="28" t="n">
        <v>100</v>
      </c>
      <c r="S7" s="28" t="s">
        <v>613</v>
      </c>
      <c r="T7" s="28" t="s">
        <v>645</v>
      </c>
      <c r="U7" s="28" t="n">
        <v>78.8</v>
      </c>
      <c r="V7" s="6" t="n">
        <v>33</v>
      </c>
      <c r="W7" s="6" t="n">
        <v>97.1</v>
      </c>
      <c r="X7" s="6" t="n">
        <v>0.29</v>
      </c>
      <c r="Y7" s="6" t="n">
        <v>25</v>
      </c>
      <c r="Z7" s="6" t="n">
        <v>33</v>
      </c>
    </row>
    <row r="8" customFormat="false" ht="96" hidden="false" customHeight="true" outlineLevel="0" collapsed="false">
      <c r="A8" s="27" t="s">
        <v>493</v>
      </c>
      <c r="B8" s="28" t="s">
        <v>495</v>
      </c>
      <c r="C8" s="31" t="s">
        <v>646</v>
      </c>
      <c r="D8" s="31" t="s">
        <v>647</v>
      </c>
      <c r="E8" s="32" t="s">
        <v>648</v>
      </c>
      <c r="F8" s="31" t="s">
        <v>649</v>
      </c>
      <c r="G8" s="31" t="s">
        <v>650</v>
      </c>
      <c r="H8" s="28" t="n">
        <v>11</v>
      </c>
      <c r="I8" s="28" t="n">
        <v>0.51</v>
      </c>
      <c r="J8" s="28" t="n">
        <v>46000</v>
      </c>
      <c r="K8" s="28" t="n">
        <v>79.9</v>
      </c>
      <c r="L8" s="28" t="n">
        <v>4.44</v>
      </c>
      <c r="M8" s="28" t="n">
        <v>25.5</v>
      </c>
      <c r="N8" s="28" t="n">
        <v>100</v>
      </c>
      <c r="O8" s="28" t="n">
        <v>16153</v>
      </c>
      <c r="P8" s="28" t="n">
        <v>100</v>
      </c>
      <c r="Q8" s="28" t="n">
        <v>100</v>
      </c>
      <c r="R8" s="28" t="n">
        <v>72.7</v>
      </c>
      <c r="S8" s="28" t="s">
        <v>651</v>
      </c>
      <c r="T8" s="28" t="s">
        <v>652</v>
      </c>
      <c r="U8" s="28" t="n">
        <v>72.7</v>
      </c>
      <c r="V8" s="6" t="n">
        <v>11</v>
      </c>
      <c r="W8" s="6" t="n">
        <v>100</v>
      </c>
      <c r="X8" s="6" t="n">
        <v>0.42</v>
      </c>
      <c r="Y8" s="6" t="n">
        <v>10</v>
      </c>
      <c r="Z8" s="6" t="n">
        <v>11</v>
      </c>
    </row>
    <row r="9" customFormat="false" ht="96" hidden="false" customHeight="true" outlineLevel="0" collapsed="false">
      <c r="A9" s="27" t="s">
        <v>502</v>
      </c>
      <c r="B9" s="28" t="s">
        <v>504</v>
      </c>
      <c r="C9" s="31" t="s">
        <v>653</v>
      </c>
      <c r="D9" s="31" t="s">
        <v>654</v>
      </c>
      <c r="E9" s="31" t="s">
        <v>655</v>
      </c>
      <c r="F9" s="31" t="s">
        <v>656</v>
      </c>
      <c r="G9" s="31" t="s">
        <v>657</v>
      </c>
      <c r="H9" s="28" t="n">
        <v>67</v>
      </c>
      <c r="I9" s="28" t="n">
        <v>0.67</v>
      </c>
      <c r="J9" s="28" t="n">
        <v>10015</v>
      </c>
      <c r="K9" s="28" t="n">
        <v>30.8</v>
      </c>
      <c r="L9" s="28" t="n">
        <v>6.12</v>
      </c>
      <c r="M9" s="28" t="n">
        <v>30.1</v>
      </c>
      <c r="N9" s="28" t="n">
        <v>100</v>
      </c>
      <c r="O9" s="28" t="n">
        <v>5185</v>
      </c>
      <c r="P9" s="28" t="n">
        <v>77.6</v>
      </c>
      <c r="Q9" s="28" t="n">
        <v>44.8</v>
      </c>
      <c r="R9" s="28" t="n">
        <v>74.6</v>
      </c>
      <c r="S9" s="28" t="s">
        <v>658</v>
      </c>
      <c r="T9" s="28" t="s">
        <v>659</v>
      </c>
      <c r="U9" s="28" t="n">
        <v>71.6</v>
      </c>
      <c r="V9" s="6" t="n">
        <v>67</v>
      </c>
      <c r="W9" s="6" t="n">
        <v>98.5</v>
      </c>
      <c r="X9" s="6" t="n">
        <v>0.56</v>
      </c>
      <c r="Y9" s="6" t="n">
        <v>50</v>
      </c>
      <c r="Z9" s="6" t="n">
        <v>67</v>
      </c>
    </row>
    <row r="10" customFormat="false" ht="96" hidden="false" customHeight="true" outlineLevel="0" collapsed="false">
      <c r="A10" s="27" t="s">
        <v>509</v>
      </c>
      <c r="B10" s="28" t="s">
        <v>511</v>
      </c>
      <c r="C10" s="31" t="s">
        <v>660</v>
      </c>
      <c r="D10" s="31" t="s">
        <v>661</v>
      </c>
      <c r="E10" s="32" t="s">
        <v>662</v>
      </c>
      <c r="F10" s="31" t="s">
        <v>663</v>
      </c>
      <c r="G10" s="32" t="s">
        <v>664</v>
      </c>
      <c r="H10" s="28" t="n">
        <v>28</v>
      </c>
      <c r="I10" s="28" t="n">
        <v>0.33</v>
      </c>
      <c r="J10" s="28" t="n">
        <v>11676</v>
      </c>
      <c r="K10" s="28" t="n">
        <v>43.5</v>
      </c>
      <c r="L10" s="28"/>
      <c r="M10" s="28" t="n">
        <v>31.4</v>
      </c>
      <c r="N10" s="28" t="n">
        <v>100</v>
      </c>
      <c r="O10" s="28" t="n">
        <v>4616</v>
      </c>
      <c r="P10" s="28" t="n">
        <v>100</v>
      </c>
      <c r="Q10" s="28" t="n">
        <v>71.4</v>
      </c>
      <c r="R10" s="28" t="n">
        <v>64.3</v>
      </c>
      <c r="S10" s="28" t="s">
        <v>665</v>
      </c>
      <c r="T10" s="28" t="s">
        <v>666</v>
      </c>
      <c r="U10" s="28" t="n">
        <v>75</v>
      </c>
      <c r="V10" s="6" t="n">
        <v>28</v>
      </c>
      <c r="W10" s="6" t="n">
        <v>0</v>
      </c>
      <c r="X10" s="6"/>
      <c r="Y10" s="6" t="n">
        <v>0</v>
      </c>
      <c r="Z10" s="6" t="n">
        <v>28</v>
      </c>
    </row>
    <row r="11" customFormat="false" ht="96" hidden="false" customHeight="true" outlineLevel="0" collapsed="false">
      <c r="A11" s="27" t="s">
        <v>515</v>
      </c>
      <c r="B11" s="28" t="s">
        <v>517</v>
      </c>
      <c r="C11" s="31" t="s">
        <v>667</v>
      </c>
      <c r="D11" s="31" t="s">
        <v>668</v>
      </c>
      <c r="E11" s="31" t="s">
        <v>669</v>
      </c>
      <c r="F11" s="31" t="s">
        <v>670</v>
      </c>
      <c r="G11" s="31" t="s">
        <v>671</v>
      </c>
      <c r="H11" s="28" t="n">
        <v>67</v>
      </c>
      <c r="I11" s="28" t="n">
        <v>0.49</v>
      </c>
      <c r="J11" s="28" t="n">
        <v>7259</v>
      </c>
      <c r="K11" s="28" t="n">
        <v>34.6</v>
      </c>
      <c r="L11" s="28" t="n">
        <v>5.48</v>
      </c>
      <c r="M11" s="28" t="n">
        <v>21.2</v>
      </c>
      <c r="N11" s="28" t="n">
        <v>100</v>
      </c>
      <c r="O11" s="28" t="n">
        <v>3957</v>
      </c>
      <c r="P11" s="28" t="n">
        <v>92.5</v>
      </c>
      <c r="Q11" s="28" t="n">
        <v>40.3</v>
      </c>
      <c r="R11" s="28" t="n">
        <v>50.7</v>
      </c>
      <c r="S11" s="28" t="s">
        <v>672</v>
      </c>
      <c r="T11" s="28" t="s">
        <v>673</v>
      </c>
      <c r="U11" s="28" t="n">
        <v>41.8</v>
      </c>
      <c r="V11" s="6" t="n">
        <v>67</v>
      </c>
      <c r="W11" s="6" t="n">
        <v>97.1</v>
      </c>
      <c r="X11" s="6" t="n">
        <v>0.42</v>
      </c>
      <c r="Y11" s="6" t="n">
        <v>44</v>
      </c>
      <c r="Z11" s="6" t="n">
        <v>67</v>
      </c>
    </row>
    <row r="12" customFormat="false" ht="96" hidden="false" customHeight="true" outlineLevel="0" collapsed="false">
      <c r="A12" s="27" t="s">
        <v>523</v>
      </c>
      <c r="B12" s="27" t="s">
        <v>525</v>
      </c>
      <c r="C12" s="31" t="s">
        <v>674</v>
      </c>
      <c r="D12" s="31" t="s">
        <v>675</v>
      </c>
      <c r="E12" s="31" t="s">
        <v>676</v>
      </c>
      <c r="F12" s="31" t="s">
        <v>677</v>
      </c>
      <c r="G12" s="31" t="s">
        <v>678</v>
      </c>
      <c r="H12" s="28" t="n">
        <v>62</v>
      </c>
      <c r="I12" s="28" t="n">
        <v>0.34</v>
      </c>
      <c r="J12" s="28" t="n">
        <v>5497</v>
      </c>
      <c r="K12" s="28" t="n">
        <v>31.5</v>
      </c>
      <c r="L12" s="28" t="n">
        <v>5.3</v>
      </c>
      <c r="M12" s="28"/>
      <c r="N12" s="28" t="n">
        <v>99.2</v>
      </c>
      <c r="O12" s="28"/>
      <c r="P12" s="28" t="n">
        <v>88.7</v>
      </c>
      <c r="Q12" s="28" t="n">
        <v>56.5</v>
      </c>
      <c r="R12" s="28" t="n">
        <v>40.3</v>
      </c>
      <c r="S12" s="28" t="s">
        <v>679</v>
      </c>
      <c r="T12" s="28" t="s">
        <v>680</v>
      </c>
      <c r="U12" s="28" t="n">
        <v>71</v>
      </c>
      <c r="V12" s="6" t="n">
        <v>61</v>
      </c>
      <c r="W12" s="6" t="n">
        <v>98.4</v>
      </c>
      <c r="X12" s="6" t="n">
        <v>0.3</v>
      </c>
      <c r="Y12" s="6" t="n">
        <v>52</v>
      </c>
      <c r="Z12" s="6" t="n">
        <v>61</v>
      </c>
    </row>
    <row r="13" customFormat="false" ht="96" hidden="false" customHeight="true" outlineLevel="0" collapsed="false">
      <c r="A13" s="27" t="s">
        <v>531</v>
      </c>
      <c r="B13" s="28" t="s">
        <v>533</v>
      </c>
      <c r="C13" s="31" t="s">
        <v>681</v>
      </c>
      <c r="D13" s="31" t="s">
        <v>682</v>
      </c>
      <c r="E13" s="32" t="s">
        <v>683</v>
      </c>
      <c r="F13" s="32" t="s">
        <v>684</v>
      </c>
      <c r="G13" s="31" t="s">
        <v>685</v>
      </c>
      <c r="H13" s="28" t="n">
        <v>136</v>
      </c>
      <c r="I13" s="28" t="n">
        <v>0.33</v>
      </c>
      <c r="J13" s="28" t="n">
        <v>2436</v>
      </c>
      <c r="K13" s="28" t="n">
        <v>11.9</v>
      </c>
      <c r="L13" s="28" t="n">
        <v>5.41</v>
      </c>
      <c r="M13" s="28"/>
      <c r="N13" s="28" t="n">
        <v>99.25</v>
      </c>
      <c r="O13" s="28" t="n">
        <v>2078</v>
      </c>
      <c r="P13" s="28" t="n">
        <v>70.6</v>
      </c>
      <c r="Q13" s="28" t="n">
        <v>22.8</v>
      </c>
      <c r="R13" s="28" t="n">
        <v>33.8</v>
      </c>
      <c r="S13" s="28" t="s">
        <v>686</v>
      </c>
      <c r="T13" s="28" t="s">
        <v>687</v>
      </c>
      <c r="U13" s="28" t="n">
        <v>22.8</v>
      </c>
      <c r="V13" s="6" t="n">
        <v>136</v>
      </c>
      <c r="W13" s="6" t="n">
        <v>98.6</v>
      </c>
      <c r="X13" s="6" t="n">
        <v>0.27</v>
      </c>
      <c r="Y13" s="6" t="n">
        <v>135</v>
      </c>
      <c r="Z13" s="6" t="n">
        <v>136</v>
      </c>
    </row>
    <row r="14" customFormat="false" ht="96" hidden="false" customHeight="true" outlineLevel="0" collapsed="false">
      <c r="A14" s="27" t="s">
        <v>538</v>
      </c>
      <c r="B14" s="28" t="s">
        <v>540</v>
      </c>
      <c r="C14" s="31" t="s">
        <v>688</v>
      </c>
      <c r="D14" s="31" t="s">
        <v>689</v>
      </c>
      <c r="E14" s="31" t="s">
        <v>690</v>
      </c>
      <c r="F14" s="31" t="s">
        <v>691</v>
      </c>
      <c r="G14" s="31" t="s">
        <v>692</v>
      </c>
      <c r="H14" s="28" t="n">
        <v>138</v>
      </c>
      <c r="I14" s="28" t="n">
        <v>0.67</v>
      </c>
      <c r="J14" s="28" t="n">
        <v>4823</v>
      </c>
      <c r="K14" s="28" t="n">
        <v>36.9</v>
      </c>
      <c r="L14" s="28" t="n">
        <v>4.83</v>
      </c>
      <c r="M14" s="28" t="n">
        <v>16.8</v>
      </c>
      <c r="N14" s="28" t="n">
        <v>96.4</v>
      </c>
      <c r="O14" s="28" t="n">
        <v>2306</v>
      </c>
      <c r="P14" s="28" t="n">
        <v>78.3</v>
      </c>
      <c r="Q14" s="28" t="n">
        <v>18.1</v>
      </c>
      <c r="R14" s="28" t="n">
        <v>3.6</v>
      </c>
      <c r="S14" s="28" t="s">
        <v>693</v>
      </c>
      <c r="T14" s="28" t="s">
        <v>694</v>
      </c>
      <c r="U14" s="28" t="n">
        <v>81.2</v>
      </c>
      <c r="V14" s="6" t="n">
        <v>138</v>
      </c>
      <c r="W14" s="6" t="n">
        <v>92</v>
      </c>
      <c r="X14" s="6" t="n">
        <v>0.56</v>
      </c>
      <c r="Y14" s="6" t="n">
        <v>136</v>
      </c>
      <c r="Z14" s="6" t="n">
        <v>138</v>
      </c>
    </row>
    <row r="15" customFormat="false" ht="96" hidden="false" customHeight="true" outlineLevel="0" collapsed="false">
      <c r="A15" s="27" t="s">
        <v>544</v>
      </c>
      <c r="B15" s="28" t="s">
        <v>546</v>
      </c>
      <c r="C15" s="31" t="s">
        <v>695</v>
      </c>
      <c r="D15" s="31" t="s">
        <v>696</v>
      </c>
      <c r="E15" s="32" t="s">
        <v>697</v>
      </c>
      <c r="F15" s="31" t="s">
        <v>698</v>
      </c>
      <c r="G15" s="31" t="s">
        <v>699</v>
      </c>
      <c r="H15" s="28" t="n">
        <v>20</v>
      </c>
      <c r="I15" s="28" t="n">
        <v>0.54</v>
      </c>
      <c r="J15" s="28" t="n">
        <v>26821</v>
      </c>
      <c r="K15" s="28" t="n">
        <v>57.3</v>
      </c>
      <c r="L15" s="28" t="n">
        <v>5.09</v>
      </c>
      <c r="M15" s="28" t="n">
        <v>27.4</v>
      </c>
      <c r="N15" s="28" t="n">
        <v>100</v>
      </c>
      <c r="O15" s="28" t="n">
        <v>20952</v>
      </c>
      <c r="P15" s="28" t="n">
        <v>75</v>
      </c>
      <c r="Q15" s="28" t="n">
        <v>45</v>
      </c>
      <c r="R15" s="28" t="n">
        <v>50</v>
      </c>
      <c r="S15" s="28" t="s">
        <v>700</v>
      </c>
      <c r="T15" s="28" t="s">
        <v>701</v>
      </c>
      <c r="U15" s="28" t="n">
        <v>95</v>
      </c>
      <c r="V15" s="6" t="n">
        <v>20</v>
      </c>
      <c r="W15" s="6" t="n">
        <v>100</v>
      </c>
      <c r="X15" s="6" t="n">
        <v>0.46</v>
      </c>
      <c r="Y15" s="6" t="n">
        <v>18</v>
      </c>
      <c r="Z15" s="6" t="n">
        <v>20</v>
      </c>
    </row>
    <row r="16" customFormat="false" ht="96" hidden="false" customHeight="true" outlineLevel="0" collapsed="false">
      <c r="A16" s="27" t="s">
        <v>551</v>
      </c>
      <c r="B16" s="28" t="s">
        <v>553</v>
      </c>
      <c r="C16" s="31" t="s">
        <v>702</v>
      </c>
      <c r="D16" s="31" t="s">
        <v>703</v>
      </c>
      <c r="E16" s="32" t="s">
        <v>704</v>
      </c>
      <c r="F16" s="31" t="s">
        <v>705</v>
      </c>
      <c r="G16" s="31" t="s">
        <v>706</v>
      </c>
      <c r="H16" s="28" t="n">
        <v>16</v>
      </c>
      <c r="I16" s="28" t="n">
        <v>0.1</v>
      </c>
      <c r="J16" s="28" t="n">
        <v>6041</v>
      </c>
      <c r="K16" s="28" t="n">
        <v>51.1</v>
      </c>
      <c r="L16" s="28"/>
      <c r="M16" s="28" t="n">
        <v>8.85</v>
      </c>
      <c r="N16" s="28" t="n">
        <v>100</v>
      </c>
      <c r="O16" s="28" t="n">
        <v>5386</v>
      </c>
      <c r="P16" s="28" t="n">
        <v>56.2</v>
      </c>
      <c r="Q16" s="28" t="n">
        <v>37.5</v>
      </c>
      <c r="R16" s="28" t="n">
        <v>56.2</v>
      </c>
      <c r="S16" s="28" t="s">
        <v>707</v>
      </c>
      <c r="T16" s="28" t="s">
        <v>708</v>
      </c>
      <c r="U16" s="28" t="n">
        <v>25</v>
      </c>
      <c r="V16" s="6" t="n">
        <v>16</v>
      </c>
      <c r="W16" s="6" t="n">
        <v>100</v>
      </c>
      <c r="X16" s="6" t="n">
        <v>0.09</v>
      </c>
      <c r="Y16" s="6" t="n">
        <v>0</v>
      </c>
      <c r="Z16" s="6" t="n">
        <v>16</v>
      </c>
    </row>
    <row r="17" customFormat="false" ht="96" hidden="false" customHeight="true" outlineLevel="0" collapsed="false">
      <c r="A17" s="27" t="s">
        <v>559</v>
      </c>
      <c r="B17" s="28" t="s">
        <v>561</v>
      </c>
      <c r="C17" s="31" t="s">
        <v>709</v>
      </c>
      <c r="D17" s="31" t="s">
        <v>710</v>
      </c>
      <c r="E17" s="32" t="s">
        <v>711</v>
      </c>
      <c r="F17" s="31" t="s">
        <v>712</v>
      </c>
      <c r="G17" s="31" t="s">
        <v>713</v>
      </c>
      <c r="H17" s="28" t="n">
        <v>343</v>
      </c>
      <c r="I17" s="28" t="n">
        <v>1.34</v>
      </c>
      <c r="J17" s="28" t="n">
        <v>3913</v>
      </c>
      <c r="K17" s="28" t="n">
        <v>9</v>
      </c>
      <c r="L17" s="28" t="n">
        <v>5.33</v>
      </c>
      <c r="M17" s="28"/>
      <c r="N17" s="28" t="n">
        <v>100</v>
      </c>
      <c r="O17" s="28" t="n">
        <v>3534</v>
      </c>
      <c r="P17" s="28" t="n">
        <v>67.9</v>
      </c>
      <c r="Q17" s="28" t="n">
        <v>0</v>
      </c>
      <c r="R17" s="28" t="n">
        <v>25.1</v>
      </c>
      <c r="S17" s="28" t="s">
        <v>714</v>
      </c>
      <c r="T17" s="28" t="s">
        <v>715</v>
      </c>
      <c r="U17" s="28" t="n">
        <v>56.6</v>
      </c>
      <c r="V17" s="6" t="n">
        <v>343</v>
      </c>
      <c r="W17" s="6" t="n">
        <v>99.4</v>
      </c>
      <c r="X17" s="6" t="n">
        <v>1.22</v>
      </c>
      <c r="Y17" s="6" t="n">
        <v>243</v>
      </c>
      <c r="Z17" s="6" t="n">
        <v>343</v>
      </c>
    </row>
    <row r="18" customFormat="false" ht="15" hidden="false" customHeight="true" outlineLevel="0" collapsed="false">
      <c r="A18" s="27" t="s">
        <v>566</v>
      </c>
      <c r="B18" s="28" t="s">
        <v>716</v>
      </c>
      <c r="C18" s="28" t="s">
        <v>717</v>
      </c>
      <c r="D18" s="27" t="s">
        <v>718</v>
      </c>
      <c r="E18" s="27" t="s">
        <v>719</v>
      </c>
      <c r="F18" s="28" t="s">
        <v>720</v>
      </c>
      <c r="G18" s="28" t="s">
        <v>721</v>
      </c>
      <c r="H18" s="27" t="n">
        <v>20</v>
      </c>
      <c r="I18" s="27" t="n">
        <v>0.06</v>
      </c>
      <c r="J18" s="27" t="n">
        <v>3231</v>
      </c>
      <c r="K18" s="27" t="n">
        <v>46.7</v>
      </c>
      <c r="M18" s="27" t="n">
        <v>26.4</v>
      </c>
      <c r="P18" s="27" t="n">
        <v>65</v>
      </c>
      <c r="Q18" s="27" t="n">
        <v>25</v>
      </c>
      <c r="R18" s="27" t="n">
        <v>55</v>
      </c>
      <c r="S18" s="28" t="s">
        <v>722</v>
      </c>
      <c r="T18" s="28" t="s">
        <v>723</v>
      </c>
      <c r="U18" s="27" t="n">
        <v>60</v>
      </c>
      <c r="V18" s="27" t="n">
        <v>20</v>
      </c>
      <c r="W18" s="27" t="n">
        <v>100</v>
      </c>
      <c r="X18" s="27" t="n">
        <v>0.05</v>
      </c>
      <c r="Y18" s="27" t="n">
        <v>0</v>
      </c>
      <c r="Z18" s="27" t="n">
        <v>0</v>
      </c>
    </row>
    <row r="19" customFormat="false" ht="15" hidden="false" customHeight="true" outlineLevel="0" collapsed="false">
      <c r="A19" s="27" t="s">
        <v>575</v>
      </c>
      <c r="B19" s="27" t="s">
        <v>577</v>
      </c>
      <c r="C19" s="28" t="s">
        <v>724</v>
      </c>
      <c r="D19" s="28" t="s">
        <v>725</v>
      </c>
      <c r="E19" s="27" t="s">
        <v>726</v>
      </c>
      <c r="F19" s="28" t="s">
        <v>727</v>
      </c>
      <c r="G19" s="28" t="s">
        <v>728</v>
      </c>
      <c r="H19" s="27" t="n">
        <v>34</v>
      </c>
      <c r="I19" s="27" t="n">
        <v>0.17</v>
      </c>
      <c r="J19" s="27" t="n">
        <v>5081</v>
      </c>
      <c r="K19" s="27" t="n">
        <v>32</v>
      </c>
      <c r="M19" s="27" t="n">
        <v>34.5</v>
      </c>
      <c r="N19" s="27" t="n">
        <v>100</v>
      </c>
      <c r="O19" s="27" t="n">
        <v>4200</v>
      </c>
      <c r="P19" s="27" t="n">
        <v>61.8</v>
      </c>
      <c r="Q19" s="27" t="n">
        <v>17.6</v>
      </c>
      <c r="R19" s="27" t="n">
        <v>79.4</v>
      </c>
      <c r="S19" s="28" t="s">
        <v>729</v>
      </c>
      <c r="T19" s="28" t="s">
        <v>730</v>
      </c>
      <c r="U19" s="27" t="n">
        <v>73.5</v>
      </c>
      <c r="V19" s="27" t="n">
        <v>34</v>
      </c>
      <c r="W19" s="27" t="n">
        <v>100</v>
      </c>
      <c r="X19" s="27" t="n">
        <v>0.15</v>
      </c>
      <c r="Z19" s="27" t="n">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3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28"/>
    <col collapsed="false" customWidth="true" hidden="false" outlineLevel="0" max="5" min="4" style="1" width="10"/>
    <col collapsed="false" customWidth="true" hidden="false" outlineLevel="0" max="6" min="6" style="1" width="12"/>
    <col collapsed="false" customWidth="true" hidden="false" outlineLevel="0" max="7" min="7" style="1" width="26"/>
    <col collapsed="false" customWidth="true" hidden="false" outlineLevel="0" max="8" min="8" style="1" width="14"/>
    <col collapsed="false" customWidth="true" hidden="false" outlineLevel="0" max="9" min="9" style="1" width="12"/>
    <col collapsed="false" customWidth="true" hidden="false" outlineLevel="0" max="10" min="10" style="1" width="9"/>
    <col collapsed="false" customWidth="true" hidden="false" outlineLevel="0" max="12" min="11" style="1" width="11"/>
    <col collapsed="false" customWidth="true" hidden="false" outlineLevel="0" max="13" min="13" style="1" width="12"/>
    <col collapsed="false" customWidth="true" hidden="false" outlineLevel="0" max="15" min="14" style="1" width="8"/>
    <col collapsed="false" customWidth="true" hidden="false" outlineLevel="0" max="16" min="16" style="1" width="11"/>
    <col collapsed="false" customWidth="true" hidden="false" outlineLevel="0" max="17" min="17" style="1" width="9"/>
    <col collapsed="false" customWidth="true" hidden="false" outlineLevel="0" max="18" min="18" style="1" width="11"/>
    <col collapsed="false" customWidth="true" hidden="false" outlineLevel="0" max="19" min="19" style="1" width="13"/>
    <col collapsed="false" customWidth="true" hidden="false" outlineLevel="0" max="21" min="20" style="1" width="14"/>
    <col collapsed="false" customWidth="true" hidden="false" outlineLevel="0" max="22" min="22" style="1" width="12"/>
    <col collapsed="false" customWidth="true" hidden="false" outlineLevel="0" max="23" min="23" style="1" width="9"/>
    <col collapsed="false" customWidth="true" hidden="false" outlineLevel="0" max="24" min="24" style="1" width="8"/>
    <col collapsed="false" customWidth="true" hidden="false" outlineLevel="0" max="25" min="25" style="1" width="7"/>
    <col collapsed="false" customWidth="true" hidden="false" outlineLevel="0" max="26" min="26" style="1" width="26"/>
    <col collapsed="false" customWidth="true" hidden="false" outlineLevel="0" max="27" min="27" style="1" width="11"/>
    <col collapsed="false" customWidth="true" hidden="false" outlineLevel="0" max="28" min="28" style="1" width="24"/>
    <col collapsed="false" customWidth="true" hidden="false" outlineLevel="0" max="32" min="32" style="1" width="22"/>
    <col collapsed="false" customWidth="true" hidden="false" outlineLevel="0" max="33" min="33" style="1" width="26"/>
  </cols>
  <sheetData>
    <row r="1" customFormat="false" ht="43.5" hidden="false" customHeight="true" outlineLevel="0" collapsed="false">
      <c r="A1" s="20" t="s">
        <v>731</v>
      </c>
      <c r="B1" s="20" t="s">
        <v>435</v>
      </c>
      <c r="C1" s="20" t="s">
        <v>732</v>
      </c>
      <c r="D1" s="20" t="s">
        <v>733</v>
      </c>
      <c r="E1" s="20" t="s">
        <v>734</v>
      </c>
      <c r="F1" s="20" t="s">
        <v>735</v>
      </c>
      <c r="G1" s="20" t="s">
        <v>736</v>
      </c>
      <c r="H1" s="20" t="s">
        <v>737</v>
      </c>
      <c r="I1" s="20" t="s">
        <v>738</v>
      </c>
      <c r="J1" s="20" t="s">
        <v>739</v>
      </c>
      <c r="K1" s="20" t="s">
        <v>740</v>
      </c>
      <c r="L1" s="20" t="s">
        <v>741</v>
      </c>
      <c r="M1" s="20" t="s">
        <v>742</v>
      </c>
      <c r="N1" s="20" t="s">
        <v>743</v>
      </c>
      <c r="O1" s="20" t="s">
        <v>744</v>
      </c>
      <c r="P1" s="20" t="s">
        <v>745</v>
      </c>
      <c r="Q1" s="20" t="s">
        <v>746</v>
      </c>
      <c r="R1" s="20" t="s">
        <v>747</v>
      </c>
      <c r="S1" s="20" t="s">
        <v>748</v>
      </c>
      <c r="T1" s="20" t="s">
        <v>749</v>
      </c>
      <c r="U1" s="20" t="s">
        <v>750</v>
      </c>
      <c r="V1" s="20" t="s">
        <v>751</v>
      </c>
      <c r="W1" s="20" t="s">
        <v>752</v>
      </c>
      <c r="X1" s="20" t="s">
        <v>753</v>
      </c>
      <c r="Y1" s="33" t="s">
        <v>754</v>
      </c>
      <c r="Z1" s="20" t="s">
        <v>755</v>
      </c>
      <c r="AA1" s="20" t="s">
        <v>446</v>
      </c>
      <c r="AB1" s="20" t="s">
        <v>447</v>
      </c>
      <c r="AC1" s="34" t="s">
        <v>756</v>
      </c>
      <c r="AD1" s="35" t="s">
        <v>757</v>
      </c>
      <c r="AE1" s="35" t="s">
        <v>758</v>
      </c>
    </row>
    <row r="2" customFormat="false" ht="15" hidden="false" customHeight="true" outlineLevel="0" collapsed="false">
      <c r="A2" s="6" t="s">
        <v>759</v>
      </c>
      <c r="B2" s="6" t="s">
        <v>448</v>
      </c>
      <c r="C2" s="9" t="s">
        <v>760</v>
      </c>
      <c r="D2" s="9" t="s">
        <v>761</v>
      </c>
      <c r="E2" s="36" t="s">
        <v>762</v>
      </c>
      <c r="F2" s="36" t="s">
        <v>763</v>
      </c>
      <c r="H2" s="6" t="s">
        <v>764</v>
      </c>
      <c r="I2" s="6" t="s">
        <v>765</v>
      </c>
      <c r="J2" s="37"/>
      <c r="K2" s="38"/>
      <c r="L2" s="38" t="n">
        <v>51094.82</v>
      </c>
      <c r="M2" s="39" t="n">
        <v>1239418</v>
      </c>
      <c r="P2" s="40" t="n">
        <v>40148</v>
      </c>
      <c r="Q2" s="41" t="n">
        <f aca="false">IF(OR($A199="",P199=""),"",ROUND(YEARFRAC(P199,README!$C$5),1))</f>
        <v>24.9</v>
      </c>
      <c r="R2" s="40"/>
      <c r="S2" s="42" t="n">
        <v>1519039.034</v>
      </c>
      <c r="T2" s="42" t="n">
        <v>1411111.019</v>
      </c>
      <c r="U2" s="42" t="n">
        <v>1778190</v>
      </c>
      <c r="V2" s="43" t="n">
        <f aca="false">IF($A199="","",IF(OR(T199="",U199=""),"",U199-T199))</f>
        <v>1869</v>
      </c>
      <c r="W2" s="44" t="n">
        <v>0.983</v>
      </c>
      <c r="X2" s="6" t="n">
        <v>1584</v>
      </c>
      <c r="Y2" s="45" t="n">
        <v>2.9</v>
      </c>
      <c r="Z2" s="6" t="s">
        <v>766</v>
      </c>
      <c r="AA2" s="9" t="s">
        <v>767</v>
      </c>
      <c r="AB2" s="6" t="s">
        <v>768</v>
      </c>
      <c r="AC2" s="27" t="n">
        <f aca="false">COUNTIF(環境認証!$A$2:$A$849,A199)</f>
        <v>1</v>
      </c>
      <c r="AD2" s="1" t="n">
        <v>42.4</v>
      </c>
      <c r="AE2" s="1" t="n">
        <v>29.7</v>
      </c>
    </row>
    <row r="3" customFormat="false" ht="15" hidden="false" customHeight="true" outlineLevel="0" collapsed="false">
      <c r="A3" s="6" t="s">
        <v>769</v>
      </c>
      <c r="B3" s="6" t="s">
        <v>448</v>
      </c>
      <c r="C3" s="9" t="s">
        <v>770</v>
      </c>
      <c r="D3" s="9" t="s">
        <v>761</v>
      </c>
      <c r="E3" s="9" t="s">
        <v>762</v>
      </c>
      <c r="F3" s="9" t="s">
        <v>771</v>
      </c>
      <c r="H3" s="9" t="s">
        <v>772</v>
      </c>
      <c r="I3" s="36" t="s">
        <v>773</v>
      </c>
      <c r="J3" s="37" t="n">
        <v>0.8</v>
      </c>
      <c r="K3" s="38"/>
      <c r="L3" s="38" t="n">
        <v>20958.79</v>
      </c>
      <c r="M3" s="39" t="n">
        <v>102718</v>
      </c>
      <c r="P3" s="40" t="n">
        <v>37742</v>
      </c>
      <c r="Q3" s="41" t="str">
        <f aca="false">IF(OR($A129="",P129=""),"",ROUND(YEARFRAC(P129,README!$C$5),1))</f>
        <v/>
      </c>
      <c r="R3" s="40"/>
      <c r="S3" s="42" t="n">
        <v>170000</v>
      </c>
      <c r="T3" s="42" t="n">
        <v>175537.937</v>
      </c>
      <c r="U3" s="42" t="n">
        <v>184000</v>
      </c>
      <c r="V3" s="42" t="n">
        <v>8462</v>
      </c>
      <c r="W3" s="44" t="n">
        <v>0.984</v>
      </c>
      <c r="X3" s="6" t="n">
        <v>100</v>
      </c>
      <c r="Y3" s="45" t="n">
        <v>2.8</v>
      </c>
      <c r="Z3" s="6" t="s">
        <v>766</v>
      </c>
      <c r="AA3" s="9" t="s">
        <v>774</v>
      </c>
      <c r="AB3" s="9" t="s">
        <v>775</v>
      </c>
      <c r="AC3" s="27" t="n">
        <f aca="false">COUNTIF(環境認証!$A$2:$A$849,A129)</f>
        <v>1</v>
      </c>
      <c r="AD3" s="6" t="n">
        <v>4.8</v>
      </c>
      <c r="AE3" s="6" t="n">
        <v>8.2</v>
      </c>
    </row>
    <row r="4" customFormat="false" ht="15" hidden="false" customHeight="true" outlineLevel="0" collapsed="false">
      <c r="A4" s="6" t="s">
        <v>776</v>
      </c>
      <c r="B4" s="6" t="s">
        <v>448</v>
      </c>
      <c r="C4" s="9" t="s">
        <v>777</v>
      </c>
      <c r="D4" s="9" t="s">
        <v>761</v>
      </c>
      <c r="E4" s="9" t="s">
        <v>762</v>
      </c>
      <c r="F4" s="9" t="s">
        <v>763</v>
      </c>
      <c r="H4" s="9" t="s">
        <v>772</v>
      </c>
      <c r="I4" s="36" t="s">
        <v>778</v>
      </c>
      <c r="J4" s="37"/>
      <c r="K4" s="38"/>
      <c r="L4" s="38" t="n">
        <v>140667.09</v>
      </c>
      <c r="M4" s="39" t="n">
        <v>54185</v>
      </c>
      <c r="P4" s="40" t="n">
        <v>41122</v>
      </c>
      <c r="Q4" s="41" t="str">
        <f aca="false">IF(OR($A130="",P130=""),"",ROUND(YEARFRAC(P130,README!$C$5),1))</f>
        <v/>
      </c>
      <c r="R4" s="40"/>
      <c r="S4" s="42" t="n">
        <v>138909.102</v>
      </c>
      <c r="T4" s="42" t="n">
        <v>135523.998</v>
      </c>
      <c r="U4" s="42" t="n">
        <v>154000</v>
      </c>
      <c r="V4" s="42" t="n">
        <v>18476</v>
      </c>
      <c r="W4" s="44" t="n">
        <v>1</v>
      </c>
      <c r="X4" s="6" t="n">
        <v>34</v>
      </c>
      <c r="Y4" s="45" t="n">
        <v>0.3</v>
      </c>
      <c r="Z4" s="6" t="s">
        <v>766</v>
      </c>
      <c r="AA4" s="9" t="s">
        <v>774</v>
      </c>
      <c r="AB4" s="9" t="s">
        <v>779</v>
      </c>
      <c r="AC4" s="27" t="n">
        <f aca="false">COUNTIF(環境認証!$A$2:$A$849,A130)</f>
        <v>1</v>
      </c>
      <c r="AD4" s="6" t="n">
        <v>13.6</v>
      </c>
      <c r="AE4" s="6" t="n">
        <v>10.9</v>
      </c>
    </row>
    <row r="5" customFormat="false" ht="15" hidden="false" customHeight="true" outlineLevel="0" collapsed="false">
      <c r="A5" s="6" t="s">
        <v>780</v>
      </c>
      <c r="B5" s="6" t="s">
        <v>448</v>
      </c>
      <c r="C5" s="9" t="s">
        <v>781</v>
      </c>
      <c r="D5" s="9" t="s">
        <v>761</v>
      </c>
      <c r="E5" s="9" t="s">
        <v>762</v>
      </c>
      <c r="F5" s="9" t="s">
        <v>782</v>
      </c>
      <c r="H5" s="9" t="s">
        <v>772</v>
      </c>
      <c r="I5" s="36" t="s">
        <v>778</v>
      </c>
      <c r="J5" s="37"/>
      <c r="K5" s="38"/>
      <c r="L5" s="38" t="n">
        <v>15467.77</v>
      </c>
      <c r="M5" s="39" t="n">
        <v>34608</v>
      </c>
      <c r="P5" s="40" t="n">
        <v>40179</v>
      </c>
      <c r="Q5" s="41" t="str">
        <f aca="false">IF(OR($A131="",P131=""),"",ROUND(YEARFRAC(P131,README!$C$5),1))</f>
        <v/>
      </c>
      <c r="R5" s="40"/>
      <c r="S5" s="42" t="n">
        <v>62800</v>
      </c>
      <c r="T5" s="42" t="n">
        <v>62129.469</v>
      </c>
      <c r="U5" s="42" t="n">
        <v>63200</v>
      </c>
      <c r="V5" s="42" t="n">
        <v>1071</v>
      </c>
      <c r="W5" s="44" t="n">
        <v>0.965</v>
      </c>
      <c r="X5" s="6" t="n">
        <v>65</v>
      </c>
      <c r="Y5" s="45" t="n">
        <v>1.8</v>
      </c>
      <c r="Z5" s="6" t="s">
        <v>766</v>
      </c>
      <c r="AA5" s="9" t="s">
        <v>774</v>
      </c>
      <c r="AB5" s="9" t="s">
        <v>783</v>
      </c>
      <c r="AC5" s="27" t="n">
        <f aca="false">COUNTIF(環境認証!$A$2:$A$849,A131)</f>
        <v>2</v>
      </c>
      <c r="AD5" s="6" t="n">
        <v>1.7</v>
      </c>
      <c r="AE5" s="6" t="n">
        <v>0.6</v>
      </c>
    </row>
    <row r="6" customFormat="false" ht="15" hidden="false" customHeight="true" outlineLevel="0" collapsed="false">
      <c r="A6" s="6" t="s">
        <v>784</v>
      </c>
      <c r="B6" s="6" t="s">
        <v>448</v>
      </c>
      <c r="C6" s="9" t="s">
        <v>785</v>
      </c>
      <c r="D6" s="9" t="s">
        <v>761</v>
      </c>
      <c r="E6" s="9" t="s">
        <v>762</v>
      </c>
      <c r="F6" s="9" t="s">
        <v>771</v>
      </c>
      <c r="H6" s="9" t="s">
        <v>772</v>
      </c>
      <c r="I6" s="36" t="s">
        <v>786</v>
      </c>
      <c r="J6" s="37" t="n">
        <v>0.5</v>
      </c>
      <c r="K6" s="38"/>
      <c r="L6" s="38" t="n">
        <v>41741.18</v>
      </c>
      <c r="M6" s="39" t="n">
        <v>33770</v>
      </c>
      <c r="P6" s="40" t="n">
        <v>40391</v>
      </c>
      <c r="Q6" s="41" t="str">
        <f aca="false">IF(OR($A132="",P132=""),"",ROUND(YEARFRAC(P132,README!$C$5),1))</f>
        <v/>
      </c>
      <c r="R6" s="40"/>
      <c r="S6" s="42" t="n">
        <v>45392.204</v>
      </c>
      <c r="T6" s="42" t="n">
        <v>31915.468</v>
      </c>
      <c r="U6" s="42" t="n">
        <v>46100</v>
      </c>
      <c r="V6" s="42" t="n">
        <v>14185</v>
      </c>
      <c r="W6" s="44" t="n">
        <v>0.997</v>
      </c>
      <c r="X6" s="6" t="n">
        <v>52</v>
      </c>
      <c r="Y6" s="45" t="n">
        <v>7</v>
      </c>
      <c r="Z6" s="6" t="s">
        <v>766</v>
      </c>
      <c r="AA6" s="9" t="s">
        <v>774</v>
      </c>
      <c r="AB6" s="9" t="s">
        <v>787</v>
      </c>
      <c r="AC6" s="27" t="n">
        <f aca="false">COUNTIF(環境認証!$A$2:$A$849,A132)</f>
        <v>1</v>
      </c>
      <c r="AD6" s="6" t="n">
        <v>44.4</v>
      </c>
      <c r="AE6" s="6" t="n">
        <v>1.6</v>
      </c>
    </row>
    <row r="7" customFormat="false" ht="15" hidden="false" customHeight="true" outlineLevel="0" collapsed="false">
      <c r="A7" s="6" t="s">
        <v>788</v>
      </c>
      <c r="B7" s="6" t="s">
        <v>448</v>
      </c>
      <c r="C7" s="9" t="s">
        <v>789</v>
      </c>
      <c r="D7" s="9" t="s">
        <v>761</v>
      </c>
      <c r="E7" s="9" t="s">
        <v>762</v>
      </c>
      <c r="F7" s="9" t="s">
        <v>782</v>
      </c>
      <c r="G7" s="36" t="s">
        <v>790</v>
      </c>
      <c r="H7" s="9" t="s">
        <v>772</v>
      </c>
      <c r="I7" s="36" t="s">
        <v>791</v>
      </c>
      <c r="J7" s="37" t="n">
        <v>0.6</v>
      </c>
      <c r="K7" s="38" t="n">
        <v>2720.3</v>
      </c>
      <c r="L7" s="38" t="n">
        <v>19968.2</v>
      </c>
      <c r="M7" s="39" t="n">
        <v>38011</v>
      </c>
      <c r="P7" s="40" t="n">
        <v>40210</v>
      </c>
      <c r="Q7" s="41" t="str">
        <f aca="false">IF(OR($A133="",P133=""),"",ROUND(YEARFRAC(P133,README!$C$5),1))</f>
        <v/>
      </c>
      <c r="R7" s="40"/>
      <c r="S7" s="42" t="n">
        <v>42000</v>
      </c>
      <c r="T7" s="42" t="n">
        <v>41134.739</v>
      </c>
      <c r="U7" s="42" t="n">
        <v>47200</v>
      </c>
      <c r="V7" s="42" t="n">
        <v>6065</v>
      </c>
      <c r="W7" s="44" t="n">
        <v>1</v>
      </c>
      <c r="X7" s="6" t="n">
        <v>11</v>
      </c>
      <c r="Y7" s="45"/>
      <c r="Z7" s="6" t="s">
        <v>766</v>
      </c>
      <c r="AA7" s="9" t="s">
        <v>774</v>
      </c>
      <c r="AB7" s="9" t="s">
        <v>792</v>
      </c>
      <c r="AC7" s="27" t="n">
        <f aca="false">COUNTIF(環境認証!$A$2:$A$849,A133)</f>
        <v>1</v>
      </c>
      <c r="AD7" s="6" t="n">
        <v>14.7</v>
      </c>
      <c r="AE7" s="6" t="n">
        <v>12.4</v>
      </c>
    </row>
    <row r="8" customFormat="false" ht="15" hidden="false" customHeight="true" outlineLevel="0" collapsed="false">
      <c r="A8" s="6" t="s">
        <v>793</v>
      </c>
      <c r="B8" s="6" t="s">
        <v>448</v>
      </c>
      <c r="C8" s="9" t="s">
        <v>794</v>
      </c>
      <c r="D8" s="9" t="s">
        <v>761</v>
      </c>
      <c r="E8" s="9" t="s">
        <v>762</v>
      </c>
      <c r="F8" s="9" t="s">
        <v>782</v>
      </c>
      <c r="H8" s="9" t="s">
        <v>772</v>
      </c>
      <c r="I8" s="36" t="s">
        <v>795</v>
      </c>
      <c r="J8" s="37" t="n">
        <v>0.5</v>
      </c>
      <c r="K8" s="38"/>
      <c r="L8" s="38" t="n">
        <v>78897.42</v>
      </c>
      <c r="M8" s="39" t="n">
        <v>22778</v>
      </c>
      <c r="P8" s="40" t="n">
        <v>37316</v>
      </c>
      <c r="Q8" s="41" t="str">
        <f aca="false">IF(OR($A134="",P134=""),"",ROUND(YEARFRAC(P134,README!$C$5),1))</f>
        <v/>
      </c>
      <c r="R8" s="40"/>
      <c r="S8" s="42" t="n">
        <v>36300</v>
      </c>
      <c r="T8" s="42" t="n">
        <v>37303.912</v>
      </c>
      <c r="U8" s="42" t="n">
        <v>47700</v>
      </c>
      <c r="V8" s="42" t="n">
        <v>10396</v>
      </c>
      <c r="W8" s="44" t="n">
        <v>0.997</v>
      </c>
      <c r="X8" s="6" t="n">
        <v>11</v>
      </c>
      <c r="Y8" s="45" t="n">
        <v>2.8</v>
      </c>
      <c r="Z8" s="6" t="s">
        <v>766</v>
      </c>
      <c r="AA8" s="9" t="s">
        <v>774</v>
      </c>
      <c r="AB8" s="9" t="s">
        <v>796</v>
      </c>
      <c r="AC8" s="27" t="n">
        <f aca="false">COUNTIF(環境認証!$A$2:$A$849,A134)</f>
        <v>1</v>
      </c>
      <c r="AD8" s="6" t="n">
        <v>27.9</v>
      </c>
      <c r="AE8" s="6" t="n">
        <v>31.4</v>
      </c>
    </row>
    <row r="9" customFormat="false" ht="15" hidden="false" customHeight="true" outlineLevel="0" collapsed="false">
      <c r="A9" s="6" t="s">
        <v>797</v>
      </c>
      <c r="B9" s="6" t="s">
        <v>448</v>
      </c>
      <c r="C9" s="9" t="s">
        <v>798</v>
      </c>
      <c r="D9" s="9" t="s">
        <v>761</v>
      </c>
      <c r="E9" s="9" t="s">
        <v>762</v>
      </c>
      <c r="F9" s="9" t="s">
        <v>782</v>
      </c>
      <c r="G9" s="36" t="s">
        <v>799</v>
      </c>
      <c r="H9" s="9" t="s">
        <v>772</v>
      </c>
      <c r="I9" s="36" t="s">
        <v>800</v>
      </c>
      <c r="J9" s="37" t="n">
        <v>1</v>
      </c>
      <c r="K9" s="38" t="n">
        <v>2487.92</v>
      </c>
      <c r="L9" s="38" t="n">
        <v>14201.97</v>
      </c>
      <c r="M9" s="39" t="n">
        <v>33503</v>
      </c>
      <c r="N9" s="1" t="n">
        <v>11</v>
      </c>
      <c r="O9" s="1" t="n">
        <v>0</v>
      </c>
      <c r="P9" s="40" t="n">
        <v>44927</v>
      </c>
      <c r="Q9" s="41" t="str">
        <f aca="false">IF(OR($A135="",P135=""),"",ROUND(YEARFRAC(P135,README!$C$5),1))</f>
        <v/>
      </c>
      <c r="R9" s="40" t="n">
        <v>46111</v>
      </c>
      <c r="S9" s="42" t="n">
        <v>31000</v>
      </c>
      <c r="T9" s="42" t="n">
        <v>25321.171</v>
      </c>
      <c r="U9" s="42" t="n">
        <v>60800</v>
      </c>
      <c r="V9" s="42" t="n">
        <v>35479</v>
      </c>
      <c r="W9" s="44" t="n">
        <v>0.981</v>
      </c>
      <c r="X9" s="6" t="n">
        <v>8</v>
      </c>
      <c r="Y9" s="45" t="n">
        <v>9.2</v>
      </c>
      <c r="Z9" s="6" t="s">
        <v>766</v>
      </c>
      <c r="AA9" s="9" t="s">
        <v>774</v>
      </c>
      <c r="AB9" s="9" t="s">
        <v>801</v>
      </c>
      <c r="AC9" s="27" t="n">
        <f aca="false">COUNTIF(環境認証!$A$2:$A$849,A135)</f>
        <v>1</v>
      </c>
      <c r="AD9" s="6" t="n">
        <v>140.1</v>
      </c>
      <c r="AE9" s="6" t="n">
        <v>96.1</v>
      </c>
    </row>
    <row r="10" customFormat="false" ht="15" hidden="false" customHeight="true" outlineLevel="0" collapsed="false">
      <c r="A10" s="6" t="s">
        <v>802</v>
      </c>
      <c r="B10" s="6" t="s">
        <v>448</v>
      </c>
      <c r="C10" s="9" t="s">
        <v>803</v>
      </c>
      <c r="D10" s="9" t="s">
        <v>761</v>
      </c>
      <c r="E10" s="9" t="s">
        <v>762</v>
      </c>
      <c r="F10" s="9" t="s">
        <v>782</v>
      </c>
      <c r="H10" s="9" t="s">
        <v>772</v>
      </c>
      <c r="I10" s="36" t="s">
        <v>800</v>
      </c>
      <c r="J10" s="37" t="n">
        <v>1</v>
      </c>
      <c r="K10" s="38"/>
      <c r="L10" s="38" t="n">
        <v>23161.27</v>
      </c>
      <c r="M10" s="39" t="n">
        <v>20538</v>
      </c>
      <c r="P10" s="40" t="n">
        <v>34759</v>
      </c>
      <c r="Q10" s="41" t="str">
        <f aca="false">IF(OR($A136="",P136=""),"",ROUND(YEARFRAC(P136,README!$C$5),1))</f>
        <v/>
      </c>
      <c r="R10" s="40"/>
      <c r="S10" s="42" t="n">
        <v>28800</v>
      </c>
      <c r="T10" s="42" t="n">
        <v>27591.934</v>
      </c>
      <c r="U10" s="42" t="n">
        <v>35800</v>
      </c>
      <c r="V10" s="42" t="n">
        <v>8208</v>
      </c>
      <c r="W10" s="44" t="n">
        <v>1</v>
      </c>
      <c r="X10" s="6" t="n">
        <v>22</v>
      </c>
      <c r="Y10" s="45" t="n">
        <v>9.9</v>
      </c>
      <c r="Z10" s="6" t="s">
        <v>766</v>
      </c>
      <c r="AA10" s="9" t="s">
        <v>774</v>
      </c>
      <c r="AB10" s="9" t="s">
        <v>804</v>
      </c>
      <c r="AC10" s="27" t="n">
        <f aca="false">COUNTIF(環境認証!$A$2:$A$849,A136)</f>
        <v>2</v>
      </c>
      <c r="AD10" s="6" t="n">
        <v>29.7</v>
      </c>
      <c r="AE10" s="6" t="n">
        <v>24.3</v>
      </c>
    </row>
    <row r="11" customFormat="false" ht="15" hidden="false" customHeight="true" outlineLevel="0" collapsed="false">
      <c r="A11" s="6" t="s">
        <v>805</v>
      </c>
      <c r="B11" s="6" t="s">
        <v>448</v>
      </c>
      <c r="C11" s="9" t="s">
        <v>806</v>
      </c>
      <c r="D11" s="9" t="s">
        <v>761</v>
      </c>
      <c r="E11" s="9" t="s">
        <v>762</v>
      </c>
      <c r="F11" s="9" t="s">
        <v>782</v>
      </c>
      <c r="H11" s="9" t="s">
        <v>772</v>
      </c>
      <c r="I11" s="36" t="s">
        <v>807</v>
      </c>
      <c r="J11" s="37" t="n">
        <v>0.2</v>
      </c>
      <c r="K11" s="38"/>
      <c r="L11" s="38" t="n">
        <v>35198.77</v>
      </c>
      <c r="M11" s="39" t="n">
        <v>12481</v>
      </c>
      <c r="P11" s="40" t="n">
        <v>39995</v>
      </c>
      <c r="Q11" s="41" t="str">
        <f aca="false">IF(OR($A137="",P137=""),"",ROUND(YEARFRAC(P137,README!$C$5),1))</f>
        <v/>
      </c>
      <c r="R11" s="40"/>
      <c r="S11" s="42" t="n">
        <v>28200</v>
      </c>
      <c r="T11" s="42" t="n">
        <v>26674.626</v>
      </c>
      <c r="U11" s="42" t="n">
        <v>29100</v>
      </c>
      <c r="V11" s="42" t="n">
        <v>2425</v>
      </c>
      <c r="W11" s="44" t="n">
        <v>1</v>
      </c>
      <c r="X11" s="6" t="n">
        <v>13</v>
      </c>
      <c r="Y11" s="45" t="n">
        <v>1.9</v>
      </c>
      <c r="Z11" s="6" t="s">
        <v>766</v>
      </c>
      <c r="AA11" s="9" t="s">
        <v>774</v>
      </c>
      <c r="AB11" s="9" t="s">
        <v>808</v>
      </c>
      <c r="AC11" s="27" t="n">
        <f aca="false">COUNTIF(環境認証!$A$2:$A$849,A137)</f>
        <v>1</v>
      </c>
      <c r="AD11" s="6" t="n">
        <v>9.1</v>
      </c>
      <c r="AE11" s="6" t="n">
        <v>3.2</v>
      </c>
    </row>
    <row r="12" customFormat="false" ht="15" hidden="false" customHeight="true" outlineLevel="0" collapsed="false">
      <c r="A12" s="6" t="s">
        <v>809</v>
      </c>
      <c r="B12" s="6" t="s">
        <v>448</v>
      </c>
      <c r="C12" s="9" t="s">
        <v>810</v>
      </c>
      <c r="D12" s="9" t="s">
        <v>761</v>
      </c>
      <c r="E12" s="9" t="s">
        <v>762</v>
      </c>
      <c r="F12" s="9" t="s">
        <v>782</v>
      </c>
      <c r="G12" s="36" t="s">
        <v>811</v>
      </c>
      <c r="H12" s="9" t="s">
        <v>772</v>
      </c>
      <c r="I12" s="36" t="s">
        <v>800</v>
      </c>
      <c r="J12" s="37" t="n">
        <v>1</v>
      </c>
      <c r="K12" s="38" t="n">
        <v>2034.62</v>
      </c>
      <c r="L12" s="38" t="n">
        <v>9383.85</v>
      </c>
      <c r="M12" s="39" t="n">
        <v>16848</v>
      </c>
      <c r="N12" s="1" t="n">
        <v>12</v>
      </c>
      <c r="O12" s="1" t="n">
        <v>0</v>
      </c>
      <c r="P12" s="40" t="n">
        <v>33178</v>
      </c>
      <c r="Q12" s="41" t="str">
        <f aca="false">IF(OR($A138="",P138=""),"",ROUND(YEARFRAC(P138,README!$C$5),1))</f>
        <v/>
      </c>
      <c r="R12" s="40" t="n">
        <v>45996</v>
      </c>
      <c r="S12" s="42" t="n">
        <v>24543</v>
      </c>
      <c r="T12" s="42" t="n">
        <v>17026</v>
      </c>
      <c r="U12" s="42" t="n">
        <v>34300</v>
      </c>
      <c r="V12" s="42" t="n">
        <v>17274</v>
      </c>
      <c r="W12" s="44" t="n">
        <v>0.988</v>
      </c>
      <c r="X12" s="6" t="n">
        <v>26</v>
      </c>
      <c r="Y12" s="45" t="n">
        <v>7.2</v>
      </c>
      <c r="Z12" s="6" t="s">
        <v>766</v>
      </c>
      <c r="AA12" s="9" t="s">
        <v>774</v>
      </c>
      <c r="AB12" s="9" t="s">
        <v>812</v>
      </c>
      <c r="AC12" s="27" t="n">
        <f aca="false">COUNTIF(環境認証!$A$2:$A$849,A138)</f>
        <v>2</v>
      </c>
      <c r="AD12" s="6" t="n">
        <v>101.5</v>
      </c>
      <c r="AE12" s="6" t="n">
        <v>39.8</v>
      </c>
    </row>
    <row r="13" customFormat="false" ht="15" hidden="false" customHeight="true" outlineLevel="0" collapsed="false">
      <c r="A13" s="6" t="s">
        <v>813</v>
      </c>
      <c r="B13" s="6" t="s">
        <v>448</v>
      </c>
      <c r="C13" s="9" t="s">
        <v>814</v>
      </c>
      <c r="D13" s="9" t="s">
        <v>761</v>
      </c>
      <c r="E13" s="9" t="s">
        <v>762</v>
      </c>
      <c r="F13" s="9" t="s">
        <v>815</v>
      </c>
      <c r="H13" s="9" t="s">
        <v>772</v>
      </c>
      <c r="I13" s="36" t="s">
        <v>816</v>
      </c>
      <c r="J13" s="37" t="n">
        <v>0.05</v>
      </c>
      <c r="K13" s="38"/>
      <c r="L13" s="38" t="n">
        <v>75826.76</v>
      </c>
      <c r="M13" s="39" t="n">
        <v>14887</v>
      </c>
      <c r="P13" s="40" t="n">
        <v>42064</v>
      </c>
      <c r="Q13" s="41" t="str">
        <f aca="false">IF(OR($A139="",P139=""),"",ROUND(YEARFRAC(P139,README!$C$5),1))</f>
        <v/>
      </c>
      <c r="R13" s="40"/>
      <c r="S13" s="42" t="n">
        <v>20269</v>
      </c>
      <c r="T13" s="42" t="n">
        <v>19878.48</v>
      </c>
      <c r="U13" s="42" t="n">
        <v>37200</v>
      </c>
      <c r="V13" s="42" t="n">
        <v>17322</v>
      </c>
      <c r="W13" s="44" t="n">
        <v>0.999</v>
      </c>
      <c r="X13" s="6" t="n">
        <v>4</v>
      </c>
      <c r="Y13" s="45" t="n">
        <v>0.8</v>
      </c>
      <c r="Z13" s="6" t="s">
        <v>766</v>
      </c>
      <c r="AA13" s="9" t="s">
        <v>774</v>
      </c>
      <c r="AB13" s="9" t="s">
        <v>817</v>
      </c>
      <c r="AC13" s="27" t="n">
        <f aca="false">COUNTIF(環境認証!$A$2:$A$849,A139)</f>
        <v>1</v>
      </c>
      <c r="AD13" s="6" t="n">
        <v>87.1</v>
      </c>
      <c r="AE13" s="6" t="n">
        <v>83.5</v>
      </c>
    </row>
    <row r="14" customFormat="false" ht="15" hidden="false" customHeight="true" outlineLevel="0" collapsed="false">
      <c r="A14" s="6" t="s">
        <v>818</v>
      </c>
      <c r="B14" s="6" t="s">
        <v>448</v>
      </c>
      <c r="C14" s="9" t="s">
        <v>819</v>
      </c>
      <c r="D14" s="9" t="s">
        <v>761</v>
      </c>
      <c r="E14" s="9" t="s">
        <v>762</v>
      </c>
      <c r="F14" s="9" t="s">
        <v>820</v>
      </c>
      <c r="G14" s="36" t="s">
        <v>821</v>
      </c>
      <c r="H14" s="9" t="s">
        <v>772</v>
      </c>
      <c r="I14" s="36" t="s">
        <v>822</v>
      </c>
      <c r="J14" s="37" t="n">
        <v>0.28</v>
      </c>
      <c r="K14" s="38" t="n">
        <v>5999.33</v>
      </c>
      <c r="L14" s="38" t="n">
        <v>52982.94</v>
      </c>
      <c r="M14" s="39" t="n">
        <v>3440</v>
      </c>
      <c r="N14" s="1" t="n">
        <v>31</v>
      </c>
      <c r="O14" s="1" t="n">
        <v>2</v>
      </c>
      <c r="P14" s="40" t="n">
        <v>36678</v>
      </c>
      <c r="Q14" s="41" t="str">
        <f aca="false">IF(OR($A140="",P140=""),"",ROUND(YEARFRAC(P140,README!$C$5),1))</f>
        <v/>
      </c>
      <c r="R14" s="40" t="n">
        <v>45772</v>
      </c>
      <c r="S14" s="42" t="n">
        <v>17000</v>
      </c>
      <c r="T14" s="42" t="n">
        <v>17425.076</v>
      </c>
      <c r="U14" s="42" t="n">
        <v>19000</v>
      </c>
      <c r="V14" s="42" t="n">
        <v>1575</v>
      </c>
      <c r="W14" s="44" t="n">
        <v>1</v>
      </c>
      <c r="X14" s="6" t="n">
        <v>1</v>
      </c>
      <c r="Y14" s="45" t="n">
        <v>0.5</v>
      </c>
      <c r="Z14" s="6" t="s">
        <v>766</v>
      </c>
      <c r="AA14" s="9" t="s">
        <v>774</v>
      </c>
      <c r="AB14" s="9" t="s">
        <v>823</v>
      </c>
      <c r="AC14" s="27" t="n">
        <f aca="false">COUNTIF(環境認証!$A$2:$A$849,A140)</f>
        <v>2</v>
      </c>
      <c r="AD14" s="6" t="n">
        <v>9</v>
      </c>
      <c r="AE14" s="6" t="n">
        <v>11.8</v>
      </c>
    </row>
    <row r="15" customFormat="false" ht="15" hidden="false" customHeight="true" outlineLevel="0" collapsed="false">
      <c r="A15" s="6" t="s">
        <v>824</v>
      </c>
      <c r="B15" s="6" t="s">
        <v>448</v>
      </c>
      <c r="C15" s="9" t="s">
        <v>825</v>
      </c>
      <c r="D15" s="9" t="s">
        <v>761</v>
      </c>
      <c r="E15" s="9" t="s">
        <v>762</v>
      </c>
      <c r="F15" s="9" t="s">
        <v>771</v>
      </c>
      <c r="H15" s="9" t="s">
        <v>772</v>
      </c>
      <c r="I15" s="36" t="s">
        <v>826</v>
      </c>
      <c r="J15" s="37" t="n">
        <v>0.5</v>
      </c>
      <c r="K15" s="38"/>
      <c r="L15" s="38" t="n">
        <v>32997.6</v>
      </c>
      <c r="M15" s="39" t="n">
        <v>14617</v>
      </c>
      <c r="P15" s="40" t="n">
        <v>37073</v>
      </c>
      <c r="Q15" s="41" t="str">
        <f aca="false">IF(OR($A141="",P141=""),"",ROUND(YEARFRAC(P141,README!$C$5),1))</f>
        <v/>
      </c>
      <c r="R15" s="40"/>
      <c r="S15" s="42" t="n">
        <v>16285.4</v>
      </c>
      <c r="T15" s="42" t="n">
        <v>15775.462</v>
      </c>
      <c r="U15" s="42" t="n">
        <v>19600</v>
      </c>
      <c r="V15" s="42" t="n">
        <v>3825</v>
      </c>
      <c r="W15" s="44" t="n">
        <v>1</v>
      </c>
      <c r="X15" s="6" t="n">
        <v>44</v>
      </c>
      <c r="Y15" s="45" t="n">
        <v>0.5</v>
      </c>
      <c r="Z15" s="6" t="s">
        <v>766</v>
      </c>
      <c r="AA15" s="9" t="s">
        <v>774</v>
      </c>
      <c r="AB15" s="9" t="s">
        <v>804</v>
      </c>
      <c r="AC15" s="27" t="n">
        <f aca="false">COUNTIF(環境認証!$A$2:$A$849,A141)</f>
        <v>0</v>
      </c>
      <c r="AD15" s="6" t="n">
        <v>24.2</v>
      </c>
      <c r="AE15" s="6" t="n">
        <v>20.4</v>
      </c>
    </row>
    <row r="16" customFormat="false" ht="15" hidden="false" customHeight="true" outlineLevel="0" collapsed="false">
      <c r="A16" s="6" t="s">
        <v>827</v>
      </c>
      <c r="B16" s="6" t="s">
        <v>448</v>
      </c>
      <c r="C16" s="9" t="s">
        <v>828</v>
      </c>
      <c r="D16" s="9" t="s">
        <v>761</v>
      </c>
      <c r="E16" s="9" t="s">
        <v>762</v>
      </c>
      <c r="F16" s="9" t="s">
        <v>782</v>
      </c>
      <c r="G16" s="36" t="s">
        <v>829</v>
      </c>
      <c r="H16" s="9" t="s">
        <v>772</v>
      </c>
      <c r="I16" s="36" t="s">
        <v>830</v>
      </c>
      <c r="J16" s="37" t="n">
        <v>0.83</v>
      </c>
      <c r="K16" s="38" t="n">
        <v>2064.27</v>
      </c>
      <c r="L16" s="38" t="n">
        <v>15647.62</v>
      </c>
      <c r="M16" s="39" t="n">
        <v>10405</v>
      </c>
      <c r="N16" s="1" t="n">
        <v>14</v>
      </c>
      <c r="O16" s="1" t="n">
        <v>0</v>
      </c>
      <c r="P16" s="40" t="n">
        <v>45078</v>
      </c>
      <c r="Q16" s="41" t="str">
        <f aca="false">IF(OR($A142="",P142=""),"",ROUND(YEARFRAC(P142,README!$C$5),1))</f>
        <v/>
      </c>
      <c r="R16" s="40" t="n">
        <v>45968</v>
      </c>
      <c r="S16" s="42" t="n">
        <v>13536.2</v>
      </c>
      <c r="T16" s="42" t="n">
        <v>11710.476</v>
      </c>
      <c r="U16" s="42" t="n">
        <v>13400</v>
      </c>
      <c r="V16" s="42" t="n">
        <v>1690</v>
      </c>
      <c r="W16" s="44" t="n">
        <v>0.989</v>
      </c>
      <c r="X16" s="6" t="n">
        <v>22</v>
      </c>
      <c r="Y16" s="45" t="n">
        <v>0.2</v>
      </c>
      <c r="Z16" s="6" t="s">
        <v>766</v>
      </c>
      <c r="AA16" s="9" t="s">
        <v>774</v>
      </c>
      <c r="AB16" s="9" t="s">
        <v>831</v>
      </c>
      <c r="AC16" s="27" t="n">
        <f aca="false">COUNTIF(環境認証!$A$2:$A$849,A142)</f>
        <v>2</v>
      </c>
      <c r="AD16" s="6" t="n">
        <v>14.4</v>
      </c>
      <c r="AE16" s="6" t="n">
        <v>-1</v>
      </c>
    </row>
    <row r="17" customFormat="false" ht="15" hidden="false" customHeight="true" outlineLevel="0" collapsed="false">
      <c r="A17" s="6" t="s">
        <v>832</v>
      </c>
      <c r="B17" s="6" t="s">
        <v>448</v>
      </c>
      <c r="C17" s="9" t="s">
        <v>833</v>
      </c>
      <c r="D17" s="9" t="s">
        <v>761</v>
      </c>
      <c r="E17" s="9" t="s">
        <v>762</v>
      </c>
      <c r="F17" s="9" t="s">
        <v>820</v>
      </c>
      <c r="H17" s="9" t="s">
        <v>772</v>
      </c>
      <c r="I17" s="36" t="s">
        <v>800</v>
      </c>
      <c r="J17" s="37" t="n">
        <v>1</v>
      </c>
      <c r="K17" s="38"/>
      <c r="L17" s="38" t="n">
        <v>12823.15</v>
      </c>
      <c r="M17" s="39" t="n">
        <v>16261</v>
      </c>
      <c r="P17" s="40" t="n">
        <v>44348</v>
      </c>
      <c r="Q17" s="41" t="str">
        <f aca="false">IF(OR($A143="",P143=""),"",ROUND(YEARFRAC(P143,README!$C$5),1))</f>
        <v/>
      </c>
      <c r="R17" s="40"/>
      <c r="S17" s="42" t="n">
        <v>13350</v>
      </c>
      <c r="T17" s="42" t="n">
        <v>11167.859</v>
      </c>
      <c r="U17" s="42" t="n">
        <v>13500</v>
      </c>
      <c r="V17" s="42" t="n">
        <v>2332</v>
      </c>
      <c r="W17" s="44" t="n">
        <v>1</v>
      </c>
      <c r="X17" s="6" t="n">
        <v>7</v>
      </c>
      <c r="Y17" s="45" t="n">
        <v>0.3</v>
      </c>
      <c r="Z17" s="6" t="s">
        <v>766</v>
      </c>
      <c r="AA17" s="9" t="s">
        <v>774</v>
      </c>
      <c r="AB17" s="9" t="s">
        <v>804</v>
      </c>
      <c r="AC17" s="27" t="n">
        <f aca="false">COUNTIF(環境認証!$A$2:$A$849,A143)</f>
        <v>1</v>
      </c>
      <c r="AD17" s="6" t="n">
        <v>20.9</v>
      </c>
      <c r="AE17" s="6" t="n">
        <v>1.1</v>
      </c>
    </row>
    <row r="18" customFormat="false" ht="15" hidden="false" customHeight="true" outlineLevel="0" collapsed="false">
      <c r="A18" s="6" t="s">
        <v>834</v>
      </c>
      <c r="B18" s="6" t="s">
        <v>448</v>
      </c>
      <c r="C18" s="9" t="s">
        <v>835</v>
      </c>
      <c r="D18" s="9" t="s">
        <v>761</v>
      </c>
      <c r="E18" s="9" t="s">
        <v>762</v>
      </c>
      <c r="F18" s="9" t="s">
        <v>782</v>
      </c>
      <c r="G18" s="36" t="s">
        <v>836</v>
      </c>
      <c r="H18" s="9" t="s">
        <v>772</v>
      </c>
      <c r="I18" s="36" t="s">
        <v>837</v>
      </c>
      <c r="J18" s="37" t="n">
        <v>0</v>
      </c>
      <c r="K18" s="38" t="n">
        <v>18100.41</v>
      </c>
      <c r="L18" s="38" t="n">
        <v>49753.92</v>
      </c>
      <c r="M18" s="39" t="n">
        <v>5390</v>
      </c>
      <c r="P18" s="40"/>
      <c r="Q18" s="41" t="str">
        <f aca="false">IF(OR($A144="",P144=""),"",ROUND(YEARFRAC(P144,README!$C$5),1))</f>
        <v/>
      </c>
      <c r="R18" s="40"/>
      <c r="S18" s="42" t="n">
        <v>11900</v>
      </c>
      <c r="T18" s="42" t="n">
        <v>11061.277</v>
      </c>
      <c r="U18" s="42" t="n">
        <v>15100</v>
      </c>
      <c r="V18" s="42" t="n">
        <v>4039</v>
      </c>
      <c r="W18" s="44" t="n">
        <v>1</v>
      </c>
      <c r="X18" s="6" t="n">
        <v>10</v>
      </c>
      <c r="Y18" s="45"/>
      <c r="Z18" s="6" t="s">
        <v>766</v>
      </c>
      <c r="AA18" s="9" t="s">
        <v>774</v>
      </c>
      <c r="AB18" s="9" t="s">
        <v>804</v>
      </c>
      <c r="AC18" s="27" t="n">
        <f aca="false">COUNTIF(環境認証!$A$2:$A$849,A144)</f>
        <v>1</v>
      </c>
      <c r="AD18" s="6" t="n">
        <v>36.5</v>
      </c>
      <c r="AE18" s="6" t="n">
        <v>26.9</v>
      </c>
    </row>
    <row r="19" customFormat="false" ht="15" hidden="false" customHeight="true" outlineLevel="0" collapsed="false">
      <c r="A19" s="6" t="s">
        <v>838</v>
      </c>
      <c r="B19" s="6" t="s">
        <v>448</v>
      </c>
      <c r="C19" s="9" t="s">
        <v>839</v>
      </c>
      <c r="D19" s="9" t="s">
        <v>761</v>
      </c>
      <c r="E19" s="9" t="s">
        <v>762</v>
      </c>
      <c r="F19" s="9" t="s">
        <v>782</v>
      </c>
      <c r="G19" s="36" t="s">
        <v>840</v>
      </c>
      <c r="H19" s="9" t="s">
        <v>772</v>
      </c>
      <c r="I19" s="36" t="s">
        <v>800</v>
      </c>
      <c r="J19" s="37" t="n">
        <v>1</v>
      </c>
      <c r="K19" s="38" t="n">
        <v>1895.59</v>
      </c>
      <c r="L19" s="38" t="n">
        <v>11661.69</v>
      </c>
      <c r="M19" s="38" t="n">
        <v>7253.87</v>
      </c>
      <c r="N19" s="1" t="n">
        <v>12</v>
      </c>
      <c r="O19" s="1" t="n">
        <v>2</v>
      </c>
      <c r="P19" s="40" t="n">
        <v>33086</v>
      </c>
      <c r="Q19" s="41" t="str">
        <f aca="false">IF(OR($A145="",P145=""),"",ROUND(YEARFRAC(P145,README!$C$5),1))</f>
        <v/>
      </c>
      <c r="R19" s="40" t="n">
        <v>46135</v>
      </c>
      <c r="S19" s="42" t="n">
        <v>11416</v>
      </c>
      <c r="T19" s="42" t="n">
        <v>11869.021</v>
      </c>
      <c r="U19" s="42" t="n">
        <v>18600</v>
      </c>
      <c r="V19" s="42" t="n">
        <v>6731</v>
      </c>
      <c r="W19" s="37"/>
      <c r="Y19" s="45" t="n">
        <v>10.8</v>
      </c>
      <c r="Z19" s="6" t="s">
        <v>766</v>
      </c>
      <c r="AA19" s="9" t="s">
        <v>774</v>
      </c>
      <c r="AB19" s="9" t="s">
        <v>841</v>
      </c>
      <c r="AC19" s="27" t="n">
        <f aca="false">COUNTIF(環境認証!$A$2:$A$849,A145)</f>
        <v>1</v>
      </c>
      <c r="AD19" s="6" t="n">
        <v>56.7</v>
      </c>
      <c r="AE19" s="6" t="n">
        <v>62.9</v>
      </c>
    </row>
    <row r="20" customFormat="false" ht="15" hidden="false" customHeight="true" outlineLevel="0" collapsed="false">
      <c r="A20" s="6" t="s">
        <v>842</v>
      </c>
      <c r="B20" s="6" t="s">
        <v>448</v>
      </c>
      <c r="C20" s="9" t="s">
        <v>843</v>
      </c>
      <c r="D20" s="9" t="s">
        <v>761</v>
      </c>
      <c r="E20" s="9" t="s">
        <v>762</v>
      </c>
      <c r="F20" s="9" t="s">
        <v>763</v>
      </c>
      <c r="H20" s="9" t="s">
        <v>772</v>
      </c>
      <c r="I20" s="1" t="s">
        <v>844</v>
      </c>
      <c r="J20" s="37"/>
      <c r="K20" s="38"/>
      <c r="L20" s="38"/>
      <c r="M20" s="39" t="n">
        <v>2175</v>
      </c>
      <c r="P20" s="40"/>
      <c r="Q20" s="41" t="str">
        <f aca="false">IF(OR($A146="",P146=""),"",ROUND(YEARFRAC(P146,README!$C$5),1))</f>
        <v/>
      </c>
      <c r="R20" s="40"/>
      <c r="S20" s="42" t="n">
        <v>9398.168</v>
      </c>
      <c r="T20" s="42" t="n">
        <v>9441.945</v>
      </c>
      <c r="U20" s="42" t="n">
        <v>9610</v>
      </c>
      <c r="V20" s="42" t="n">
        <v>168</v>
      </c>
      <c r="W20" s="44" t="n">
        <v>0.961</v>
      </c>
      <c r="X20" s="6" t="n">
        <v>4</v>
      </c>
      <c r="Y20" s="45" t="n">
        <v>1.9</v>
      </c>
      <c r="Z20" s="6" t="s">
        <v>766</v>
      </c>
      <c r="AA20" s="9" t="s">
        <v>774</v>
      </c>
      <c r="AB20" s="9" t="s">
        <v>845</v>
      </c>
      <c r="AC20" s="27" t="n">
        <f aca="false">COUNTIF(環境認証!$A$2:$A$849,A146)</f>
        <v>1</v>
      </c>
      <c r="AD20" s="6" t="n">
        <v>1.8</v>
      </c>
      <c r="AE20" s="6" t="n">
        <v>2.3</v>
      </c>
    </row>
    <row r="21" customFormat="false" ht="15" hidden="false" customHeight="true" outlineLevel="0" collapsed="false">
      <c r="A21" s="6" t="s">
        <v>846</v>
      </c>
      <c r="B21" s="6" t="s">
        <v>448</v>
      </c>
      <c r="C21" s="9" t="s">
        <v>847</v>
      </c>
      <c r="D21" s="9" t="s">
        <v>761</v>
      </c>
      <c r="E21" s="9" t="s">
        <v>762</v>
      </c>
      <c r="F21" s="36" t="s">
        <v>848</v>
      </c>
      <c r="H21" s="9" t="s">
        <v>772</v>
      </c>
      <c r="J21" s="37"/>
      <c r="K21" s="38"/>
      <c r="L21" s="38"/>
      <c r="M21" s="39" t="n">
        <v>4035</v>
      </c>
      <c r="P21" s="40"/>
      <c r="Q21" s="41" t="str">
        <f aca="false">IF(OR($A147="",P147=""),"",ROUND(YEARFRAC(P147,README!$C$5),1))</f>
        <v/>
      </c>
      <c r="R21" s="40"/>
      <c r="S21" s="42" t="n">
        <v>9126</v>
      </c>
      <c r="T21" s="42" t="n">
        <v>9562.539</v>
      </c>
      <c r="U21" s="42" t="n">
        <v>13700</v>
      </c>
      <c r="V21" s="42" t="n">
        <v>4137</v>
      </c>
      <c r="W21" s="44" t="n">
        <v>1</v>
      </c>
      <c r="X21" s="6" t="n">
        <v>5</v>
      </c>
      <c r="Y21" s="45" t="n">
        <v>4.5</v>
      </c>
      <c r="Z21" s="6" t="s">
        <v>766</v>
      </c>
      <c r="AA21" s="9" t="s">
        <v>774</v>
      </c>
      <c r="AB21" s="9" t="s">
        <v>804</v>
      </c>
      <c r="AC21" s="27" t="n">
        <f aca="false">COUNTIF(環境認証!$A$2:$A$849,A147)</f>
        <v>2</v>
      </c>
      <c r="AD21" s="6" t="n">
        <v>43.3</v>
      </c>
      <c r="AE21" s="6" t="n">
        <v>50.1</v>
      </c>
    </row>
    <row r="22" customFormat="false" ht="15" hidden="false" customHeight="true" outlineLevel="0" collapsed="false">
      <c r="A22" s="6" t="s">
        <v>849</v>
      </c>
      <c r="B22" s="6" t="s">
        <v>448</v>
      </c>
      <c r="C22" s="9" t="s">
        <v>850</v>
      </c>
      <c r="D22" s="9" t="s">
        <v>761</v>
      </c>
      <c r="E22" s="9" t="s">
        <v>762</v>
      </c>
      <c r="F22" s="9" t="s">
        <v>771</v>
      </c>
      <c r="H22" s="9" t="s">
        <v>772</v>
      </c>
      <c r="J22" s="37"/>
      <c r="K22" s="38"/>
      <c r="L22" s="38"/>
      <c r="M22" s="39" t="n">
        <v>7481</v>
      </c>
      <c r="P22" s="40"/>
      <c r="Q22" s="41" t="str">
        <f aca="false">IF(OR($A148="",P148=""),"",ROUND(YEARFRAC(P148,README!$C$5),1))</f>
        <v/>
      </c>
      <c r="R22" s="40"/>
      <c r="S22" s="42" t="n">
        <v>8800</v>
      </c>
      <c r="T22" s="42" t="n">
        <v>7512.403</v>
      </c>
      <c r="U22" s="42" t="n">
        <v>7460</v>
      </c>
      <c r="V22" s="42" t="n">
        <v>-52</v>
      </c>
      <c r="W22" s="44" t="n">
        <v>0.971</v>
      </c>
      <c r="X22" s="6" t="n">
        <v>39</v>
      </c>
      <c r="Y22" s="45" t="n">
        <v>5.8</v>
      </c>
      <c r="Z22" s="6" t="s">
        <v>766</v>
      </c>
      <c r="AA22" s="9" t="s">
        <v>774</v>
      </c>
      <c r="AB22" s="9" t="s">
        <v>851</v>
      </c>
      <c r="AC22" s="27" t="n">
        <f aca="false">COUNTIF(環境認証!$A$2:$A$849,A148)</f>
        <v>1</v>
      </c>
      <c r="AD22" s="6" t="n">
        <v>-0.7</v>
      </c>
      <c r="AE22" s="6" t="n">
        <v>-15.2</v>
      </c>
    </row>
    <row r="23" customFormat="false" ht="15" hidden="false" customHeight="true" outlineLevel="0" collapsed="false">
      <c r="A23" s="6" t="s">
        <v>852</v>
      </c>
      <c r="B23" s="6" t="s">
        <v>448</v>
      </c>
      <c r="C23" s="9" t="s">
        <v>853</v>
      </c>
      <c r="D23" s="9" t="s">
        <v>761</v>
      </c>
      <c r="E23" s="9" t="s">
        <v>762</v>
      </c>
      <c r="F23" s="9" t="s">
        <v>815</v>
      </c>
      <c r="H23" s="9" t="s">
        <v>772</v>
      </c>
      <c r="J23" s="37"/>
      <c r="K23" s="38"/>
      <c r="L23" s="38"/>
      <c r="M23" s="39" t="n">
        <v>4999</v>
      </c>
      <c r="P23" s="40"/>
      <c r="Q23" s="41" t="str">
        <f aca="false">IF(OR($A149="",P149=""),"",ROUND(YEARFRAC(P149,README!$C$5),1))</f>
        <v/>
      </c>
      <c r="R23" s="40"/>
      <c r="S23" s="42" t="n">
        <v>8000</v>
      </c>
      <c r="T23" s="42" t="n">
        <v>8279.706</v>
      </c>
      <c r="U23" s="42" t="n">
        <v>11000</v>
      </c>
      <c r="V23" s="42" t="n">
        <v>2720</v>
      </c>
      <c r="W23" s="44" t="n">
        <v>1</v>
      </c>
      <c r="X23" s="6" t="n">
        <v>4</v>
      </c>
      <c r="Y23" s="45" t="n">
        <v>7.9</v>
      </c>
      <c r="Z23" s="6" t="s">
        <v>766</v>
      </c>
      <c r="AA23" s="9" t="s">
        <v>774</v>
      </c>
      <c r="AB23" s="9" t="s">
        <v>804</v>
      </c>
      <c r="AC23" s="27" t="n">
        <f aca="false">COUNTIF(環境認証!$A$2:$A$849,A149)</f>
        <v>1</v>
      </c>
      <c r="AD23" s="6" t="n">
        <v>32.9</v>
      </c>
      <c r="AE23" s="6" t="n">
        <v>37.5</v>
      </c>
    </row>
    <row r="24" customFormat="false" ht="15" hidden="false" customHeight="true" outlineLevel="0" collapsed="false">
      <c r="A24" s="6" t="s">
        <v>854</v>
      </c>
      <c r="B24" s="6" t="s">
        <v>448</v>
      </c>
      <c r="C24" s="9" t="s">
        <v>855</v>
      </c>
      <c r="D24" s="9" t="s">
        <v>761</v>
      </c>
      <c r="E24" s="9" t="s">
        <v>762</v>
      </c>
      <c r="F24" s="9" t="s">
        <v>782</v>
      </c>
      <c r="H24" s="9" t="s">
        <v>772</v>
      </c>
      <c r="J24" s="37"/>
      <c r="K24" s="38"/>
      <c r="L24" s="38"/>
      <c r="M24" s="39" t="n">
        <v>10448</v>
      </c>
      <c r="P24" s="40"/>
      <c r="Q24" s="41" t="str">
        <f aca="false">IF(OR($A150="",P150=""),"",ROUND(YEARFRAC(P150,README!$C$5),1))</f>
        <v/>
      </c>
      <c r="R24" s="40"/>
      <c r="S24" s="42" t="n">
        <v>6667.2</v>
      </c>
      <c r="T24" s="42" t="n">
        <v>6027.755</v>
      </c>
      <c r="U24" s="42" t="n">
        <v>7850</v>
      </c>
      <c r="V24" s="42" t="n">
        <v>1822</v>
      </c>
      <c r="W24" s="44" t="n">
        <v>1</v>
      </c>
      <c r="X24" s="6" t="n">
        <v>13</v>
      </c>
      <c r="Y24" s="45" t="n">
        <v>1.8</v>
      </c>
      <c r="Z24" s="6" t="s">
        <v>766</v>
      </c>
      <c r="AA24" s="9" t="s">
        <v>774</v>
      </c>
      <c r="AB24" s="9" t="s">
        <v>804</v>
      </c>
      <c r="AC24" s="27" t="n">
        <f aca="false">COUNTIF(環境認証!$A$2:$A$849,A150)</f>
        <v>1</v>
      </c>
      <c r="AD24" s="6" t="n">
        <v>30.2</v>
      </c>
      <c r="AE24" s="6" t="n">
        <v>17.7</v>
      </c>
    </row>
    <row r="25" customFormat="false" ht="15" hidden="false" customHeight="true" outlineLevel="0" collapsed="false">
      <c r="A25" s="6" t="s">
        <v>856</v>
      </c>
      <c r="B25" s="6" t="s">
        <v>448</v>
      </c>
      <c r="C25" s="9" t="s">
        <v>857</v>
      </c>
      <c r="D25" s="9" t="s">
        <v>761</v>
      </c>
      <c r="E25" s="9" t="s">
        <v>762</v>
      </c>
      <c r="F25" s="9" t="s">
        <v>782</v>
      </c>
      <c r="H25" s="9" t="s">
        <v>772</v>
      </c>
      <c r="J25" s="37"/>
      <c r="K25" s="38"/>
      <c r="L25" s="38"/>
      <c r="M25" s="39" t="n">
        <v>5258</v>
      </c>
      <c r="P25" s="40"/>
      <c r="Q25" s="41" t="str">
        <f aca="false">IF(OR($A151="",P151=""),"",ROUND(YEARFRAC(P151,README!$C$5),1))</f>
        <v/>
      </c>
      <c r="R25" s="40"/>
      <c r="S25" s="42" t="n">
        <v>6250</v>
      </c>
      <c r="T25" s="42" t="n">
        <v>6277.029</v>
      </c>
      <c r="U25" s="42" t="n">
        <v>8140</v>
      </c>
      <c r="V25" s="42" t="n">
        <v>1863</v>
      </c>
      <c r="W25" s="44" t="n">
        <v>1</v>
      </c>
      <c r="X25" s="6" t="n">
        <v>6</v>
      </c>
      <c r="Y25" s="45" t="n">
        <v>6.3</v>
      </c>
      <c r="Z25" s="6" t="s">
        <v>766</v>
      </c>
      <c r="AA25" s="9" t="s">
        <v>774</v>
      </c>
      <c r="AB25" s="9" t="s">
        <v>804</v>
      </c>
      <c r="AC25" s="27" t="n">
        <f aca="false">COUNTIF(環境認証!$A$2:$A$849,A151)</f>
        <v>1</v>
      </c>
      <c r="AD25" s="6" t="n">
        <v>29.7</v>
      </c>
      <c r="AE25" s="6" t="n">
        <v>30.2</v>
      </c>
    </row>
    <row r="26" customFormat="false" ht="15" hidden="false" customHeight="true" outlineLevel="0" collapsed="false">
      <c r="A26" s="6" t="s">
        <v>858</v>
      </c>
      <c r="B26" s="6" t="s">
        <v>448</v>
      </c>
      <c r="C26" s="9" t="s">
        <v>859</v>
      </c>
      <c r="D26" s="9" t="s">
        <v>761</v>
      </c>
      <c r="E26" s="9" t="s">
        <v>762</v>
      </c>
      <c r="F26" s="9" t="s">
        <v>763</v>
      </c>
      <c r="H26" s="9" t="s">
        <v>772</v>
      </c>
      <c r="J26" s="37"/>
      <c r="K26" s="38"/>
      <c r="L26" s="38"/>
      <c r="M26" s="39" t="n">
        <v>4470</v>
      </c>
      <c r="P26" s="40"/>
      <c r="Q26" s="41" t="str">
        <f aca="false">IF(OR($A152="",P152=""),"",ROUND(YEARFRAC(P152,README!$C$5),1))</f>
        <v/>
      </c>
      <c r="R26" s="40"/>
      <c r="S26" s="42" t="n">
        <v>5960</v>
      </c>
      <c r="T26" s="42" t="n">
        <v>5086.939</v>
      </c>
      <c r="U26" s="42" t="n">
        <v>8680</v>
      </c>
      <c r="V26" s="42" t="n">
        <v>3593</v>
      </c>
      <c r="W26" s="44" t="n">
        <v>1</v>
      </c>
      <c r="X26" s="6" t="n">
        <v>10</v>
      </c>
      <c r="Y26" s="45" t="n">
        <v>0.2</v>
      </c>
      <c r="Z26" s="6" t="s">
        <v>766</v>
      </c>
      <c r="AA26" s="9" t="s">
        <v>774</v>
      </c>
      <c r="AB26" s="9" t="s">
        <v>804</v>
      </c>
      <c r="AC26" s="27" t="n">
        <f aca="false">COUNTIF(環境認証!$A$2:$A$849,A152)</f>
        <v>0</v>
      </c>
      <c r="AD26" s="6" t="n">
        <v>70.6</v>
      </c>
      <c r="AE26" s="6" t="n">
        <v>45.6</v>
      </c>
    </row>
    <row r="27" customFormat="false" ht="15" hidden="false" customHeight="true" outlineLevel="0" collapsed="false">
      <c r="A27" s="6" t="s">
        <v>860</v>
      </c>
      <c r="B27" s="6" t="s">
        <v>448</v>
      </c>
      <c r="C27" s="9" t="s">
        <v>861</v>
      </c>
      <c r="D27" s="9" t="s">
        <v>761</v>
      </c>
      <c r="E27" s="9" t="s">
        <v>762</v>
      </c>
      <c r="F27" s="9" t="s">
        <v>763</v>
      </c>
      <c r="H27" s="9" t="s">
        <v>772</v>
      </c>
      <c r="J27" s="37"/>
      <c r="K27" s="38"/>
      <c r="L27" s="38"/>
      <c r="M27" s="39" t="n">
        <v>5340</v>
      </c>
      <c r="P27" s="40"/>
      <c r="Q27" s="41" t="str">
        <f aca="false">IF(OR($A153="",P153=""),"",ROUND(YEARFRAC(P153,README!$C$5),1))</f>
        <v/>
      </c>
      <c r="R27" s="40"/>
      <c r="S27" s="42" t="n">
        <v>5420</v>
      </c>
      <c r="T27" s="42" t="n">
        <v>5400.299</v>
      </c>
      <c r="U27" s="42" t="n">
        <v>6600</v>
      </c>
      <c r="V27" s="42" t="n">
        <v>1200</v>
      </c>
      <c r="W27" s="44" t="n">
        <v>1</v>
      </c>
      <c r="X27" s="6" t="n">
        <v>18</v>
      </c>
      <c r="Y27" s="45" t="n">
        <v>4.7</v>
      </c>
      <c r="Z27" s="6" t="s">
        <v>766</v>
      </c>
      <c r="AA27" s="9" t="s">
        <v>774</v>
      </c>
      <c r="AB27" s="9" t="s">
        <v>862</v>
      </c>
      <c r="AC27" s="27" t="n">
        <f aca="false">COUNTIF(環境認証!$A$2:$A$849,A153)</f>
        <v>0</v>
      </c>
      <c r="AD27" s="6" t="n">
        <v>22.2</v>
      </c>
      <c r="AE27" s="6" t="n">
        <v>21.8</v>
      </c>
    </row>
    <row r="28" customFormat="false" ht="15" hidden="false" customHeight="true" outlineLevel="0" collapsed="false">
      <c r="A28" s="6" t="s">
        <v>863</v>
      </c>
      <c r="B28" s="6" t="s">
        <v>448</v>
      </c>
      <c r="C28" s="9" t="s">
        <v>864</v>
      </c>
      <c r="D28" s="9" t="s">
        <v>761</v>
      </c>
      <c r="E28" s="9" t="s">
        <v>762</v>
      </c>
      <c r="F28" s="9" t="s">
        <v>782</v>
      </c>
      <c r="H28" s="9" t="s">
        <v>772</v>
      </c>
      <c r="J28" s="37"/>
      <c r="K28" s="38"/>
      <c r="L28" s="38"/>
      <c r="M28" s="39" t="n">
        <v>5971</v>
      </c>
      <c r="P28" s="40"/>
      <c r="Q28" s="41" t="n">
        <f aca="false">IF(OR($A154="",P154=""),"",ROUND(YEARFRAC(P154,README!$C$5),1))</f>
        <v>16.7</v>
      </c>
      <c r="R28" s="40"/>
      <c r="S28" s="42" t="n">
        <v>5365</v>
      </c>
      <c r="T28" s="42" t="n">
        <v>4796.836</v>
      </c>
      <c r="U28" s="42" t="n">
        <v>5360</v>
      </c>
      <c r="V28" s="42" t="n">
        <v>563</v>
      </c>
      <c r="W28" s="44" t="n">
        <v>1</v>
      </c>
      <c r="X28" s="6" t="n">
        <v>1</v>
      </c>
      <c r="Y28" s="45" t="n">
        <v>5.3</v>
      </c>
      <c r="Z28" s="6" t="s">
        <v>766</v>
      </c>
      <c r="AA28" s="9" t="s">
        <v>774</v>
      </c>
      <c r="AB28" s="9" t="s">
        <v>865</v>
      </c>
      <c r="AC28" s="27" t="n">
        <f aca="false">COUNTIF(環境認証!$A$2:$A$849,A154)</f>
        <v>2</v>
      </c>
      <c r="AD28" s="6" t="n">
        <v>11.7</v>
      </c>
      <c r="AE28" s="6" t="n">
        <v>-0.1</v>
      </c>
    </row>
    <row r="29" customFormat="false" ht="15" hidden="false" customHeight="true" outlineLevel="0" collapsed="false">
      <c r="A29" s="6" t="s">
        <v>866</v>
      </c>
      <c r="B29" s="6" t="s">
        <v>448</v>
      </c>
      <c r="C29" s="9" t="s">
        <v>867</v>
      </c>
      <c r="D29" s="9" t="s">
        <v>761</v>
      </c>
      <c r="E29" s="9" t="s">
        <v>762</v>
      </c>
      <c r="F29" s="9" t="s">
        <v>820</v>
      </c>
      <c r="G29" s="36" t="s">
        <v>868</v>
      </c>
      <c r="H29" s="9" t="s">
        <v>772</v>
      </c>
      <c r="J29" s="37"/>
      <c r="K29" s="38"/>
      <c r="L29" s="38"/>
      <c r="M29" s="39" t="n">
        <v>4871</v>
      </c>
      <c r="P29" s="40"/>
      <c r="Q29" s="41" t="n">
        <f aca="false">IF(OR($A155="",P155=""),"",ROUND(YEARFRAC(P155,README!$C$5),1))</f>
        <v>23.3</v>
      </c>
      <c r="R29" s="40"/>
      <c r="S29" s="42" t="n">
        <v>5200</v>
      </c>
      <c r="T29" s="42" t="n">
        <v>4232.236</v>
      </c>
      <c r="U29" s="42" t="n">
        <v>7990</v>
      </c>
      <c r="V29" s="42" t="n">
        <v>3758</v>
      </c>
      <c r="W29" s="44" t="n">
        <v>1</v>
      </c>
      <c r="X29" s="6" t="n">
        <v>8</v>
      </c>
      <c r="Y29" s="45" t="n">
        <v>1.9</v>
      </c>
      <c r="Z29" s="6" t="s">
        <v>766</v>
      </c>
      <c r="AA29" s="9" t="s">
        <v>774</v>
      </c>
      <c r="AB29" s="9" t="s">
        <v>804</v>
      </c>
      <c r="AC29" s="27" t="n">
        <f aca="false">COUNTIF(環境認証!$A$2:$A$849,A155)</f>
        <v>1</v>
      </c>
      <c r="AD29" s="6" t="n">
        <v>88.8</v>
      </c>
      <c r="AE29" s="6" t="n">
        <v>53.7</v>
      </c>
    </row>
    <row r="30" customFormat="false" ht="15" hidden="false" customHeight="true" outlineLevel="0" collapsed="false">
      <c r="A30" s="6" t="s">
        <v>869</v>
      </c>
      <c r="B30" s="6" t="s">
        <v>448</v>
      </c>
      <c r="C30" s="9" t="s">
        <v>870</v>
      </c>
      <c r="D30" s="9" t="s">
        <v>761</v>
      </c>
      <c r="E30" s="9" t="s">
        <v>762</v>
      </c>
      <c r="F30" s="9" t="s">
        <v>820</v>
      </c>
      <c r="G30" s="36" t="s">
        <v>871</v>
      </c>
      <c r="H30" s="9" t="s">
        <v>772</v>
      </c>
      <c r="J30" s="37"/>
      <c r="K30" s="38"/>
      <c r="L30" s="38"/>
      <c r="M30" s="39" t="n">
        <v>3298</v>
      </c>
      <c r="P30" s="40"/>
      <c r="Q30" s="41" t="n">
        <f aca="false">IF(OR($A156="",P156=""),"",ROUND(YEARFRAC(P156,README!$C$5),1))</f>
        <v>14</v>
      </c>
      <c r="R30" s="40"/>
      <c r="S30" s="42" t="n">
        <v>4850</v>
      </c>
      <c r="T30" s="42" t="n">
        <v>4257.858</v>
      </c>
      <c r="U30" s="42" t="n">
        <v>5570</v>
      </c>
      <c r="V30" s="42" t="n">
        <v>1312</v>
      </c>
      <c r="W30" s="44" t="n">
        <v>1</v>
      </c>
      <c r="X30" s="6" t="n">
        <v>2</v>
      </c>
      <c r="Y30" s="45" t="n">
        <v>5.7</v>
      </c>
      <c r="Z30" s="6" t="s">
        <v>766</v>
      </c>
      <c r="AA30" s="9" t="s">
        <v>774</v>
      </c>
      <c r="AB30" s="9" t="s">
        <v>804</v>
      </c>
      <c r="AC30" s="27" t="n">
        <f aca="false">COUNTIF(環境認証!$A$2:$A$849,A156)</f>
        <v>2</v>
      </c>
      <c r="AD30" s="6" t="n">
        <v>30.8</v>
      </c>
      <c r="AE30" s="6" t="n">
        <v>14.8</v>
      </c>
    </row>
    <row r="31" customFormat="false" ht="15" hidden="false" customHeight="true" outlineLevel="0" collapsed="false">
      <c r="A31" s="6" t="s">
        <v>872</v>
      </c>
      <c r="B31" s="6" t="s">
        <v>448</v>
      </c>
      <c r="C31" s="9" t="s">
        <v>873</v>
      </c>
      <c r="D31" s="9" t="s">
        <v>761</v>
      </c>
      <c r="E31" s="9" t="s">
        <v>762</v>
      </c>
      <c r="F31" s="9" t="s">
        <v>820</v>
      </c>
      <c r="H31" s="9" t="s">
        <v>772</v>
      </c>
      <c r="J31" s="37"/>
      <c r="K31" s="38"/>
      <c r="L31" s="38"/>
      <c r="M31" s="39" t="n">
        <v>5270</v>
      </c>
      <c r="P31" s="40"/>
      <c r="Q31" s="41" t="n">
        <f aca="false">IF(OR($A157="",P157=""),"",ROUND(YEARFRAC(P157,README!$C$5),1))</f>
        <v>16.6</v>
      </c>
      <c r="R31" s="40"/>
      <c r="S31" s="42" t="n">
        <v>4528.349</v>
      </c>
      <c r="T31" s="42" t="n">
        <v>4101.664</v>
      </c>
      <c r="U31" s="42" t="n">
        <v>5540</v>
      </c>
      <c r="V31" s="42" t="n">
        <v>1438</v>
      </c>
      <c r="W31" s="44" t="n">
        <v>1</v>
      </c>
      <c r="X31" s="6" t="n">
        <v>1</v>
      </c>
      <c r="Y31" s="45" t="n">
        <v>7</v>
      </c>
      <c r="Z31" s="6" t="s">
        <v>766</v>
      </c>
      <c r="AA31" s="9" t="s">
        <v>774</v>
      </c>
      <c r="AB31" s="9" t="s">
        <v>874</v>
      </c>
      <c r="AC31" s="27" t="n">
        <f aca="false">COUNTIF(環境認証!$A$2:$A$849,A157)</f>
        <v>1</v>
      </c>
      <c r="AD31" s="6" t="n">
        <v>35.1</v>
      </c>
      <c r="AE31" s="6" t="n">
        <v>22.3</v>
      </c>
    </row>
    <row r="32" customFormat="false" ht="15" hidden="false" customHeight="true" outlineLevel="0" collapsed="false">
      <c r="A32" s="6" t="s">
        <v>875</v>
      </c>
      <c r="B32" s="6" t="s">
        <v>448</v>
      </c>
      <c r="C32" s="9" t="s">
        <v>876</v>
      </c>
      <c r="D32" s="9" t="s">
        <v>761</v>
      </c>
      <c r="E32" s="9" t="s">
        <v>762</v>
      </c>
      <c r="F32" s="9" t="s">
        <v>763</v>
      </c>
      <c r="H32" s="9" t="s">
        <v>772</v>
      </c>
      <c r="J32" s="37"/>
      <c r="K32" s="38"/>
      <c r="L32" s="38"/>
      <c r="M32" s="39" t="n">
        <v>5332</v>
      </c>
      <c r="P32" s="40"/>
      <c r="Q32" s="41" t="n">
        <f aca="false">IF(OR($A158="",P158=""),"",ROUND(YEARFRAC(P158,README!$C$5),1))</f>
        <v>16</v>
      </c>
      <c r="R32" s="40"/>
      <c r="S32" s="42" t="n">
        <v>4050</v>
      </c>
      <c r="T32" s="42" t="n">
        <v>4327.607</v>
      </c>
      <c r="U32" s="42" t="n">
        <v>5270</v>
      </c>
      <c r="V32" s="42" t="n">
        <v>942</v>
      </c>
      <c r="W32" s="44" t="n">
        <v>1</v>
      </c>
      <c r="X32" s="6" t="n">
        <v>16</v>
      </c>
      <c r="Y32" s="45" t="n">
        <v>5.4</v>
      </c>
      <c r="Z32" s="6" t="s">
        <v>766</v>
      </c>
      <c r="AA32" s="9" t="s">
        <v>774</v>
      </c>
      <c r="AB32" s="9" t="s">
        <v>804</v>
      </c>
      <c r="AC32" s="27" t="n">
        <f aca="false">COUNTIF(環境認証!$A$2:$A$849,A158)</f>
        <v>2</v>
      </c>
      <c r="AD32" s="6" t="n">
        <v>21.8</v>
      </c>
      <c r="AE32" s="6" t="n">
        <v>30.1</v>
      </c>
    </row>
    <row r="33" customFormat="false" ht="15" hidden="false" customHeight="true" outlineLevel="0" collapsed="false">
      <c r="A33" s="6" t="s">
        <v>877</v>
      </c>
      <c r="B33" s="6" t="s">
        <v>448</v>
      </c>
      <c r="C33" s="9" t="s">
        <v>878</v>
      </c>
      <c r="D33" s="9" t="s">
        <v>761</v>
      </c>
      <c r="E33" s="9" t="s">
        <v>762</v>
      </c>
      <c r="F33" s="9" t="s">
        <v>815</v>
      </c>
      <c r="H33" s="9" t="s">
        <v>772</v>
      </c>
      <c r="J33" s="37"/>
      <c r="K33" s="38"/>
      <c r="L33" s="38"/>
      <c r="M33" s="39" t="n">
        <v>7213</v>
      </c>
      <c r="P33" s="40"/>
      <c r="Q33" s="41" t="n">
        <f aca="false">IF(OR($A159="",P159=""),"",ROUND(YEARFRAC(P159,README!$C$5),1))</f>
        <v>16.5</v>
      </c>
      <c r="R33" s="40"/>
      <c r="S33" s="42" t="n">
        <v>3700</v>
      </c>
      <c r="T33" s="42" t="n">
        <v>2596.703</v>
      </c>
      <c r="U33" s="42" t="n">
        <v>4320</v>
      </c>
      <c r="V33" s="42" t="n">
        <v>1723</v>
      </c>
      <c r="W33" s="44" t="n">
        <v>0.88</v>
      </c>
      <c r="X33" s="6" t="n">
        <v>7</v>
      </c>
      <c r="Y33" s="45" t="n">
        <v>5</v>
      </c>
      <c r="Z33" s="6" t="s">
        <v>766</v>
      </c>
      <c r="AA33" s="9" t="s">
        <v>774</v>
      </c>
      <c r="AB33" s="9" t="s">
        <v>804</v>
      </c>
      <c r="AC33" s="27" t="n">
        <f aca="false">COUNTIF(環境認証!$A$2:$A$849,A159)</f>
        <v>1</v>
      </c>
      <c r="AD33" s="6" t="n">
        <v>66.4</v>
      </c>
      <c r="AE33" s="6" t="n">
        <v>16.8</v>
      </c>
    </row>
    <row r="34" customFormat="false" ht="15" hidden="false" customHeight="true" outlineLevel="0" collapsed="false">
      <c r="A34" s="6" t="s">
        <v>879</v>
      </c>
      <c r="B34" s="6" t="s">
        <v>448</v>
      </c>
      <c r="C34" s="9" t="s">
        <v>880</v>
      </c>
      <c r="D34" s="9" t="s">
        <v>761</v>
      </c>
      <c r="E34" s="9" t="s">
        <v>762</v>
      </c>
      <c r="F34" s="9" t="s">
        <v>881</v>
      </c>
      <c r="H34" s="9" t="s">
        <v>882</v>
      </c>
      <c r="J34" s="37"/>
      <c r="K34" s="38"/>
      <c r="L34" s="38"/>
      <c r="M34" s="39" t="n">
        <v>51512</v>
      </c>
      <c r="P34" s="40"/>
      <c r="Q34" s="41" t="n">
        <f aca="false">IF(OR($A160="",P160=""),"",ROUND(YEARFRAC(P160,README!$C$5),1))</f>
        <v>24.4</v>
      </c>
      <c r="R34" s="40"/>
      <c r="S34" s="42" t="n">
        <v>80100</v>
      </c>
      <c r="T34" s="42" t="n">
        <v>78755.379</v>
      </c>
      <c r="U34" s="42" t="n">
        <v>80900</v>
      </c>
      <c r="V34" s="42" t="n">
        <v>2145</v>
      </c>
      <c r="W34" s="44" t="n">
        <v>1</v>
      </c>
      <c r="X34" s="6" t="n">
        <v>4</v>
      </c>
      <c r="Y34" s="45" t="n">
        <v>1.7</v>
      </c>
      <c r="Z34" s="6" t="s">
        <v>766</v>
      </c>
      <c r="AA34" s="9" t="s">
        <v>774</v>
      </c>
      <c r="AB34" s="9" t="s">
        <v>883</v>
      </c>
      <c r="AC34" s="27" t="n">
        <f aca="false">COUNTIF(環境認証!$A$2:$A$849,A160)</f>
        <v>1</v>
      </c>
      <c r="AD34" s="6" t="n">
        <v>2.7</v>
      </c>
      <c r="AE34" s="6" t="n">
        <v>1</v>
      </c>
    </row>
    <row r="35" customFormat="false" ht="15" hidden="false" customHeight="true" outlineLevel="0" collapsed="false">
      <c r="A35" s="6" t="s">
        <v>884</v>
      </c>
      <c r="B35" s="6" t="s">
        <v>448</v>
      </c>
      <c r="C35" s="9" t="s">
        <v>885</v>
      </c>
      <c r="D35" s="9" t="s">
        <v>761</v>
      </c>
      <c r="E35" s="9" t="s">
        <v>762</v>
      </c>
      <c r="F35" s="9" t="s">
        <v>848</v>
      </c>
      <c r="H35" s="9" t="s">
        <v>882</v>
      </c>
      <c r="J35" s="37"/>
      <c r="K35" s="38"/>
      <c r="L35" s="38"/>
      <c r="M35" s="39" t="n">
        <v>74425</v>
      </c>
      <c r="P35" s="40"/>
      <c r="Q35" s="41" t="n">
        <f aca="false">IF(OR($A161="",P161=""),"",ROUND(YEARFRAC(P161,README!$C$5),1))</f>
        <v>3.6</v>
      </c>
      <c r="R35" s="40"/>
      <c r="S35" s="42" t="n">
        <v>66660</v>
      </c>
      <c r="T35" s="42" t="n">
        <v>59991.582</v>
      </c>
      <c r="U35" s="42" t="n">
        <v>87400</v>
      </c>
      <c r="V35" s="42" t="n">
        <v>27408</v>
      </c>
      <c r="W35" s="44" t="n">
        <v>1</v>
      </c>
      <c r="X35" s="6" t="n">
        <v>3</v>
      </c>
      <c r="Y35" s="45" t="n">
        <v>1.8</v>
      </c>
      <c r="Z35" s="6" t="s">
        <v>766</v>
      </c>
      <c r="AA35" s="9" t="s">
        <v>774</v>
      </c>
      <c r="AB35" s="9" t="s">
        <v>886</v>
      </c>
      <c r="AC35" s="27" t="n">
        <f aca="false">COUNTIF(環境認証!$A$2:$A$849,A161)</f>
        <v>1</v>
      </c>
      <c r="AD35" s="6" t="n">
        <v>45.7</v>
      </c>
      <c r="AE35" s="6" t="n">
        <v>31.1</v>
      </c>
    </row>
    <row r="36" customFormat="false" ht="15" hidden="false" customHeight="true" outlineLevel="0" collapsed="false">
      <c r="A36" s="6" t="s">
        <v>887</v>
      </c>
      <c r="B36" s="6" t="s">
        <v>448</v>
      </c>
      <c r="C36" s="9" t="s">
        <v>888</v>
      </c>
      <c r="D36" s="9" t="s">
        <v>761</v>
      </c>
      <c r="E36" s="9" t="s">
        <v>762</v>
      </c>
      <c r="F36" s="9" t="s">
        <v>848</v>
      </c>
      <c r="H36" s="9" t="s">
        <v>882</v>
      </c>
      <c r="J36" s="37"/>
      <c r="K36" s="38"/>
      <c r="L36" s="38"/>
      <c r="M36" s="39" t="n">
        <v>41880</v>
      </c>
      <c r="P36" s="40"/>
      <c r="Q36" s="41" t="n">
        <f aca="false">IF(OR($A162="",P162=""),"",ROUND(YEARFRAC(P162,README!$C$5),1))</f>
        <v>31.4</v>
      </c>
      <c r="R36" s="40"/>
      <c r="S36" s="42" t="n">
        <v>57281.06</v>
      </c>
      <c r="T36" s="42" t="n">
        <v>47525.115</v>
      </c>
      <c r="U36" s="42" t="n">
        <v>72000</v>
      </c>
      <c r="V36" s="42" t="n">
        <v>24475</v>
      </c>
      <c r="W36" s="44" t="n">
        <v>0.996</v>
      </c>
      <c r="X36" s="6" t="n">
        <v>80</v>
      </c>
      <c r="Y36" s="45" t="n">
        <v>4</v>
      </c>
      <c r="Z36" s="6" t="s">
        <v>766</v>
      </c>
      <c r="AA36" s="9" t="s">
        <v>774</v>
      </c>
      <c r="AB36" s="9" t="s">
        <v>889</v>
      </c>
      <c r="AC36" s="27" t="n">
        <f aca="false">COUNTIF(環境認証!$A$2:$A$849,A162)</f>
        <v>1</v>
      </c>
      <c r="AD36" s="6" t="n">
        <v>51.5</v>
      </c>
      <c r="AE36" s="6" t="n">
        <v>25.7</v>
      </c>
    </row>
    <row r="37" customFormat="false" ht="15" hidden="false" customHeight="true" outlineLevel="0" collapsed="false">
      <c r="A37" s="6" t="s">
        <v>890</v>
      </c>
      <c r="B37" s="6" t="s">
        <v>448</v>
      </c>
      <c r="C37" s="9" t="s">
        <v>891</v>
      </c>
      <c r="D37" s="9" t="s">
        <v>761</v>
      </c>
      <c r="E37" s="9" t="s">
        <v>762</v>
      </c>
      <c r="F37" s="9" t="s">
        <v>881</v>
      </c>
      <c r="H37" s="9" t="s">
        <v>882</v>
      </c>
      <c r="J37" s="37"/>
      <c r="K37" s="38"/>
      <c r="L37" s="38"/>
      <c r="M37" s="39" t="n">
        <v>36639</v>
      </c>
      <c r="P37" s="40"/>
      <c r="Q37" s="41" t="n">
        <f aca="false">IF(OR($A163="",P163=""),"",ROUND(YEARFRAC(P163,README!$C$5),1))</f>
        <v>17.1</v>
      </c>
      <c r="R37" s="40"/>
      <c r="S37" s="42" t="n">
        <v>35200</v>
      </c>
      <c r="T37" s="42" t="n">
        <v>27034.033</v>
      </c>
      <c r="U37" s="42" t="n">
        <v>38500</v>
      </c>
      <c r="V37" s="42" t="n">
        <v>11466</v>
      </c>
      <c r="W37" s="44" t="n">
        <v>1</v>
      </c>
      <c r="X37" s="6" t="n">
        <v>17</v>
      </c>
      <c r="Y37" s="45" t="n">
        <v>3.2</v>
      </c>
      <c r="Z37" s="6" t="s">
        <v>766</v>
      </c>
      <c r="AA37" s="9" t="s">
        <v>774</v>
      </c>
      <c r="AB37" s="9" t="s">
        <v>892</v>
      </c>
      <c r="AC37" s="27" t="n">
        <f aca="false">COUNTIF(環境認証!$A$2:$A$849,A163)</f>
        <v>0</v>
      </c>
      <c r="AD37" s="6" t="n">
        <v>42.4</v>
      </c>
      <c r="AE37" s="6" t="n">
        <v>9.4</v>
      </c>
    </row>
    <row r="38" customFormat="false" ht="15" hidden="false" customHeight="true" outlineLevel="0" collapsed="false">
      <c r="A38" s="6" t="s">
        <v>893</v>
      </c>
      <c r="B38" s="6" t="s">
        <v>448</v>
      </c>
      <c r="C38" s="9" t="s">
        <v>894</v>
      </c>
      <c r="D38" s="9" t="s">
        <v>761</v>
      </c>
      <c r="E38" s="9" t="s">
        <v>762</v>
      </c>
      <c r="F38" s="9" t="s">
        <v>895</v>
      </c>
      <c r="H38" s="9" t="s">
        <v>882</v>
      </c>
      <c r="J38" s="37"/>
      <c r="K38" s="38"/>
      <c r="L38" s="38"/>
      <c r="M38" s="39" t="n">
        <v>28711</v>
      </c>
      <c r="P38" s="40"/>
      <c r="Q38" s="41" t="n">
        <f aca="false">IF(OR($A164="",P164=""),"",ROUND(YEARFRAC(P164,README!$C$5),1))</f>
        <v>35.8</v>
      </c>
      <c r="R38" s="40"/>
      <c r="S38" s="42" t="n">
        <v>35000</v>
      </c>
      <c r="T38" s="42" t="n">
        <v>32031.252</v>
      </c>
      <c r="U38" s="42" t="n">
        <v>42300</v>
      </c>
      <c r="V38" s="42" t="n">
        <v>10269</v>
      </c>
      <c r="W38" s="44" t="n">
        <v>1</v>
      </c>
      <c r="X38" s="6" t="n">
        <v>2</v>
      </c>
      <c r="Y38" s="45" t="n">
        <v>3.2</v>
      </c>
      <c r="Z38" s="6" t="s">
        <v>766</v>
      </c>
      <c r="AA38" s="9" t="s">
        <v>774</v>
      </c>
      <c r="AB38" s="9" t="s">
        <v>896</v>
      </c>
      <c r="AC38" s="27" t="n">
        <f aca="false">COUNTIF(環境認証!$A$2:$A$849,A164)</f>
        <v>1</v>
      </c>
      <c r="AD38" s="6" t="n">
        <v>32.1</v>
      </c>
      <c r="AE38" s="6" t="n">
        <v>20.9</v>
      </c>
    </row>
    <row r="39" customFormat="false" ht="15" hidden="false" customHeight="true" outlineLevel="0" collapsed="false">
      <c r="A39" s="6" t="s">
        <v>897</v>
      </c>
      <c r="B39" s="6" t="s">
        <v>448</v>
      </c>
      <c r="C39" s="9" t="s">
        <v>898</v>
      </c>
      <c r="D39" s="9" t="s">
        <v>761</v>
      </c>
      <c r="E39" s="9" t="s">
        <v>762</v>
      </c>
      <c r="F39" s="9" t="s">
        <v>881</v>
      </c>
      <c r="H39" s="9" t="s">
        <v>882</v>
      </c>
      <c r="J39" s="37"/>
      <c r="K39" s="38"/>
      <c r="L39" s="38"/>
      <c r="M39" s="39" t="n">
        <v>28299</v>
      </c>
      <c r="P39" s="40"/>
      <c r="Q39" s="41" t="n">
        <f aca="false">IF(OR($A165="",P165=""),"",ROUND(YEARFRAC(P165,README!$C$5),1))</f>
        <v>11.4</v>
      </c>
      <c r="R39" s="40"/>
      <c r="S39" s="42" t="n">
        <v>25018</v>
      </c>
      <c r="T39" s="42" t="n">
        <v>21221.922</v>
      </c>
      <c r="U39" s="42" t="n">
        <v>30100</v>
      </c>
      <c r="V39" s="42" t="n">
        <v>8878</v>
      </c>
      <c r="W39" s="44" t="n">
        <v>1</v>
      </c>
      <c r="X39" s="6" t="n">
        <v>5</v>
      </c>
      <c r="Y39" s="45" t="n">
        <v>4.2</v>
      </c>
      <c r="Z39" s="6" t="s">
        <v>766</v>
      </c>
      <c r="AA39" s="9" t="s">
        <v>774</v>
      </c>
      <c r="AB39" s="9" t="s">
        <v>899</v>
      </c>
      <c r="AC39" s="27" t="n">
        <f aca="false">COUNTIF(環境認証!$A$2:$A$849,A165)</f>
        <v>0</v>
      </c>
      <c r="AD39" s="6" t="n">
        <v>41.8</v>
      </c>
      <c r="AE39" s="6" t="n">
        <v>20.3</v>
      </c>
    </row>
    <row r="40" customFormat="false" ht="15" hidden="false" customHeight="true" outlineLevel="0" collapsed="false">
      <c r="A40" s="6" t="s">
        <v>900</v>
      </c>
      <c r="B40" s="6" t="s">
        <v>448</v>
      </c>
      <c r="C40" s="9" t="s">
        <v>901</v>
      </c>
      <c r="D40" s="9" t="s">
        <v>761</v>
      </c>
      <c r="E40" s="9" t="s">
        <v>762</v>
      </c>
      <c r="F40" s="9" t="s">
        <v>848</v>
      </c>
      <c r="H40" s="9" t="s">
        <v>882</v>
      </c>
      <c r="J40" s="37"/>
      <c r="K40" s="38"/>
      <c r="L40" s="38"/>
      <c r="M40" s="39" t="n">
        <v>14179</v>
      </c>
      <c r="P40" s="40"/>
      <c r="Q40" s="41" t="n">
        <f aca="false">IF(OR($A166="",P166=""),"",ROUND(YEARFRAC(P166,README!$C$5),1))</f>
        <v>26.2</v>
      </c>
      <c r="R40" s="40"/>
      <c r="S40" s="42" t="n">
        <v>24380</v>
      </c>
      <c r="T40" s="42" t="n">
        <v>22582.726</v>
      </c>
      <c r="U40" s="42" t="n">
        <v>25600</v>
      </c>
      <c r="V40" s="42" t="n">
        <v>3017</v>
      </c>
      <c r="W40" s="44" t="n">
        <v>0.994</v>
      </c>
      <c r="X40" s="6" t="n">
        <v>22</v>
      </c>
      <c r="Y40" s="45" t="n">
        <v>5.5</v>
      </c>
      <c r="Z40" s="6" t="s">
        <v>766</v>
      </c>
      <c r="AA40" s="9" t="s">
        <v>774</v>
      </c>
      <c r="AB40" s="9" t="s">
        <v>902</v>
      </c>
      <c r="AC40" s="27" t="n">
        <f aca="false">COUNTIF(環境認証!$A$2:$A$849,A166)</f>
        <v>1</v>
      </c>
      <c r="AD40" s="6" t="n">
        <v>13.4</v>
      </c>
      <c r="AE40" s="6" t="n">
        <v>5</v>
      </c>
    </row>
    <row r="41" customFormat="false" ht="15" hidden="false" customHeight="true" outlineLevel="0" collapsed="false">
      <c r="A41" s="6" t="s">
        <v>903</v>
      </c>
      <c r="B41" s="6" t="s">
        <v>448</v>
      </c>
      <c r="C41" s="9" t="s">
        <v>904</v>
      </c>
      <c r="D41" s="9" t="s">
        <v>761</v>
      </c>
      <c r="E41" s="9" t="s">
        <v>762</v>
      </c>
      <c r="F41" s="9" t="s">
        <v>905</v>
      </c>
      <c r="H41" s="9" t="s">
        <v>882</v>
      </c>
      <c r="J41" s="37"/>
      <c r="K41" s="38"/>
      <c r="L41" s="38"/>
      <c r="M41" s="39" t="n">
        <v>21438</v>
      </c>
      <c r="P41" s="40"/>
      <c r="Q41" s="41" t="n">
        <f aca="false">IF(OR($A167="",P167=""),"",ROUND(YEARFRAC(P167,README!$C$5),1))</f>
        <v>25.1</v>
      </c>
      <c r="R41" s="40"/>
      <c r="S41" s="42" t="n">
        <v>23856</v>
      </c>
      <c r="T41" s="42" t="n">
        <v>15801.952</v>
      </c>
      <c r="U41" s="42" t="n">
        <v>21000</v>
      </c>
      <c r="V41" s="42" t="n">
        <v>5198</v>
      </c>
      <c r="W41" s="44" t="n">
        <v>1</v>
      </c>
      <c r="X41" s="6" t="n">
        <v>17</v>
      </c>
      <c r="Y41" s="45" t="n">
        <v>6.8</v>
      </c>
      <c r="Z41" s="6" t="s">
        <v>766</v>
      </c>
      <c r="AA41" s="9" t="s">
        <v>774</v>
      </c>
      <c r="AB41" s="9" t="s">
        <v>906</v>
      </c>
      <c r="AC41" s="27" t="n">
        <f aca="false">COUNTIF(環境認証!$A$2:$A$849,A167)</f>
        <v>1</v>
      </c>
      <c r="AD41" s="6" t="n">
        <v>32.9</v>
      </c>
      <c r="AE41" s="6" t="n">
        <v>-12</v>
      </c>
    </row>
    <row r="42" customFormat="false" ht="15" hidden="false" customHeight="true" outlineLevel="0" collapsed="false">
      <c r="A42" s="6" t="s">
        <v>907</v>
      </c>
      <c r="B42" s="6" t="s">
        <v>448</v>
      </c>
      <c r="C42" s="9" t="s">
        <v>908</v>
      </c>
      <c r="D42" s="9" t="s">
        <v>761</v>
      </c>
      <c r="E42" s="9" t="s">
        <v>762</v>
      </c>
      <c r="F42" s="9" t="s">
        <v>848</v>
      </c>
      <c r="H42" s="9" t="s">
        <v>882</v>
      </c>
      <c r="J42" s="37"/>
      <c r="K42" s="38"/>
      <c r="L42" s="38"/>
      <c r="M42" s="39" t="n">
        <v>6079</v>
      </c>
      <c r="P42" s="40"/>
      <c r="Q42" s="41" t="n">
        <f aca="false">IF(OR($A168="",P168=""),"",ROUND(YEARFRAC(P168,README!$C$5),1))</f>
        <v>3.2</v>
      </c>
      <c r="R42" s="40"/>
      <c r="S42" s="42" t="n">
        <v>13970</v>
      </c>
      <c r="T42" s="42" t="n">
        <v>13384.632</v>
      </c>
      <c r="U42" s="42" t="n">
        <v>14700</v>
      </c>
      <c r="V42" s="42" t="n">
        <v>1315</v>
      </c>
      <c r="W42" s="44" t="n">
        <v>0.998</v>
      </c>
      <c r="X42" s="6" t="n">
        <v>12</v>
      </c>
      <c r="Y42" s="45" t="n">
        <v>2.6</v>
      </c>
      <c r="Z42" s="6" t="s">
        <v>766</v>
      </c>
      <c r="AA42" s="9" t="s">
        <v>774</v>
      </c>
      <c r="AB42" s="9" t="s">
        <v>783</v>
      </c>
      <c r="AC42" s="27" t="n">
        <f aca="false">COUNTIF(環境認証!$A$2:$A$849,A168)</f>
        <v>1</v>
      </c>
      <c r="AD42" s="6" t="n">
        <v>9.8</v>
      </c>
      <c r="AE42" s="6" t="n">
        <v>5.2</v>
      </c>
    </row>
    <row r="43" customFormat="false" ht="15" hidden="false" customHeight="true" outlineLevel="0" collapsed="false">
      <c r="A43" s="6" t="s">
        <v>909</v>
      </c>
      <c r="B43" s="6" t="s">
        <v>448</v>
      </c>
      <c r="C43" s="9" t="s">
        <v>910</v>
      </c>
      <c r="D43" s="9" t="s">
        <v>761</v>
      </c>
      <c r="E43" s="9" t="s">
        <v>762</v>
      </c>
      <c r="F43" s="9" t="s">
        <v>911</v>
      </c>
      <c r="H43" s="9" t="s">
        <v>882</v>
      </c>
      <c r="J43" s="37"/>
      <c r="K43" s="38"/>
      <c r="L43" s="38"/>
      <c r="M43" s="39" t="n">
        <v>11073</v>
      </c>
      <c r="P43" s="40"/>
      <c r="Q43" s="41" t="n">
        <f aca="false">IF(OR($A169="",P169=""),"",ROUND(YEARFRAC(P169,README!$C$5),1))</f>
        <v>5.2</v>
      </c>
      <c r="R43" s="40"/>
      <c r="S43" s="42" t="n">
        <v>8630</v>
      </c>
      <c r="T43" s="42" t="n">
        <v>8798.767</v>
      </c>
      <c r="U43" s="42" t="n">
        <v>14300</v>
      </c>
      <c r="V43" s="42" t="n">
        <v>5501</v>
      </c>
      <c r="W43" s="44" t="n">
        <v>0.979</v>
      </c>
      <c r="X43" s="6" t="n">
        <v>20</v>
      </c>
      <c r="Y43" s="45" t="n">
        <v>1.4</v>
      </c>
      <c r="Z43" s="6" t="s">
        <v>766</v>
      </c>
      <c r="AA43" s="9" t="s">
        <v>774</v>
      </c>
      <c r="AB43" s="9" t="s">
        <v>804</v>
      </c>
      <c r="AC43" s="27" t="n">
        <f aca="false">COUNTIF(環境認証!$A$2:$A$849,A169)</f>
        <v>2</v>
      </c>
      <c r="AD43" s="6" t="n">
        <v>62.5</v>
      </c>
      <c r="AE43" s="6" t="n">
        <v>65.7</v>
      </c>
    </row>
    <row r="44" customFormat="false" ht="15" hidden="false" customHeight="true" outlineLevel="0" collapsed="false">
      <c r="A44" s="6" t="s">
        <v>912</v>
      </c>
      <c r="B44" s="6" t="s">
        <v>448</v>
      </c>
      <c r="C44" s="9" t="s">
        <v>913</v>
      </c>
      <c r="D44" s="9" t="s">
        <v>761</v>
      </c>
      <c r="E44" s="9" t="s">
        <v>762</v>
      </c>
      <c r="F44" s="9" t="s">
        <v>848</v>
      </c>
      <c r="H44" s="9" t="s">
        <v>882</v>
      </c>
      <c r="J44" s="37"/>
      <c r="K44" s="38"/>
      <c r="L44" s="38"/>
      <c r="M44" s="39" t="n">
        <v>6166</v>
      </c>
      <c r="P44" s="40"/>
      <c r="Q44" s="41" t="str">
        <f aca="false">IF(OR($A170="",P170=""),"",ROUND(YEARFRAC(P170,README!$C$5),1))</f>
        <v/>
      </c>
      <c r="R44" s="40"/>
      <c r="S44" s="42" t="n">
        <v>8350</v>
      </c>
      <c r="T44" s="42" t="n">
        <v>6796.004</v>
      </c>
      <c r="U44" s="42" t="n">
        <v>9050</v>
      </c>
      <c r="V44" s="42" t="n">
        <v>2254</v>
      </c>
      <c r="W44" s="44" t="n">
        <v>1</v>
      </c>
      <c r="X44" s="6" t="n">
        <v>16</v>
      </c>
      <c r="Y44" s="45" t="n">
        <v>8.3</v>
      </c>
      <c r="Z44" s="6" t="s">
        <v>766</v>
      </c>
      <c r="AA44" s="9" t="s">
        <v>774</v>
      </c>
      <c r="AB44" s="9" t="s">
        <v>783</v>
      </c>
      <c r="AC44" s="27" t="n">
        <f aca="false">COUNTIF(環境認証!$A$2:$A$849,A170)</f>
        <v>0</v>
      </c>
      <c r="AD44" s="6" t="n">
        <v>33.2</v>
      </c>
      <c r="AE44" s="6" t="n">
        <v>8.4</v>
      </c>
    </row>
    <row r="45" customFormat="false" ht="15" hidden="false" customHeight="true" outlineLevel="0" collapsed="false">
      <c r="A45" s="6" t="s">
        <v>914</v>
      </c>
      <c r="B45" s="6" t="s">
        <v>448</v>
      </c>
      <c r="C45" s="9" t="s">
        <v>915</v>
      </c>
      <c r="D45" s="9" t="s">
        <v>761</v>
      </c>
      <c r="E45" s="9" t="s">
        <v>762</v>
      </c>
      <c r="F45" s="9" t="s">
        <v>911</v>
      </c>
      <c r="H45" s="9" t="s">
        <v>882</v>
      </c>
      <c r="J45" s="37"/>
      <c r="K45" s="38"/>
      <c r="L45" s="38"/>
      <c r="M45" s="39" t="n">
        <v>5642</v>
      </c>
      <c r="P45" s="40"/>
      <c r="Q45" s="41" t="n">
        <f aca="false">IF(OR($A171="",P171=""),"",ROUND(YEARFRAC(P171,README!$C$5),1))</f>
        <v>36</v>
      </c>
      <c r="R45" s="40"/>
      <c r="S45" s="42" t="n">
        <v>4695</v>
      </c>
      <c r="T45" s="42" t="n">
        <v>4152.394</v>
      </c>
      <c r="U45" s="42" t="n">
        <v>6000</v>
      </c>
      <c r="V45" s="42" t="n">
        <v>1848</v>
      </c>
      <c r="W45" s="44" t="n">
        <v>1</v>
      </c>
      <c r="X45" s="6" t="n">
        <v>18</v>
      </c>
      <c r="Y45" s="45" t="n">
        <v>8.2</v>
      </c>
      <c r="Z45" s="6" t="s">
        <v>766</v>
      </c>
      <c r="AA45" s="9" t="s">
        <v>774</v>
      </c>
      <c r="AB45" s="9" t="s">
        <v>804</v>
      </c>
      <c r="AC45" s="27" t="n">
        <f aca="false">COUNTIF(環境認証!$A$2:$A$849,A171)</f>
        <v>0</v>
      </c>
      <c r="AD45" s="6" t="n">
        <v>44.5</v>
      </c>
      <c r="AE45" s="6" t="n">
        <v>27.8</v>
      </c>
    </row>
    <row r="46" customFormat="false" ht="15" hidden="false" customHeight="true" outlineLevel="0" collapsed="false">
      <c r="A46" s="6" t="s">
        <v>916</v>
      </c>
      <c r="B46" s="6" t="s">
        <v>448</v>
      </c>
      <c r="C46" s="9" t="s">
        <v>917</v>
      </c>
      <c r="D46" s="9" t="s">
        <v>761</v>
      </c>
      <c r="E46" s="9" t="s">
        <v>762</v>
      </c>
      <c r="F46" s="9" t="s">
        <v>911</v>
      </c>
      <c r="H46" s="9" t="s">
        <v>882</v>
      </c>
      <c r="J46" s="37"/>
      <c r="K46" s="38"/>
      <c r="L46" s="38"/>
      <c r="M46" s="39" t="n">
        <v>5021</v>
      </c>
      <c r="P46" s="40"/>
      <c r="Q46" s="41" t="str">
        <f aca="false">IF(OR($A172="",P172=""),"",ROUND(YEARFRAC(P172,README!$C$5),1))</f>
        <v/>
      </c>
      <c r="R46" s="40"/>
      <c r="S46" s="42" t="n">
        <v>4428</v>
      </c>
      <c r="T46" s="42" t="n">
        <v>4282.696</v>
      </c>
      <c r="U46" s="42" t="n">
        <v>5820</v>
      </c>
      <c r="V46" s="42" t="n">
        <v>1537</v>
      </c>
      <c r="W46" s="44" t="n">
        <v>1</v>
      </c>
      <c r="X46" s="6" t="n">
        <v>9</v>
      </c>
      <c r="Y46" s="45" t="n">
        <v>6.9</v>
      </c>
      <c r="Z46" s="6" t="s">
        <v>766</v>
      </c>
      <c r="AA46" s="9" t="s">
        <v>774</v>
      </c>
      <c r="AB46" s="9" t="s">
        <v>804</v>
      </c>
      <c r="AC46" s="27" t="n">
        <f aca="false">COUNTIF(環境認証!$A$2:$A$849,A172)</f>
        <v>0</v>
      </c>
      <c r="AD46" s="6" t="n">
        <v>35.9</v>
      </c>
      <c r="AE46" s="6" t="n">
        <v>31.4</v>
      </c>
    </row>
    <row r="47" customFormat="false" ht="15" hidden="false" customHeight="true" outlineLevel="0" collapsed="false">
      <c r="A47" s="6" t="s">
        <v>918</v>
      </c>
      <c r="B47" s="6" t="s">
        <v>448</v>
      </c>
      <c r="C47" s="9" t="s">
        <v>919</v>
      </c>
      <c r="D47" s="9" t="s">
        <v>761</v>
      </c>
      <c r="E47" s="9" t="s">
        <v>762</v>
      </c>
      <c r="F47" s="9" t="s">
        <v>920</v>
      </c>
      <c r="H47" s="9" t="s">
        <v>921</v>
      </c>
      <c r="J47" s="37"/>
      <c r="K47" s="38"/>
      <c r="L47" s="38"/>
      <c r="M47" s="39" t="n">
        <v>13762</v>
      </c>
      <c r="P47" s="40"/>
      <c r="Q47" s="41" t="n">
        <f aca="false">IF(OR($A173="",P173=""),"",ROUND(YEARFRAC(P173,README!$C$5),1))</f>
        <v>63.1</v>
      </c>
      <c r="R47" s="40"/>
      <c r="S47" s="42" t="n">
        <v>9320</v>
      </c>
      <c r="T47" s="42" t="n">
        <v>7293.407</v>
      </c>
      <c r="U47" s="42" t="n">
        <v>9240</v>
      </c>
      <c r="V47" s="42" t="n">
        <v>1947</v>
      </c>
      <c r="W47" s="44" t="n">
        <v>1</v>
      </c>
      <c r="X47" s="6" t="n">
        <v>1</v>
      </c>
      <c r="Y47" s="45" t="n">
        <v>0.8</v>
      </c>
      <c r="Z47" s="6" t="s">
        <v>766</v>
      </c>
      <c r="AA47" s="9" t="s">
        <v>774</v>
      </c>
      <c r="AB47" s="9" t="s">
        <v>922</v>
      </c>
      <c r="AC47" s="27" t="n">
        <f aca="false">COUNTIF(環境認証!$A$2:$A$849,A173)</f>
        <v>0</v>
      </c>
      <c r="AD47" s="6" t="n">
        <v>26.7</v>
      </c>
      <c r="AE47" s="6" t="n">
        <v>-0.9</v>
      </c>
    </row>
    <row r="48" customFormat="false" ht="15" hidden="false" customHeight="true" outlineLevel="0" collapsed="false">
      <c r="A48" s="6" t="s">
        <v>923</v>
      </c>
      <c r="B48" s="6" t="s">
        <v>448</v>
      </c>
      <c r="C48" s="9" t="s">
        <v>924</v>
      </c>
      <c r="D48" s="9" t="s">
        <v>761</v>
      </c>
      <c r="E48" s="9" t="s">
        <v>925</v>
      </c>
      <c r="F48" s="9" t="s">
        <v>926</v>
      </c>
      <c r="H48" s="9" t="s">
        <v>921</v>
      </c>
      <c r="J48" s="37"/>
      <c r="K48" s="38"/>
      <c r="L48" s="38"/>
      <c r="M48" s="39" t="n">
        <v>38372</v>
      </c>
      <c r="P48" s="40"/>
      <c r="Q48" s="41" t="n">
        <f aca="false">IF(OR($A174="",P174=""),"",ROUND(YEARFRAC(P174,README!$C$5),1))</f>
        <v>54</v>
      </c>
      <c r="R48" s="40"/>
      <c r="S48" s="42" t="n">
        <v>43190</v>
      </c>
      <c r="T48" s="42" t="n">
        <v>43590.231</v>
      </c>
      <c r="U48" s="42" t="n">
        <v>44200</v>
      </c>
      <c r="V48" s="42" t="n">
        <v>610</v>
      </c>
      <c r="W48" s="44" t="n">
        <v>0.996</v>
      </c>
      <c r="X48" s="6" t="n">
        <v>51</v>
      </c>
      <c r="Y48" s="45" t="n">
        <v>0.2</v>
      </c>
      <c r="Z48" s="6" t="s">
        <v>766</v>
      </c>
      <c r="AA48" s="9" t="s">
        <v>774</v>
      </c>
      <c r="AB48" s="9" t="s">
        <v>927</v>
      </c>
      <c r="AC48" s="27" t="n">
        <f aca="false">COUNTIF(環境認証!$A$2:$A$849,A174)</f>
        <v>0</v>
      </c>
      <c r="AD48" s="6" t="n">
        <v>1.4</v>
      </c>
      <c r="AE48" s="6" t="n">
        <v>2.3</v>
      </c>
    </row>
    <row r="49" customFormat="false" ht="15" hidden="false" customHeight="true" outlineLevel="0" collapsed="false">
      <c r="A49" s="6" t="s">
        <v>928</v>
      </c>
      <c r="B49" s="6" t="s">
        <v>448</v>
      </c>
      <c r="C49" s="9" t="s">
        <v>929</v>
      </c>
      <c r="D49" s="9" t="s">
        <v>761</v>
      </c>
      <c r="E49" s="9" t="s">
        <v>925</v>
      </c>
      <c r="F49" s="9" t="s">
        <v>930</v>
      </c>
      <c r="H49" s="9" t="s">
        <v>921</v>
      </c>
      <c r="J49" s="37"/>
      <c r="K49" s="38"/>
      <c r="L49" s="38"/>
      <c r="M49" s="39" t="n">
        <v>22410</v>
      </c>
      <c r="P49" s="40"/>
      <c r="Q49" s="41" t="n">
        <f aca="false">IF(OR($A175="",P175=""),"",ROUND(YEARFRAC(P175,README!$C$5),1))</f>
        <v>38.9</v>
      </c>
      <c r="R49" s="40"/>
      <c r="S49" s="42" t="n">
        <v>29000</v>
      </c>
      <c r="T49" s="42" t="n">
        <v>29503.891</v>
      </c>
      <c r="U49" s="42" t="n">
        <v>30500</v>
      </c>
      <c r="V49" s="42" t="n">
        <v>996</v>
      </c>
      <c r="W49" s="44" t="n">
        <v>0.988</v>
      </c>
      <c r="X49" s="6" t="n">
        <v>29</v>
      </c>
      <c r="Y49" s="45" t="n">
        <v>0.1</v>
      </c>
      <c r="Z49" s="6" t="s">
        <v>766</v>
      </c>
      <c r="AA49" s="9" t="s">
        <v>774</v>
      </c>
      <c r="AB49" s="9" t="s">
        <v>931</v>
      </c>
      <c r="AC49" s="27" t="n">
        <f aca="false">COUNTIF(環境認証!$A$2:$A$849,A175)</f>
        <v>0</v>
      </c>
      <c r="AD49" s="6" t="n">
        <v>3.4</v>
      </c>
      <c r="AE49" s="6" t="n">
        <v>5.2</v>
      </c>
    </row>
    <row r="50" customFormat="false" ht="15" hidden="false" customHeight="true" outlineLevel="0" collapsed="false">
      <c r="A50" s="6" t="s">
        <v>932</v>
      </c>
      <c r="B50" s="6" t="s">
        <v>448</v>
      </c>
      <c r="C50" s="9" t="s">
        <v>933</v>
      </c>
      <c r="D50" s="9" t="s">
        <v>761</v>
      </c>
      <c r="E50" s="9" t="s">
        <v>925</v>
      </c>
      <c r="F50" s="9" t="s">
        <v>926</v>
      </c>
      <c r="H50" s="9" t="s">
        <v>921</v>
      </c>
      <c r="J50" s="37"/>
      <c r="K50" s="38"/>
      <c r="L50" s="38"/>
      <c r="M50" s="39" t="n">
        <v>24104</v>
      </c>
      <c r="P50" s="40"/>
      <c r="Q50" s="41" t="n">
        <f aca="false">IF(OR($A176="",P176=""),"",ROUND(YEARFRAC(P176,README!$C$5),1))</f>
        <v>41.2</v>
      </c>
      <c r="R50" s="40"/>
      <c r="S50" s="42" t="n">
        <v>16749.3</v>
      </c>
      <c r="T50" s="42" t="n">
        <v>15533.571</v>
      </c>
      <c r="U50" s="42" t="n">
        <v>23700</v>
      </c>
      <c r="V50" s="42" t="n">
        <v>8166</v>
      </c>
      <c r="W50" s="44" t="n">
        <v>0.973</v>
      </c>
      <c r="X50" s="6" t="n">
        <v>94</v>
      </c>
      <c r="Y50" s="45" t="n">
        <v>3.2</v>
      </c>
      <c r="Z50" s="6" t="s">
        <v>766</v>
      </c>
      <c r="AA50" s="9" t="s">
        <v>774</v>
      </c>
      <c r="AB50" s="9" t="s">
        <v>934</v>
      </c>
      <c r="AC50" s="27" t="n">
        <f aca="false">COUNTIF(環境認証!$A$2:$A$849,A176)</f>
        <v>0</v>
      </c>
      <c r="AD50" s="6" t="n">
        <v>52.6</v>
      </c>
      <c r="AE50" s="6" t="n">
        <v>41.5</v>
      </c>
    </row>
    <row r="51" customFormat="false" ht="15" hidden="false" customHeight="true" outlineLevel="0" collapsed="false">
      <c r="A51" s="6" t="s">
        <v>935</v>
      </c>
      <c r="B51" s="6" t="s">
        <v>448</v>
      </c>
      <c r="C51" s="9" t="s">
        <v>936</v>
      </c>
      <c r="D51" s="9" t="s">
        <v>761</v>
      </c>
      <c r="E51" s="9" t="s">
        <v>925</v>
      </c>
      <c r="F51" s="9" t="s">
        <v>930</v>
      </c>
      <c r="H51" s="9" t="s">
        <v>921</v>
      </c>
      <c r="J51" s="37"/>
      <c r="K51" s="38"/>
      <c r="L51" s="38"/>
      <c r="M51" s="39" t="n">
        <v>12545</v>
      </c>
      <c r="P51" s="40"/>
      <c r="Q51" s="41" t="n">
        <f aca="false">IF(OR($A177="",P177=""),"",ROUND(YEARFRAC(P177,README!$C$5),1))</f>
        <v>33.1</v>
      </c>
      <c r="R51" s="40"/>
      <c r="S51" s="42" t="n">
        <v>3800</v>
      </c>
      <c r="T51" s="42" t="n">
        <v>3151.242</v>
      </c>
      <c r="U51" s="42" t="n">
        <v>4990</v>
      </c>
      <c r="V51" s="42" t="n">
        <v>1839</v>
      </c>
      <c r="W51" s="44" t="n">
        <v>0.956</v>
      </c>
      <c r="X51" s="6" t="n">
        <v>31</v>
      </c>
      <c r="Y51" s="45" t="n">
        <v>5.3</v>
      </c>
      <c r="Z51" s="6" t="s">
        <v>766</v>
      </c>
      <c r="AA51" s="9" t="s">
        <v>774</v>
      </c>
      <c r="AB51" s="9" t="s">
        <v>783</v>
      </c>
      <c r="AC51" s="27" t="n">
        <f aca="false">COUNTIF(環境認証!$A$2:$A$849,A177)</f>
        <v>0</v>
      </c>
      <c r="AD51" s="6" t="n">
        <v>58.4</v>
      </c>
      <c r="AE51" s="6" t="n">
        <v>31.3</v>
      </c>
    </row>
    <row r="52" customFormat="false" ht="15" hidden="false" customHeight="true" outlineLevel="0" collapsed="false">
      <c r="A52" s="6" t="s">
        <v>937</v>
      </c>
      <c r="B52" s="6" t="s">
        <v>448</v>
      </c>
      <c r="C52" s="9" t="s">
        <v>938</v>
      </c>
      <c r="D52" s="9" t="s">
        <v>761</v>
      </c>
      <c r="E52" s="9" t="s">
        <v>939</v>
      </c>
      <c r="F52" s="9" t="s">
        <v>940</v>
      </c>
      <c r="H52" s="9" t="s">
        <v>921</v>
      </c>
      <c r="J52" s="37"/>
      <c r="K52" s="38"/>
      <c r="L52" s="38"/>
      <c r="M52" s="39" t="n">
        <v>20698</v>
      </c>
      <c r="P52" s="40"/>
      <c r="Q52" s="41" t="n">
        <f aca="false">IF(OR($A178="",P178=""),"",ROUND(YEARFRAC(P178,README!$C$5),1))</f>
        <v>28.7</v>
      </c>
      <c r="R52" s="40"/>
      <c r="S52" s="42" t="n">
        <v>16816.345</v>
      </c>
      <c r="T52" s="42" t="n">
        <v>13356.485</v>
      </c>
      <c r="U52" s="42" t="n">
        <v>24300</v>
      </c>
      <c r="V52" s="42" t="n">
        <v>10944</v>
      </c>
      <c r="W52" s="44" t="n">
        <v>0.998</v>
      </c>
      <c r="X52" s="6" t="n">
        <v>41</v>
      </c>
      <c r="Y52" s="45" t="n">
        <v>0.9</v>
      </c>
      <c r="Z52" s="6" t="s">
        <v>766</v>
      </c>
      <c r="AA52" s="9" t="s">
        <v>774</v>
      </c>
      <c r="AB52" s="9" t="s">
        <v>941</v>
      </c>
      <c r="AC52" s="27" t="n">
        <f aca="false">COUNTIF(環境認証!$A$2:$A$849,A178)</f>
        <v>0</v>
      </c>
      <c r="AD52" s="6" t="n">
        <v>81.9</v>
      </c>
      <c r="AE52" s="6" t="n">
        <v>44.5</v>
      </c>
    </row>
    <row r="53" customFormat="false" ht="15" hidden="false" customHeight="true" outlineLevel="0" collapsed="false">
      <c r="A53" s="6" t="s">
        <v>942</v>
      </c>
      <c r="B53" s="6" t="s">
        <v>448</v>
      </c>
      <c r="C53" s="9" t="s">
        <v>943</v>
      </c>
      <c r="D53" s="9" t="s">
        <v>761</v>
      </c>
      <c r="E53" s="9" t="s">
        <v>939</v>
      </c>
      <c r="F53" s="9" t="s">
        <v>940</v>
      </c>
      <c r="H53" s="9" t="s">
        <v>921</v>
      </c>
      <c r="J53" s="37"/>
      <c r="K53" s="38"/>
      <c r="L53" s="38"/>
      <c r="M53" s="39" t="n">
        <v>3455</v>
      </c>
      <c r="P53" s="40"/>
      <c r="Q53" s="41" t="n">
        <f aca="false">IF(OR($A179="",P179=""),"",ROUND(YEARFRAC(P179,README!$C$5),1))</f>
        <v>29.8</v>
      </c>
      <c r="R53" s="40"/>
      <c r="S53" s="42" t="n">
        <v>2000</v>
      </c>
      <c r="T53" s="42" t="n">
        <v>1835.672</v>
      </c>
      <c r="U53" s="42" t="n">
        <v>2230</v>
      </c>
      <c r="V53" s="42" t="n">
        <v>394</v>
      </c>
      <c r="W53" s="44" t="n">
        <v>1</v>
      </c>
      <c r="X53" s="6" t="n">
        <v>15</v>
      </c>
      <c r="Y53" s="45" t="n">
        <v>1.9</v>
      </c>
      <c r="Z53" s="6" t="s">
        <v>766</v>
      </c>
      <c r="AA53" s="9" t="s">
        <v>774</v>
      </c>
      <c r="AB53" s="9" t="s">
        <v>804</v>
      </c>
      <c r="AC53" s="27" t="n">
        <f aca="false">COUNTIF(環境認証!$A$2:$A$849,A179)</f>
        <v>1</v>
      </c>
      <c r="AD53" s="6" t="n">
        <v>21.5</v>
      </c>
      <c r="AE53" s="6" t="n">
        <v>11.5</v>
      </c>
    </row>
    <row r="54" customFormat="false" ht="15" hidden="false" customHeight="true" outlineLevel="0" collapsed="false">
      <c r="A54" s="6" t="s">
        <v>944</v>
      </c>
      <c r="B54" s="6" t="s">
        <v>448</v>
      </c>
      <c r="C54" s="9" t="s">
        <v>945</v>
      </c>
      <c r="D54" s="9" t="s">
        <v>761</v>
      </c>
      <c r="E54" s="9" t="s">
        <v>946</v>
      </c>
      <c r="F54" s="9" t="s">
        <v>947</v>
      </c>
      <c r="H54" s="9" t="s">
        <v>921</v>
      </c>
      <c r="J54" s="37"/>
      <c r="K54" s="38"/>
      <c r="L54" s="38"/>
      <c r="M54" s="39" t="n">
        <v>4770</v>
      </c>
      <c r="P54" s="40"/>
      <c r="Q54" s="41" t="n">
        <f aca="false">IF(OR($A180="",P180=""),"",ROUND(YEARFRAC(P180,README!$C$5),1))</f>
        <v>30.1</v>
      </c>
      <c r="R54" s="40"/>
      <c r="S54" s="42" t="n">
        <v>2455</v>
      </c>
      <c r="T54" s="42" t="n">
        <v>2029.18</v>
      </c>
      <c r="U54" s="42" t="n">
        <v>2550</v>
      </c>
      <c r="V54" s="42" t="n">
        <v>521</v>
      </c>
      <c r="W54" s="44" t="n">
        <v>1</v>
      </c>
      <c r="X54" s="6" t="n">
        <v>31</v>
      </c>
      <c r="Y54" s="45"/>
      <c r="Z54" s="6" t="s">
        <v>766</v>
      </c>
      <c r="AA54" s="9" t="s">
        <v>774</v>
      </c>
      <c r="AB54" s="9" t="s">
        <v>804</v>
      </c>
      <c r="AC54" s="27" t="n">
        <f aca="false">COUNTIF(環境認証!$A$2:$A$849,A180)</f>
        <v>1</v>
      </c>
      <c r="AD54" s="6" t="n">
        <v>25.7</v>
      </c>
      <c r="AE54" s="6" t="n">
        <v>3.9</v>
      </c>
    </row>
    <row r="55" customFormat="false" ht="15" hidden="false" customHeight="true" outlineLevel="0" collapsed="false">
      <c r="A55" s="6" t="s">
        <v>948</v>
      </c>
      <c r="B55" s="6" t="s">
        <v>448</v>
      </c>
      <c r="C55" s="9" t="s">
        <v>949</v>
      </c>
      <c r="D55" s="9" t="s">
        <v>761</v>
      </c>
      <c r="E55" s="9" t="s">
        <v>950</v>
      </c>
      <c r="F55" s="9" t="s">
        <v>951</v>
      </c>
      <c r="H55" s="6" t="s">
        <v>952</v>
      </c>
      <c r="I55" s="1" t="s">
        <v>953</v>
      </c>
      <c r="J55" s="37"/>
      <c r="K55" s="38"/>
      <c r="L55" s="38"/>
      <c r="M55" s="39" t="n">
        <v>9422</v>
      </c>
      <c r="P55" s="40"/>
      <c r="Q55" s="41" t="n">
        <f aca="false">IF(OR($A181="",P181=""),"",ROUND(YEARFRAC(P181,README!$C$5),1))</f>
        <v>30.6</v>
      </c>
      <c r="R55" s="40"/>
      <c r="S55" s="42" t="n">
        <v>13800</v>
      </c>
      <c r="T55" s="42" t="n">
        <v>13897.617</v>
      </c>
      <c r="U55" s="42" t="n">
        <v>14600</v>
      </c>
      <c r="V55" s="42" t="n">
        <v>702</v>
      </c>
      <c r="W55" s="44" t="n">
        <v>0.623</v>
      </c>
      <c r="X55" s="6" t="n">
        <v>9</v>
      </c>
      <c r="Y55" s="45" t="n">
        <v>2.3</v>
      </c>
      <c r="Z55" s="6" t="s">
        <v>766</v>
      </c>
      <c r="AA55" s="9" t="s">
        <v>774</v>
      </c>
      <c r="AB55" s="9" t="s">
        <v>954</v>
      </c>
      <c r="AC55" s="27" t="n">
        <f aca="false">COUNTIF(環境認証!$A$2:$A$849,A181)</f>
        <v>1</v>
      </c>
      <c r="AD55" s="6" t="n">
        <v>5.1</v>
      </c>
      <c r="AE55" s="6" t="n">
        <v>5.8</v>
      </c>
    </row>
    <row r="56" customFormat="false" ht="15" hidden="false" customHeight="true" outlineLevel="0" collapsed="false">
      <c r="A56" s="6" t="s">
        <v>955</v>
      </c>
      <c r="B56" s="6" t="s">
        <v>448</v>
      </c>
      <c r="C56" s="9" t="s">
        <v>956</v>
      </c>
      <c r="D56" s="9" t="s">
        <v>761</v>
      </c>
      <c r="E56" s="9" t="s">
        <v>950</v>
      </c>
      <c r="F56" s="9" t="s">
        <v>951</v>
      </c>
      <c r="H56" s="6" t="s">
        <v>952</v>
      </c>
      <c r="J56" s="37"/>
      <c r="K56" s="38"/>
      <c r="L56" s="38"/>
      <c r="M56" s="39" t="n">
        <v>11396</v>
      </c>
      <c r="N56" s="1" t="n">
        <v>12</v>
      </c>
      <c r="O56" s="1" t="n">
        <v>3</v>
      </c>
      <c r="P56" s="40" t="n">
        <v>23193</v>
      </c>
      <c r="Q56" s="41" t="n">
        <f aca="false">IF(OR($A182="",P182=""),"",ROUND(YEARFRAC(P182,README!$C$5),1))</f>
        <v>36.6</v>
      </c>
      <c r="R56" s="40"/>
      <c r="S56" s="42" t="n">
        <v>4404.405</v>
      </c>
      <c r="T56" s="42" t="n">
        <v>2871.483</v>
      </c>
      <c r="U56" s="42" t="n">
        <v>9240</v>
      </c>
      <c r="V56" s="42" t="n">
        <v>6369</v>
      </c>
      <c r="W56" s="44" t="n">
        <v>1</v>
      </c>
      <c r="X56" s="6" t="n">
        <v>13</v>
      </c>
      <c r="Y56" s="45"/>
      <c r="Z56" s="6" t="s">
        <v>766</v>
      </c>
      <c r="AA56" s="9" t="s">
        <v>774</v>
      </c>
      <c r="AB56" s="9" t="s">
        <v>957</v>
      </c>
      <c r="AC56" s="27" t="n">
        <f aca="false">COUNTIF(環境認証!$A$2:$A$849,A182)</f>
        <v>1</v>
      </c>
      <c r="AD56" s="6" t="n">
        <v>221.8</v>
      </c>
      <c r="AE56" s="6" t="n">
        <v>109.8</v>
      </c>
    </row>
    <row r="57" customFormat="false" ht="15" hidden="false" customHeight="true" outlineLevel="0" collapsed="false">
      <c r="A57" s="6" t="s">
        <v>958</v>
      </c>
      <c r="B57" s="6" t="s">
        <v>448</v>
      </c>
      <c r="C57" s="9" t="s">
        <v>959</v>
      </c>
      <c r="D57" s="9" t="s">
        <v>761</v>
      </c>
      <c r="E57" s="9" t="s">
        <v>950</v>
      </c>
      <c r="F57" s="9" t="s">
        <v>951</v>
      </c>
      <c r="H57" s="6" t="s">
        <v>952</v>
      </c>
      <c r="J57" s="37"/>
      <c r="K57" s="38"/>
      <c r="L57" s="38"/>
      <c r="M57" s="39" t="n">
        <v>5351</v>
      </c>
      <c r="N57" s="1" t="n">
        <v>8</v>
      </c>
      <c r="O57" s="1" t="n">
        <v>3</v>
      </c>
      <c r="P57" s="40" t="n">
        <v>26512</v>
      </c>
      <c r="Q57" s="41" t="n">
        <f aca="false">IF(OR($A183="",P183=""),"",ROUND(YEARFRAC(P183,README!$C$5),1))</f>
        <v>33.4</v>
      </c>
      <c r="R57" s="40"/>
      <c r="S57" s="42" t="n">
        <v>1870.3</v>
      </c>
      <c r="T57" s="42" t="n">
        <v>1682.974</v>
      </c>
      <c r="U57" s="42" t="n">
        <v>1740</v>
      </c>
      <c r="V57" s="42" t="n">
        <v>57</v>
      </c>
      <c r="W57" s="44" t="n">
        <v>1</v>
      </c>
      <c r="X57" s="6" t="n">
        <v>3</v>
      </c>
      <c r="Y57" s="45"/>
      <c r="Z57" s="6" t="s">
        <v>766</v>
      </c>
      <c r="AA57" s="9" t="s">
        <v>774</v>
      </c>
      <c r="AB57" s="9" t="s">
        <v>960</v>
      </c>
      <c r="AC57" s="27" t="n">
        <f aca="false">COUNTIF(環境認証!$A$2:$A$849,A183)</f>
        <v>1</v>
      </c>
      <c r="AD57" s="6" t="n">
        <v>3.4</v>
      </c>
      <c r="AE57" s="6" t="n">
        <v>-7</v>
      </c>
    </row>
    <row r="58" customFormat="false" ht="15" hidden="false" customHeight="true" outlineLevel="0" collapsed="false">
      <c r="A58" s="6" t="s">
        <v>961</v>
      </c>
      <c r="B58" s="6" t="s">
        <v>448</v>
      </c>
      <c r="C58" s="9" t="s">
        <v>962</v>
      </c>
      <c r="D58" s="9" t="s">
        <v>761</v>
      </c>
      <c r="E58" s="9" t="s">
        <v>963</v>
      </c>
      <c r="F58" s="9" t="s">
        <v>964</v>
      </c>
      <c r="H58" s="9" t="s">
        <v>965</v>
      </c>
      <c r="J58" s="37"/>
      <c r="K58" s="38"/>
      <c r="L58" s="38"/>
      <c r="M58" s="39" t="n">
        <v>10949</v>
      </c>
      <c r="N58" s="1" t="n">
        <v>12</v>
      </c>
      <c r="O58" s="1" t="n">
        <v>1</v>
      </c>
      <c r="P58" s="40" t="n">
        <v>32051</v>
      </c>
      <c r="Q58" s="41" t="n">
        <f aca="false">IF(OR($A184="",P184=""),"",ROUND(YEARFRAC(P184,README!$C$5),1))</f>
        <v>42.4</v>
      </c>
      <c r="R58" s="40"/>
      <c r="S58" s="42" t="n">
        <v>9000</v>
      </c>
      <c r="T58" s="42" t="n">
        <v>9200.066</v>
      </c>
      <c r="U58" s="42" t="n">
        <v>9240</v>
      </c>
      <c r="V58" s="42" t="n">
        <v>40</v>
      </c>
      <c r="W58" s="44" t="n">
        <v>0.466</v>
      </c>
      <c r="X58" s="6" t="n">
        <v>13</v>
      </c>
      <c r="Y58" s="45"/>
      <c r="Z58" s="6" t="s">
        <v>766</v>
      </c>
      <c r="AA58" s="9" t="s">
        <v>774</v>
      </c>
      <c r="AB58" s="9" t="s">
        <v>966</v>
      </c>
      <c r="AC58" s="27" t="n">
        <f aca="false">COUNTIF(環境認証!$A$2:$A$849,A184)</f>
        <v>0</v>
      </c>
      <c r="AD58" s="6" t="n">
        <v>0.4</v>
      </c>
      <c r="AE58" s="6" t="n">
        <v>2.7</v>
      </c>
    </row>
    <row r="59" customFormat="false" ht="15" hidden="false" customHeight="true" outlineLevel="0" collapsed="false">
      <c r="A59" s="6" t="s">
        <v>967</v>
      </c>
      <c r="B59" s="6" t="s">
        <v>448</v>
      </c>
      <c r="C59" s="9" t="s">
        <v>968</v>
      </c>
      <c r="D59" s="9" t="s">
        <v>761</v>
      </c>
      <c r="E59" s="9" t="s">
        <v>969</v>
      </c>
      <c r="F59" s="9" t="s">
        <v>970</v>
      </c>
      <c r="H59" s="9" t="s">
        <v>971</v>
      </c>
      <c r="J59" s="37"/>
      <c r="K59" s="38"/>
      <c r="L59" s="38"/>
      <c r="M59" s="39" t="n">
        <v>17658</v>
      </c>
      <c r="N59" s="1" t="n">
        <v>8</v>
      </c>
      <c r="P59" s="40" t="n">
        <v>31199</v>
      </c>
      <c r="Q59" s="41" t="n">
        <f aca="false">IF(OR($A185="",P185=""),"",ROUND(YEARFRAC(P185,README!$C$5),1))</f>
        <v>30.9</v>
      </c>
      <c r="R59" s="40"/>
      <c r="S59" s="42" t="n">
        <v>14900</v>
      </c>
      <c r="T59" s="42" t="n">
        <v>14419.538</v>
      </c>
      <c r="U59" s="42" t="n">
        <v>16900</v>
      </c>
      <c r="V59" s="42" t="n">
        <v>2480</v>
      </c>
      <c r="W59" s="44" t="n">
        <v>0.98</v>
      </c>
      <c r="X59" s="6" t="n">
        <v>11</v>
      </c>
      <c r="Y59" s="45"/>
      <c r="Z59" s="6" t="s">
        <v>766</v>
      </c>
      <c r="AA59" s="9" t="s">
        <v>774</v>
      </c>
      <c r="AB59" s="9" t="s">
        <v>804</v>
      </c>
      <c r="AC59" s="27" t="n">
        <f aca="false">COUNTIF(環境認証!$A$2:$A$849,A185)</f>
        <v>2</v>
      </c>
      <c r="AD59" s="6" t="n">
        <v>17.2</v>
      </c>
      <c r="AE59" s="6" t="n">
        <v>13.4</v>
      </c>
    </row>
    <row r="60" customFormat="false" ht="15" hidden="false" customHeight="true" outlineLevel="0" collapsed="false">
      <c r="A60" s="6" t="s">
        <v>972</v>
      </c>
      <c r="B60" s="6" t="s">
        <v>448</v>
      </c>
      <c r="C60" s="9" t="s">
        <v>973</v>
      </c>
      <c r="D60" s="9" t="s">
        <v>761</v>
      </c>
      <c r="E60" s="9" t="s">
        <v>969</v>
      </c>
      <c r="F60" s="9" t="s">
        <v>970</v>
      </c>
      <c r="H60" s="9" t="s">
        <v>971</v>
      </c>
      <c r="J60" s="37"/>
      <c r="K60" s="38"/>
      <c r="L60" s="38"/>
      <c r="M60" s="39" t="n">
        <v>11222</v>
      </c>
      <c r="N60" s="1" t="n">
        <v>10</v>
      </c>
      <c r="O60" s="1" t="n">
        <v>2</v>
      </c>
      <c r="P60" s="40" t="n">
        <v>34151</v>
      </c>
      <c r="Q60" s="41" t="n">
        <f aca="false">IF(OR($A186="",P186=""),"",ROUND(YEARFRAC(P186,README!$C$5),1))</f>
        <v>41.4</v>
      </c>
      <c r="R60" s="40"/>
      <c r="S60" s="42" t="n">
        <v>13200</v>
      </c>
      <c r="T60" s="42" t="n">
        <v>13077.899</v>
      </c>
      <c r="U60" s="42" t="n">
        <v>15300</v>
      </c>
      <c r="V60" s="42" t="n">
        <v>2222</v>
      </c>
      <c r="W60" s="44" t="n">
        <v>1</v>
      </c>
      <c r="X60" s="6" t="n">
        <v>31</v>
      </c>
      <c r="Y60" s="45"/>
      <c r="Z60" s="6" t="s">
        <v>766</v>
      </c>
      <c r="AA60" s="9" t="s">
        <v>774</v>
      </c>
      <c r="AB60" s="9" t="s">
        <v>783</v>
      </c>
      <c r="AC60" s="27" t="n">
        <f aca="false">COUNTIF(環境認証!$A$2:$A$849,A186)</f>
        <v>0</v>
      </c>
      <c r="AD60" s="6" t="n">
        <v>17</v>
      </c>
      <c r="AE60" s="6" t="n">
        <v>15.9</v>
      </c>
    </row>
    <row r="61" customFormat="false" ht="15" hidden="false" customHeight="true" outlineLevel="0" collapsed="false">
      <c r="A61" s="6" t="s">
        <v>974</v>
      </c>
      <c r="B61" s="6" t="s">
        <v>448</v>
      </c>
      <c r="C61" s="9" t="s">
        <v>975</v>
      </c>
      <c r="D61" s="9" t="s">
        <v>761</v>
      </c>
      <c r="E61" s="9" t="s">
        <v>969</v>
      </c>
      <c r="F61" s="9" t="s">
        <v>970</v>
      </c>
      <c r="H61" s="9" t="s">
        <v>971</v>
      </c>
      <c r="J61" s="37"/>
      <c r="K61" s="38"/>
      <c r="L61" s="38"/>
      <c r="M61" s="39" t="n">
        <v>12989</v>
      </c>
      <c r="N61" s="1" t="n">
        <v>4</v>
      </c>
      <c r="O61" s="1" t="n">
        <v>1</v>
      </c>
      <c r="P61" s="40" t="n">
        <v>35765</v>
      </c>
      <c r="Q61" s="41" t="n">
        <f aca="false">IF(OR($A187="",P187=""),"",ROUND(YEARFRAC(P187,README!$C$5),1))</f>
        <v>33.1</v>
      </c>
      <c r="R61" s="40"/>
      <c r="S61" s="42" t="n">
        <v>13050</v>
      </c>
      <c r="T61" s="42" t="n">
        <v>13949.395</v>
      </c>
      <c r="U61" s="42" t="n">
        <v>14300</v>
      </c>
      <c r="V61" s="42" t="n">
        <v>351</v>
      </c>
      <c r="W61" s="44" t="n">
        <v>0.971</v>
      </c>
      <c r="X61" s="6" t="n">
        <v>66</v>
      </c>
      <c r="Y61" s="45"/>
      <c r="Z61" s="6" t="s">
        <v>766</v>
      </c>
      <c r="AA61" s="9" t="s">
        <v>774</v>
      </c>
      <c r="AB61" s="9" t="s">
        <v>783</v>
      </c>
      <c r="AC61" s="27" t="n">
        <f aca="false">COUNTIF(環境認証!$A$2:$A$849,A187)</f>
        <v>1</v>
      </c>
      <c r="AD61" s="6" t="n">
        <v>2.5</v>
      </c>
      <c r="AE61" s="6" t="n">
        <v>9.6</v>
      </c>
    </row>
    <row r="62" customFormat="false" ht="15" hidden="false" customHeight="true" outlineLevel="0" collapsed="false">
      <c r="A62" s="6" t="s">
        <v>976</v>
      </c>
      <c r="B62" s="6" t="s">
        <v>448</v>
      </c>
      <c r="C62" s="9" t="s">
        <v>977</v>
      </c>
      <c r="D62" s="9" t="s">
        <v>761</v>
      </c>
      <c r="E62" s="9" t="s">
        <v>969</v>
      </c>
      <c r="F62" s="9" t="s">
        <v>970</v>
      </c>
      <c r="H62" s="9" t="s">
        <v>971</v>
      </c>
      <c r="J62" s="37"/>
      <c r="K62" s="38"/>
      <c r="L62" s="38"/>
      <c r="M62" s="39" t="n">
        <v>9883</v>
      </c>
      <c r="N62" s="1" t="n">
        <v>7</v>
      </c>
      <c r="O62" s="1" t="n">
        <v>1</v>
      </c>
      <c r="P62" s="40" t="n">
        <v>35370</v>
      </c>
      <c r="Q62" s="41" t="n">
        <f aca="false">IF(OR($A188="",P188=""),"",ROUND(YEARFRAC(P188,README!$C$5),1))</f>
        <v>16.4</v>
      </c>
      <c r="R62" s="40"/>
      <c r="S62" s="42" t="n">
        <v>7232</v>
      </c>
      <c r="T62" s="42" t="n">
        <v>5919.911</v>
      </c>
      <c r="U62" s="42" t="n">
        <v>6790</v>
      </c>
      <c r="V62" s="42" t="n">
        <v>870</v>
      </c>
      <c r="W62" s="44" t="n">
        <v>0.976</v>
      </c>
      <c r="X62" s="6" t="n">
        <v>24</v>
      </c>
      <c r="Y62" s="45"/>
      <c r="Z62" s="6" t="s">
        <v>766</v>
      </c>
      <c r="AA62" s="9" t="s">
        <v>774</v>
      </c>
      <c r="AB62" s="9" t="s">
        <v>978</v>
      </c>
      <c r="AC62" s="27" t="n">
        <f aca="false">COUNTIF(環境認証!$A$2:$A$849,A188)</f>
        <v>2</v>
      </c>
      <c r="AD62" s="6" t="n">
        <v>14.7</v>
      </c>
      <c r="AE62" s="6" t="n">
        <v>-6.1</v>
      </c>
    </row>
    <row r="63" customFormat="false" ht="15" hidden="false" customHeight="true" outlineLevel="0" collapsed="false">
      <c r="A63" s="6" t="s">
        <v>979</v>
      </c>
      <c r="B63" s="6" t="s">
        <v>448</v>
      </c>
      <c r="C63" s="9" t="s">
        <v>980</v>
      </c>
      <c r="D63" s="9" t="s">
        <v>761</v>
      </c>
      <c r="E63" s="9" t="s">
        <v>981</v>
      </c>
      <c r="F63" s="9" t="s">
        <v>982</v>
      </c>
      <c r="H63" s="9" t="s">
        <v>971</v>
      </c>
      <c r="J63" s="37"/>
      <c r="K63" s="38"/>
      <c r="L63" s="38"/>
      <c r="M63" s="39" t="n">
        <v>42389</v>
      </c>
      <c r="N63" s="1" t="n">
        <v>8</v>
      </c>
      <c r="P63" s="40" t="n">
        <v>35247</v>
      </c>
      <c r="Q63" s="41" t="n">
        <f aca="false">IF(OR($A189="",P189=""),"",ROUND(YEARFRAC(P189,README!$C$5),1))</f>
        <v>16.5</v>
      </c>
      <c r="R63" s="40"/>
      <c r="S63" s="42" t="n">
        <v>44000</v>
      </c>
      <c r="T63" s="42" t="n">
        <v>44157.319</v>
      </c>
      <c r="U63" s="42" t="n">
        <v>46500</v>
      </c>
      <c r="V63" s="42" t="n">
        <v>2343</v>
      </c>
      <c r="W63" s="44" t="n">
        <v>0.985</v>
      </c>
      <c r="X63" s="6" t="n">
        <v>54</v>
      </c>
      <c r="Y63" s="45"/>
      <c r="Z63" s="6" t="s">
        <v>766</v>
      </c>
      <c r="AA63" s="9" t="s">
        <v>774</v>
      </c>
      <c r="AB63" s="9" t="s">
        <v>783</v>
      </c>
      <c r="AC63" s="27" t="n">
        <f aca="false">COUNTIF(環境認証!$A$2:$A$849,A189)</f>
        <v>1</v>
      </c>
      <c r="AD63" s="6" t="n">
        <v>5.3</v>
      </c>
      <c r="AE63" s="6" t="n">
        <v>5.7</v>
      </c>
    </row>
    <row r="64" customFormat="false" ht="15" hidden="false" customHeight="true" outlineLevel="0" collapsed="false">
      <c r="A64" s="6" t="s">
        <v>983</v>
      </c>
      <c r="B64" s="6" t="s">
        <v>448</v>
      </c>
      <c r="C64" s="9" t="s">
        <v>984</v>
      </c>
      <c r="D64" s="9" t="s">
        <v>761</v>
      </c>
      <c r="E64" s="9" t="s">
        <v>981</v>
      </c>
      <c r="F64" s="9" t="s">
        <v>982</v>
      </c>
      <c r="H64" s="9" t="s">
        <v>971</v>
      </c>
      <c r="J64" s="37"/>
      <c r="K64" s="38"/>
      <c r="L64" s="38"/>
      <c r="M64" s="39" t="n">
        <v>21917</v>
      </c>
      <c r="N64" s="1" t="n">
        <v>10</v>
      </c>
      <c r="P64" s="40" t="n">
        <v>35065</v>
      </c>
      <c r="Q64" s="41" t="n">
        <f aca="false">IF(OR($A190="",P190=""),"",ROUND(YEARFRAC(P190,README!$C$5),1))</f>
        <v>23.9</v>
      </c>
      <c r="R64" s="40"/>
      <c r="S64" s="42" t="n">
        <v>17810</v>
      </c>
      <c r="T64" s="42" t="n">
        <v>14200.467</v>
      </c>
      <c r="U64" s="42" t="n">
        <v>22400</v>
      </c>
      <c r="V64" s="42" t="n">
        <v>8200</v>
      </c>
      <c r="W64" s="44" t="n">
        <v>0.95</v>
      </c>
      <c r="X64" s="6" t="n">
        <v>44</v>
      </c>
      <c r="Y64" s="45"/>
      <c r="Z64" s="6" t="s">
        <v>766</v>
      </c>
      <c r="AA64" s="9" t="s">
        <v>774</v>
      </c>
      <c r="AB64" s="9" t="s">
        <v>804</v>
      </c>
      <c r="AC64" s="27" t="n">
        <f aca="false">COUNTIF(環境認証!$A$2:$A$849,A190)</f>
        <v>1</v>
      </c>
      <c r="AD64" s="6" t="n">
        <v>57.7</v>
      </c>
      <c r="AE64" s="6" t="n">
        <v>25.8</v>
      </c>
    </row>
    <row r="65" customFormat="false" ht="15" hidden="false" customHeight="true" outlineLevel="0" collapsed="false">
      <c r="A65" s="6" t="s">
        <v>985</v>
      </c>
      <c r="B65" s="6" t="s">
        <v>448</v>
      </c>
      <c r="C65" s="9" t="s">
        <v>986</v>
      </c>
      <c r="D65" s="9" t="s">
        <v>761</v>
      </c>
      <c r="E65" s="9" t="s">
        <v>981</v>
      </c>
      <c r="F65" s="9" t="s">
        <v>982</v>
      </c>
      <c r="H65" s="9" t="s">
        <v>971</v>
      </c>
      <c r="J65" s="37"/>
      <c r="K65" s="38"/>
      <c r="L65" s="38"/>
      <c r="M65" s="39" t="n">
        <v>17279</v>
      </c>
      <c r="N65" s="1" t="n">
        <v>7</v>
      </c>
      <c r="O65" s="1" t="n">
        <v>1</v>
      </c>
      <c r="P65" s="40" t="n">
        <v>32874</v>
      </c>
      <c r="Q65" s="41" t="n">
        <f aca="false">IF(OR($A191="",P191=""),"",ROUND(YEARFRAC(P191,README!$C$5),1))</f>
        <v>16.3</v>
      </c>
      <c r="R65" s="40"/>
      <c r="S65" s="42" t="n">
        <v>14900</v>
      </c>
      <c r="T65" s="42" t="n">
        <v>13171.252</v>
      </c>
      <c r="U65" s="42" t="n">
        <v>20200</v>
      </c>
      <c r="V65" s="42" t="n">
        <v>7029</v>
      </c>
      <c r="W65" s="44" t="n">
        <v>1</v>
      </c>
      <c r="X65" s="6" t="n">
        <v>30</v>
      </c>
      <c r="Y65" s="45"/>
      <c r="Z65" s="6" t="s">
        <v>766</v>
      </c>
      <c r="AA65" s="9" t="s">
        <v>774</v>
      </c>
      <c r="AB65" s="9" t="s">
        <v>804</v>
      </c>
      <c r="AC65" s="27" t="n">
        <f aca="false">COUNTIF(環境認証!$A$2:$A$849,A191)</f>
        <v>1</v>
      </c>
      <c r="AD65" s="6" t="n">
        <v>53.4</v>
      </c>
      <c r="AE65" s="6" t="n">
        <v>35.6</v>
      </c>
    </row>
    <row r="66" customFormat="false" ht="15" hidden="false" customHeight="true" outlineLevel="0" collapsed="false">
      <c r="A66" s="6" t="s">
        <v>987</v>
      </c>
      <c r="B66" s="6" t="s">
        <v>448</v>
      </c>
      <c r="C66" s="9" t="s">
        <v>988</v>
      </c>
      <c r="D66" s="9" t="s">
        <v>761</v>
      </c>
      <c r="E66" s="9" t="s">
        <v>981</v>
      </c>
      <c r="F66" s="9" t="s">
        <v>982</v>
      </c>
      <c r="H66" s="9" t="s">
        <v>971</v>
      </c>
      <c r="J66" s="37"/>
      <c r="K66" s="38"/>
      <c r="L66" s="38"/>
      <c r="M66" s="39" t="n">
        <v>24413</v>
      </c>
      <c r="N66" s="1" t="n">
        <v>7</v>
      </c>
      <c r="O66" s="1" t="n">
        <v>2</v>
      </c>
      <c r="P66" s="40" t="n">
        <v>34060</v>
      </c>
      <c r="Q66" s="41" t="n">
        <f aca="false">IF(OR($A192="",P192=""),"",ROUND(YEARFRAC(P192,README!$C$5),1))</f>
        <v>14.6</v>
      </c>
      <c r="R66" s="40"/>
      <c r="S66" s="42" t="n">
        <v>14400</v>
      </c>
      <c r="T66" s="42" t="n">
        <v>10124.32</v>
      </c>
      <c r="U66" s="42" t="n">
        <v>14000</v>
      </c>
      <c r="V66" s="42" t="n">
        <v>3876</v>
      </c>
      <c r="W66" s="44" t="n">
        <v>0.985</v>
      </c>
      <c r="X66" s="6" t="n">
        <v>61</v>
      </c>
      <c r="Y66" s="45"/>
      <c r="Z66" s="6" t="s">
        <v>766</v>
      </c>
      <c r="AA66" s="9" t="s">
        <v>774</v>
      </c>
      <c r="AB66" s="9" t="s">
        <v>783</v>
      </c>
      <c r="AC66" s="27" t="n">
        <f aca="false">COUNTIF(環境認証!$A$2:$A$849,A192)</f>
        <v>1</v>
      </c>
      <c r="AD66" s="6" t="n">
        <v>38.3</v>
      </c>
      <c r="AE66" s="6" t="n">
        <v>-2.8</v>
      </c>
    </row>
    <row r="67" customFormat="false" ht="15" hidden="false" customHeight="true" outlineLevel="0" collapsed="false">
      <c r="A67" s="6" t="s">
        <v>989</v>
      </c>
      <c r="B67" s="6" t="s">
        <v>448</v>
      </c>
      <c r="C67" s="9" t="s">
        <v>990</v>
      </c>
      <c r="D67" s="9" t="s">
        <v>761</v>
      </c>
      <c r="E67" s="9" t="s">
        <v>981</v>
      </c>
      <c r="F67" s="9" t="s">
        <v>982</v>
      </c>
      <c r="H67" s="9" t="s">
        <v>971</v>
      </c>
      <c r="J67" s="37"/>
      <c r="K67" s="38"/>
      <c r="L67" s="38"/>
      <c r="M67" s="39" t="n">
        <v>23163</v>
      </c>
      <c r="N67" s="1" t="n">
        <v>9</v>
      </c>
      <c r="O67" s="1" t="n">
        <v>2</v>
      </c>
      <c r="P67" s="40" t="n">
        <v>30773</v>
      </c>
      <c r="Q67" s="41" t="n">
        <f aca="false">IF(OR($A193="",P193=""),"",ROUND(YEARFRAC(P193,README!$C$5),1))</f>
        <v>35.9</v>
      </c>
      <c r="R67" s="40"/>
      <c r="S67" s="42" t="n">
        <v>12700</v>
      </c>
      <c r="T67" s="42" t="n">
        <v>12979.57</v>
      </c>
      <c r="U67" s="42" t="n">
        <v>16200</v>
      </c>
      <c r="V67" s="42" t="n">
        <v>3220</v>
      </c>
      <c r="W67" s="44" t="n">
        <v>0.991</v>
      </c>
      <c r="X67" s="6" t="n">
        <v>56</v>
      </c>
      <c r="Y67" s="45"/>
      <c r="Z67" s="6" t="s">
        <v>766</v>
      </c>
      <c r="AA67" s="9" t="s">
        <v>774</v>
      </c>
      <c r="AB67" s="9" t="s">
        <v>991</v>
      </c>
      <c r="AC67" s="27" t="n">
        <f aca="false">COUNTIF(環境認証!$A$2:$A$849,A193)</f>
        <v>0</v>
      </c>
      <c r="AD67" s="6" t="n">
        <v>24.8</v>
      </c>
      <c r="AE67" s="6" t="n">
        <v>27.6</v>
      </c>
    </row>
    <row r="68" customFormat="false" ht="15" hidden="false" customHeight="true" outlineLevel="0" collapsed="false">
      <c r="A68" s="6" t="s">
        <v>992</v>
      </c>
      <c r="B68" s="6" t="s">
        <v>448</v>
      </c>
      <c r="C68" s="9" t="s">
        <v>993</v>
      </c>
      <c r="D68" s="9" t="s">
        <v>761</v>
      </c>
      <c r="E68" s="9" t="s">
        <v>981</v>
      </c>
      <c r="F68" s="9" t="s">
        <v>982</v>
      </c>
      <c r="H68" s="9" t="s">
        <v>971</v>
      </c>
      <c r="J68" s="37"/>
      <c r="K68" s="38"/>
      <c r="L68" s="38"/>
      <c r="M68" s="39" t="n">
        <v>7432</v>
      </c>
      <c r="N68" s="1" t="n">
        <v>34</v>
      </c>
      <c r="O68" s="1" t="n">
        <v>3</v>
      </c>
      <c r="P68" s="40" t="n">
        <v>34943</v>
      </c>
      <c r="Q68" s="41" t="n">
        <f aca="false">IF(OR($A194="",P194=""),"",ROUND(YEARFRAC(P194,README!$C$5),1))</f>
        <v>37.7</v>
      </c>
      <c r="R68" s="40"/>
      <c r="S68" s="42" t="n">
        <v>9833</v>
      </c>
      <c r="T68" s="42" t="n">
        <v>8203.695</v>
      </c>
      <c r="U68" s="42" t="n">
        <v>10600</v>
      </c>
      <c r="V68" s="42" t="n">
        <v>2396</v>
      </c>
      <c r="W68" s="44" t="n">
        <v>1</v>
      </c>
      <c r="X68" s="6" t="n">
        <v>13</v>
      </c>
      <c r="Y68" s="45"/>
      <c r="Z68" s="6" t="s">
        <v>766</v>
      </c>
      <c r="AA68" s="9" t="s">
        <v>774</v>
      </c>
      <c r="AB68" s="9" t="s">
        <v>804</v>
      </c>
      <c r="AC68" s="27" t="n">
        <f aca="false">COUNTIF(環境認証!$A$2:$A$849,A194)</f>
        <v>0</v>
      </c>
      <c r="AD68" s="6" t="n">
        <v>29.2</v>
      </c>
      <c r="AE68" s="6" t="n">
        <v>7.8</v>
      </c>
    </row>
    <row r="69" customFormat="false" ht="15" hidden="false" customHeight="true" outlineLevel="0" collapsed="false">
      <c r="A69" s="6" t="s">
        <v>994</v>
      </c>
      <c r="B69" s="6" t="s">
        <v>448</v>
      </c>
      <c r="C69" s="9" t="s">
        <v>995</v>
      </c>
      <c r="D69" s="9" t="s">
        <v>761</v>
      </c>
      <c r="E69" s="9" t="s">
        <v>996</v>
      </c>
      <c r="F69" s="9" t="s">
        <v>997</v>
      </c>
      <c r="H69" s="6" t="s">
        <v>952</v>
      </c>
      <c r="J69" s="37"/>
      <c r="K69" s="38"/>
      <c r="L69" s="38"/>
      <c r="M69" s="39" t="n">
        <v>3930</v>
      </c>
      <c r="N69" s="1" t="n">
        <v>8</v>
      </c>
      <c r="P69" s="40" t="n">
        <v>31107</v>
      </c>
      <c r="Q69" s="41" t="n">
        <f aca="false">IF(OR($A195="",P195=""),"",ROUND(YEARFRAC(P195,README!$C$5),1))</f>
        <v>16.9</v>
      </c>
      <c r="R69" s="40"/>
      <c r="S69" s="42" t="n">
        <v>2215</v>
      </c>
      <c r="T69" s="42" t="n">
        <v>1739.519</v>
      </c>
      <c r="U69" s="42" t="n">
        <v>2390</v>
      </c>
      <c r="V69" s="42" t="n">
        <v>650</v>
      </c>
      <c r="W69" s="44" t="n">
        <v>1</v>
      </c>
      <c r="X69" s="6" t="n">
        <v>19</v>
      </c>
      <c r="Y69" s="45"/>
      <c r="Z69" s="6" t="s">
        <v>766</v>
      </c>
      <c r="AA69" s="9" t="s">
        <v>774</v>
      </c>
      <c r="AB69" s="9" t="s">
        <v>998</v>
      </c>
      <c r="AC69" s="27" t="n">
        <f aca="false">COUNTIF(環境認証!$A$2:$A$849,A195)</f>
        <v>1</v>
      </c>
      <c r="AD69" s="6" t="n">
        <v>37.4</v>
      </c>
      <c r="AE69" s="6" t="n">
        <v>7.9</v>
      </c>
    </row>
    <row r="70" customFormat="false" ht="15" hidden="false" customHeight="true" outlineLevel="0" collapsed="false">
      <c r="A70" s="6" t="s">
        <v>999</v>
      </c>
      <c r="B70" s="6" t="s">
        <v>448</v>
      </c>
      <c r="C70" s="9" t="s">
        <v>1000</v>
      </c>
      <c r="D70" s="9" t="s">
        <v>761</v>
      </c>
      <c r="E70" s="9" t="s">
        <v>1001</v>
      </c>
      <c r="F70" s="9" t="s">
        <v>1002</v>
      </c>
      <c r="H70" s="9" t="s">
        <v>965</v>
      </c>
      <c r="J70" s="37"/>
      <c r="K70" s="38"/>
      <c r="L70" s="38"/>
      <c r="M70" s="39" t="n">
        <v>5984</v>
      </c>
      <c r="N70" s="1" t="n">
        <v>10</v>
      </c>
      <c r="O70" s="1" t="n">
        <v>1</v>
      </c>
      <c r="P70" s="40" t="n">
        <v>34151</v>
      </c>
      <c r="Q70" s="41" t="n">
        <f aca="false">IF(OR($A196="",P196=""),"",ROUND(YEARFRAC(P196,README!$C$5),1))</f>
        <v>28.7</v>
      </c>
      <c r="R70" s="40"/>
      <c r="S70" s="42" t="n">
        <v>3310</v>
      </c>
      <c r="T70" s="42" t="n">
        <v>2717.828</v>
      </c>
      <c r="U70" s="42" t="n">
        <v>4040</v>
      </c>
      <c r="V70" s="42" t="n">
        <v>1322</v>
      </c>
      <c r="W70" s="44" t="n">
        <v>0.947</v>
      </c>
      <c r="X70" s="6" t="n">
        <v>22</v>
      </c>
      <c r="Y70" s="45"/>
      <c r="Z70" s="6" t="s">
        <v>766</v>
      </c>
      <c r="AA70" s="9" t="s">
        <v>774</v>
      </c>
      <c r="AB70" s="9" t="s">
        <v>804</v>
      </c>
      <c r="AC70" s="27" t="n">
        <f aca="false">COUNTIF(環境認証!$A$2:$A$849,A196)</f>
        <v>0</v>
      </c>
      <c r="AD70" s="6" t="n">
        <v>48.6</v>
      </c>
      <c r="AE70" s="6" t="n">
        <v>22.1</v>
      </c>
    </row>
    <row r="71" customFormat="false" ht="15" hidden="false" customHeight="true" outlineLevel="0" collapsed="false">
      <c r="A71" s="6" t="s">
        <v>1003</v>
      </c>
      <c r="B71" s="6" t="s">
        <v>448</v>
      </c>
      <c r="C71" s="9" t="s">
        <v>1004</v>
      </c>
      <c r="D71" s="9" t="s">
        <v>761</v>
      </c>
      <c r="E71" s="9" t="s">
        <v>1005</v>
      </c>
      <c r="F71" s="9" t="s">
        <v>1006</v>
      </c>
      <c r="H71" s="6" t="s">
        <v>952</v>
      </c>
      <c r="J71" s="37"/>
      <c r="K71" s="38"/>
      <c r="L71" s="38"/>
      <c r="M71" s="39" t="n">
        <v>14328</v>
      </c>
      <c r="N71" s="1" t="n">
        <v>8</v>
      </c>
      <c r="O71" s="1" t="n">
        <v>1</v>
      </c>
      <c r="P71" s="40" t="n">
        <v>40269</v>
      </c>
      <c r="Q71" s="41" t="n">
        <f aca="false">IF(OR($A197="",P197=""),"",ROUND(YEARFRAC(P197,README!$C$5),1))</f>
        <v>16</v>
      </c>
      <c r="R71" s="40"/>
      <c r="S71" s="42" t="n">
        <v>8000</v>
      </c>
      <c r="T71" s="42" t="n">
        <v>6033.403</v>
      </c>
      <c r="U71" s="42" t="n">
        <v>13800</v>
      </c>
      <c r="V71" s="42" t="n">
        <v>7767</v>
      </c>
      <c r="W71" s="44" t="n">
        <v>0.97</v>
      </c>
      <c r="X71" s="6" t="n">
        <v>20</v>
      </c>
      <c r="Y71" s="45"/>
      <c r="Z71" s="6" t="s">
        <v>766</v>
      </c>
      <c r="AA71" s="9" t="s">
        <v>774</v>
      </c>
      <c r="AB71" s="9" t="s">
        <v>804</v>
      </c>
      <c r="AC71" s="27" t="n">
        <f aca="false">COUNTIF(環境認証!$A$2:$A$849,A197)</f>
        <v>1</v>
      </c>
      <c r="AD71" s="6" t="n">
        <v>128.7</v>
      </c>
      <c r="AE71" s="6" t="n">
        <v>72.5</v>
      </c>
    </row>
    <row r="72" customFormat="false" ht="15" hidden="false" customHeight="true" outlineLevel="0" collapsed="false">
      <c r="A72" s="6" t="s">
        <v>1007</v>
      </c>
      <c r="B72" s="6" t="s">
        <v>448</v>
      </c>
      <c r="C72" s="9" t="s">
        <v>1008</v>
      </c>
      <c r="D72" s="9" t="s">
        <v>761</v>
      </c>
      <c r="E72" s="9" t="s">
        <v>1009</v>
      </c>
      <c r="F72" s="9" t="s">
        <v>1010</v>
      </c>
      <c r="H72" s="6" t="s">
        <v>952</v>
      </c>
      <c r="J72" s="37"/>
      <c r="K72" s="38"/>
      <c r="L72" s="38"/>
      <c r="M72" s="39" t="n">
        <v>7931</v>
      </c>
      <c r="N72" s="1" t="n">
        <v>9</v>
      </c>
      <c r="P72" s="40" t="n">
        <v>40210</v>
      </c>
      <c r="Q72" s="41" t="n">
        <f aca="false">IF(OR($A198="",P198=""),"",ROUND(YEARFRAC(P198,README!$C$5),1))</f>
        <v>24.8</v>
      </c>
      <c r="R72" s="40"/>
      <c r="S72" s="42" t="n">
        <v>4500</v>
      </c>
      <c r="T72" s="42" t="n">
        <v>3164.171</v>
      </c>
      <c r="U72" s="42" t="n">
        <v>4880</v>
      </c>
      <c r="V72" s="42" t="n">
        <v>1716</v>
      </c>
      <c r="W72" s="44" t="n">
        <v>1</v>
      </c>
      <c r="X72" s="6" t="n">
        <v>13</v>
      </c>
      <c r="Y72" s="45"/>
      <c r="Z72" s="6" t="s">
        <v>766</v>
      </c>
      <c r="AA72" s="9" t="s">
        <v>774</v>
      </c>
      <c r="AB72" s="9" t="s">
        <v>804</v>
      </c>
      <c r="AC72" s="27" t="n">
        <f aca="false">COUNTIF(環境認証!$A$2:$A$849,A198)</f>
        <v>0</v>
      </c>
      <c r="AD72" s="6" t="n">
        <v>54.2</v>
      </c>
      <c r="AE72" s="6" t="n">
        <v>8.4</v>
      </c>
    </row>
    <row r="73" customFormat="false" ht="15" hidden="false" customHeight="true" outlineLevel="0" collapsed="false">
      <c r="A73" s="6" t="s">
        <v>1011</v>
      </c>
      <c r="B73" s="6" t="s">
        <v>458</v>
      </c>
      <c r="C73" s="9" t="s">
        <v>1012</v>
      </c>
      <c r="D73" s="9" t="s">
        <v>761</v>
      </c>
      <c r="E73" s="36" t="s">
        <v>762</v>
      </c>
      <c r="F73" s="36" t="s">
        <v>815</v>
      </c>
      <c r="H73" s="9" t="s">
        <v>1013</v>
      </c>
      <c r="M73" s="1" t="n">
        <v>13960.84</v>
      </c>
      <c r="N73" s="1" t="n">
        <v>15</v>
      </c>
      <c r="O73" s="1" t="n">
        <v>1</v>
      </c>
      <c r="P73" s="1" t="n">
        <v>37530</v>
      </c>
      <c r="Q73" s="1" t="str">
        <f aca="false">IF(OR($A1253="",P1253=""),"",ROUND(YEARFRAC(P1253,README!$C$5),1))</f>
        <v/>
      </c>
      <c r="S73" s="6" t="n">
        <v>1197029</v>
      </c>
      <c r="T73" s="6" t="n">
        <v>1082573</v>
      </c>
      <c r="U73" s="6" t="n">
        <v>1447290</v>
      </c>
      <c r="V73" s="1" t="n">
        <f aca="false">IF($A1253="","",IF(OR(T1253="",U1253=""),"",U1253-T1253))</f>
        <v>-55</v>
      </c>
      <c r="W73" s="6" t="n">
        <v>0.989</v>
      </c>
      <c r="X73" s="6" t="n">
        <v>1674</v>
      </c>
      <c r="Z73" s="6" t="s">
        <v>1014</v>
      </c>
      <c r="AA73" s="9" t="s">
        <v>767</v>
      </c>
      <c r="AB73" s="6" t="s">
        <v>1015</v>
      </c>
      <c r="AC73" s="27" t="n">
        <f aca="false">COUNTIF(環境認証!$A$2:$A$849,A1253)</f>
        <v>0</v>
      </c>
      <c r="AD73" s="1" t="n">
        <v>75.4</v>
      </c>
      <c r="AE73" s="1" t="n">
        <v>67.9</v>
      </c>
    </row>
    <row r="74" customFormat="false" ht="15" hidden="false" customHeight="true" outlineLevel="0" collapsed="false">
      <c r="A74" s="6" t="s">
        <v>1016</v>
      </c>
      <c r="B74" s="6" t="s">
        <v>458</v>
      </c>
      <c r="C74" s="9" t="s">
        <v>1017</v>
      </c>
      <c r="D74" s="9" t="s">
        <v>761</v>
      </c>
      <c r="E74" s="9" t="s">
        <v>762</v>
      </c>
      <c r="F74" s="9" t="s">
        <v>763</v>
      </c>
      <c r="H74" s="9" t="s">
        <v>772</v>
      </c>
      <c r="M74" s="6" t="n">
        <v>25678</v>
      </c>
      <c r="N74" s="1" t="n">
        <v>8</v>
      </c>
      <c r="P74" s="1" t="n">
        <v>40299</v>
      </c>
      <c r="Q74" s="1" t="str">
        <f aca="false">IF(OR($A1174="",P1174=""),"",ROUND(YEARFRAC(P1174,README!$C$5),1))</f>
        <v/>
      </c>
      <c r="S74" s="6" t="n">
        <v>81555.5</v>
      </c>
      <c r="T74" s="6" t="n">
        <v>68057</v>
      </c>
      <c r="U74" s="6" t="n">
        <v>84400</v>
      </c>
      <c r="V74" s="6" t="n">
        <v>16343</v>
      </c>
      <c r="W74" s="6" t="n">
        <v>1</v>
      </c>
      <c r="X74" s="6" t="n">
        <v>8</v>
      </c>
      <c r="Z74" s="6" t="s">
        <v>1014</v>
      </c>
      <c r="AA74" s="9" t="s">
        <v>774</v>
      </c>
      <c r="AB74" s="9" t="s">
        <v>1018</v>
      </c>
      <c r="AC74" s="27" t="n">
        <f aca="false">COUNTIF(環境認証!$A$2:$A$849,A1174)</f>
        <v>2</v>
      </c>
      <c r="AD74" s="6" t="n">
        <v>24</v>
      </c>
      <c r="AE74" s="6" t="n">
        <v>3.5</v>
      </c>
    </row>
    <row r="75" customFormat="false" ht="15" hidden="false" customHeight="true" outlineLevel="0" collapsed="false">
      <c r="A75" s="6" t="s">
        <v>1019</v>
      </c>
      <c r="B75" s="6" t="s">
        <v>458</v>
      </c>
      <c r="C75" s="9" t="s">
        <v>1020</v>
      </c>
      <c r="D75" s="9" t="s">
        <v>761</v>
      </c>
      <c r="E75" s="9" t="s">
        <v>762</v>
      </c>
      <c r="F75" s="9" t="s">
        <v>763</v>
      </c>
      <c r="H75" s="9" t="s">
        <v>772</v>
      </c>
      <c r="M75" s="6" t="n">
        <v>6269</v>
      </c>
      <c r="N75" s="1" t="n">
        <v>11</v>
      </c>
      <c r="O75" s="1" t="n">
        <v>2</v>
      </c>
      <c r="P75" s="1" t="n">
        <v>40909</v>
      </c>
      <c r="Q75" s="1" t="str">
        <f aca="false">IF(OR($A1175="",P1175=""),"",ROUND(YEARFRAC(P1175,README!$C$5),1))</f>
        <v/>
      </c>
      <c r="S75" s="6" t="n">
        <v>9520</v>
      </c>
      <c r="T75" s="6" t="n">
        <v>8513</v>
      </c>
      <c r="U75" s="6" t="n">
        <v>9600</v>
      </c>
      <c r="V75" s="6" t="n">
        <v>1087</v>
      </c>
      <c r="W75" s="6" t="n">
        <v>1</v>
      </c>
      <c r="X75" s="6" t="n">
        <v>9</v>
      </c>
      <c r="Z75" s="6" t="s">
        <v>1014</v>
      </c>
      <c r="AA75" s="9" t="s">
        <v>774</v>
      </c>
      <c r="AB75" s="36" t="s">
        <v>1021</v>
      </c>
      <c r="AC75" s="27" t="n">
        <f aca="false">COUNTIF(環境認証!$A$2:$A$849,A1175)</f>
        <v>1</v>
      </c>
      <c r="AD75" s="6" t="n">
        <v>12.8</v>
      </c>
      <c r="AE75" s="6" t="n">
        <v>0.8</v>
      </c>
    </row>
    <row r="76" customFormat="false" ht="15" hidden="false" customHeight="true" outlineLevel="0" collapsed="false">
      <c r="A76" s="6" t="s">
        <v>1022</v>
      </c>
      <c r="B76" s="6" t="s">
        <v>458</v>
      </c>
      <c r="C76" s="9" t="s">
        <v>1023</v>
      </c>
      <c r="D76" s="9" t="s">
        <v>761</v>
      </c>
      <c r="E76" s="9" t="s">
        <v>762</v>
      </c>
      <c r="F76" s="9" t="s">
        <v>763</v>
      </c>
      <c r="H76" s="9" t="s">
        <v>772</v>
      </c>
      <c r="M76" s="6" t="n">
        <v>5551</v>
      </c>
      <c r="N76" s="1" t="n">
        <v>7</v>
      </c>
      <c r="O76" s="1" t="n">
        <v>2</v>
      </c>
      <c r="P76" s="1" t="n">
        <v>33117</v>
      </c>
      <c r="Q76" s="1" t="str">
        <f aca="false">IF(OR($A1176="",P1176=""),"",ROUND(YEARFRAC(P1176,README!$C$5),1))</f>
        <v/>
      </c>
      <c r="S76" s="6" t="n">
        <v>6960</v>
      </c>
      <c r="T76" s="6" t="n">
        <v>6510</v>
      </c>
      <c r="U76" s="6" t="n">
        <v>8210</v>
      </c>
      <c r="V76" s="6" t="n">
        <v>1700</v>
      </c>
      <c r="W76" s="6" t="n">
        <v>1</v>
      </c>
      <c r="X76" s="6" t="n">
        <v>10</v>
      </c>
      <c r="Z76" s="6" t="s">
        <v>1014</v>
      </c>
      <c r="AA76" s="9" t="s">
        <v>774</v>
      </c>
      <c r="AB76" s="6" t="s">
        <v>1024</v>
      </c>
      <c r="AC76" s="27" t="n">
        <f aca="false">COUNTIF(環境認証!$A$2:$A$849,A1176)</f>
        <v>0</v>
      </c>
      <c r="AD76" s="6" t="n">
        <v>26.1</v>
      </c>
      <c r="AE76" s="6" t="n">
        <v>18</v>
      </c>
    </row>
    <row r="77" customFormat="false" ht="15" hidden="false" customHeight="true" outlineLevel="0" collapsed="false">
      <c r="A77" s="6" t="s">
        <v>1025</v>
      </c>
      <c r="B77" s="6" t="s">
        <v>458</v>
      </c>
      <c r="C77" s="9" t="s">
        <v>1026</v>
      </c>
      <c r="D77" s="9" t="s">
        <v>761</v>
      </c>
      <c r="E77" s="9" t="s">
        <v>762</v>
      </c>
      <c r="F77" s="9" t="s">
        <v>763</v>
      </c>
      <c r="H77" s="9" t="s">
        <v>772</v>
      </c>
      <c r="M77" s="6" t="n">
        <v>7659</v>
      </c>
      <c r="N77" s="1" t="n">
        <v>12</v>
      </c>
      <c r="O77" s="1" t="n">
        <v>1</v>
      </c>
      <c r="P77" s="1" t="n">
        <v>32478</v>
      </c>
      <c r="Q77" s="1" t="str">
        <f aca="false">IF(OR($A1177="",P1177=""),"",ROUND(YEARFRAC(P1177,README!$C$5),1))</f>
        <v/>
      </c>
      <c r="S77" s="6" t="n">
        <v>21842.9</v>
      </c>
      <c r="T77" s="6" t="n">
        <v>20091</v>
      </c>
      <c r="U77" s="6" t="n">
        <v>29300</v>
      </c>
      <c r="V77" s="6" t="n">
        <v>9209</v>
      </c>
      <c r="W77" s="6" t="n">
        <v>0.999</v>
      </c>
      <c r="X77" s="6" t="n">
        <v>16</v>
      </c>
      <c r="Z77" s="6" t="s">
        <v>1014</v>
      </c>
      <c r="AA77" s="9" t="s">
        <v>774</v>
      </c>
      <c r="AB77" s="36" t="s">
        <v>1027</v>
      </c>
      <c r="AC77" s="27" t="n">
        <f aca="false">COUNTIF(環境認証!$A$2:$A$849,A1177)</f>
        <v>0</v>
      </c>
      <c r="AD77" s="6" t="n">
        <v>45.8</v>
      </c>
      <c r="AE77" s="6" t="n">
        <v>34.1</v>
      </c>
    </row>
    <row r="78" customFormat="false" ht="15" hidden="false" customHeight="true" outlineLevel="0" collapsed="false">
      <c r="A78" s="6" t="s">
        <v>1028</v>
      </c>
      <c r="B78" s="6" t="s">
        <v>458</v>
      </c>
      <c r="C78" s="9" t="s">
        <v>1029</v>
      </c>
      <c r="D78" s="9" t="s">
        <v>761</v>
      </c>
      <c r="E78" s="9" t="s">
        <v>762</v>
      </c>
      <c r="F78" s="9" t="s">
        <v>763</v>
      </c>
      <c r="H78" s="9" t="s">
        <v>772</v>
      </c>
      <c r="M78" s="6" t="n">
        <v>2372</v>
      </c>
      <c r="N78" s="1" t="n">
        <v>6</v>
      </c>
      <c r="O78" s="1" t="n">
        <v>1</v>
      </c>
      <c r="P78" s="1" t="n">
        <v>40057</v>
      </c>
      <c r="Q78" s="1" t="str">
        <f aca="false">IF(OR($A1178="",P1178=""),"",ROUND(YEARFRAC(P1178,README!$C$5),1))</f>
        <v/>
      </c>
      <c r="S78" s="6" t="n">
        <v>10175</v>
      </c>
      <c r="T78" s="6" t="n">
        <v>9854</v>
      </c>
      <c r="U78" s="6" t="n">
        <v>11500</v>
      </c>
      <c r="V78" s="6" t="n">
        <v>1646</v>
      </c>
      <c r="W78" s="6" t="n">
        <v>1</v>
      </c>
      <c r="X78" s="6" t="n">
        <v>21</v>
      </c>
      <c r="Z78" s="6" t="s">
        <v>1014</v>
      </c>
      <c r="AA78" s="9" t="s">
        <v>774</v>
      </c>
      <c r="AB78" s="36" t="s">
        <v>1030</v>
      </c>
      <c r="AC78" s="27" t="n">
        <f aca="false">COUNTIF(環境認証!$A$2:$A$849,A1178)</f>
        <v>1</v>
      </c>
      <c r="AD78" s="6" t="n">
        <v>16.7</v>
      </c>
      <c r="AE78" s="6" t="n">
        <v>13</v>
      </c>
    </row>
    <row r="79" customFormat="false" ht="15" hidden="false" customHeight="true" outlineLevel="0" collapsed="false">
      <c r="A79" s="6" t="s">
        <v>1031</v>
      </c>
      <c r="B79" s="6" t="s">
        <v>458</v>
      </c>
      <c r="C79" s="9" t="s">
        <v>1032</v>
      </c>
      <c r="D79" s="9" t="s">
        <v>761</v>
      </c>
      <c r="E79" s="9" t="s">
        <v>762</v>
      </c>
      <c r="F79" s="9" t="s">
        <v>763</v>
      </c>
      <c r="H79" s="9" t="s">
        <v>772</v>
      </c>
      <c r="M79" s="6" t="n">
        <v>9316</v>
      </c>
      <c r="N79" s="1" t="n">
        <v>9</v>
      </c>
      <c r="O79" s="1" t="n">
        <v>1</v>
      </c>
      <c r="P79" s="1" t="n">
        <v>35765</v>
      </c>
      <c r="Q79" s="1" t="str">
        <f aca="false">IF(OR($A1179="",P1179=""),"",ROUND(YEARFRAC(P1179,README!$C$5),1))</f>
        <v/>
      </c>
      <c r="S79" s="6" t="n">
        <v>14700</v>
      </c>
      <c r="T79" s="6" t="n">
        <v>11935</v>
      </c>
      <c r="U79" s="6" t="n">
        <v>18000</v>
      </c>
      <c r="V79" s="6" t="n">
        <v>6065</v>
      </c>
      <c r="W79" s="6" t="n">
        <v>1</v>
      </c>
      <c r="X79" s="6" t="n">
        <v>1</v>
      </c>
      <c r="Z79" s="6" t="s">
        <v>1014</v>
      </c>
      <c r="AA79" s="9" t="s">
        <v>774</v>
      </c>
      <c r="AB79" s="9" t="s">
        <v>1033</v>
      </c>
      <c r="AC79" s="27" t="n">
        <f aca="false">COUNTIF(環境認証!$A$2:$A$849,A1179)</f>
        <v>0</v>
      </c>
      <c r="AD79" s="6" t="n">
        <v>50.8</v>
      </c>
      <c r="AE79" s="6" t="n">
        <v>22.4</v>
      </c>
    </row>
    <row r="80" customFormat="false" ht="15" hidden="false" customHeight="true" outlineLevel="0" collapsed="false">
      <c r="A80" s="6" t="s">
        <v>1034</v>
      </c>
      <c r="B80" s="6" t="s">
        <v>458</v>
      </c>
      <c r="C80" s="9" t="s">
        <v>1035</v>
      </c>
      <c r="D80" s="9" t="s">
        <v>761</v>
      </c>
      <c r="E80" s="9" t="s">
        <v>762</v>
      </c>
      <c r="F80" s="9" t="s">
        <v>763</v>
      </c>
      <c r="H80" s="9" t="s">
        <v>772</v>
      </c>
      <c r="M80" s="6" t="n">
        <v>11904</v>
      </c>
      <c r="N80" s="1" t="n">
        <v>10</v>
      </c>
      <c r="P80" s="1" t="n">
        <v>40391</v>
      </c>
      <c r="Q80" s="1" t="str">
        <f aca="false">IF(OR($A1180="",P1180=""),"",ROUND(YEARFRAC(P1180,README!$C$5),1))</f>
        <v/>
      </c>
      <c r="S80" s="6" t="n">
        <v>44700</v>
      </c>
      <c r="T80" s="6" t="n">
        <v>28382</v>
      </c>
      <c r="U80" s="6" t="n">
        <v>57700</v>
      </c>
      <c r="V80" s="6" t="n">
        <v>29318</v>
      </c>
      <c r="W80" s="6" t="n">
        <v>1</v>
      </c>
      <c r="X80" s="6" t="n">
        <v>11</v>
      </c>
      <c r="Z80" s="6" t="s">
        <v>1014</v>
      </c>
      <c r="AA80" s="9" t="s">
        <v>774</v>
      </c>
      <c r="AB80" s="36" t="s">
        <v>1036</v>
      </c>
      <c r="AC80" s="27" t="n">
        <f aca="false">COUNTIF(環境認証!$A$2:$A$849,A1180)</f>
        <v>1</v>
      </c>
      <c r="AD80" s="6" t="n">
        <v>103.3</v>
      </c>
      <c r="AE80" s="6" t="n">
        <v>29.1</v>
      </c>
    </row>
    <row r="81" customFormat="false" ht="15" hidden="false" customHeight="true" outlineLevel="0" collapsed="false">
      <c r="A81" s="6" t="s">
        <v>1037</v>
      </c>
      <c r="B81" s="6" t="s">
        <v>458</v>
      </c>
      <c r="C81" s="9" t="s">
        <v>1038</v>
      </c>
      <c r="D81" s="9" t="s">
        <v>761</v>
      </c>
      <c r="E81" s="9" t="s">
        <v>762</v>
      </c>
      <c r="F81" s="9" t="s">
        <v>763</v>
      </c>
      <c r="H81" s="9" t="s">
        <v>772</v>
      </c>
      <c r="M81" s="6" t="n">
        <v>4495</v>
      </c>
      <c r="N81" s="1" t="n">
        <v>7</v>
      </c>
      <c r="O81" s="1" t="n">
        <v>1</v>
      </c>
      <c r="P81" s="1" t="n">
        <v>37196</v>
      </c>
      <c r="Q81" s="1" t="str">
        <f aca="false">IF(OR($A1181="",P1181=""),"",ROUND(YEARFRAC(P1181,README!$C$5),1))</f>
        <v/>
      </c>
      <c r="S81" s="6" t="n">
        <v>7000</v>
      </c>
      <c r="T81" s="6" t="n">
        <v>5094</v>
      </c>
      <c r="U81" s="6" t="n">
        <v>7610</v>
      </c>
      <c r="V81" s="6" t="n">
        <v>2516</v>
      </c>
      <c r="W81" s="6" t="n">
        <v>1</v>
      </c>
      <c r="X81" s="6" t="n">
        <v>1</v>
      </c>
      <c r="Z81" s="6" t="s">
        <v>1014</v>
      </c>
      <c r="AA81" s="9" t="s">
        <v>774</v>
      </c>
      <c r="AB81" s="36" t="s">
        <v>1021</v>
      </c>
      <c r="AC81" s="27" t="n">
        <f aca="false">COUNTIF(環境認証!$A$2:$A$849,A1181)</f>
        <v>1</v>
      </c>
      <c r="AD81" s="6" t="n">
        <v>49.4</v>
      </c>
      <c r="AE81" s="6" t="n">
        <v>8.7</v>
      </c>
    </row>
    <row r="82" customFormat="false" ht="15" hidden="false" customHeight="true" outlineLevel="0" collapsed="false">
      <c r="A82" s="6" t="s">
        <v>1039</v>
      </c>
      <c r="B82" s="6" t="s">
        <v>458</v>
      </c>
      <c r="C82" s="6" t="s">
        <v>1040</v>
      </c>
      <c r="D82" s="9" t="s">
        <v>761</v>
      </c>
      <c r="E82" s="9" t="s">
        <v>762</v>
      </c>
      <c r="F82" s="9" t="s">
        <v>763</v>
      </c>
      <c r="H82" s="9" t="s">
        <v>772</v>
      </c>
      <c r="M82" s="6" t="n">
        <v>979</v>
      </c>
      <c r="N82" s="1" t="n">
        <v>9</v>
      </c>
      <c r="O82" s="1" t="n">
        <v>1</v>
      </c>
      <c r="P82" s="1" t="n">
        <v>37135</v>
      </c>
      <c r="Q82" s="1" t="str">
        <f aca="false">IF(OR($A1182="",P1182=""),"",ROUND(YEARFRAC(P1182,README!$C$5),1))</f>
        <v/>
      </c>
      <c r="S82" s="6" t="n">
        <v>1780</v>
      </c>
      <c r="T82" s="6" t="n">
        <v>1739</v>
      </c>
      <c r="U82" s="6" t="n">
        <v>1900</v>
      </c>
      <c r="V82" s="6" t="n">
        <v>161</v>
      </c>
      <c r="W82" s="6" t="n">
        <v>1</v>
      </c>
      <c r="X82" s="6" t="n">
        <v>11</v>
      </c>
      <c r="Z82" s="6" t="s">
        <v>1014</v>
      </c>
      <c r="AA82" s="9" t="s">
        <v>774</v>
      </c>
      <c r="AB82" s="36" t="s">
        <v>1041</v>
      </c>
      <c r="AC82" s="27" t="n">
        <f aca="false">COUNTIF(環境認証!$A$2:$A$849,A1182)</f>
        <v>0</v>
      </c>
      <c r="AD82" s="6" t="n">
        <v>9.3</v>
      </c>
      <c r="AE82" s="6" t="n">
        <v>6.7</v>
      </c>
    </row>
    <row r="83" customFormat="false" ht="15" hidden="false" customHeight="true" outlineLevel="0" collapsed="false">
      <c r="A83" s="6" t="s">
        <v>1042</v>
      </c>
      <c r="B83" s="6" t="s">
        <v>458</v>
      </c>
      <c r="C83" s="9" t="s">
        <v>1043</v>
      </c>
      <c r="D83" s="9" t="s">
        <v>761</v>
      </c>
      <c r="E83" s="9" t="s">
        <v>762</v>
      </c>
      <c r="F83" s="9" t="s">
        <v>763</v>
      </c>
      <c r="H83" s="9" t="s">
        <v>772</v>
      </c>
      <c r="M83" s="6" t="n">
        <v>19896</v>
      </c>
      <c r="N83" s="1" t="n">
        <v>11</v>
      </c>
      <c r="O83" s="1" t="n">
        <v>1</v>
      </c>
      <c r="P83" s="1" t="n">
        <v>38018</v>
      </c>
      <c r="Q83" s="1" t="str">
        <f aca="false">IF(OR($A1183="",P1183=""),"",ROUND(YEARFRAC(P1183,README!$C$5),1))</f>
        <v/>
      </c>
      <c r="S83" s="6" t="n">
        <v>20900</v>
      </c>
      <c r="T83" s="6" t="n">
        <v>21623</v>
      </c>
      <c r="U83" s="6" t="n">
        <v>23100</v>
      </c>
      <c r="V83" s="6" t="n">
        <v>1477</v>
      </c>
      <c r="W83" s="6" t="n">
        <v>0.952</v>
      </c>
      <c r="X83" s="6" t="n">
        <v>54</v>
      </c>
      <c r="Z83" s="6" t="s">
        <v>1014</v>
      </c>
      <c r="AA83" s="9" t="s">
        <v>774</v>
      </c>
      <c r="AB83" s="9" t="s">
        <v>1044</v>
      </c>
      <c r="AC83" s="27" t="n">
        <f aca="false">COUNTIF(環境認証!$A$2:$A$849,A1183)</f>
        <v>0</v>
      </c>
      <c r="AD83" s="6" t="n">
        <v>6.8</v>
      </c>
      <c r="AE83" s="6" t="n">
        <v>10.5</v>
      </c>
    </row>
    <row r="84" customFormat="false" ht="15" hidden="false" customHeight="true" outlineLevel="0" collapsed="false">
      <c r="A84" s="6" t="s">
        <v>1045</v>
      </c>
      <c r="B84" s="6" t="s">
        <v>458</v>
      </c>
      <c r="C84" s="9" t="s">
        <v>1046</v>
      </c>
      <c r="D84" s="9" t="s">
        <v>761</v>
      </c>
      <c r="E84" s="9" t="s">
        <v>762</v>
      </c>
      <c r="F84" s="9" t="s">
        <v>763</v>
      </c>
      <c r="H84" s="9" t="s">
        <v>772</v>
      </c>
      <c r="M84" s="6" t="n">
        <v>4697</v>
      </c>
      <c r="N84" s="1" t="n">
        <v>20</v>
      </c>
      <c r="O84" s="1" t="n">
        <v>2</v>
      </c>
      <c r="P84" s="1" t="n">
        <v>34366</v>
      </c>
      <c r="Q84" s="1" t="str">
        <f aca="false">IF(OR($A1184="",P1184=""),"",ROUND(YEARFRAC(P1184,README!$C$5),1))</f>
        <v/>
      </c>
      <c r="S84" s="6" t="n">
        <v>7200</v>
      </c>
      <c r="T84" s="6" t="n">
        <v>7720</v>
      </c>
      <c r="U84" s="6" t="n">
        <v>9940</v>
      </c>
      <c r="V84" s="6" t="n">
        <v>2220</v>
      </c>
      <c r="W84" s="6" t="n">
        <v>1</v>
      </c>
      <c r="X84" s="6" t="n">
        <v>13</v>
      </c>
      <c r="Z84" s="6" t="s">
        <v>1014</v>
      </c>
      <c r="AA84" s="9" t="s">
        <v>774</v>
      </c>
      <c r="AB84" s="36" t="s">
        <v>1047</v>
      </c>
      <c r="AC84" s="27" t="n">
        <f aca="false">COUNTIF(環境認証!$A$2:$A$849,A1184)</f>
        <v>1</v>
      </c>
      <c r="AD84" s="6" t="n">
        <v>28.8</v>
      </c>
      <c r="AE84" s="6" t="n">
        <v>38.1</v>
      </c>
    </row>
    <row r="85" customFormat="false" ht="15" hidden="false" customHeight="true" outlineLevel="0" collapsed="false">
      <c r="A85" s="6" t="s">
        <v>1048</v>
      </c>
      <c r="B85" s="6" t="s">
        <v>458</v>
      </c>
      <c r="C85" s="9" t="s">
        <v>1049</v>
      </c>
      <c r="D85" s="9" t="s">
        <v>761</v>
      </c>
      <c r="E85" s="9" t="s">
        <v>762</v>
      </c>
      <c r="F85" s="9" t="s">
        <v>820</v>
      </c>
      <c r="H85" s="9" t="s">
        <v>772</v>
      </c>
      <c r="M85" s="6" t="n">
        <v>8468</v>
      </c>
      <c r="N85" s="1" t="n">
        <v>10</v>
      </c>
      <c r="O85" s="1" t="n">
        <v>1</v>
      </c>
      <c r="P85" s="1" t="n">
        <v>38749</v>
      </c>
      <c r="Q85" s="1" t="str">
        <f aca="false">IF(OR($A1185="",P1185=""),"",ROUND(YEARFRAC(P1185,README!$C$5),1))</f>
        <v/>
      </c>
      <c r="S85" s="6" t="n">
        <v>17560</v>
      </c>
      <c r="T85" s="6" t="n">
        <v>16946</v>
      </c>
      <c r="U85" s="6" t="n">
        <v>22200</v>
      </c>
      <c r="V85" s="6" t="n">
        <v>5254</v>
      </c>
      <c r="W85" s="6" t="n">
        <v>1</v>
      </c>
      <c r="X85" s="6" t="n">
        <v>2</v>
      </c>
      <c r="Z85" s="6" t="s">
        <v>1014</v>
      </c>
      <c r="AA85" s="9" t="s">
        <v>774</v>
      </c>
      <c r="AB85" s="36" t="s">
        <v>1050</v>
      </c>
      <c r="AC85" s="27" t="n">
        <f aca="false">COUNTIF(環境認証!$A$2:$A$849,A1185)</f>
        <v>1</v>
      </c>
      <c r="AD85" s="6" t="n">
        <v>31</v>
      </c>
      <c r="AE85" s="6" t="n">
        <v>26.4</v>
      </c>
    </row>
    <row r="86" customFormat="false" ht="15" hidden="false" customHeight="true" outlineLevel="0" collapsed="false">
      <c r="A86" s="6" t="s">
        <v>1051</v>
      </c>
      <c r="B86" s="6" t="s">
        <v>458</v>
      </c>
      <c r="C86" s="9" t="s">
        <v>1052</v>
      </c>
      <c r="D86" s="9" t="s">
        <v>761</v>
      </c>
      <c r="E86" s="9" t="s">
        <v>762</v>
      </c>
      <c r="F86" s="9" t="s">
        <v>820</v>
      </c>
      <c r="H86" s="9" t="s">
        <v>772</v>
      </c>
      <c r="M86" s="6" t="n">
        <v>4419</v>
      </c>
      <c r="N86" s="1" t="n">
        <v>9</v>
      </c>
      <c r="O86" s="1" t="n">
        <v>1</v>
      </c>
      <c r="P86" s="1" t="n">
        <v>35096</v>
      </c>
      <c r="Q86" s="1" t="str">
        <f aca="false">IF(OR($A1186="",P1186=""),"",ROUND(YEARFRAC(P1186,README!$C$5),1))</f>
        <v/>
      </c>
      <c r="S86" s="6" t="n">
        <v>4410</v>
      </c>
      <c r="T86" s="6" t="n">
        <v>4008</v>
      </c>
      <c r="U86" s="6" t="n">
        <v>5160</v>
      </c>
      <c r="V86" s="6" t="n">
        <v>1152</v>
      </c>
      <c r="W86" s="6" t="n">
        <v>0.931</v>
      </c>
      <c r="X86" s="6" t="n">
        <v>9</v>
      </c>
      <c r="Z86" s="6" t="s">
        <v>1014</v>
      </c>
      <c r="AA86" s="9" t="s">
        <v>774</v>
      </c>
      <c r="AB86" s="36" t="s">
        <v>1053</v>
      </c>
      <c r="AC86" s="27" t="n">
        <f aca="false">COUNTIF(環境認証!$A$2:$A$849,A1186)</f>
        <v>0</v>
      </c>
      <c r="AD86" s="6" t="n">
        <v>28.7</v>
      </c>
      <c r="AE86" s="6" t="n">
        <v>17</v>
      </c>
    </row>
    <row r="87" customFormat="false" ht="15" hidden="false" customHeight="true" outlineLevel="0" collapsed="false">
      <c r="A87" s="6" t="s">
        <v>1054</v>
      </c>
      <c r="B87" s="6" t="s">
        <v>458</v>
      </c>
      <c r="C87" s="9" t="s">
        <v>1055</v>
      </c>
      <c r="D87" s="9" t="s">
        <v>761</v>
      </c>
      <c r="E87" s="9" t="s">
        <v>762</v>
      </c>
      <c r="F87" s="9" t="s">
        <v>820</v>
      </c>
      <c r="H87" s="9" t="s">
        <v>772</v>
      </c>
      <c r="M87" s="6" t="n">
        <v>4279</v>
      </c>
      <c r="N87" s="1" t="n">
        <v>11</v>
      </c>
      <c r="O87" s="1" t="n">
        <v>2</v>
      </c>
      <c r="P87" s="1" t="n">
        <v>33451</v>
      </c>
      <c r="Q87" s="1" t="str">
        <f aca="false">IF(OR($A1187="",P1187=""),"",ROUND(YEARFRAC(P1187,README!$C$5),1))</f>
        <v/>
      </c>
      <c r="S87" s="6" t="n">
        <v>5250</v>
      </c>
      <c r="T87" s="6" t="n">
        <v>4261</v>
      </c>
      <c r="U87" s="6" t="n">
        <v>8920</v>
      </c>
      <c r="V87" s="6" t="n">
        <v>4659</v>
      </c>
      <c r="W87" s="6" t="n">
        <v>1</v>
      </c>
      <c r="X87" s="6" t="n">
        <v>1</v>
      </c>
      <c r="Z87" s="6" t="s">
        <v>1014</v>
      </c>
      <c r="AA87" s="9" t="s">
        <v>774</v>
      </c>
      <c r="AB87" s="36" t="s">
        <v>1056</v>
      </c>
      <c r="AC87" s="27" t="n">
        <f aca="false">COUNTIF(環境認証!$A$2:$A$849,A1187)</f>
        <v>0</v>
      </c>
      <c r="AD87" s="6" t="n">
        <v>109.3</v>
      </c>
      <c r="AE87" s="6" t="n">
        <v>69.9</v>
      </c>
    </row>
    <row r="88" customFormat="false" ht="15" hidden="false" customHeight="true" outlineLevel="0" collapsed="false">
      <c r="A88" s="6" t="s">
        <v>1057</v>
      </c>
      <c r="B88" s="6" t="s">
        <v>458</v>
      </c>
      <c r="C88" s="9" t="s">
        <v>1058</v>
      </c>
      <c r="D88" s="9" t="s">
        <v>761</v>
      </c>
      <c r="E88" s="9" t="s">
        <v>762</v>
      </c>
      <c r="F88" s="9" t="s">
        <v>820</v>
      </c>
      <c r="H88" s="9" t="s">
        <v>772</v>
      </c>
      <c r="M88" s="6" t="n">
        <v>4513</v>
      </c>
      <c r="N88" s="1" t="n">
        <v>7</v>
      </c>
      <c r="P88" s="1" t="n">
        <v>36192</v>
      </c>
      <c r="Q88" s="1" t="str">
        <f aca="false">IF(OR($A1188="",P1188=""),"",ROUND(YEARFRAC(P1188,README!$C$5),1))</f>
        <v/>
      </c>
      <c r="S88" s="6" t="n">
        <v>6459</v>
      </c>
      <c r="T88" s="6" t="n">
        <v>5738</v>
      </c>
      <c r="U88" s="6" t="n">
        <v>8910</v>
      </c>
      <c r="V88" s="6" t="n">
        <v>3172</v>
      </c>
      <c r="W88" s="6" t="n">
        <v>1</v>
      </c>
      <c r="X88" s="6" t="n">
        <v>8</v>
      </c>
      <c r="Z88" s="6" t="s">
        <v>1014</v>
      </c>
      <c r="AA88" s="9" t="s">
        <v>774</v>
      </c>
      <c r="AB88" s="36" t="s">
        <v>1059</v>
      </c>
      <c r="AC88" s="27" t="n">
        <f aca="false">COUNTIF(環境認証!$A$2:$A$849,A1188)</f>
        <v>1</v>
      </c>
      <c r="AD88" s="6" t="n">
        <v>55.3</v>
      </c>
      <c r="AE88" s="6" t="n">
        <v>37.9</v>
      </c>
    </row>
    <row r="89" customFormat="false" ht="15" hidden="false" customHeight="true" outlineLevel="0" collapsed="false">
      <c r="A89" s="6" t="s">
        <v>1060</v>
      </c>
      <c r="B89" s="6" t="s">
        <v>458</v>
      </c>
      <c r="C89" s="9" t="s">
        <v>1061</v>
      </c>
      <c r="D89" s="9" t="s">
        <v>761</v>
      </c>
      <c r="E89" s="9" t="s">
        <v>762</v>
      </c>
      <c r="F89" s="9" t="s">
        <v>820</v>
      </c>
      <c r="H89" s="9" t="s">
        <v>772</v>
      </c>
      <c r="M89" s="6" t="n">
        <v>4266</v>
      </c>
      <c r="N89" s="1" t="n">
        <v>7</v>
      </c>
      <c r="P89" s="1" t="n">
        <v>39508</v>
      </c>
      <c r="Q89" s="1" t="str">
        <f aca="false">IF(OR($A1189="",P1189=""),"",ROUND(YEARFRAC(P1189,README!$C$5),1))</f>
        <v/>
      </c>
      <c r="S89" s="6" t="n">
        <v>16830</v>
      </c>
      <c r="T89" s="6" t="n">
        <v>17298</v>
      </c>
      <c r="U89" s="6" t="n">
        <v>27300</v>
      </c>
      <c r="V89" s="6" t="n">
        <v>10002</v>
      </c>
      <c r="W89" s="6" t="n">
        <v>1</v>
      </c>
      <c r="X89" s="6" t="n">
        <v>10</v>
      </c>
      <c r="Z89" s="6" t="s">
        <v>1014</v>
      </c>
      <c r="AA89" s="9" t="s">
        <v>774</v>
      </c>
      <c r="AB89" s="36" t="s">
        <v>1062</v>
      </c>
      <c r="AC89" s="27" t="n">
        <f aca="false">COUNTIF(環境認証!$A$2:$A$849,A1189)</f>
        <v>1</v>
      </c>
      <c r="AD89" s="6" t="n">
        <v>57.8</v>
      </c>
      <c r="AE89" s="6" t="n">
        <v>62.2</v>
      </c>
    </row>
    <row r="90" customFormat="false" ht="15" hidden="false" customHeight="true" outlineLevel="0" collapsed="false">
      <c r="A90" s="6" t="s">
        <v>1063</v>
      </c>
      <c r="B90" s="6" t="s">
        <v>458</v>
      </c>
      <c r="C90" s="9" t="s">
        <v>1064</v>
      </c>
      <c r="D90" s="9" t="s">
        <v>761</v>
      </c>
      <c r="E90" s="9" t="s">
        <v>762</v>
      </c>
      <c r="F90" s="9" t="s">
        <v>820</v>
      </c>
      <c r="H90" s="9" t="s">
        <v>772</v>
      </c>
      <c r="M90" s="6" t="n">
        <v>4255</v>
      </c>
      <c r="N90" s="1" t="n">
        <v>6</v>
      </c>
      <c r="P90" s="1" t="n">
        <v>36951</v>
      </c>
      <c r="Q90" s="1" t="str">
        <f aca="false">IF(OR($A1190="",P1190=""),"",ROUND(YEARFRAC(P1190,README!$C$5),1))</f>
        <v/>
      </c>
      <c r="S90" s="6" t="n">
        <v>7999.4</v>
      </c>
      <c r="T90" s="6" t="n">
        <v>6953</v>
      </c>
      <c r="U90" s="6" t="n">
        <v>6640</v>
      </c>
      <c r="V90" s="6" t="n">
        <v>-313</v>
      </c>
      <c r="W90" s="6" t="n">
        <v>1</v>
      </c>
      <c r="X90" s="6" t="n">
        <v>9</v>
      </c>
      <c r="Z90" s="6" t="s">
        <v>1014</v>
      </c>
      <c r="AA90" s="9" t="s">
        <v>774</v>
      </c>
      <c r="AB90" s="9" t="s">
        <v>1065</v>
      </c>
      <c r="AC90" s="27" t="n">
        <f aca="false">COUNTIF(環境認証!$A$2:$A$849,A1190)</f>
        <v>0</v>
      </c>
      <c r="AD90" s="6" t="n">
        <v>-4.5</v>
      </c>
      <c r="AE90" s="6" t="n">
        <v>-17</v>
      </c>
    </row>
    <row r="91" customFormat="false" ht="15" hidden="false" customHeight="true" outlineLevel="0" collapsed="false">
      <c r="A91" s="6" t="s">
        <v>1066</v>
      </c>
      <c r="B91" s="6" t="s">
        <v>458</v>
      </c>
      <c r="C91" s="9" t="s">
        <v>1067</v>
      </c>
      <c r="D91" s="9" t="s">
        <v>761</v>
      </c>
      <c r="E91" s="9" t="s">
        <v>762</v>
      </c>
      <c r="F91" s="9" t="s">
        <v>782</v>
      </c>
      <c r="H91" s="9" t="s">
        <v>772</v>
      </c>
      <c r="M91" s="6" t="n">
        <v>29957</v>
      </c>
      <c r="N91" s="1" t="n">
        <v>4</v>
      </c>
      <c r="P91" s="1" t="n">
        <v>32568</v>
      </c>
      <c r="Q91" s="1" t="str">
        <f aca="false">IF(OR($A1191="",P1191=""),"",ROUND(YEARFRAC(P1191,README!$C$5),1))</f>
        <v/>
      </c>
      <c r="S91" s="6" t="n">
        <v>40517.1</v>
      </c>
      <c r="T91" s="6" t="n">
        <v>37425</v>
      </c>
      <c r="U91" s="6" t="n">
        <v>53400</v>
      </c>
      <c r="V91" s="6" t="n">
        <v>15975</v>
      </c>
      <c r="W91" s="6" t="n">
        <v>1</v>
      </c>
      <c r="X91" s="6" t="n">
        <v>38</v>
      </c>
      <c r="Z91" s="6" t="s">
        <v>1014</v>
      </c>
      <c r="AA91" s="9" t="s">
        <v>774</v>
      </c>
      <c r="AB91" s="9" t="s">
        <v>1068</v>
      </c>
      <c r="AC91" s="27" t="n">
        <f aca="false">COUNTIF(環境認証!$A$2:$A$849,A1191)</f>
        <v>1</v>
      </c>
      <c r="AD91" s="6" t="n">
        <v>42.7</v>
      </c>
      <c r="AE91" s="6" t="n">
        <v>31.8</v>
      </c>
    </row>
    <row r="92" customFormat="false" ht="15" hidden="false" customHeight="true" outlineLevel="0" collapsed="false">
      <c r="A92" s="6" t="s">
        <v>1069</v>
      </c>
      <c r="B92" s="6" t="s">
        <v>458</v>
      </c>
      <c r="C92" s="6" t="s">
        <v>1070</v>
      </c>
      <c r="D92" s="9" t="s">
        <v>761</v>
      </c>
      <c r="E92" s="9" t="s">
        <v>762</v>
      </c>
      <c r="F92" s="9" t="s">
        <v>782</v>
      </c>
      <c r="H92" s="9" t="s">
        <v>772</v>
      </c>
      <c r="M92" s="6" t="n">
        <v>7478</v>
      </c>
      <c r="N92" s="1" t="n">
        <v>7</v>
      </c>
      <c r="O92" s="1" t="n">
        <v>1</v>
      </c>
      <c r="P92" s="1" t="n">
        <v>33239</v>
      </c>
      <c r="Q92" s="1" t="str">
        <f aca="false">IF(OR($A1192="",P1192=""),"",ROUND(YEARFRAC(P1192,README!$C$5),1))</f>
        <v/>
      </c>
      <c r="S92" s="6" t="n">
        <v>23900</v>
      </c>
      <c r="T92" s="6" t="n">
        <v>23612</v>
      </c>
      <c r="U92" s="6" t="n">
        <v>26200</v>
      </c>
      <c r="V92" s="6" t="n">
        <v>2588</v>
      </c>
      <c r="W92" s="6" t="n">
        <v>1</v>
      </c>
      <c r="X92" s="6" t="n">
        <v>11</v>
      </c>
      <c r="Z92" s="6" t="s">
        <v>1014</v>
      </c>
      <c r="AA92" s="9" t="s">
        <v>774</v>
      </c>
      <c r="AB92" s="36" t="s">
        <v>1071</v>
      </c>
      <c r="AC92" s="27" t="n">
        <f aca="false">COUNTIF(環境認証!$A$2:$A$849,A1192)</f>
        <v>1</v>
      </c>
      <c r="AD92" s="6" t="n">
        <v>11</v>
      </c>
      <c r="AE92" s="6" t="n">
        <v>9.6</v>
      </c>
    </row>
    <row r="93" customFormat="false" ht="15" hidden="false" customHeight="true" outlineLevel="0" collapsed="false">
      <c r="A93" s="6" t="s">
        <v>1072</v>
      </c>
      <c r="B93" s="6" t="s">
        <v>458</v>
      </c>
      <c r="C93" s="6" t="s">
        <v>1073</v>
      </c>
      <c r="D93" s="9" t="s">
        <v>761</v>
      </c>
      <c r="E93" s="9" t="s">
        <v>762</v>
      </c>
      <c r="F93" s="9" t="s">
        <v>782</v>
      </c>
      <c r="H93" s="9" t="s">
        <v>772</v>
      </c>
      <c r="M93" s="6" t="n">
        <v>7781</v>
      </c>
      <c r="N93" s="1" t="n">
        <v>9</v>
      </c>
      <c r="P93" s="1" t="n">
        <v>38384</v>
      </c>
      <c r="Q93" s="1" t="str">
        <f aca="false">IF(OR($A1193="",P1193=""),"",ROUND(YEARFRAC(P1193,README!$C$5),1))</f>
        <v/>
      </c>
      <c r="S93" s="6" t="n">
        <v>21000</v>
      </c>
      <c r="T93" s="6" t="n">
        <v>21172</v>
      </c>
      <c r="U93" s="6" t="n">
        <v>22200</v>
      </c>
      <c r="V93" s="6" t="n">
        <v>1028</v>
      </c>
      <c r="W93" s="6" t="n">
        <v>1</v>
      </c>
      <c r="X93" s="6" t="n">
        <v>14</v>
      </c>
      <c r="Z93" s="6" t="s">
        <v>1014</v>
      </c>
      <c r="AA93" s="9" t="s">
        <v>774</v>
      </c>
      <c r="AB93" s="36" t="s">
        <v>1074</v>
      </c>
      <c r="AC93" s="27" t="n">
        <f aca="false">COUNTIF(環境認証!$A$2:$A$849,A1193)</f>
        <v>1</v>
      </c>
      <c r="AD93" s="6" t="n">
        <v>4.9</v>
      </c>
      <c r="AE93" s="6" t="n">
        <v>5.7</v>
      </c>
    </row>
    <row r="94" customFormat="false" ht="15" hidden="false" customHeight="true" outlineLevel="0" collapsed="false">
      <c r="A94" s="6" t="s">
        <v>1075</v>
      </c>
      <c r="B94" s="6" t="s">
        <v>458</v>
      </c>
      <c r="C94" s="9" t="s">
        <v>1076</v>
      </c>
      <c r="D94" s="9" t="s">
        <v>761</v>
      </c>
      <c r="E94" s="9" t="s">
        <v>762</v>
      </c>
      <c r="F94" s="9" t="s">
        <v>782</v>
      </c>
      <c r="H94" s="9" t="s">
        <v>772</v>
      </c>
      <c r="M94" s="6" t="n">
        <v>4898</v>
      </c>
      <c r="N94" s="1" t="n">
        <v>10</v>
      </c>
      <c r="O94" s="1" t="n">
        <v>1</v>
      </c>
      <c r="P94" s="1" t="n">
        <v>33086</v>
      </c>
      <c r="Q94" s="1" t="str">
        <f aca="false">IF(OR($A1194="",P1194=""),"",ROUND(YEARFRAC(P1194,README!$C$5),1))</f>
        <v/>
      </c>
      <c r="S94" s="6" t="n">
        <v>7680</v>
      </c>
      <c r="T94" s="6" t="n">
        <v>6862</v>
      </c>
      <c r="U94" s="6" t="n">
        <v>10900</v>
      </c>
      <c r="V94" s="6" t="n">
        <v>4038</v>
      </c>
      <c r="W94" s="6" t="n">
        <v>1</v>
      </c>
      <c r="X94" s="6" t="n">
        <v>9</v>
      </c>
      <c r="Z94" s="6" t="s">
        <v>1014</v>
      </c>
      <c r="AA94" s="9" t="s">
        <v>774</v>
      </c>
      <c r="AB94" s="36" t="s">
        <v>1077</v>
      </c>
      <c r="AC94" s="27" t="n">
        <f aca="false">COUNTIF(環境認証!$A$2:$A$849,A1194)</f>
        <v>1</v>
      </c>
      <c r="AD94" s="6" t="n">
        <v>58.8</v>
      </c>
      <c r="AE94" s="6" t="n">
        <v>41.9</v>
      </c>
    </row>
    <row r="95" customFormat="false" ht="15" hidden="false" customHeight="true" outlineLevel="0" collapsed="false">
      <c r="A95" s="6" t="s">
        <v>1078</v>
      </c>
      <c r="B95" s="6" t="s">
        <v>458</v>
      </c>
      <c r="C95" s="9" t="s">
        <v>1079</v>
      </c>
      <c r="D95" s="9" t="s">
        <v>761</v>
      </c>
      <c r="E95" s="9" t="s">
        <v>762</v>
      </c>
      <c r="F95" s="9" t="s">
        <v>782</v>
      </c>
      <c r="H95" s="9" t="s">
        <v>772</v>
      </c>
      <c r="M95" s="6" t="n">
        <v>2550</v>
      </c>
      <c r="N95" s="1" t="n">
        <v>18</v>
      </c>
      <c r="O95" s="1" t="n">
        <v>2</v>
      </c>
      <c r="P95" s="1" t="n">
        <v>34001</v>
      </c>
      <c r="Q95" s="1" t="str">
        <f aca="false">IF(OR($A1195="",P1195=""),"",ROUND(YEARFRAC(P1195,README!$C$5),1))</f>
        <v/>
      </c>
      <c r="S95" s="6" t="n">
        <v>4500</v>
      </c>
      <c r="T95" s="6" t="n">
        <v>4331</v>
      </c>
      <c r="U95" s="6" t="n">
        <v>4950</v>
      </c>
      <c r="V95" s="6" t="n">
        <v>619</v>
      </c>
      <c r="W95" s="6" t="n">
        <v>1</v>
      </c>
      <c r="X95" s="6" t="n">
        <v>9</v>
      </c>
      <c r="Z95" s="6" t="s">
        <v>1014</v>
      </c>
      <c r="AA95" s="9" t="s">
        <v>774</v>
      </c>
      <c r="AB95" s="36" t="s">
        <v>1080</v>
      </c>
      <c r="AC95" s="27" t="n">
        <f aca="false">COUNTIF(環境認証!$A$2:$A$849,A1195)</f>
        <v>1</v>
      </c>
      <c r="AD95" s="6" t="n">
        <v>14.3</v>
      </c>
      <c r="AE95" s="6" t="n">
        <v>10</v>
      </c>
    </row>
    <row r="96" customFormat="false" ht="15" hidden="false" customHeight="true" outlineLevel="0" collapsed="false">
      <c r="A96" s="6" t="s">
        <v>1081</v>
      </c>
      <c r="B96" s="6" t="s">
        <v>458</v>
      </c>
      <c r="C96" s="9" t="s">
        <v>1082</v>
      </c>
      <c r="D96" s="9" t="s">
        <v>761</v>
      </c>
      <c r="E96" s="9" t="s">
        <v>762</v>
      </c>
      <c r="F96" s="9" t="s">
        <v>782</v>
      </c>
      <c r="H96" s="9" t="s">
        <v>772</v>
      </c>
      <c r="M96" s="6" t="n">
        <v>44213</v>
      </c>
      <c r="N96" s="1" t="n">
        <v>8</v>
      </c>
      <c r="O96" s="1" t="n">
        <v>1</v>
      </c>
      <c r="P96" s="1" t="n">
        <v>33573</v>
      </c>
      <c r="Q96" s="1" t="str">
        <f aca="false">IF(OR($A1196="",P1196=""),"",ROUND(YEARFRAC(P1196,README!$C$5),1))</f>
        <v/>
      </c>
      <c r="S96" s="6" t="n">
        <v>106930</v>
      </c>
      <c r="T96" s="6" t="n">
        <v>97914</v>
      </c>
      <c r="U96" s="6" t="n">
        <v>122000</v>
      </c>
      <c r="V96" s="6" t="n">
        <v>24086</v>
      </c>
      <c r="W96" s="6" t="n">
        <v>0.998</v>
      </c>
      <c r="X96" s="6" t="n">
        <v>50</v>
      </c>
      <c r="Z96" s="6" t="s">
        <v>1014</v>
      </c>
      <c r="AA96" s="9" t="s">
        <v>774</v>
      </c>
      <c r="AB96" s="36" t="s">
        <v>1083</v>
      </c>
      <c r="AC96" s="27" t="n">
        <f aca="false">COUNTIF(環境認証!$A$2:$A$849,A1196)</f>
        <v>0</v>
      </c>
      <c r="AD96" s="6" t="n">
        <v>24.6</v>
      </c>
      <c r="AE96" s="6" t="n">
        <v>14.1</v>
      </c>
    </row>
    <row r="97" customFormat="false" ht="15" hidden="false" customHeight="true" outlineLevel="0" collapsed="false">
      <c r="A97" s="6" t="s">
        <v>1084</v>
      </c>
      <c r="B97" s="6" t="s">
        <v>458</v>
      </c>
      <c r="C97" s="9" t="s">
        <v>1085</v>
      </c>
      <c r="D97" s="9" t="s">
        <v>761</v>
      </c>
      <c r="E97" s="9" t="s">
        <v>762</v>
      </c>
      <c r="F97" s="9" t="s">
        <v>782</v>
      </c>
      <c r="H97" s="9" t="s">
        <v>772</v>
      </c>
      <c r="M97" s="6" t="n">
        <v>9503</v>
      </c>
      <c r="N97" s="1" t="n">
        <v>12</v>
      </c>
      <c r="O97" s="1" t="n">
        <v>1</v>
      </c>
      <c r="P97" s="1" t="n">
        <v>39448</v>
      </c>
      <c r="Q97" s="1" t="str">
        <f aca="false">IF(OR($A1197="",P1197=""),"",ROUND(YEARFRAC(P1197,README!$C$5),1))</f>
        <v/>
      </c>
      <c r="S97" s="6" t="n">
        <v>4859</v>
      </c>
      <c r="T97" s="6" t="n">
        <v>5618</v>
      </c>
      <c r="U97" s="6" t="n">
        <v>9600</v>
      </c>
      <c r="V97" s="6" t="n">
        <v>3982</v>
      </c>
      <c r="W97" s="6" t="n">
        <v>1</v>
      </c>
      <c r="X97" s="6" t="n">
        <v>28</v>
      </c>
      <c r="Z97" s="6" t="s">
        <v>1014</v>
      </c>
      <c r="AA97" s="9" t="s">
        <v>774</v>
      </c>
      <c r="AB97" s="36" t="s">
        <v>1086</v>
      </c>
      <c r="AC97" s="27" t="n">
        <f aca="false">COUNTIF(環境認証!$A$2:$A$849,A1197)</f>
        <v>0</v>
      </c>
      <c r="AD97" s="6" t="n">
        <v>70.9</v>
      </c>
      <c r="AE97" s="6" t="n">
        <v>97.6</v>
      </c>
    </row>
    <row r="98" customFormat="false" ht="15" hidden="false" customHeight="true" outlineLevel="0" collapsed="false">
      <c r="A98" s="6" t="s">
        <v>1087</v>
      </c>
      <c r="B98" s="6" t="s">
        <v>458</v>
      </c>
      <c r="C98" s="9" t="s">
        <v>1088</v>
      </c>
      <c r="D98" s="9" t="s">
        <v>761</v>
      </c>
      <c r="E98" s="9" t="s">
        <v>762</v>
      </c>
      <c r="F98" s="9" t="s">
        <v>782</v>
      </c>
      <c r="H98" s="9" t="s">
        <v>772</v>
      </c>
      <c r="M98" s="6" t="n">
        <v>4062</v>
      </c>
      <c r="N98" s="1" t="n">
        <v>8</v>
      </c>
      <c r="P98" s="1" t="n">
        <v>42795</v>
      </c>
      <c r="Q98" s="1" t="str">
        <f aca="false">IF(OR($A1198="",P1198=""),"",ROUND(YEARFRAC(P1198,README!$C$5),1))</f>
        <v/>
      </c>
      <c r="S98" s="6" t="n">
        <v>2808</v>
      </c>
      <c r="T98" s="6" t="n">
        <v>2381</v>
      </c>
      <c r="U98" s="6" t="n">
        <v>3880</v>
      </c>
      <c r="V98" s="6" t="n">
        <v>1499</v>
      </c>
      <c r="W98" s="6" t="n">
        <v>1</v>
      </c>
      <c r="X98" s="6" t="n">
        <v>9</v>
      </c>
      <c r="Z98" s="6" t="s">
        <v>1014</v>
      </c>
      <c r="AA98" s="9" t="s">
        <v>774</v>
      </c>
      <c r="AB98" s="36" t="s">
        <v>1086</v>
      </c>
      <c r="AC98" s="27" t="n">
        <f aca="false">COUNTIF(環境認証!$A$2:$A$849,A1198)</f>
        <v>1</v>
      </c>
      <c r="AD98" s="6" t="n">
        <v>63</v>
      </c>
      <c r="AE98" s="6" t="n">
        <v>38.2</v>
      </c>
    </row>
    <row r="99" customFormat="false" ht="15" hidden="false" customHeight="true" outlineLevel="0" collapsed="false">
      <c r="A99" s="6" t="s">
        <v>1089</v>
      </c>
      <c r="B99" s="6" t="s">
        <v>458</v>
      </c>
      <c r="C99" s="9" t="s">
        <v>1090</v>
      </c>
      <c r="D99" s="9" t="s">
        <v>761</v>
      </c>
      <c r="E99" s="9" t="s">
        <v>762</v>
      </c>
      <c r="F99" s="9" t="s">
        <v>782</v>
      </c>
      <c r="H99" s="9" t="s">
        <v>772</v>
      </c>
      <c r="M99" s="6" t="n">
        <v>7979</v>
      </c>
      <c r="N99" s="1" t="n">
        <v>8</v>
      </c>
      <c r="P99" s="1" t="n">
        <v>40179</v>
      </c>
      <c r="Q99" s="1" t="str">
        <f aca="false">IF(OR($A1199="",P1199=""),"",ROUND(YEARFRAC(P1199,README!$C$5),1))</f>
        <v/>
      </c>
      <c r="S99" s="6" t="n">
        <v>7690</v>
      </c>
      <c r="T99" s="6" t="n">
        <v>7902</v>
      </c>
      <c r="U99" s="6" t="n">
        <v>9500</v>
      </c>
      <c r="V99" s="6" t="n">
        <v>1598</v>
      </c>
      <c r="W99" s="6" t="n">
        <v>1</v>
      </c>
      <c r="X99" s="6" t="n">
        <v>16</v>
      </c>
      <c r="Z99" s="6" t="s">
        <v>1014</v>
      </c>
      <c r="AA99" s="9" t="s">
        <v>774</v>
      </c>
      <c r="AB99" s="36" t="s">
        <v>1091</v>
      </c>
      <c r="AC99" s="27" t="n">
        <f aca="false">COUNTIF(環境認証!$A$2:$A$849,A1199)</f>
        <v>0</v>
      </c>
      <c r="AD99" s="6" t="n">
        <v>20.2</v>
      </c>
      <c r="AE99" s="6" t="n">
        <v>23.5</v>
      </c>
    </row>
    <row r="100" customFormat="false" ht="15" hidden="false" customHeight="true" outlineLevel="0" collapsed="false">
      <c r="A100" s="6" t="s">
        <v>1092</v>
      </c>
      <c r="B100" s="6" t="s">
        <v>458</v>
      </c>
      <c r="C100" s="9" t="s">
        <v>1093</v>
      </c>
      <c r="D100" s="9" t="s">
        <v>761</v>
      </c>
      <c r="E100" s="9" t="s">
        <v>762</v>
      </c>
      <c r="F100" s="9" t="s">
        <v>782</v>
      </c>
      <c r="H100" s="9" t="s">
        <v>772</v>
      </c>
      <c r="M100" s="6" t="n">
        <v>3792</v>
      </c>
      <c r="N100" s="1" t="n">
        <v>10</v>
      </c>
      <c r="P100" s="1" t="n">
        <v>44866</v>
      </c>
      <c r="Q100" s="1" t="str">
        <f aca="false">IF(OR($A1200="",P1200=""),"",ROUND(YEARFRAC(P1200,README!$C$5),1))</f>
        <v/>
      </c>
      <c r="S100" s="6" t="n">
        <v>6210</v>
      </c>
      <c r="T100" s="6" t="n">
        <v>5774</v>
      </c>
      <c r="U100" s="6" t="n">
        <v>8070</v>
      </c>
      <c r="V100" s="6" t="n">
        <v>2296</v>
      </c>
      <c r="W100" s="6" t="n">
        <v>1</v>
      </c>
      <c r="X100" s="6" t="n">
        <v>10</v>
      </c>
      <c r="Z100" s="6" t="s">
        <v>1014</v>
      </c>
      <c r="AA100" s="9" t="s">
        <v>774</v>
      </c>
      <c r="AB100" s="36" t="s">
        <v>1094</v>
      </c>
      <c r="AC100" s="27" t="n">
        <f aca="false">COUNTIF(環境認証!$A$2:$A$849,A1200)</f>
        <v>0</v>
      </c>
      <c r="AD100" s="6" t="n">
        <v>39.8</v>
      </c>
      <c r="AE100" s="6" t="n">
        <v>30</v>
      </c>
    </row>
    <row r="101" customFormat="false" ht="15" hidden="false" customHeight="true" outlineLevel="0" collapsed="false">
      <c r="A101" s="6" t="s">
        <v>1095</v>
      </c>
      <c r="B101" s="6" t="s">
        <v>458</v>
      </c>
      <c r="C101" s="9" t="s">
        <v>1096</v>
      </c>
      <c r="D101" s="9" t="s">
        <v>761</v>
      </c>
      <c r="E101" s="9" t="s">
        <v>762</v>
      </c>
      <c r="F101" s="9" t="s">
        <v>771</v>
      </c>
      <c r="H101" s="9" t="s">
        <v>772</v>
      </c>
      <c r="M101" s="6" t="n">
        <v>56145</v>
      </c>
      <c r="N101" s="1" t="n">
        <v>10</v>
      </c>
      <c r="O101" s="1" t="n">
        <v>1</v>
      </c>
      <c r="P101" s="1" t="n">
        <v>40026</v>
      </c>
      <c r="Q101" s="1" t="str">
        <f aca="false">IF(OR($A1201="",P1201=""),"",ROUND(YEARFRAC(P1201,README!$C$5),1))</f>
        <v/>
      </c>
      <c r="S101" s="6" t="n">
        <v>92533</v>
      </c>
      <c r="T101" s="6" t="n">
        <v>86308</v>
      </c>
      <c r="U101" s="6" t="n">
        <v>109000</v>
      </c>
      <c r="V101" s="6" t="n">
        <v>22692</v>
      </c>
      <c r="W101" s="6" t="n">
        <v>0.998</v>
      </c>
      <c r="X101" s="6" t="n">
        <v>45</v>
      </c>
      <c r="Z101" s="6" t="s">
        <v>1014</v>
      </c>
      <c r="AA101" s="9" t="s">
        <v>774</v>
      </c>
      <c r="AB101" s="6" t="s">
        <v>1097</v>
      </c>
      <c r="AC101" s="27" t="n">
        <f aca="false">COUNTIF(環境認証!$A$2:$A$849,A1201)</f>
        <v>0</v>
      </c>
      <c r="AD101" s="6" t="n">
        <v>26.3</v>
      </c>
      <c r="AE101" s="6" t="n">
        <v>17.8</v>
      </c>
    </row>
    <row r="102" customFormat="false" ht="15" hidden="false" customHeight="true" outlineLevel="0" collapsed="false">
      <c r="A102" s="6" t="s">
        <v>1098</v>
      </c>
      <c r="B102" s="6" t="s">
        <v>458</v>
      </c>
      <c r="C102" s="9" t="s">
        <v>1099</v>
      </c>
      <c r="D102" s="9" t="s">
        <v>761</v>
      </c>
      <c r="E102" s="9" t="s">
        <v>762</v>
      </c>
      <c r="F102" s="9" t="s">
        <v>771</v>
      </c>
      <c r="H102" s="9" t="s">
        <v>772</v>
      </c>
      <c r="M102" s="6" t="n">
        <v>21416</v>
      </c>
      <c r="N102" s="1" t="n">
        <v>12</v>
      </c>
      <c r="O102" s="1" t="n">
        <v>1</v>
      </c>
      <c r="P102" s="1" t="n">
        <v>45444</v>
      </c>
      <c r="Q102" s="1" t="str">
        <f aca="false">IF(OR($A1202="",P1202=""),"",ROUND(YEARFRAC(P1202,README!$C$5),1))</f>
        <v/>
      </c>
      <c r="S102" s="6" t="n">
        <v>35125</v>
      </c>
      <c r="T102" s="6" t="n">
        <v>33131</v>
      </c>
      <c r="U102" s="6" t="n">
        <v>37800</v>
      </c>
      <c r="V102" s="6" t="n">
        <v>4669</v>
      </c>
      <c r="W102" s="6" t="n">
        <v>1</v>
      </c>
      <c r="X102" s="6" t="n">
        <v>44</v>
      </c>
      <c r="Z102" s="6" t="s">
        <v>1014</v>
      </c>
      <c r="AA102" s="9" t="s">
        <v>774</v>
      </c>
      <c r="AB102" s="36" t="s">
        <v>1100</v>
      </c>
      <c r="AC102" s="27" t="n">
        <f aca="false">COUNTIF(環境認証!$A$2:$A$849,A1202)</f>
        <v>0</v>
      </c>
      <c r="AD102" s="6" t="n">
        <v>14.1</v>
      </c>
      <c r="AE102" s="6" t="n">
        <v>7.6</v>
      </c>
    </row>
    <row r="103" customFormat="false" ht="15" hidden="false" customHeight="true" outlineLevel="0" collapsed="false">
      <c r="A103" s="6" t="s">
        <v>1101</v>
      </c>
      <c r="B103" s="6" t="s">
        <v>458</v>
      </c>
      <c r="C103" s="9" t="s">
        <v>1102</v>
      </c>
      <c r="D103" s="9" t="s">
        <v>761</v>
      </c>
      <c r="E103" s="9" t="s">
        <v>762</v>
      </c>
      <c r="F103" s="9" t="s">
        <v>771</v>
      </c>
      <c r="H103" s="9" t="s">
        <v>772</v>
      </c>
      <c r="M103" s="6" t="n">
        <v>10997</v>
      </c>
      <c r="N103" s="1" t="n">
        <v>11</v>
      </c>
      <c r="O103" s="1" t="n">
        <v>1</v>
      </c>
      <c r="P103" s="1" t="n">
        <v>45017</v>
      </c>
      <c r="Q103" s="1" t="str">
        <f aca="false">IF(OR($A1203="",P1203=""),"",ROUND(YEARFRAC(P1203,README!$C$5),1))</f>
        <v/>
      </c>
      <c r="S103" s="6" t="n">
        <v>29050</v>
      </c>
      <c r="T103" s="6" t="n">
        <v>29351</v>
      </c>
      <c r="U103" s="6" t="n">
        <v>29800</v>
      </c>
      <c r="V103" s="6" t="n">
        <v>449</v>
      </c>
      <c r="W103" s="6" t="n">
        <v>0.999</v>
      </c>
      <c r="X103" s="6" t="n">
        <v>18</v>
      </c>
      <c r="Z103" s="6" t="s">
        <v>1014</v>
      </c>
      <c r="AA103" s="9" t="s">
        <v>774</v>
      </c>
      <c r="AB103" s="9" t="s">
        <v>1103</v>
      </c>
      <c r="AC103" s="27" t="n">
        <f aca="false">COUNTIF(環境認証!$A$2:$A$849,A1203)</f>
        <v>0</v>
      </c>
      <c r="AD103" s="6" t="n">
        <v>1.5</v>
      </c>
      <c r="AE103" s="6" t="n">
        <v>2.6</v>
      </c>
    </row>
    <row r="104" customFormat="false" ht="15" hidden="false" customHeight="true" outlineLevel="0" collapsed="false">
      <c r="A104" s="6" t="s">
        <v>1104</v>
      </c>
      <c r="B104" s="6" t="s">
        <v>458</v>
      </c>
      <c r="C104" s="9" t="s">
        <v>1105</v>
      </c>
      <c r="D104" s="9" t="s">
        <v>761</v>
      </c>
      <c r="E104" s="9" t="s">
        <v>762</v>
      </c>
      <c r="F104" s="9" t="s">
        <v>771</v>
      </c>
      <c r="H104" s="9" t="s">
        <v>772</v>
      </c>
      <c r="M104" s="6" t="n">
        <v>6036</v>
      </c>
      <c r="N104" s="1" t="n">
        <v>11</v>
      </c>
      <c r="P104" s="1" t="n">
        <v>44927</v>
      </c>
      <c r="Q104" s="1" t="str">
        <f aca="false">IF(OR($A1204="",P1204=""),"",ROUND(YEARFRAC(P1204,README!$C$5),1))</f>
        <v/>
      </c>
      <c r="S104" s="6" t="n">
        <v>7830</v>
      </c>
      <c r="T104" s="6" t="n">
        <v>7649</v>
      </c>
      <c r="U104" s="6" t="n">
        <v>10100</v>
      </c>
      <c r="V104" s="6" t="n">
        <v>2451</v>
      </c>
      <c r="W104" s="6" t="n">
        <v>1</v>
      </c>
      <c r="X104" s="6" t="n">
        <v>12</v>
      </c>
      <c r="Z104" s="6" t="s">
        <v>1014</v>
      </c>
      <c r="AA104" s="9" t="s">
        <v>774</v>
      </c>
      <c r="AB104" s="36" t="s">
        <v>1106</v>
      </c>
      <c r="AC104" s="27" t="n">
        <f aca="false">COUNTIF(環境認証!$A$2:$A$849,A1204)</f>
        <v>1</v>
      </c>
      <c r="AD104" s="6" t="n">
        <v>32</v>
      </c>
      <c r="AE104" s="6" t="n">
        <v>29</v>
      </c>
    </row>
    <row r="105" customFormat="false" ht="15" hidden="false" customHeight="true" outlineLevel="0" collapsed="false">
      <c r="A105" s="6" t="s">
        <v>1107</v>
      </c>
      <c r="B105" s="6" t="s">
        <v>458</v>
      </c>
      <c r="C105" s="9" t="s">
        <v>1108</v>
      </c>
      <c r="D105" s="9" t="s">
        <v>761</v>
      </c>
      <c r="E105" s="9" t="s">
        <v>762</v>
      </c>
      <c r="F105" s="9" t="s">
        <v>771</v>
      </c>
      <c r="H105" s="9" t="s">
        <v>772</v>
      </c>
      <c r="M105" s="6" t="n">
        <v>34948</v>
      </c>
      <c r="N105" s="1" t="n">
        <v>8</v>
      </c>
      <c r="P105" s="1" t="n">
        <v>39934</v>
      </c>
      <c r="Q105" s="1" t="str">
        <f aca="false">IF(OR($A1205="",P1205=""),"",ROUND(YEARFRAC(P1205,README!$C$5),1))</f>
        <v/>
      </c>
      <c r="S105" s="6" t="n">
        <v>31776.8</v>
      </c>
      <c r="T105" s="6" t="n">
        <v>28127</v>
      </c>
      <c r="U105" s="6" t="n">
        <v>35800</v>
      </c>
      <c r="V105" s="6" t="n">
        <v>7673</v>
      </c>
      <c r="W105" s="6" t="n">
        <v>0.997</v>
      </c>
      <c r="X105" s="6" t="n">
        <v>103</v>
      </c>
      <c r="Z105" s="6" t="s">
        <v>1014</v>
      </c>
      <c r="AA105" s="9" t="s">
        <v>774</v>
      </c>
      <c r="AB105" s="9" t="s">
        <v>1109</v>
      </c>
      <c r="AC105" s="27" t="n">
        <f aca="false">COUNTIF(環境認証!$A$2:$A$849,A1205)</f>
        <v>1</v>
      </c>
      <c r="AD105" s="6" t="n">
        <v>27.3</v>
      </c>
      <c r="AE105" s="6" t="n">
        <v>12.7</v>
      </c>
    </row>
    <row r="106" customFormat="false" ht="15" hidden="false" customHeight="true" outlineLevel="0" collapsed="false">
      <c r="A106" s="6" t="s">
        <v>1110</v>
      </c>
      <c r="B106" s="6" t="s">
        <v>458</v>
      </c>
      <c r="C106" s="9" t="s">
        <v>1111</v>
      </c>
      <c r="D106" s="9" t="s">
        <v>761</v>
      </c>
      <c r="E106" s="9" t="s">
        <v>762</v>
      </c>
      <c r="F106" s="9" t="s">
        <v>815</v>
      </c>
      <c r="H106" s="9" t="s">
        <v>772</v>
      </c>
      <c r="M106" s="6" t="n">
        <v>4095</v>
      </c>
      <c r="N106" s="1" t="n">
        <v>9</v>
      </c>
      <c r="O106" s="1" t="n">
        <v>1</v>
      </c>
      <c r="P106" s="1" t="n">
        <v>34121</v>
      </c>
      <c r="Q106" s="1" t="str">
        <f aca="false">IF(OR($A1206="",P1206=""),"",ROUND(YEARFRAC(P1206,README!$C$5),1))</f>
        <v/>
      </c>
      <c r="S106" s="6" t="n">
        <v>9250</v>
      </c>
      <c r="T106" s="6" t="n">
        <v>9014</v>
      </c>
      <c r="U106" s="6" t="n">
        <v>9720</v>
      </c>
      <c r="V106" s="6" t="n">
        <v>706</v>
      </c>
      <c r="W106" s="6" t="n">
        <v>1</v>
      </c>
      <c r="X106" s="6" t="n">
        <v>2</v>
      </c>
      <c r="Z106" s="6" t="s">
        <v>1014</v>
      </c>
      <c r="AA106" s="9" t="s">
        <v>774</v>
      </c>
      <c r="AB106" s="36" t="s">
        <v>1112</v>
      </c>
      <c r="AC106" s="27" t="n">
        <f aca="false">COUNTIF(環境認証!$A$2:$A$849,A1206)</f>
        <v>0</v>
      </c>
      <c r="AD106" s="6" t="n">
        <v>7.8</v>
      </c>
      <c r="AE106" s="6" t="n">
        <v>5.1</v>
      </c>
    </row>
    <row r="107" customFormat="false" ht="15" hidden="false" customHeight="true" outlineLevel="0" collapsed="false">
      <c r="A107" s="6" t="s">
        <v>1113</v>
      </c>
      <c r="B107" s="6" t="s">
        <v>458</v>
      </c>
      <c r="C107" s="9" t="s">
        <v>1114</v>
      </c>
      <c r="D107" s="9" t="s">
        <v>761</v>
      </c>
      <c r="E107" s="9" t="s">
        <v>762</v>
      </c>
      <c r="F107" s="9" t="s">
        <v>815</v>
      </c>
      <c r="H107" s="9" t="s">
        <v>772</v>
      </c>
      <c r="M107" s="6" t="n">
        <v>9786</v>
      </c>
      <c r="N107" s="1" t="n">
        <v>11</v>
      </c>
      <c r="O107" s="1" t="n">
        <v>1</v>
      </c>
      <c r="P107" s="1" t="n">
        <v>33420</v>
      </c>
      <c r="Q107" s="1" t="str">
        <f aca="false">IF(OR($A1207="",P1207=""),"",ROUND(YEARFRAC(P1207,README!$C$5),1))</f>
        <v/>
      </c>
      <c r="S107" s="6" t="n">
        <v>22800</v>
      </c>
      <c r="T107" s="6" t="n">
        <v>21503</v>
      </c>
      <c r="U107" s="6" t="n">
        <v>27700</v>
      </c>
      <c r="V107" s="6" t="n">
        <v>6197</v>
      </c>
      <c r="W107" s="6" t="n">
        <v>1</v>
      </c>
      <c r="X107" s="6" t="n">
        <v>23</v>
      </c>
      <c r="Z107" s="6" t="s">
        <v>1014</v>
      </c>
      <c r="AA107" s="9" t="s">
        <v>774</v>
      </c>
      <c r="AB107" s="36" t="s">
        <v>1115</v>
      </c>
      <c r="AC107" s="27" t="n">
        <f aca="false">COUNTIF(環境認証!$A$2:$A$849,A1207)</f>
        <v>0</v>
      </c>
      <c r="AD107" s="6" t="n">
        <v>28.8</v>
      </c>
      <c r="AE107" s="6" t="n">
        <v>21.5</v>
      </c>
    </row>
    <row r="108" customFormat="false" ht="15" hidden="false" customHeight="true" outlineLevel="0" collapsed="false">
      <c r="A108" s="6" t="s">
        <v>1116</v>
      </c>
      <c r="B108" s="6" t="s">
        <v>458</v>
      </c>
      <c r="C108" s="9" t="s">
        <v>1117</v>
      </c>
      <c r="D108" s="9" t="s">
        <v>761</v>
      </c>
      <c r="E108" s="9" t="s">
        <v>762</v>
      </c>
      <c r="F108" s="9" t="s">
        <v>815</v>
      </c>
      <c r="H108" s="9" t="s">
        <v>772</v>
      </c>
      <c r="M108" s="6" t="n">
        <v>7745</v>
      </c>
      <c r="N108" s="1" t="n">
        <v>7</v>
      </c>
      <c r="O108" s="1" t="n">
        <v>3</v>
      </c>
      <c r="P108" s="1" t="n">
        <v>40664</v>
      </c>
      <c r="Q108" s="1" t="str">
        <f aca="false">IF(OR($A1208="",P1208=""),"",ROUND(YEARFRAC(P1208,README!$C$5),1))</f>
        <v/>
      </c>
      <c r="S108" s="6" t="n">
        <v>8700</v>
      </c>
      <c r="T108" s="6" t="n">
        <v>6856</v>
      </c>
      <c r="U108" s="6" t="n">
        <v>14100</v>
      </c>
      <c r="V108" s="6" t="n">
        <v>7244</v>
      </c>
      <c r="W108" s="6" t="n">
        <v>1</v>
      </c>
      <c r="X108" s="6" t="n">
        <v>7</v>
      </c>
      <c r="Z108" s="6" t="s">
        <v>1014</v>
      </c>
      <c r="AA108" s="9" t="s">
        <v>774</v>
      </c>
      <c r="AB108" s="36" t="s">
        <v>1118</v>
      </c>
      <c r="AC108" s="27" t="n">
        <f aca="false">COUNTIF(環境認証!$A$2:$A$849,A1208)</f>
        <v>1</v>
      </c>
      <c r="AD108" s="6" t="n">
        <v>105.7</v>
      </c>
      <c r="AE108" s="6" t="n">
        <v>62.1</v>
      </c>
    </row>
    <row r="109" customFormat="false" ht="15" hidden="false" customHeight="true" outlineLevel="0" collapsed="false">
      <c r="A109" s="6" t="s">
        <v>1119</v>
      </c>
      <c r="B109" s="6" t="s">
        <v>458</v>
      </c>
      <c r="C109" s="9" t="s">
        <v>1120</v>
      </c>
      <c r="D109" s="9" t="s">
        <v>761</v>
      </c>
      <c r="E109" s="9" t="s">
        <v>762</v>
      </c>
      <c r="F109" s="9" t="s">
        <v>815</v>
      </c>
      <c r="H109" s="9" t="s">
        <v>772</v>
      </c>
      <c r="M109" s="6" t="n">
        <v>3147</v>
      </c>
      <c r="N109" s="1" t="n">
        <v>18</v>
      </c>
      <c r="O109" s="1" t="n">
        <v>2</v>
      </c>
      <c r="P109" s="1" t="n">
        <v>34121</v>
      </c>
      <c r="Q109" s="1" t="str">
        <f aca="false">IF(OR($A1209="",P1209=""),"",ROUND(YEARFRAC(P1209,README!$C$5),1))</f>
        <v/>
      </c>
      <c r="S109" s="6" t="n">
        <v>4885</v>
      </c>
      <c r="T109" s="6" t="n">
        <v>4672</v>
      </c>
      <c r="U109" s="6" t="n">
        <v>8060</v>
      </c>
      <c r="V109" s="6" t="n">
        <v>3388</v>
      </c>
      <c r="W109" s="6" t="n">
        <v>1</v>
      </c>
      <c r="X109" s="6" t="n">
        <v>5</v>
      </c>
      <c r="Z109" s="6" t="s">
        <v>1014</v>
      </c>
      <c r="AA109" s="9" t="s">
        <v>774</v>
      </c>
      <c r="AB109" s="36" t="s">
        <v>1121</v>
      </c>
      <c r="AC109" s="27" t="n">
        <f aca="false">COUNTIF(環境認証!$A$2:$A$849,A1209)</f>
        <v>1</v>
      </c>
      <c r="AD109" s="6" t="n">
        <v>72.5</v>
      </c>
      <c r="AE109" s="6" t="n">
        <v>65</v>
      </c>
    </row>
    <row r="110" customFormat="false" ht="15" hidden="false" customHeight="true" outlineLevel="0" collapsed="false">
      <c r="A110" s="6" t="s">
        <v>1122</v>
      </c>
      <c r="B110" s="6" t="s">
        <v>458</v>
      </c>
      <c r="C110" s="9" t="s">
        <v>1123</v>
      </c>
      <c r="D110" s="9" t="s">
        <v>761</v>
      </c>
      <c r="E110" s="9" t="s">
        <v>762</v>
      </c>
      <c r="F110" s="9" t="s">
        <v>815</v>
      </c>
      <c r="H110" s="9" t="s">
        <v>772</v>
      </c>
      <c r="M110" s="6" t="n">
        <v>5558</v>
      </c>
      <c r="N110" s="1" t="n">
        <v>14</v>
      </c>
      <c r="O110" s="1" t="n">
        <v>2</v>
      </c>
      <c r="P110" s="1" t="n">
        <v>39995</v>
      </c>
      <c r="Q110" s="1" t="str">
        <f aca="false">IF(OR($A1210="",P1210=""),"",ROUND(YEARFRAC(P1210,README!$C$5),1))</f>
        <v/>
      </c>
      <c r="S110" s="6" t="n">
        <v>12200</v>
      </c>
      <c r="T110" s="6" t="n">
        <v>10537</v>
      </c>
      <c r="U110" s="6" t="n">
        <v>10500</v>
      </c>
      <c r="V110" s="6" t="n">
        <v>-37</v>
      </c>
      <c r="W110" s="6" t="n">
        <v>1</v>
      </c>
      <c r="X110" s="6" t="n">
        <v>6</v>
      </c>
      <c r="Z110" s="6" t="s">
        <v>1014</v>
      </c>
      <c r="AA110" s="9" t="s">
        <v>774</v>
      </c>
      <c r="AB110" s="36" t="s">
        <v>1050</v>
      </c>
      <c r="AC110" s="27" t="n">
        <f aca="false">COUNTIF(環境認証!$A$2:$A$849,A1210)</f>
        <v>0</v>
      </c>
      <c r="AD110" s="6" t="n">
        <v>-0.4</v>
      </c>
      <c r="AE110" s="6" t="n">
        <v>-13.9</v>
      </c>
    </row>
    <row r="111" customFormat="false" ht="15" hidden="false" customHeight="true" outlineLevel="0" collapsed="false">
      <c r="A111" s="6" t="s">
        <v>1124</v>
      </c>
      <c r="B111" s="6" t="s">
        <v>458</v>
      </c>
      <c r="C111" s="9" t="s">
        <v>1125</v>
      </c>
      <c r="D111" s="9" t="s">
        <v>761</v>
      </c>
      <c r="E111" s="9" t="s">
        <v>762</v>
      </c>
      <c r="F111" s="9" t="s">
        <v>815</v>
      </c>
      <c r="H111" s="9" t="s">
        <v>772</v>
      </c>
      <c r="M111" s="1" t="n">
        <v>3849.63</v>
      </c>
      <c r="N111" s="1" t="n">
        <v>7</v>
      </c>
      <c r="O111" s="1" t="n">
        <v>1</v>
      </c>
      <c r="P111" s="1" t="n">
        <v>33178</v>
      </c>
      <c r="Q111" s="1" t="str">
        <f aca="false">IF(OR($A1211="",P1211=""),"",ROUND(YEARFRAC(P1211,README!$C$5),1))</f>
        <v/>
      </c>
      <c r="S111" s="6" t="n">
        <v>26524</v>
      </c>
      <c r="T111" s="6" t="n">
        <v>27186</v>
      </c>
      <c r="U111" s="6" t="n">
        <v>51300</v>
      </c>
      <c r="V111" s="6" t="n">
        <v>24114</v>
      </c>
      <c r="W111" s="1" t="n">
        <v>1</v>
      </c>
      <c r="X111" s="1" t="n">
        <v>12</v>
      </c>
      <c r="Z111" s="6" t="s">
        <v>1014</v>
      </c>
      <c r="AA111" s="9" t="s">
        <v>774</v>
      </c>
      <c r="AB111" s="6" t="s">
        <v>1126</v>
      </c>
      <c r="AC111" s="27" t="n">
        <f aca="false">COUNTIF(環境認証!$A$2:$A$849,A1211)</f>
        <v>1</v>
      </c>
      <c r="AD111" s="6" t="n">
        <v>88.7</v>
      </c>
      <c r="AE111" s="6" t="n">
        <v>93.4</v>
      </c>
    </row>
    <row r="112" customFormat="false" ht="15" hidden="false" customHeight="true" outlineLevel="0" collapsed="false">
      <c r="A112" s="6" t="s">
        <v>1127</v>
      </c>
      <c r="B112" s="6" t="s">
        <v>458</v>
      </c>
      <c r="C112" s="9" t="s">
        <v>1128</v>
      </c>
      <c r="D112" s="9" t="s">
        <v>761</v>
      </c>
      <c r="E112" s="9" t="s">
        <v>762</v>
      </c>
      <c r="F112" s="9" t="s">
        <v>815</v>
      </c>
      <c r="H112" s="9" t="s">
        <v>772</v>
      </c>
      <c r="M112" s="6" t="n">
        <v>8659</v>
      </c>
      <c r="N112" s="1" t="n">
        <v>20</v>
      </c>
      <c r="O112" s="1" t="n">
        <v>1</v>
      </c>
      <c r="P112" s="1" t="n">
        <v>39479</v>
      </c>
      <c r="Q112" s="1" t="str">
        <f aca="false">IF(OR($A1212="",P1212=""),"",ROUND(YEARFRAC(P1212,README!$C$5),1))</f>
        <v/>
      </c>
      <c r="S112" s="6" t="n">
        <v>14612</v>
      </c>
      <c r="T112" s="6" t="n">
        <v>13288</v>
      </c>
      <c r="U112" s="6" t="n">
        <v>20600</v>
      </c>
      <c r="V112" s="6" t="n">
        <v>7312</v>
      </c>
      <c r="W112" s="6" t="n">
        <v>1</v>
      </c>
      <c r="X112" s="6" t="n">
        <v>4</v>
      </c>
      <c r="Z112" s="6" t="s">
        <v>1014</v>
      </c>
      <c r="AA112" s="9" t="s">
        <v>774</v>
      </c>
      <c r="AB112" s="36" t="s">
        <v>1129</v>
      </c>
      <c r="AC112" s="27" t="n">
        <f aca="false">COUNTIF(環境認証!$A$2:$A$849,A1212)</f>
        <v>0</v>
      </c>
      <c r="AD112" s="6" t="n">
        <v>55</v>
      </c>
      <c r="AE112" s="6" t="n">
        <v>41</v>
      </c>
    </row>
    <row r="113" customFormat="false" ht="15" hidden="false" customHeight="true" outlineLevel="0" collapsed="false">
      <c r="A113" s="6" t="s">
        <v>1130</v>
      </c>
      <c r="B113" s="6" t="s">
        <v>458</v>
      </c>
      <c r="C113" s="9" t="s">
        <v>1131</v>
      </c>
      <c r="D113" s="9" t="s">
        <v>761</v>
      </c>
      <c r="E113" s="9" t="s">
        <v>762</v>
      </c>
      <c r="F113" s="9" t="s">
        <v>895</v>
      </c>
      <c r="H113" s="9" t="s">
        <v>882</v>
      </c>
      <c r="M113" s="6" t="n">
        <v>15016</v>
      </c>
      <c r="N113" s="1" t="n">
        <v>8</v>
      </c>
      <c r="P113" s="1" t="n">
        <v>33786</v>
      </c>
      <c r="Q113" s="1" t="str">
        <f aca="false">IF(OR($A1213="",P1213=""),"",ROUND(YEARFRAC(P1213,README!$C$5),1))</f>
        <v/>
      </c>
      <c r="S113" s="6" t="n">
        <v>22000</v>
      </c>
      <c r="T113" s="6" t="n">
        <v>16669</v>
      </c>
      <c r="U113" s="6" t="n">
        <v>26700</v>
      </c>
      <c r="V113" s="6" t="n">
        <v>10031</v>
      </c>
      <c r="W113" s="6" t="n">
        <v>1</v>
      </c>
      <c r="X113" s="6" t="n">
        <v>16</v>
      </c>
      <c r="Z113" s="6" t="s">
        <v>1014</v>
      </c>
      <c r="AA113" s="9" t="s">
        <v>774</v>
      </c>
      <c r="AB113" s="36" t="s">
        <v>1083</v>
      </c>
      <c r="AC113" s="27" t="n">
        <f aca="false">COUNTIF(環境認証!$A$2:$A$849,A1213)</f>
        <v>1</v>
      </c>
      <c r="AD113" s="6" t="n">
        <v>60.2</v>
      </c>
      <c r="AE113" s="6" t="n">
        <v>21.4</v>
      </c>
    </row>
    <row r="114" customFormat="false" ht="15" hidden="false" customHeight="true" outlineLevel="0" collapsed="false">
      <c r="A114" s="6" t="s">
        <v>1132</v>
      </c>
      <c r="B114" s="6" t="s">
        <v>458</v>
      </c>
      <c r="C114" s="9" t="s">
        <v>1133</v>
      </c>
      <c r="D114" s="9" t="s">
        <v>761</v>
      </c>
      <c r="E114" s="9" t="s">
        <v>762</v>
      </c>
      <c r="F114" s="9" t="s">
        <v>881</v>
      </c>
      <c r="H114" s="9" t="s">
        <v>882</v>
      </c>
      <c r="M114" s="6" t="n">
        <v>20778</v>
      </c>
      <c r="N114" s="1" t="n">
        <v>8</v>
      </c>
      <c r="O114" s="1" t="n">
        <v>1</v>
      </c>
      <c r="P114" s="1" t="n">
        <v>34700</v>
      </c>
      <c r="Q114" s="1" t="str">
        <f aca="false">IF(OR($A1214="",P1214=""),"",ROUND(YEARFRAC(P1214,README!$C$5),1))</f>
        <v/>
      </c>
      <c r="S114" s="6" t="n">
        <v>27856</v>
      </c>
      <c r="T114" s="6" t="n">
        <v>27311</v>
      </c>
      <c r="U114" s="6" t="n">
        <v>28000</v>
      </c>
      <c r="V114" s="6" t="n">
        <v>689</v>
      </c>
      <c r="W114" s="6" t="n">
        <v>1</v>
      </c>
      <c r="X114" s="6" t="n">
        <v>32</v>
      </c>
      <c r="Z114" s="6" t="s">
        <v>1014</v>
      </c>
      <c r="AA114" s="9" t="s">
        <v>774</v>
      </c>
      <c r="AB114" s="36" t="s">
        <v>1134</v>
      </c>
      <c r="AC114" s="27" t="n">
        <f aca="false">COUNTIF(環境認証!$A$2:$A$849,A1214)</f>
        <v>0</v>
      </c>
      <c r="AD114" s="6" t="n">
        <v>2.5</v>
      </c>
      <c r="AE114" s="6" t="n">
        <v>0.5</v>
      </c>
    </row>
    <row r="115" customFormat="false" ht="15" hidden="false" customHeight="true" outlineLevel="0" collapsed="false">
      <c r="A115" s="6" t="s">
        <v>1135</v>
      </c>
      <c r="B115" s="6" t="s">
        <v>458</v>
      </c>
      <c r="C115" s="9" t="s">
        <v>1136</v>
      </c>
      <c r="D115" s="9" t="s">
        <v>761</v>
      </c>
      <c r="E115" s="9" t="s">
        <v>762</v>
      </c>
      <c r="F115" s="9" t="s">
        <v>881</v>
      </c>
      <c r="H115" s="9" t="s">
        <v>882</v>
      </c>
      <c r="M115" s="6" t="n">
        <v>17407</v>
      </c>
      <c r="N115" s="1" t="n">
        <v>16</v>
      </c>
      <c r="O115" s="1" t="n">
        <v>1</v>
      </c>
      <c r="P115" s="1" t="n">
        <v>39479</v>
      </c>
      <c r="Q115" s="1" t="str">
        <f aca="false">IF(OR($A1215="",P1215=""),"",ROUND(YEARFRAC(P1215,README!$C$5),1))</f>
        <v/>
      </c>
      <c r="S115" s="6" t="n">
        <v>25500</v>
      </c>
      <c r="T115" s="6" t="n">
        <v>24640</v>
      </c>
      <c r="U115" s="6" t="n">
        <v>25900</v>
      </c>
      <c r="V115" s="6" t="n">
        <v>1260</v>
      </c>
      <c r="W115" s="6" t="n">
        <v>1</v>
      </c>
      <c r="X115" s="6" t="n">
        <v>22</v>
      </c>
      <c r="Z115" s="6" t="s">
        <v>1014</v>
      </c>
      <c r="AA115" s="9" t="s">
        <v>774</v>
      </c>
      <c r="AB115" s="36" t="s">
        <v>1137</v>
      </c>
      <c r="AC115" s="27" t="n">
        <f aca="false">COUNTIF(環境認証!$A$2:$A$849,A1215)</f>
        <v>0</v>
      </c>
      <c r="AD115" s="6" t="n">
        <v>5.1</v>
      </c>
      <c r="AE115" s="6" t="n">
        <v>1.6</v>
      </c>
    </row>
    <row r="116" customFormat="false" ht="15" hidden="false" customHeight="true" outlineLevel="0" collapsed="false">
      <c r="A116" s="6" t="s">
        <v>1138</v>
      </c>
      <c r="B116" s="6" t="s">
        <v>458</v>
      </c>
      <c r="C116" s="9" t="s">
        <v>1139</v>
      </c>
      <c r="D116" s="9" t="s">
        <v>761</v>
      </c>
      <c r="E116" s="9" t="s">
        <v>762</v>
      </c>
      <c r="F116" s="9" t="s">
        <v>848</v>
      </c>
      <c r="H116" s="9" t="s">
        <v>882</v>
      </c>
      <c r="I116" s="1" t="s">
        <v>1140</v>
      </c>
      <c r="M116" s="6" t="n">
        <v>5205</v>
      </c>
      <c r="Q116" s="1" t="str">
        <f aca="false">IF(OR($A1216="",P1216=""),"",ROUND(YEARFRAC(P1216,README!$C$5),1))</f>
        <v/>
      </c>
      <c r="S116" s="6" t="n">
        <v>5500</v>
      </c>
      <c r="T116" s="6" t="n">
        <v>4221</v>
      </c>
      <c r="U116" s="6" t="n">
        <v>8030</v>
      </c>
      <c r="V116" s="6" t="n">
        <v>3809</v>
      </c>
      <c r="W116" s="6" t="n">
        <v>1</v>
      </c>
      <c r="X116" s="6" t="n">
        <v>4</v>
      </c>
      <c r="Z116" s="6" t="s">
        <v>1014</v>
      </c>
      <c r="AA116" s="9" t="s">
        <v>774</v>
      </c>
      <c r="AB116" s="36" t="s">
        <v>1141</v>
      </c>
      <c r="AC116" s="27" t="n">
        <f aca="false">COUNTIF(環境認証!$A$2:$A$849,A1216)</f>
        <v>0</v>
      </c>
      <c r="AD116" s="6" t="n">
        <v>90.2</v>
      </c>
      <c r="AE116" s="6" t="n">
        <v>46</v>
      </c>
    </row>
    <row r="117" customFormat="false" ht="15" hidden="false" customHeight="true" outlineLevel="0" collapsed="false">
      <c r="A117" s="6" t="s">
        <v>1142</v>
      </c>
      <c r="B117" s="6" t="s">
        <v>458</v>
      </c>
      <c r="C117" s="9" t="s">
        <v>1143</v>
      </c>
      <c r="D117" s="9" t="s">
        <v>761</v>
      </c>
      <c r="E117" s="9" t="s">
        <v>762</v>
      </c>
      <c r="F117" s="9" t="s">
        <v>848</v>
      </c>
      <c r="H117" s="9" t="s">
        <v>882</v>
      </c>
      <c r="I117" s="36" t="s">
        <v>1144</v>
      </c>
      <c r="K117" s="1" t="n">
        <v>57177.66</v>
      </c>
      <c r="L117" s="1" t="n">
        <v>442150.7</v>
      </c>
      <c r="M117" s="6" t="n">
        <v>16856</v>
      </c>
      <c r="N117" s="1" t="n">
        <v>54</v>
      </c>
      <c r="O117" s="1" t="n">
        <v>6</v>
      </c>
      <c r="P117" s="1" t="n">
        <v>37712</v>
      </c>
      <c r="Q117" s="1" t="str">
        <f aca="false">IF(OR($A1217="",P1217=""),"",ROUND(YEARFRAC(P1217,README!$C$5),1))</f>
        <v/>
      </c>
      <c r="S117" s="6" t="n">
        <v>12300</v>
      </c>
      <c r="T117" s="6" t="n">
        <v>7910</v>
      </c>
      <c r="U117" s="6" t="n">
        <v>16300</v>
      </c>
      <c r="V117" s="6" t="n">
        <v>8390</v>
      </c>
      <c r="W117" s="6" t="n">
        <v>1</v>
      </c>
      <c r="X117" s="6" t="n">
        <v>1</v>
      </c>
      <c r="Y117" s="1" t="n">
        <v>2</v>
      </c>
      <c r="Z117" s="6" t="s">
        <v>1014</v>
      </c>
      <c r="AA117" s="9" t="s">
        <v>774</v>
      </c>
      <c r="AB117" s="9" t="s">
        <v>1145</v>
      </c>
      <c r="AC117" s="27" t="n">
        <f aca="false">COUNTIF(環境認証!$A$2:$A$849,A1217)</f>
        <v>0</v>
      </c>
      <c r="AD117" s="6" t="n">
        <v>106.1</v>
      </c>
      <c r="AE117" s="6" t="n">
        <v>32.5</v>
      </c>
    </row>
    <row r="118" customFormat="false" ht="15" hidden="false" customHeight="true" outlineLevel="0" collapsed="false">
      <c r="A118" s="6" t="s">
        <v>1146</v>
      </c>
      <c r="B118" s="6" t="s">
        <v>458</v>
      </c>
      <c r="C118" s="9" t="s">
        <v>1147</v>
      </c>
      <c r="D118" s="9" t="s">
        <v>761</v>
      </c>
      <c r="E118" s="9" t="s">
        <v>762</v>
      </c>
      <c r="F118" s="9" t="s">
        <v>1148</v>
      </c>
      <c r="H118" s="9" t="s">
        <v>882</v>
      </c>
      <c r="I118" s="36" t="s">
        <v>1144</v>
      </c>
      <c r="K118" s="1" t="n">
        <v>39602.42</v>
      </c>
      <c r="L118" s="1" t="n">
        <v>177486.95</v>
      </c>
      <c r="M118" s="6" t="n">
        <v>7706</v>
      </c>
      <c r="N118" s="1" t="n">
        <v>37</v>
      </c>
      <c r="O118" s="1" t="n">
        <v>4</v>
      </c>
      <c r="P118" s="1" t="n">
        <v>31472</v>
      </c>
      <c r="Q118" s="1" t="str">
        <f aca="false">IF(OR($A1218="",P1218=""),"",ROUND(YEARFRAC(P1218,README!$C$5),1))</f>
        <v/>
      </c>
      <c r="S118" s="6" t="n">
        <v>5123</v>
      </c>
      <c r="T118" s="6" t="n">
        <v>4779</v>
      </c>
      <c r="U118" s="6" t="n">
        <v>6140</v>
      </c>
      <c r="V118" s="6" t="n">
        <v>1361</v>
      </c>
      <c r="W118" s="6" t="n">
        <v>1</v>
      </c>
      <c r="X118" s="6" t="n">
        <v>25</v>
      </c>
      <c r="Y118" s="1" t="n">
        <v>2.2</v>
      </c>
      <c r="Z118" s="6" t="s">
        <v>1014</v>
      </c>
      <c r="AA118" s="9" t="s">
        <v>774</v>
      </c>
      <c r="AB118" s="1" t="s">
        <v>1149</v>
      </c>
      <c r="AC118" s="27" t="n">
        <f aca="false">COUNTIF(環境認証!$A$2:$A$849,A1218)</f>
        <v>0</v>
      </c>
      <c r="AD118" s="6" t="n">
        <v>28.5</v>
      </c>
      <c r="AE118" s="6" t="n">
        <v>19.9</v>
      </c>
    </row>
    <row r="119" customFormat="false" ht="15" hidden="false" customHeight="true" outlineLevel="0" collapsed="false">
      <c r="A119" s="6" t="s">
        <v>1150</v>
      </c>
      <c r="B119" s="6" t="s">
        <v>458</v>
      </c>
      <c r="C119" s="9" t="s">
        <v>1151</v>
      </c>
      <c r="D119" s="9" t="s">
        <v>761</v>
      </c>
      <c r="E119" s="9" t="s">
        <v>762</v>
      </c>
      <c r="F119" s="9" t="s">
        <v>1152</v>
      </c>
      <c r="H119" s="9" t="s">
        <v>882</v>
      </c>
      <c r="I119" s="36" t="s">
        <v>1153</v>
      </c>
      <c r="K119" s="1" t="n">
        <v>6611.58</v>
      </c>
      <c r="L119" s="1" t="n">
        <v>46154.65</v>
      </c>
      <c r="M119" s="6" t="n">
        <v>14340</v>
      </c>
      <c r="N119" s="1" t="n">
        <v>19</v>
      </c>
      <c r="O119" s="1" t="n">
        <v>6</v>
      </c>
      <c r="P119" s="1" t="n">
        <v>36586</v>
      </c>
      <c r="Q119" s="1" t="str">
        <f aca="false">IF(OR($A1219="",P1219=""),"",ROUND(YEARFRAC(P1219,README!$C$5),1))</f>
        <v/>
      </c>
      <c r="S119" s="6" t="n">
        <v>11120</v>
      </c>
      <c r="T119" s="6" t="n">
        <v>9139</v>
      </c>
      <c r="U119" s="6" t="n">
        <v>15500</v>
      </c>
      <c r="V119" s="6" t="n">
        <v>6361</v>
      </c>
      <c r="W119" s="6" t="n">
        <v>1</v>
      </c>
      <c r="X119" s="6" t="n">
        <v>25</v>
      </c>
      <c r="Y119" s="1" t="n">
        <v>1.1</v>
      </c>
      <c r="Z119" s="6" t="s">
        <v>1014</v>
      </c>
      <c r="AA119" s="9" t="s">
        <v>774</v>
      </c>
      <c r="AB119" s="1" t="s">
        <v>1154</v>
      </c>
      <c r="AC119" s="27" t="n">
        <f aca="false">COUNTIF(環境認証!$A$2:$A$849,A1219)</f>
        <v>1</v>
      </c>
      <c r="AD119" s="6" t="n">
        <v>69.6</v>
      </c>
      <c r="AE119" s="6" t="n">
        <v>39.4</v>
      </c>
    </row>
    <row r="120" customFormat="false" ht="15" hidden="false" customHeight="true" outlineLevel="0" collapsed="false">
      <c r="A120" s="6" t="s">
        <v>1155</v>
      </c>
      <c r="B120" s="6" t="s">
        <v>458</v>
      </c>
      <c r="C120" s="9" t="s">
        <v>1156</v>
      </c>
      <c r="D120" s="9" t="s">
        <v>761</v>
      </c>
      <c r="E120" s="9" t="s">
        <v>762</v>
      </c>
      <c r="F120" s="9" t="s">
        <v>911</v>
      </c>
      <c r="H120" s="9" t="s">
        <v>882</v>
      </c>
      <c r="I120" s="36" t="s">
        <v>1157</v>
      </c>
      <c r="K120" s="1" t="n">
        <v>5694.16</v>
      </c>
      <c r="L120" s="1" t="n">
        <v>46971.43</v>
      </c>
      <c r="M120" s="6" t="n">
        <v>2186</v>
      </c>
      <c r="N120" s="1" t="n">
        <v>25</v>
      </c>
      <c r="O120" s="1" t="n">
        <v>2</v>
      </c>
      <c r="P120" s="1" t="n">
        <v>36770</v>
      </c>
      <c r="Q120" s="1" t="str">
        <f aca="false">IF(OR($A1220="",P1220=""),"",ROUND(YEARFRAC(P1220,README!$C$5),1))</f>
        <v/>
      </c>
      <c r="S120" s="6" t="n">
        <v>1728</v>
      </c>
      <c r="T120" s="6" t="n">
        <v>1528</v>
      </c>
      <c r="U120" s="6" t="n">
        <v>2090</v>
      </c>
      <c r="V120" s="6" t="n">
        <v>562</v>
      </c>
      <c r="W120" s="6" t="n">
        <v>1</v>
      </c>
      <c r="X120" s="6" t="n">
        <v>8</v>
      </c>
      <c r="Y120" s="1" t="n">
        <v>2.3</v>
      </c>
      <c r="Z120" s="6" t="s">
        <v>1014</v>
      </c>
      <c r="AA120" s="9" t="s">
        <v>774</v>
      </c>
      <c r="AB120" s="1" t="s">
        <v>1158</v>
      </c>
      <c r="AC120" s="27" t="n">
        <f aca="false">COUNTIF(環境認証!$A$2:$A$849,A1220)</f>
        <v>0</v>
      </c>
      <c r="AD120" s="6" t="n">
        <v>36.8</v>
      </c>
      <c r="AE120" s="6" t="n">
        <v>20.9</v>
      </c>
    </row>
    <row r="121" customFormat="false" ht="15" hidden="false" customHeight="true" outlineLevel="0" collapsed="false">
      <c r="A121" s="6" t="s">
        <v>1159</v>
      </c>
      <c r="B121" s="6" t="s">
        <v>458</v>
      </c>
      <c r="C121" s="9" t="s">
        <v>1160</v>
      </c>
      <c r="D121" s="9" t="s">
        <v>761</v>
      </c>
      <c r="E121" s="9" t="s">
        <v>762</v>
      </c>
      <c r="F121" s="9" t="s">
        <v>911</v>
      </c>
      <c r="H121" s="9" t="s">
        <v>882</v>
      </c>
      <c r="I121" s="36" t="s">
        <v>1161</v>
      </c>
      <c r="K121" s="1" t="n">
        <v>13014.36</v>
      </c>
      <c r="L121" s="1" t="n">
        <v>148165.61</v>
      </c>
      <c r="M121" s="6" t="n">
        <v>5932</v>
      </c>
      <c r="N121" s="1" t="n">
        <v>42</v>
      </c>
      <c r="O121" s="1" t="n">
        <v>2</v>
      </c>
      <c r="P121" s="1" t="n">
        <v>37073</v>
      </c>
      <c r="Q121" s="1" t="str">
        <f aca="false">IF(OR($A1221="",P1221=""),"",ROUND(YEARFRAC(P1221,README!$C$5),1))</f>
        <v/>
      </c>
      <c r="S121" s="6" t="n">
        <v>4500</v>
      </c>
      <c r="T121" s="6" t="n">
        <v>3755</v>
      </c>
      <c r="U121" s="6" t="n">
        <v>6230</v>
      </c>
      <c r="V121" s="6" t="n">
        <v>2475</v>
      </c>
      <c r="W121" s="6" t="n">
        <v>1</v>
      </c>
      <c r="X121" s="6" t="n">
        <v>11</v>
      </c>
      <c r="Y121" s="1" t="n">
        <v>2.7</v>
      </c>
      <c r="Z121" s="6" t="s">
        <v>1014</v>
      </c>
      <c r="AA121" s="9" t="s">
        <v>774</v>
      </c>
      <c r="AB121" s="1" t="s">
        <v>1162</v>
      </c>
      <c r="AC121" s="27" t="n">
        <f aca="false">COUNTIF(環境認証!$A$2:$A$849,A1221)</f>
        <v>1</v>
      </c>
      <c r="AD121" s="6" t="n">
        <v>65.9</v>
      </c>
      <c r="AE121" s="6" t="n">
        <v>38.4</v>
      </c>
    </row>
    <row r="122" customFormat="false" ht="15" hidden="false" customHeight="true" outlineLevel="0" collapsed="false">
      <c r="A122" s="6" t="s">
        <v>1163</v>
      </c>
      <c r="B122" s="6" t="s">
        <v>458</v>
      </c>
      <c r="C122" s="9" t="s">
        <v>1164</v>
      </c>
      <c r="D122" s="9" t="s">
        <v>761</v>
      </c>
      <c r="E122" s="9" t="s">
        <v>762</v>
      </c>
      <c r="F122" s="9" t="s">
        <v>1165</v>
      </c>
      <c r="H122" s="9" t="s">
        <v>921</v>
      </c>
      <c r="I122" s="36" t="s">
        <v>1166</v>
      </c>
      <c r="K122" s="1" t="n">
        <v>5846.69</v>
      </c>
      <c r="L122" s="1" t="n">
        <v>53043.48</v>
      </c>
      <c r="M122" s="6" t="n">
        <v>10629</v>
      </c>
      <c r="N122" s="1" t="n">
        <v>20</v>
      </c>
      <c r="O122" s="1" t="n">
        <v>4</v>
      </c>
      <c r="P122" s="1" t="n">
        <v>41456</v>
      </c>
      <c r="Q122" s="1" t="str">
        <f aca="false">IF(OR($A1222="",P1222=""),"",ROUND(YEARFRAC(P1222,README!$C$5),1))</f>
        <v/>
      </c>
      <c r="S122" s="6" t="n">
        <v>5934.1</v>
      </c>
      <c r="T122" s="6" t="n">
        <v>4802</v>
      </c>
      <c r="U122" s="6" t="n">
        <v>5550</v>
      </c>
      <c r="V122" s="6" t="n">
        <v>748</v>
      </c>
      <c r="W122" s="6" t="n">
        <v>1</v>
      </c>
      <c r="X122" s="6" t="n">
        <v>53</v>
      </c>
      <c r="Y122" s="1" t="n">
        <v>1.5</v>
      </c>
      <c r="Z122" s="6" t="s">
        <v>1014</v>
      </c>
      <c r="AA122" s="9" t="s">
        <v>774</v>
      </c>
      <c r="AB122" s="1" t="s">
        <v>1167</v>
      </c>
      <c r="AC122" s="27" t="n">
        <f aca="false">COUNTIF(環境認証!$A$2:$A$849,A1222)</f>
        <v>0</v>
      </c>
      <c r="AD122" s="6" t="n">
        <v>15.6</v>
      </c>
      <c r="AE122" s="6" t="n">
        <v>-6.5</v>
      </c>
    </row>
    <row r="123" customFormat="false" ht="15" hidden="false" customHeight="true" outlineLevel="0" collapsed="false">
      <c r="A123" s="6" t="s">
        <v>1168</v>
      </c>
      <c r="B123" s="6" t="s">
        <v>458</v>
      </c>
      <c r="C123" s="9" t="s">
        <v>1169</v>
      </c>
      <c r="D123" s="9" t="s">
        <v>761</v>
      </c>
      <c r="E123" s="9" t="s">
        <v>939</v>
      </c>
      <c r="F123" s="9" t="s">
        <v>940</v>
      </c>
      <c r="H123" s="9" t="s">
        <v>921</v>
      </c>
      <c r="I123" s="1" t="s">
        <v>1170</v>
      </c>
      <c r="K123" s="1" t="n">
        <v>17068.96</v>
      </c>
      <c r="L123" s="1" t="n">
        <v>241581.95</v>
      </c>
      <c r="M123" s="6" t="n">
        <v>4510</v>
      </c>
      <c r="N123" s="1" t="n">
        <v>52</v>
      </c>
      <c r="O123" s="1" t="n">
        <v>5</v>
      </c>
      <c r="P123" s="1" t="n">
        <v>41760</v>
      </c>
      <c r="Q123" s="1" t="str">
        <f aca="false">IF(OR($A1223="",P1223=""),"",ROUND(YEARFRAC(P1223,README!$C$5),1))</f>
        <v/>
      </c>
      <c r="S123" s="6" t="n">
        <v>2574</v>
      </c>
      <c r="T123" s="6" t="n">
        <v>2445</v>
      </c>
      <c r="U123" s="6" t="n">
        <v>3810</v>
      </c>
      <c r="V123" s="6" t="n">
        <v>1365</v>
      </c>
      <c r="W123" s="6" t="n">
        <v>1</v>
      </c>
      <c r="X123" s="6" t="n">
        <v>20</v>
      </c>
      <c r="Y123" s="1" t="n">
        <v>2.3</v>
      </c>
      <c r="Z123" s="6" t="s">
        <v>1014</v>
      </c>
      <c r="AA123" s="9" t="s">
        <v>774</v>
      </c>
      <c r="AB123" s="1" t="s">
        <v>1171</v>
      </c>
      <c r="AC123" s="27" t="n">
        <f aca="false">COUNTIF(環境認証!$A$2:$A$849,A1223)</f>
        <v>0</v>
      </c>
      <c r="AD123" s="6" t="n">
        <v>55.8</v>
      </c>
      <c r="AE123" s="6" t="n">
        <v>48</v>
      </c>
    </row>
    <row r="124" customFormat="false" ht="15" hidden="false" customHeight="true" outlineLevel="0" collapsed="false">
      <c r="A124" s="6" t="s">
        <v>1172</v>
      </c>
      <c r="B124" s="6" t="s">
        <v>458</v>
      </c>
      <c r="C124" s="9" t="s">
        <v>1173</v>
      </c>
      <c r="D124" s="9" t="s">
        <v>761</v>
      </c>
      <c r="E124" s="9" t="s">
        <v>925</v>
      </c>
      <c r="F124" s="9" t="s">
        <v>926</v>
      </c>
      <c r="H124" s="9" t="s">
        <v>921</v>
      </c>
      <c r="I124" s="1" t="s">
        <v>1174</v>
      </c>
      <c r="K124" s="1" t="n">
        <v>3487.61</v>
      </c>
      <c r="L124" s="1" t="n">
        <v>35076.12</v>
      </c>
      <c r="M124" s="6" t="n">
        <v>38398</v>
      </c>
      <c r="N124" s="1" t="n">
        <v>24</v>
      </c>
      <c r="O124" s="1" t="n">
        <v>2</v>
      </c>
      <c r="P124" s="1" t="n">
        <v>38353</v>
      </c>
      <c r="Q124" s="1" t="str">
        <f aca="false">IF(OR($A1224="",P1224=""),"",ROUND(YEARFRAC(P1224,README!$C$5),1))</f>
        <v/>
      </c>
      <c r="S124" s="6" t="n">
        <v>37400</v>
      </c>
      <c r="T124" s="6" t="n">
        <v>29031</v>
      </c>
      <c r="U124" s="6" t="n">
        <v>41300</v>
      </c>
      <c r="V124" s="6" t="n">
        <v>12269</v>
      </c>
      <c r="W124" s="6" t="n">
        <v>0.995</v>
      </c>
      <c r="X124" s="6" t="n">
        <v>31</v>
      </c>
      <c r="Y124" s="1" t="n">
        <v>1.4</v>
      </c>
      <c r="Z124" s="6" t="s">
        <v>1014</v>
      </c>
      <c r="AA124" s="9" t="s">
        <v>774</v>
      </c>
      <c r="AB124" s="1" t="s">
        <v>1175</v>
      </c>
      <c r="AC124" s="27" t="n">
        <f aca="false">COUNTIF(環境認証!$A$2:$A$849,A1224)</f>
        <v>0</v>
      </c>
      <c r="AD124" s="6" t="n">
        <v>42.3</v>
      </c>
      <c r="AE124" s="6" t="n">
        <v>10.4</v>
      </c>
    </row>
    <row r="125" customFormat="false" ht="15" hidden="false" customHeight="true" outlineLevel="0" collapsed="false">
      <c r="A125" s="6" t="s">
        <v>1176</v>
      </c>
      <c r="B125" s="6" t="s">
        <v>458</v>
      </c>
      <c r="C125" s="9" t="s">
        <v>1177</v>
      </c>
      <c r="D125" s="9" t="s">
        <v>761</v>
      </c>
      <c r="E125" s="9" t="s">
        <v>925</v>
      </c>
      <c r="F125" s="9" t="s">
        <v>926</v>
      </c>
      <c r="H125" s="9" t="s">
        <v>921</v>
      </c>
      <c r="I125" s="36" t="s">
        <v>1178</v>
      </c>
      <c r="K125" s="1" t="n">
        <v>4357.88</v>
      </c>
      <c r="L125" s="1" t="n">
        <v>22906.74</v>
      </c>
      <c r="M125" s="6" t="n">
        <v>26696</v>
      </c>
      <c r="N125" s="1" t="n">
        <v>20</v>
      </c>
      <c r="O125" s="1" t="n">
        <v>1</v>
      </c>
      <c r="P125" s="1" t="n">
        <v>34243</v>
      </c>
      <c r="Q125" s="1" t="str">
        <f aca="false">IF(OR($A1225="",P1225=""),"",ROUND(YEARFRAC(P1225,README!$C$5),1))</f>
        <v/>
      </c>
      <c r="S125" s="6" t="n">
        <v>17200</v>
      </c>
      <c r="T125" s="6" t="n">
        <v>14984</v>
      </c>
      <c r="U125" s="6" t="n">
        <v>27900</v>
      </c>
      <c r="V125" s="6" t="n">
        <v>12916</v>
      </c>
      <c r="W125" s="6" t="n">
        <v>0.974</v>
      </c>
      <c r="X125" s="6" t="n">
        <v>55</v>
      </c>
      <c r="Y125" s="1" t="n">
        <v>2</v>
      </c>
      <c r="Z125" s="6" t="s">
        <v>1014</v>
      </c>
      <c r="AA125" s="9" t="s">
        <v>774</v>
      </c>
      <c r="AB125" s="1" t="s">
        <v>1179</v>
      </c>
      <c r="AC125" s="27" t="n">
        <f aca="false">COUNTIF(環境認証!$A$2:$A$849,A1225)</f>
        <v>0</v>
      </c>
      <c r="AD125" s="6" t="n">
        <v>86.2</v>
      </c>
      <c r="AE125" s="6" t="n">
        <v>62.2</v>
      </c>
    </row>
    <row r="126" customFormat="false" ht="15" hidden="false" customHeight="true" outlineLevel="0" collapsed="false">
      <c r="A126" s="6" t="s">
        <v>1180</v>
      </c>
      <c r="B126" s="6" t="s">
        <v>458</v>
      </c>
      <c r="C126" s="9" t="s">
        <v>1181</v>
      </c>
      <c r="D126" s="9" t="s">
        <v>761</v>
      </c>
      <c r="E126" s="9" t="s">
        <v>925</v>
      </c>
      <c r="F126" s="9" t="s">
        <v>930</v>
      </c>
      <c r="H126" s="9" t="s">
        <v>921</v>
      </c>
      <c r="I126" s="36" t="s">
        <v>1182</v>
      </c>
      <c r="K126" s="1" t="n">
        <v>4357.88</v>
      </c>
      <c r="L126" s="1" t="n">
        <v>22906.74</v>
      </c>
      <c r="M126" s="6" t="n">
        <v>5378</v>
      </c>
      <c r="N126" s="1" t="n">
        <v>20</v>
      </c>
      <c r="O126" s="1" t="n">
        <v>1</v>
      </c>
      <c r="P126" s="1" t="n">
        <v>34243</v>
      </c>
      <c r="Q126" s="1" t="str">
        <f aca="false">IF(OR($A1226="",P1226=""),"",ROUND(YEARFRAC(P1226,README!$C$5),1))</f>
        <v/>
      </c>
      <c r="S126" s="6" t="n">
        <v>4000</v>
      </c>
      <c r="T126" s="6" t="n">
        <v>3561</v>
      </c>
      <c r="U126" s="6" t="n">
        <v>4710</v>
      </c>
      <c r="V126" s="6" t="n">
        <v>1149</v>
      </c>
      <c r="W126" s="6" t="n">
        <v>1</v>
      </c>
      <c r="X126" s="6" t="n">
        <v>29</v>
      </c>
      <c r="Y126" s="1" t="n">
        <v>2</v>
      </c>
      <c r="Z126" s="6" t="s">
        <v>1014</v>
      </c>
      <c r="AA126" s="9" t="s">
        <v>774</v>
      </c>
      <c r="AB126" s="1" t="s">
        <v>1183</v>
      </c>
      <c r="AC126" s="27" t="n">
        <f aca="false">COUNTIF(環境認証!$A$2:$A$849,A1226)</f>
        <v>2</v>
      </c>
      <c r="AD126" s="6" t="n">
        <v>32.3</v>
      </c>
      <c r="AE126" s="6" t="n">
        <v>17.8</v>
      </c>
    </row>
    <row r="127" customFormat="false" ht="15" hidden="false" customHeight="true" outlineLevel="0" collapsed="false">
      <c r="A127" s="6" t="s">
        <v>1184</v>
      </c>
      <c r="B127" s="6" t="s">
        <v>458</v>
      </c>
      <c r="C127" s="9" t="s">
        <v>1185</v>
      </c>
      <c r="D127" s="9" t="s">
        <v>761</v>
      </c>
      <c r="E127" s="9" t="s">
        <v>950</v>
      </c>
      <c r="F127" s="9" t="s">
        <v>951</v>
      </c>
      <c r="H127" s="6" t="s">
        <v>952</v>
      </c>
      <c r="I127" s="36" t="s">
        <v>1186</v>
      </c>
      <c r="K127" s="1" t="n">
        <v>2565.06</v>
      </c>
      <c r="M127" s="6" t="n">
        <v>5266</v>
      </c>
      <c r="Q127" s="1" t="str">
        <f aca="false">IF(OR($A1227="",P1227=""),"",ROUND(YEARFRAC(P1227,README!$C$5),1))</f>
        <v/>
      </c>
      <c r="S127" s="6" t="n">
        <v>8175</v>
      </c>
      <c r="T127" s="6" t="n">
        <v>8456</v>
      </c>
      <c r="U127" s="6" t="n">
        <v>8530</v>
      </c>
      <c r="V127" s="6" t="n">
        <v>74</v>
      </c>
      <c r="W127" s="6" t="n">
        <v>0.66</v>
      </c>
      <c r="X127" s="6" t="n">
        <v>4</v>
      </c>
      <c r="Z127" s="6" t="s">
        <v>1014</v>
      </c>
      <c r="AA127" s="9" t="s">
        <v>774</v>
      </c>
      <c r="AB127" s="6" t="s">
        <v>1187</v>
      </c>
      <c r="AC127" s="27" t="n">
        <f aca="false">COUNTIF(環境認証!$A$2:$A$849,A1227)</f>
        <v>0</v>
      </c>
      <c r="AD127" s="6" t="n">
        <v>0.9</v>
      </c>
      <c r="AE127" s="6" t="n">
        <v>4.3</v>
      </c>
    </row>
    <row r="128" customFormat="false" ht="15" hidden="false" customHeight="true" outlineLevel="0" collapsed="false">
      <c r="A128" s="6" t="s">
        <v>1188</v>
      </c>
      <c r="B128" s="6" t="s">
        <v>458</v>
      </c>
      <c r="C128" s="9" t="s">
        <v>1189</v>
      </c>
      <c r="D128" s="9" t="s">
        <v>761</v>
      </c>
      <c r="E128" s="9" t="s">
        <v>950</v>
      </c>
      <c r="F128" s="9" t="s">
        <v>951</v>
      </c>
      <c r="H128" s="6" t="s">
        <v>952</v>
      </c>
      <c r="I128" s="1" t="s">
        <v>1190</v>
      </c>
      <c r="M128" s="6" t="n">
        <v>12265</v>
      </c>
      <c r="Q128" s="1" t="str">
        <f aca="false">IF(OR($A1228="",P1228=""),"",ROUND(YEARFRAC(P1228,README!$C$5),1))</f>
        <v/>
      </c>
      <c r="S128" s="6" t="n">
        <v>7100</v>
      </c>
      <c r="T128" s="6" t="n">
        <v>5552</v>
      </c>
      <c r="U128" s="6" t="n">
        <v>13100</v>
      </c>
      <c r="V128" s="6" t="n">
        <v>7548</v>
      </c>
      <c r="W128" s="6" t="n">
        <v>0.991</v>
      </c>
      <c r="X128" s="6" t="n">
        <v>12</v>
      </c>
      <c r="Y128" s="1" t="n">
        <v>2.1</v>
      </c>
      <c r="Z128" s="6" t="s">
        <v>1014</v>
      </c>
      <c r="AA128" s="9" t="s">
        <v>774</v>
      </c>
      <c r="AB128" s="36" t="s">
        <v>1191</v>
      </c>
      <c r="AC128" s="27" t="n">
        <f aca="false">COUNTIF(環境認証!$A$2:$A$849,A1228)</f>
        <v>0</v>
      </c>
      <c r="AD128" s="6" t="n">
        <v>136</v>
      </c>
      <c r="AE128" s="6" t="n">
        <v>84.5</v>
      </c>
    </row>
    <row r="129" customFormat="false" ht="15" hidden="false" customHeight="true" outlineLevel="0" collapsed="false">
      <c r="A129" s="6" t="s">
        <v>1192</v>
      </c>
      <c r="B129" s="6" t="s">
        <v>458</v>
      </c>
      <c r="C129" s="6" t="s">
        <v>1193</v>
      </c>
      <c r="D129" s="9" t="s">
        <v>761</v>
      </c>
      <c r="E129" s="9" t="s">
        <v>950</v>
      </c>
      <c r="F129" s="9" t="s">
        <v>951</v>
      </c>
      <c r="H129" s="6" t="s">
        <v>952</v>
      </c>
      <c r="M129" s="6" t="n">
        <v>11818</v>
      </c>
      <c r="Q129" s="1" t="str">
        <f aca="false">IF(OR($A1229="",P1229=""),"",ROUND(YEARFRAC(P1229,README!$C$5),1))</f>
        <v/>
      </c>
      <c r="S129" s="6" t="n">
        <v>21340</v>
      </c>
      <c r="T129" s="6" t="n">
        <v>21325</v>
      </c>
      <c r="U129" s="6" t="n">
        <v>22000</v>
      </c>
      <c r="V129" s="6" t="n">
        <v>675</v>
      </c>
      <c r="W129" s="6" t="n">
        <v>0.875</v>
      </c>
      <c r="X129" s="6" t="n">
        <v>17</v>
      </c>
      <c r="Z129" s="6" t="s">
        <v>1014</v>
      </c>
      <c r="AA129" s="9" t="s">
        <v>774</v>
      </c>
      <c r="AB129" s="6" t="s">
        <v>1194</v>
      </c>
      <c r="AC129" s="27" t="n">
        <f aca="false">COUNTIF(環境認証!$A$2:$A$849,A1229)</f>
        <v>0</v>
      </c>
      <c r="AD129" s="6" t="n">
        <v>3.2</v>
      </c>
      <c r="AE129" s="6" t="n">
        <v>3.1</v>
      </c>
    </row>
    <row r="130" customFormat="false" ht="15" hidden="false" customHeight="true" outlineLevel="0" collapsed="false">
      <c r="A130" s="6" t="s">
        <v>1195</v>
      </c>
      <c r="B130" s="6" t="s">
        <v>458</v>
      </c>
      <c r="C130" s="9" t="s">
        <v>1196</v>
      </c>
      <c r="D130" s="9" t="s">
        <v>761</v>
      </c>
      <c r="E130" s="9" t="s">
        <v>1197</v>
      </c>
      <c r="F130" s="9" t="s">
        <v>1198</v>
      </c>
      <c r="H130" s="6" t="s">
        <v>952</v>
      </c>
      <c r="M130" s="6" t="n">
        <v>2518</v>
      </c>
      <c r="Q130" s="1" t="str">
        <f aca="false">IF(OR($A1230="",P1230=""),"",ROUND(YEARFRAC(P1230,README!$C$5),1))</f>
        <v/>
      </c>
      <c r="S130" s="6" t="n">
        <v>1000</v>
      </c>
      <c r="T130" s="6" t="n">
        <v>933</v>
      </c>
      <c r="U130" s="6" t="n">
        <v>1130</v>
      </c>
      <c r="V130" s="6" t="n">
        <v>197</v>
      </c>
      <c r="W130" s="6" t="n">
        <v>0.98</v>
      </c>
      <c r="X130" s="6" t="n">
        <v>20</v>
      </c>
      <c r="Z130" s="6" t="s">
        <v>1014</v>
      </c>
      <c r="AA130" s="9" t="s">
        <v>774</v>
      </c>
      <c r="AB130" s="36" t="s">
        <v>779</v>
      </c>
      <c r="AC130" s="27" t="n">
        <f aca="false">COUNTIF(環境認証!$A$2:$A$849,A1230)</f>
        <v>1</v>
      </c>
      <c r="AD130" s="6" t="n">
        <v>21.1</v>
      </c>
      <c r="AE130" s="6" t="n">
        <v>13</v>
      </c>
    </row>
    <row r="131" customFormat="false" ht="15" hidden="false" customHeight="true" outlineLevel="0" collapsed="false">
      <c r="A131" s="6" t="s">
        <v>1199</v>
      </c>
      <c r="B131" s="6" t="s">
        <v>458</v>
      </c>
      <c r="C131" s="9" t="s">
        <v>1200</v>
      </c>
      <c r="D131" s="9" t="s">
        <v>761</v>
      </c>
      <c r="E131" s="9" t="s">
        <v>1197</v>
      </c>
      <c r="F131" s="9" t="s">
        <v>1198</v>
      </c>
      <c r="H131" s="6" t="s">
        <v>952</v>
      </c>
      <c r="M131" s="6" t="n">
        <v>20526</v>
      </c>
      <c r="Q131" s="1" t="str">
        <f aca="false">IF(OR($A1231="",P1231=""),"",ROUND(YEARFRAC(P1231,README!$C$5),1))</f>
        <v/>
      </c>
      <c r="S131" s="6" t="n">
        <v>9950</v>
      </c>
      <c r="T131" s="6" t="n">
        <v>7868</v>
      </c>
      <c r="U131" s="6" t="n">
        <v>17200</v>
      </c>
      <c r="V131" s="6" t="n">
        <v>9332</v>
      </c>
      <c r="W131" s="6" t="n">
        <v>1</v>
      </c>
      <c r="X131" s="6" t="n">
        <v>22</v>
      </c>
      <c r="Z131" s="6" t="s">
        <v>1014</v>
      </c>
      <c r="AA131" s="9" t="s">
        <v>774</v>
      </c>
      <c r="AB131" s="36" t="s">
        <v>783</v>
      </c>
      <c r="AC131" s="27" t="n">
        <f aca="false">COUNTIF(環境認証!$A$2:$A$849,A1231)</f>
        <v>1</v>
      </c>
      <c r="AD131" s="6" t="n">
        <v>118.6</v>
      </c>
      <c r="AE131" s="6" t="n">
        <v>72.9</v>
      </c>
    </row>
    <row r="132" customFormat="false" ht="15" hidden="false" customHeight="true" outlineLevel="0" collapsed="false">
      <c r="A132" s="6" t="s">
        <v>1201</v>
      </c>
      <c r="B132" s="6" t="s">
        <v>458</v>
      </c>
      <c r="C132" s="9" t="s">
        <v>1202</v>
      </c>
      <c r="D132" s="9" t="s">
        <v>761</v>
      </c>
      <c r="E132" s="9" t="s">
        <v>1197</v>
      </c>
      <c r="F132" s="9" t="s">
        <v>1198</v>
      </c>
      <c r="H132" s="6" t="s">
        <v>952</v>
      </c>
      <c r="M132" s="6" t="n">
        <v>6234</v>
      </c>
      <c r="Q132" s="1" t="str">
        <f aca="false">IF(OR($A1232="",P1232=""),"",ROUND(YEARFRAC(P1232,README!$C$5),1))</f>
        <v/>
      </c>
      <c r="S132" s="6" t="n">
        <v>3174</v>
      </c>
      <c r="T132" s="6" t="n">
        <v>2867</v>
      </c>
      <c r="U132" s="6" t="n">
        <v>3240</v>
      </c>
      <c r="V132" s="6" t="n">
        <v>373</v>
      </c>
      <c r="W132" s="6" t="n">
        <v>1</v>
      </c>
      <c r="X132" s="6" t="n">
        <v>28</v>
      </c>
      <c r="Z132" s="6" t="s">
        <v>1014</v>
      </c>
      <c r="AA132" s="9" t="s">
        <v>774</v>
      </c>
      <c r="AB132" s="36" t="s">
        <v>787</v>
      </c>
      <c r="AC132" s="27" t="n">
        <f aca="false">COUNTIF(環境認証!$A$2:$A$849,A1232)</f>
        <v>0</v>
      </c>
      <c r="AD132" s="6" t="n">
        <v>13</v>
      </c>
      <c r="AE132" s="6" t="n">
        <v>2.1</v>
      </c>
    </row>
    <row r="133" customFormat="false" ht="15" hidden="false" customHeight="true" outlineLevel="0" collapsed="false">
      <c r="A133" s="6" t="s">
        <v>1203</v>
      </c>
      <c r="B133" s="6" t="s">
        <v>458</v>
      </c>
      <c r="C133" s="9" t="s">
        <v>1204</v>
      </c>
      <c r="D133" s="9" t="s">
        <v>761</v>
      </c>
      <c r="E133" s="9" t="s">
        <v>1197</v>
      </c>
      <c r="F133" s="9" t="s">
        <v>1198</v>
      </c>
      <c r="H133" s="6" t="s">
        <v>952</v>
      </c>
      <c r="M133" s="6" t="n">
        <v>23612</v>
      </c>
      <c r="Q133" s="1" t="str">
        <f aca="false">IF(OR($A1233="",P1233=""),"",ROUND(YEARFRAC(P1233,README!$C$5),1))</f>
        <v/>
      </c>
      <c r="S133" s="6" t="n">
        <v>18640</v>
      </c>
      <c r="T133" s="6" t="n">
        <v>17281</v>
      </c>
      <c r="U133" s="6" t="n">
        <v>20500</v>
      </c>
      <c r="V133" s="6" t="n">
        <v>3219</v>
      </c>
      <c r="W133" s="6" t="n">
        <v>0.975</v>
      </c>
      <c r="X133" s="6" t="n">
        <v>63</v>
      </c>
      <c r="Z133" s="6" t="s">
        <v>1014</v>
      </c>
      <c r="AA133" s="9" t="s">
        <v>774</v>
      </c>
      <c r="AB133" s="36" t="s">
        <v>792</v>
      </c>
      <c r="AC133" s="27" t="n">
        <f aca="false">COUNTIF(環境認証!$A$2:$A$849,A1233)</f>
        <v>0</v>
      </c>
      <c r="AD133" s="6" t="n">
        <v>18.6</v>
      </c>
      <c r="AE133" s="6" t="n">
        <v>10</v>
      </c>
    </row>
    <row r="134" customFormat="false" ht="15" hidden="false" customHeight="true" outlineLevel="0" collapsed="false">
      <c r="A134" s="6" t="s">
        <v>1205</v>
      </c>
      <c r="B134" s="6" t="s">
        <v>458</v>
      </c>
      <c r="C134" s="9" t="s">
        <v>1206</v>
      </c>
      <c r="D134" s="9" t="s">
        <v>761</v>
      </c>
      <c r="E134" s="9" t="s">
        <v>1207</v>
      </c>
      <c r="F134" s="9" t="s">
        <v>1208</v>
      </c>
      <c r="H134" s="6" t="s">
        <v>952</v>
      </c>
      <c r="M134" s="6" t="n">
        <v>3928</v>
      </c>
      <c r="Q134" s="1" t="str">
        <f aca="false">IF(OR($A1234="",P1234=""),"",ROUND(YEARFRAC(P1234,README!$C$5),1))</f>
        <v/>
      </c>
      <c r="S134" s="6" t="n">
        <v>1770</v>
      </c>
      <c r="T134" s="6" t="n">
        <v>1591</v>
      </c>
      <c r="U134" s="6" t="n">
        <v>1800</v>
      </c>
      <c r="V134" s="6" t="n">
        <v>209</v>
      </c>
      <c r="W134" s="6" t="n">
        <v>0.851</v>
      </c>
      <c r="X134" s="6" t="n">
        <v>8</v>
      </c>
      <c r="Z134" s="6" t="s">
        <v>1014</v>
      </c>
      <c r="AA134" s="9" t="s">
        <v>774</v>
      </c>
      <c r="AB134" s="9" t="s">
        <v>1209</v>
      </c>
      <c r="AC134" s="27" t="n">
        <f aca="false">COUNTIF(環境認証!$A$2:$A$849,A1234)</f>
        <v>0</v>
      </c>
      <c r="AD134" s="6" t="n">
        <v>13.1</v>
      </c>
      <c r="AE134" s="6" t="n">
        <v>1.7</v>
      </c>
    </row>
    <row r="135" customFormat="false" ht="15" hidden="false" customHeight="true" outlineLevel="0" collapsed="false">
      <c r="A135" s="6" t="s">
        <v>1210</v>
      </c>
      <c r="B135" s="6" t="s">
        <v>458</v>
      </c>
      <c r="C135" s="9" t="s">
        <v>1211</v>
      </c>
      <c r="D135" s="9" t="s">
        <v>761</v>
      </c>
      <c r="E135" s="9" t="s">
        <v>1212</v>
      </c>
      <c r="F135" s="9" t="s">
        <v>1213</v>
      </c>
      <c r="H135" s="9" t="s">
        <v>965</v>
      </c>
      <c r="M135" s="6" t="n">
        <v>20951</v>
      </c>
      <c r="Q135" s="1" t="str">
        <f aca="false">IF(OR($A1235="",P1235=""),"",ROUND(YEARFRAC(P1235,README!$C$5),1))</f>
        <v/>
      </c>
      <c r="S135" s="6" t="n">
        <v>4580</v>
      </c>
      <c r="T135" s="6" t="n">
        <v>4969</v>
      </c>
      <c r="U135" s="6" t="n">
        <v>8150</v>
      </c>
      <c r="V135" s="6" t="n">
        <v>3181</v>
      </c>
      <c r="W135" s="6" t="n">
        <v>0.989</v>
      </c>
      <c r="X135" s="6" t="n">
        <v>74</v>
      </c>
      <c r="Z135" s="6" t="s">
        <v>1014</v>
      </c>
      <c r="AA135" s="9" t="s">
        <v>774</v>
      </c>
      <c r="AB135" s="36" t="s">
        <v>801</v>
      </c>
      <c r="AC135" s="27" t="n">
        <f aca="false">COUNTIF(環境認証!$A$2:$A$849,A1235)</f>
        <v>0</v>
      </c>
      <c r="AD135" s="6" t="n">
        <v>64</v>
      </c>
      <c r="AE135" s="6" t="n">
        <v>77.9</v>
      </c>
    </row>
    <row r="136" customFormat="false" ht="15" hidden="false" customHeight="true" outlineLevel="0" collapsed="false">
      <c r="A136" s="6" t="s">
        <v>1214</v>
      </c>
      <c r="B136" s="6" t="s">
        <v>458</v>
      </c>
      <c r="C136" s="9" t="s">
        <v>1215</v>
      </c>
      <c r="D136" s="9" t="s">
        <v>761</v>
      </c>
      <c r="E136" s="9" t="s">
        <v>1212</v>
      </c>
      <c r="F136" s="9" t="s">
        <v>1213</v>
      </c>
      <c r="H136" s="9" t="s">
        <v>965</v>
      </c>
      <c r="M136" s="6" t="n">
        <v>7213</v>
      </c>
      <c r="Q136" s="1" t="str">
        <f aca="false">IF(OR($A1236="",P1236=""),"",ROUND(YEARFRAC(P1236,README!$C$5),1))</f>
        <v/>
      </c>
      <c r="S136" s="6" t="n">
        <v>2780</v>
      </c>
      <c r="T136" s="6" t="n">
        <v>2115</v>
      </c>
      <c r="U136" s="6" t="n">
        <v>2980</v>
      </c>
      <c r="V136" s="6" t="n">
        <v>865</v>
      </c>
      <c r="W136" s="6" t="n">
        <v>0.914</v>
      </c>
      <c r="X136" s="6" t="n">
        <v>23</v>
      </c>
      <c r="Z136" s="6" t="s">
        <v>1014</v>
      </c>
      <c r="AA136" s="9" t="s">
        <v>774</v>
      </c>
      <c r="AB136" s="36" t="s">
        <v>804</v>
      </c>
      <c r="AC136" s="27" t="n">
        <f aca="false">COUNTIF(環境認証!$A$2:$A$849,A1236)</f>
        <v>0</v>
      </c>
      <c r="AD136" s="6" t="n">
        <v>40.9</v>
      </c>
      <c r="AE136" s="6" t="n">
        <v>7.2</v>
      </c>
    </row>
    <row r="137" customFormat="false" ht="15" hidden="false" customHeight="true" outlineLevel="0" collapsed="false">
      <c r="A137" s="6" t="s">
        <v>1216</v>
      </c>
      <c r="B137" s="6" t="s">
        <v>458</v>
      </c>
      <c r="C137" s="9" t="s">
        <v>1217</v>
      </c>
      <c r="D137" s="9" t="s">
        <v>761</v>
      </c>
      <c r="E137" s="9" t="s">
        <v>969</v>
      </c>
      <c r="F137" s="9" t="s">
        <v>970</v>
      </c>
      <c r="H137" s="9" t="s">
        <v>971</v>
      </c>
      <c r="M137" s="6" t="n">
        <v>10338</v>
      </c>
      <c r="Q137" s="1" t="str">
        <f aca="false">IF(OR($A1237="",P1237=""),"",ROUND(YEARFRAC(P1237,README!$C$5),1))</f>
        <v/>
      </c>
      <c r="S137" s="6" t="n">
        <v>5975</v>
      </c>
      <c r="T137" s="6" t="n">
        <v>4906</v>
      </c>
      <c r="U137" s="6" t="n">
        <v>6250</v>
      </c>
      <c r="V137" s="6" t="n">
        <v>1344</v>
      </c>
      <c r="W137" s="6" t="n">
        <v>0.98</v>
      </c>
      <c r="X137" s="6" t="n">
        <v>64</v>
      </c>
      <c r="Z137" s="6" t="s">
        <v>1014</v>
      </c>
      <c r="AA137" s="9" t="s">
        <v>774</v>
      </c>
      <c r="AB137" s="9" t="s">
        <v>1218</v>
      </c>
      <c r="AC137" s="27" t="n">
        <f aca="false">COUNTIF(環境認証!$A$2:$A$849,A1237)</f>
        <v>0</v>
      </c>
      <c r="AD137" s="6" t="n">
        <v>27.4</v>
      </c>
      <c r="AE137" s="6" t="n">
        <v>4.6</v>
      </c>
    </row>
    <row r="138" customFormat="false" ht="15" hidden="false" customHeight="true" outlineLevel="0" collapsed="false">
      <c r="A138" s="6" t="s">
        <v>1219</v>
      </c>
      <c r="B138" s="6" t="s">
        <v>458</v>
      </c>
      <c r="C138" s="9" t="s">
        <v>1220</v>
      </c>
      <c r="D138" s="9" t="s">
        <v>761</v>
      </c>
      <c r="E138" s="9" t="s">
        <v>969</v>
      </c>
      <c r="F138" s="9" t="s">
        <v>970</v>
      </c>
      <c r="H138" s="9" t="s">
        <v>971</v>
      </c>
      <c r="M138" s="6" t="n">
        <v>13200</v>
      </c>
      <c r="Q138" s="1" t="str">
        <f aca="false">IF(OR($A1238="",P1238=""),"",ROUND(YEARFRAC(P1238,README!$C$5),1))</f>
        <v/>
      </c>
      <c r="S138" s="6" t="n">
        <v>8567</v>
      </c>
      <c r="T138" s="6" t="n">
        <v>7832</v>
      </c>
      <c r="U138" s="6" t="n">
        <v>14800</v>
      </c>
      <c r="V138" s="6" t="n">
        <v>6968</v>
      </c>
      <c r="W138" s="6" t="n">
        <v>1</v>
      </c>
      <c r="X138" s="6" t="n">
        <v>39</v>
      </c>
      <c r="Z138" s="6" t="s">
        <v>1014</v>
      </c>
      <c r="AA138" s="9" t="s">
        <v>774</v>
      </c>
      <c r="AB138" s="36" t="s">
        <v>812</v>
      </c>
      <c r="AC138" s="27" t="n">
        <f aca="false">COUNTIF(環境認証!$A$2:$A$849,A1238)</f>
        <v>1</v>
      </c>
      <c r="AD138" s="6" t="n">
        <v>89</v>
      </c>
      <c r="AE138" s="6" t="n">
        <v>72.8</v>
      </c>
    </row>
    <row r="139" customFormat="false" ht="15" hidden="false" customHeight="true" outlineLevel="0" collapsed="false">
      <c r="A139" s="6" t="s">
        <v>1221</v>
      </c>
      <c r="B139" s="6" t="s">
        <v>458</v>
      </c>
      <c r="C139" s="9" t="s">
        <v>1222</v>
      </c>
      <c r="D139" s="9" t="s">
        <v>761</v>
      </c>
      <c r="E139" s="9" t="s">
        <v>969</v>
      </c>
      <c r="F139" s="9" t="s">
        <v>970</v>
      </c>
      <c r="H139" s="9" t="s">
        <v>971</v>
      </c>
      <c r="M139" s="6" t="n">
        <v>21372</v>
      </c>
      <c r="Q139" s="1" t="str">
        <f aca="false">IF(OR($A1239="",P1239=""),"",ROUND(YEARFRAC(P1239,README!$C$5),1))</f>
        <v/>
      </c>
      <c r="S139" s="6" t="n">
        <v>14533</v>
      </c>
      <c r="T139" s="6" t="n">
        <v>14054</v>
      </c>
      <c r="U139" s="6" t="n">
        <v>13600</v>
      </c>
      <c r="V139" s="6" t="n">
        <v>-454</v>
      </c>
      <c r="W139" s="6" t="n">
        <v>1</v>
      </c>
      <c r="X139" s="6" t="n">
        <v>44</v>
      </c>
      <c r="Z139" s="6" t="s">
        <v>1014</v>
      </c>
      <c r="AA139" s="9" t="s">
        <v>774</v>
      </c>
      <c r="AB139" s="36" t="s">
        <v>817</v>
      </c>
      <c r="AC139" s="27" t="n">
        <f aca="false">COUNTIF(環境認証!$A$2:$A$849,A1239)</f>
        <v>0</v>
      </c>
      <c r="AD139" s="6" t="n">
        <v>-3.2</v>
      </c>
      <c r="AE139" s="6" t="n">
        <v>-6.4</v>
      </c>
    </row>
    <row r="140" customFormat="false" ht="15" hidden="false" customHeight="true" outlineLevel="0" collapsed="false">
      <c r="A140" s="6" t="s">
        <v>1223</v>
      </c>
      <c r="B140" s="6" t="s">
        <v>458</v>
      </c>
      <c r="C140" s="9" t="s">
        <v>1224</v>
      </c>
      <c r="D140" s="9" t="s">
        <v>761</v>
      </c>
      <c r="E140" s="9" t="s">
        <v>1225</v>
      </c>
      <c r="F140" s="9" t="s">
        <v>1226</v>
      </c>
      <c r="H140" s="9" t="s">
        <v>971</v>
      </c>
      <c r="M140" s="6" t="n">
        <v>6634</v>
      </c>
      <c r="Q140" s="1" t="str">
        <f aca="false">IF(OR($A1240="",P1240=""),"",ROUND(YEARFRAC(P1240,README!$C$5),1))</f>
        <v/>
      </c>
      <c r="S140" s="6" t="n">
        <v>4400</v>
      </c>
      <c r="T140" s="6" t="n">
        <v>3306</v>
      </c>
      <c r="U140" s="6" t="n">
        <v>8730</v>
      </c>
      <c r="V140" s="6" t="n">
        <v>5424</v>
      </c>
      <c r="W140" s="6" t="n">
        <v>1</v>
      </c>
      <c r="X140" s="6" t="n">
        <v>15</v>
      </c>
      <c r="Z140" s="6" t="s">
        <v>1014</v>
      </c>
      <c r="AA140" s="9" t="s">
        <v>774</v>
      </c>
      <c r="AB140" s="36" t="s">
        <v>823</v>
      </c>
      <c r="AC140" s="27" t="n">
        <f aca="false">COUNTIF(環境認証!$A$2:$A$849,A1240)</f>
        <v>0</v>
      </c>
      <c r="AD140" s="6" t="n">
        <v>164.1</v>
      </c>
      <c r="AE140" s="6" t="n">
        <v>98.4</v>
      </c>
    </row>
    <row r="141" customFormat="false" ht="15" hidden="false" customHeight="true" outlineLevel="0" collapsed="false">
      <c r="A141" s="6" t="s">
        <v>1227</v>
      </c>
      <c r="B141" s="6" t="s">
        <v>458</v>
      </c>
      <c r="C141" s="9" t="s">
        <v>1228</v>
      </c>
      <c r="D141" s="9" t="s">
        <v>761</v>
      </c>
      <c r="E141" s="9" t="s">
        <v>981</v>
      </c>
      <c r="F141" s="9" t="s">
        <v>982</v>
      </c>
      <c r="H141" s="9" t="s">
        <v>971</v>
      </c>
      <c r="M141" s="6" t="n">
        <v>8481</v>
      </c>
      <c r="Q141" s="1" t="str">
        <f aca="false">IF(OR($A1241="",P1241=""),"",ROUND(YEARFRAC(P1241,README!$C$5),1))</f>
        <v/>
      </c>
      <c r="S141" s="6" t="n">
        <v>9750</v>
      </c>
      <c r="T141" s="6" t="n">
        <v>9480</v>
      </c>
      <c r="U141" s="6" t="n">
        <v>11000</v>
      </c>
      <c r="V141" s="6" t="n">
        <v>1520</v>
      </c>
      <c r="W141" s="6" t="n">
        <v>0.979</v>
      </c>
      <c r="X141" s="6" t="n">
        <v>5</v>
      </c>
      <c r="Z141" s="6" t="s">
        <v>1014</v>
      </c>
      <c r="AA141" s="9" t="s">
        <v>774</v>
      </c>
      <c r="AB141" s="9" t="s">
        <v>1229</v>
      </c>
      <c r="AC141" s="27" t="n">
        <f aca="false">COUNTIF(環境認証!$A$2:$A$849,A1241)</f>
        <v>0</v>
      </c>
      <c r="AD141" s="6" t="n">
        <v>16</v>
      </c>
      <c r="AE141" s="6" t="n">
        <v>12.8</v>
      </c>
    </row>
    <row r="142" customFormat="false" ht="15" hidden="false" customHeight="true" outlineLevel="0" collapsed="false">
      <c r="A142" s="6" t="s">
        <v>1230</v>
      </c>
      <c r="B142" s="6" t="s">
        <v>458</v>
      </c>
      <c r="C142" s="9" t="s">
        <v>1231</v>
      </c>
      <c r="D142" s="9" t="s">
        <v>761</v>
      </c>
      <c r="E142" s="9" t="s">
        <v>981</v>
      </c>
      <c r="F142" s="9" t="s">
        <v>982</v>
      </c>
      <c r="H142" s="9" t="s">
        <v>971</v>
      </c>
      <c r="M142" s="6" t="n">
        <v>5187</v>
      </c>
      <c r="Q142" s="1" t="str">
        <f aca="false">IF(OR($A1242="",P1242=""),"",ROUND(YEARFRAC(P1242,README!$C$5),1))</f>
        <v/>
      </c>
      <c r="S142" s="6" t="n">
        <v>11250</v>
      </c>
      <c r="T142" s="6" t="n">
        <v>11038</v>
      </c>
      <c r="U142" s="6" t="n">
        <v>12400</v>
      </c>
      <c r="V142" s="6" t="n">
        <v>1362</v>
      </c>
      <c r="W142" s="6" t="n">
        <v>0.983</v>
      </c>
      <c r="X142" s="6" t="n">
        <v>2</v>
      </c>
      <c r="Z142" s="6" t="s">
        <v>1014</v>
      </c>
      <c r="AA142" s="9" t="s">
        <v>774</v>
      </c>
      <c r="AB142" s="9" t="s">
        <v>1229</v>
      </c>
      <c r="AC142" s="27" t="n">
        <f aca="false">COUNTIF(環境認証!$A$2:$A$849,A1242)</f>
        <v>0</v>
      </c>
      <c r="AD142" s="6" t="n">
        <v>12.3</v>
      </c>
      <c r="AE142" s="6" t="n">
        <v>10.2</v>
      </c>
    </row>
    <row r="143" customFormat="false" ht="15" hidden="false" customHeight="true" outlineLevel="0" collapsed="false">
      <c r="A143" s="6" t="s">
        <v>1232</v>
      </c>
      <c r="B143" s="6" t="s">
        <v>458</v>
      </c>
      <c r="C143" s="9" t="s">
        <v>1233</v>
      </c>
      <c r="D143" s="9" t="s">
        <v>761</v>
      </c>
      <c r="E143" s="9" t="s">
        <v>981</v>
      </c>
      <c r="F143" s="9" t="s">
        <v>982</v>
      </c>
      <c r="H143" s="9" t="s">
        <v>971</v>
      </c>
      <c r="M143" s="6" t="n">
        <v>10375</v>
      </c>
      <c r="Q143" s="1" t="str">
        <f aca="false">IF(OR($A1243="",P1243=""),"",ROUND(YEARFRAC(P1243,README!$C$5),1))</f>
        <v/>
      </c>
      <c r="S143" s="6" t="n">
        <v>15523.5</v>
      </c>
      <c r="T143" s="6" t="n">
        <v>15172</v>
      </c>
      <c r="U143" s="6" t="n">
        <v>18400</v>
      </c>
      <c r="V143" s="6" t="n">
        <v>3228</v>
      </c>
      <c r="W143" s="6" t="n">
        <v>0.975</v>
      </c>
      <c r="X143" s="6" t="n">
        <v>37</v>
      </c>
      <c r="Z143" s="6" t="s">
        <v>1014</v>
      </c>
      <c r="AA143" s="9" t="s">
        <v>774</v>
      </c>
      <c r="AB143" s="36" t="s">
        <v>804</v>
      </c>
      <c r="AC143" s="27" t="n">
        <f aca="false">COUNTIF(環境認証!$A$2:$A$849,A1243)</f>
        <v>0</v>
      </c>
      <c r="AD143" s="6" t="n">
        <v>21.3</v>
      </c>
      <c r="AE143" s="6" t="n">
        <v>18.5</v>
      </c>
    </row>
    <row r="144" customFormat="false" ht="15" hidden="false" customHeight="true" outlineLevel="0" collapsed="false">
      <c r="A144" s="6" t="s">
        <v>1234</v>
      </c>
      <c r="B144" s="6" t="s">
        <v>458</v>
      </c>
      <c r="C144" s="9" t="s">
        <v>1235</v>
      </c>
      <c r="D144" s="9" t="s">
        <v>761</v>
      </c>
      <c r="E144" s="9" t="s">
        <v>981</v>
      </c>
      <c r="F144" s="9" t="s">
        <v>982</v>
      </c>
      <c r="H144" s="9" t="s">
        <v>971</v>
      </c>
      <c r="M144" s="6" t="n">
        <v>11520</v>
      </c>
      <c r="Q144" s="1" t="str">
        <f aca="false">IF(OR($A1244="",P1244=""),"",ROUND(YEARFRAC(P1244,README!$C$5),1))</f>
        <v/>
      </c>
      <c r="S144" s="6" t="n">
        <v>4164</v>
      </c>
      <c r="T144" s="6" t="n">
        <v>3404</v>
      </c>
      <c r="U144" s="6" t="n">
        <v>5260</v>
      </c>
      <c r="V144" s="6" t="n">
        <v>1856</v>
      </c>
      <c r="W144" s="6" t="n">
        <v>1</v>
      </c>
      <c r="X144" s="6" t="n">
        <v>27</v>
      </c>
      <c r="Z144" s="6" t="s">
        <v>1014</v>
      </c>
      <c r="AA144" s="9" t="s">
        <v>774</v>
      </c>
      <c r="AB144" s="36" t="s">
        <v>804</v>
      </c>
      <c r="AC144" s="27" t="n">
        <f aca="false">COUNTIF(環境認証!$A$2:$A$849,A1244)</f>
        <v>0</v>
      </c>
      <c r="AD144" s="6" t="n">
        <v>54.5</v>
      </c>
      <c r="AE144" s="6" t="n">
        <v>26.3</v>
      </c>
    </row>
    <row r="145" customFormat="false" ht="15" hidden="false" customHeight="true" outlineLevel="0" collapsed="false">
      <c r="A145" s="6" t="s">
        <v>1236</v>
      </c>
      <c r="B145" s="6" t="s">
        <v>458</v>
      </c>
      <c r="C145" s="9" t="s">
        <v>1237</v>
      </c>
      <c r="D145" s="9" t="s">
        <v>761</v>
      </c>
      <c r="E145" s="9" t="s">
        <v>981</v>
      </c>
      <c r="F145" s="9" t="s">
        <v>982</v>
      </c>
      <c r="H145" s="9" t="s">
        <v>971</v>
      </c>
      <c r="M145" s="6" t="n">
        <v>11913</v>
      </c>
      <c r="Q145" s="1" t="str">
        <f aca="false">IF(OR($A1245="",P1245=""),"",ROUND(YEARFRAC(P1245,README!$C$5),1))</f>
        <v/>
      </c>
      <c r="S145" s="6" t="n">
        <v>17215</v>
      </c>
      <c r="T145" s="6" t="n">
        <v>17254</v>
      </c>
      <c r="U145" s="6" t="n">
        <v>17300</v>
      </c>
      <c r="V145" s="6" t="n">
        <v>46</v>
      </c>
      <c r="W145" s="6" t="n">
        <v>1</v>
      </c>
      <c r="X145" s="6" t="n">
        <v>8</v>
      </c>
      <c r="Z145" s="6" t="s">
        <v>1014</v>
      </c>
      <c r="AA145" s="9" t="s">
        <v>774</v>
      </c>
      <c r="AB145" s="36" t="s">
        <v>841</v>
      </c>
      <c r="AC145" s="27" t="n">
        <f aca="false">COUNTIF(環境認証!$A$2:$A$849,A1245)</f>
        <v>0</v>
      </c>
      <c r="AD145" s="6" t="n">
        <v>0.3</v>
      </c>
      <c r="AE145" s="6" t="n">
        <v>0.5</v>
      </c>
    </row>
    <row r="146" customFormat="false" ht="15" hidden="false" customHeight="true" outlineLevel="0" collapsed="false">
      <c r="A146" s="6" t="s">
        <v>1238</v>
      </c>
      <c r="B146" s="6" t="s">
        <v>458</v>
      </c>
      <c r="C146" s="9" t="s">
        <v>1239</v>
      </c>
      <c r="D146" s="9" t="s">
        <v>761</v>
      </c>
      <c r="E146" s="9" t="s">
        <v>981</v>
      </c>
      <c r="F146" s="9" t="s">
        <v>982</v>
      </c>
      <c r="H146" s="9" t="s">
        <v>971</v>
      </c>
      <c r="M146" s="6" t="n">
        <v>20450</v>
      </c>
      <c r="Q146" s="1" t="str">
        <f aca="false">IF(OR($A1246="",P1246=""),"",ROUND(YEARFRAC(P1246,README!$C$5),1))</f>
        <v/>
      </c>
      <c r="S146" s="6" t="n">
        <v>14314</v>
      </c>
      <c r="T146" s="6" t="n">
        <v>12906</v>
      </c>
      <c r="U146" s="6" t="n">
        <v>17200</v>
      </c>
      <c r="V146" s="6" t="n">
        <v>4294</v>
      </c>
      <c r="W146" s="6" t="n">
        <v>1</v>
      </c>
      <c r="X146" s="6" t="n">
        <v>37</v>
      </c>
      <c r="Z146" s="6" t="s">
        <v>1014</v>
      </c>
      <c r="AA146" s="9" t="s">
        <v>774</v>
      </c>
      <c r="AB146" s="36" t="s">
        <v>845</v>
      </c>
      <c r="AC146" s="27" t="n">
        <f aca="false">COUNTIF(環境認証!$A$2:$A$849,A1246)</f>
        <v>0</v>
      </c>
      <c r="AD146" s="6" t="n">
        <v>33.3</v>
      </c>
      <c r="AE146" s="6" t="n">
        <v>20.2</v>
      </c>
    </row>
    <row r="147" customFormat="false" ht="15" hidden="false" customHeight="true" outlineLevel="0" collapsed="false">
      <c r="A147" s="6" t="s">
        <v>1240</v>
      </c>
      <c r="B147" s="6" t="s">
        <v>458</v>
      </c>
      <c r="C147" s="9" t="s">
        <v>1241</v>
      </c>
      <c r="D147" s="9" t="s">
        <v>761</v>
      </c>
      <c r="E147" s="9" t="s">
        <v>1242</v>
      </c>
      <c r="F147" s="9" t="s">
        <v>1243</v>
      </c>
      <c r="H147" s="9" t="s">
        <v>971</v>
      </c>
      <c r="M147" s="6" t="n">
        <v>15498</v>
      </c>
      <c r="Q147" s="1" t="str">
        <f aca="false">IF(OR($A1247="",P1247=""),"",ROUND(YEARFRAC(P1247,README!$C$5),1))</f>
        <v/>
      </c>
      <c r="S147" s="6" t="n">
        <v>9300</v>
      </c>
      <c r="T147" s="6" t="n">
        <v>7655</v>
      </c>
      <c r="U147" s="6" t="n">
        <v>11300</v>
      </c>
      <c r="V147" s="6" t="n">
        <v>3645</v>
      </c>
      <c r="W147" s="6" t="n">
        <v>1</v>
      </c>
      <c r="X147" s="6" t="n">
        <v>38</v>
      </c>
      <c r="Z147" s="6" t="s">
        <v>1014</v>
      </c>
      <c r="AA147" s="9" t="s">
        <v>774</v>
      </c>
      <c r="AB147" s="36" t="s">
        <v>804</v>
      </c>
      <c r="AC147" s="27" t="n">
        <f aca="false">COUNTIF(環境認証!$A$2:$A$849,A1247)</f>
        <v>0</v>
      </c>
      <c r="AD147" s="6" t="n">
        <v>47.6</v>
      </c>
      <c r="AE147" s="6" t="n">
        <v>21.5</v>
      </c>
    </row>
    <row r="148" customFormat="false" ht="15" hidden="false" customHeight="true" outlineLevel="0" collapsed="false">
      <c r="A148" s="6" t="s">
        <v>1244</v>
      </c>
      <c r="B148" s="6" t="s">
        <v>458</v>
      </c>
      <c r="C148" s="9" t="s">
        <v>1245</v>
      </c>
      <c r="D148" s="9" t="s">
        <v>761</v>
      </c>
      <c r="E148" s="9" t="s">
        <v>1246</v>
      </c>
      <c r="F148" s="9" t="s">
        <v>1247</v>
      </c>
      <c r="H148" s="6" t="s">
        <v>952</v>
      </c>
      <c r="M148" s="6" t="n">
        <v>8814</v>
      </c>
      <c r="Q148" s="1" t="str">
        <f aca="false">IF(OR($A1248="",P1248=""),"",ROUND(YEARFRAC(P1248,README!$C$5),1))</f>
        <v/>
      </c>
      <c r="S148" s="6" t="n">
        <v>4094.9</v>
      </c>
      <c r="T148" s="6" t="n">
        <v>2871</v>
      </c>
      <c r="U148" s="6" t="n">
        <v>5640</v>
      </c>
      <c r="V148" s="6" t="n">
        <v>2769</v>
      </c>
      <c r="W148" s="6" t="n">
        <v>1</v>
      </c>
      <c r="X148" s="6" t="n">
        <v>31</v>
      </c>
      <c r="Z148" s="6" t="s">
        <v>1014</v>
      </c>
      <c r="AA148" s="9" t="s">
        <v>774</v>
      </c>
      <c r="AB148" s="36" t="s">
        <v>851</v>
      </c>
      <c r="AC148" s="27" t="n">
        <f aca="false">COUNTIF(環境認証!$A$2:$A$849,A1248)</f>
        <v>0</v>
      </c>
      <c r="AD148" s="6" t="n">
        <v>96.4</v>
      </c>
      <c r="AE148" s="6" t="n">
        <v>37.7</v>
      </c>
    </row>
    <row r="149" customFormat="false" ht="15" hidden="false" customHeight="true" outlineLevel="0" collapsed="false">
      <c r="A149" s="6" t="s">
        <v>1248</v>
      </c>
      <c r="B149" s="6" t="s">
        <v>458</v>
      </c>
      <c r="C149" s="9" t="s">
        <v>1249</v>
      </c>
      <c r="D149" s="9" t="s">
        <v>761</v>
      </c>
      <c r="E149" s="9" t="s">
        <v>996</v>
      </c>
      <c r="F149" s="9" t="s">
        <v>997</v>
      </c>
      <c r="H149" s="6" t="s">
        <v>952</v>
      </c>
      <c r="M149" s="6" t="n">
        <v>9877</v>
      </c>
      <c r="Q149" s="1" t="str">
        <f aca="false">IF(OR($A1249="",P1249=""),"",ROUND(YEARFRAC(P1249,README!$C$5),1))</f>
        <v/>
      </c>
      <c r="S149" s="6" t="n">
        <v>2770</v>
      </c>
      <c r="T149" s="6" t="n">
        <v>3454</v>
      </c>
      <c r="U149" s="6" t="n">
        <v>3450</v>
      </c>
      <c r="V149" s="6" t="n">
        <v>-4</v>
      </c>
      <c r="W149" s="6" t="n">
        <v>1</v>
      </c>
      <c r="X149" s="6" t="n">
        <v>13</v>
      </c>
      <c r="Z149" s="6" t="s">
        <v>1014</v>
      </c>
      <c r="AA149" s="9" t="s">
        <v>774</v>
      </c>
      <c r="AB149" s="36" t="s">
        <v>804</v>
      </c>
      <c r="AC149" s="27" t="n">
        <f aca="false">COUNTIF(環境認証!$A$2:$A$849,A1249)</f>
        <v>0</v>
      </c>
      <c r="AD149" s="6" t="n">
        <v>-0.1</v>
      </c>
      <c r="AE149" s="6" t="n">
        <v>24.5</v>
      </c>
    </row>
    <row r="150" customFormat="false" ht="15" hidden="false" customHeight="true" outlineLevel="0" collapsed="false">
      <c r="A150" s="6" t="s">
        <v>1250</v>
      </c>
      <c r="B150" s="6" t="s">
        <v>458</v>
      </c>
      <c r="C150" s="9" t="s">
        <v>1251</v>
      </c>
      <c r="D150" s="9" t="s">
        <v>761</v>
      </c>
      <c r="E150" s="9" t="s">
        <v>1005</v>
      </c>
      <c r="F150" s="9" t="s">
        <v>1006</v>
      </c>
      <c r="H150" s="6" t="s">
        <v>952</v>
      </c>
      <c r="M150" s="6" t="n">
        <v>3995</v>
      </c>
      <c r="Q150" s="1" t="str">
        <f aca="false">IF(OR($A1250="",P1250=""),"",ROUND(YEARFRAC(P1250,README!$C$5),1))</f>
        <v/>
      </c>
      <c r="S150" s="6" t="n">
        <v>1550</v>
      </c>
      <c r="T150" s="6" t="n">
        <v>1300</v>
      </c>
      <c r="U150" s="6" t="n">
        <v>2450</v>
      </c>
      <c r="V150" s="6" t="n">
        <v>1150</v>
      </c>
      <c r="W150" s="6" t="n">
        <v>0.962</v>
      </c>
      <c r="X150" s="6" t="n">
        <v>22</v>
      </c>
      <c r="Z150" s="6" t="s">
        <v>1014</v>
      </c>
      <c r="AA150" s="9" t="s">
        <v>774</v>
      </c>
      <c r="AB150" s="36" t="s">
        <v>804</v>
      </c>
      <c r="AC150" s="27" t="n">
        <f aca="false">COUNTIF(環境認証!$A$2:$A$849,A1250)</f>
        <v>0</v>
      </c>
      <c r="AD150" s="6" t="n">
        <v>88.5</v>
      </c>
      <c r="AE150" s="6" t="n">
        <v>58.1</v>
      </c>
    </row>
    <row r="151" customFormat="false" ht="15" hidden="false" customHeight="true" outlineLevel="0" collapsed="false">
      <c r="A151" s="6" t="s">
        <v>1252</v>
      </c>
      <c r="B151" s="6" t="s">
        <v>458</v>
      </c>
      <c r="C151" s="9" t="s">
        <v>1253</v>
      </c>
      <c r="D151" s="9" t="s">
        <v>761</v>
      </c>
      <c r="E151" s="9" t="s">
        <v>1005</v>
      </c>
      <c r="F151" s="9" t="s">
        <v>1006</v>
      </c>
      <c r="H151" s="6" t="s">
        <v>952</v>
      </c>
      <c r="M151" s="6" t="n">
        <v>2982</v>
      </c>
      <c r="Q151" s="1" t="str">
        <f aca="false">IF(OR($A1251="",P1251=""),"",ROUND(YEARFRAC(P1251,README!$C$5),1))</f>
        <v/>
      </c>
      <c r="S151" s="6" t="n">
        <v>2500</v>
      </c>
      <c r="T151" s="6" t="n">
        <v>1611</v>
      </c>
      <c r="U151" s="6" t="n">
        <v>1800</v>
      </c>
      <c r="V151" s="6" t="n">
        <v>189</v>
      </c>
      <c r="W151" s="6" t="n">
        <v>0.959</v>
      </c>
      <c r="X151" s="6" t="n">
        <v>29</v>
      </c>
      <c r="Z151" s="6" t="s">
        <v>1014</v>
      </c>
      <c r="AA151" s="9" t="s">
        <v>774</v>
      </c>
      <c r="AB151" s="6" t="s">
        <v>1254</v>
      </c>
      <c r="AC151" s="27" t="n">
        <f aca="false">COUNTIF(環境認証!$A$2:$A$849,A1251)</f>
        <v>0</v>
      </c>
      <c r="AD151" s="6" t="n">
        <v>11.7</v>
      </c>
      <c r="AE151" s="6" t="n">
        <v>-28</v>
      </c>
    </row>
    <row r="152" customFormat="false" ht="15" hidden="false" customHeight="true" outlineLevel="0" collapsed="false">
      <c r="A152" s="6" t="s">
        <v>1255</v>
      </c>
      <c r="B152" s="6" t="s">
        <v>458</v>
      </c>
      <c r="C152" s="9" t="s">
        <v>1256</v>
      </c>
      <c r="D152" s="9" t="s">
        <v>761</v>
      </c>
      <c r="E152" s="9" t="s">
        <v>1005</v>
      </c>
      <c r="F152" s="9" t="s">
        <v>1006</v>
      </c>
      <c r="H152" s="6" t="s">
        <v>952</v>
      </c>
      <c r="M152" s="6" t="n">
        <v>5944</v>
      </c>
      <c r="Q152" s="1" t="str">
        <f aca="false">IF(OR($A1252="",P1252=""),"",ROUND(YEARFRAC(P1252,README!$C$5),1))</f>
        <v/>
      </c>
      <c r="S152" s="6" t="n">
        <v>3657</v>
      </c>
      <c r="T152" s="6" t="n">
        <v>3226</v>
      </c>
      <c r="U152" s="6" t="n">
        <v>5350</v>
      </c>
      <c r="V152" s="6" t="n">
        <v>2124</v>
      </c>
      <c r="W152" s="6" t="n">
        <v>0.798</v>
      </c>
      <c r="X152" s="6" t="n">
        <v>3</v>
      </c>
      <c r="Z152" s="6" t="s">
        <v>1014</v>
      </c>
      <c r="AA152" s="9" t="s">
        <v>774</v>
      </c>
      <c r="AB152" s="36" t="s">
        <v>804</v>
      </c>
      <c r="AC152" s="27" t="n">
        <f aca="false">COUNTIF(環境認証!$A$2:$A$849,A1252)</f>
        <v>0</v>
      </c>
      <c r="AD152" s="6" t="n">
        <v>65.8</v>
      </c>
      <c r="AE152" s="6" t="n">
        <v>46.3</v>
      </c>
    </row>
    <row r="153" customFormat="false" ht="15" hidden="false" customHeight="true" outlineLevel="0" collapsed="false">
      <c r="A153" s="6" t="s">
        <v>1257</v>
      </c>
      <c r="B153" s="6" t="s">
        <v>465</v>
      </c>
      <c r="C153" s="9" t="s">
        <v>1258</v>
      </c>
      <c r="D153" s="9" t="s">
        <v>761</v>
      </c>
      <c r="E153" s="36" t="s">
        <v>762</v>
      </c>
      <c r="F153" s="36" t="s">
        <v>763</v>
      </c>
      <c r="H153" s="6" t="s">
        <v>764</v>
      </c>
      <c r="I153" s="6" t="s">
        <v>1259</v>
      </c>
      <c r="J153" s="37"/>
      <c r="K153" s="38"/>
      <c r="L153" s="38"/>
      <c r="M153" s="39" t="n">
        <v>156236.87</v>
      </c>
      <c r="P153" s="40"/>
      <c r="Q153" s="41" t="str">
        <f aca="false">IF(OR($A20="",P20=""),"",ROUND(YEARFRAC(P20,README!$C$5),1))</f>
        <v/>
      </c>
      <c r="R153" s="40"/>
      <c r="S153" s="42" t="n">
        <v>222146</v>
      </c>
      <c r="T153" s="42" t="n">
        <v>208851</v>
      </c>
      <c r="U153" s="42" t="n">
        <v>252605</v>
      </c>
      <c r="V153" s="43" t="n">
        <f aca="false">IF($A20="","",IF(OR(T20="",U20=""),"",U20-T20))</f>
        <v>168.055</v>
      </c>
      <c r="W153" s="44" t="n">
        <v>0.983</v>
      </c>
      <c r="X153" s="6" t="n">
        <v>304</v>
      </c>
      <c r="Y153" s="46" t="n">
        <v>1.9</v>
      </c>
      <c r="Z153" s="6" t="s">
        <v>1260</v>
      </c>
      <c r="AA153" s="9" t="s">
        <v>774</v>
      </c>
      <c r="AB153" s="9" t="s">
        <v>1261</v>
      </c>
      <c r="AC153" s="27" t="n">
        <f aca="false">COUNTIF(環境認証!$A$2:$A$849,A20)</f>
        <v>1</v>
      </c>
      <c r="AD153" s="1" t="n">
        <v>22.2</v>
      </c>
      <c r="AE153" s="1" t="n">
        <v>21.8</v>
      </c>
    </row>
    <row r="154" customFormat="false" ht="15" hidden="false" customHeight="true" outlineLevel="0" collapsed="false">
      <c r="A154" s="6" t="s">
        <v>1262</v>
      </c>
      <c r="B154" s="6" t="s">
        <v>465</v>
      </c>
      <c r="C154" s="9" t="s">
        <v>1263</v>
      </c>
      <c r="D154" s="9" t="s">
        <v>761</v>
      </c>
      <c r="E154" s="9" t="s">
        <v>762</v>
      </c>
      <c r="F154" s="9" t="s">
        <v>763</v>
      </c>
      <c r="G154" s="9"/>
      <c r="H154" s="9" t="s">
        <v>772</v>
      </c>
      <c r="I154" s="9" t="s">
        <v>778</v>
      </c>
      <c r="J154" s="44"/>
      <c r="K154" s="39"/>
      <c r="L154" s="39" t="n">
        <v>51094.82</v>
      </c>
      <c r="M154" s="39" t="n">
        <v>9814.43</v>
      </c>
      <c r="N154" s="6"/>
      <c r="O154" s="6"/>
      <c r="P154" s="47" t="n">
        <v>40148</v>
      </c>
      <c r="Q154" s="41" t="n">
        <f aca="false">IF(OR($A2="",P2=""),"",ROUND(YEARFRAC(P2,README!$C$5),1))</f>
        <v>16.7</v>
      </c>
      <c r="R154" s="47"/>
      <c r="S154" s="42" t="n">
        <v>18200</v>
      </c>
      <c r="T154" s="42" t="n">
        <v>16570</v>
      </c>
      <c r="U154" s="42" t="n">
        <v>23600</v>
      </c>
      <c r="V154" s="42" t="n">
        <v>7030</v>
      </c>
      <c r="W154" s="44" t="n">
        <v>0.955</v>
      </c>
      <c r="X154" s="6" t="n">
        <v>14</v>
      </c>
      <c r="Y154" s="46" t="n">
        <v>2.9</v>
      </c>
      <c r="Z154" s="6" t="s">
        <v>1264</v>
      </c>
      <c r="AA154" s="9" t="s">
        <v>774</v>
      </c>
      <c r="AB154" s="9" t="s">
        <v>1265</v>
      </c>
      <c r="AC154" s="27" t="n">
        <f aca="false">COUNTIF(環境認証!$A$2:$A$849,A2)</f>
        <v>0</v>
      </c>
      <c r="AD154" s="6" t="n">
        <v>42.4</v>
      </c>
      <c r="AE154" s="6" t="n">
        <v>29.7</v>
      </c>
    </row>
    <row r="155" customFormat="false" ht="15" hidden="false" customHeight="true" outlineLevel="0" collapsed="false">
      <c r="A155" s="6" t="s">
        <v>1266</v>
      </c>
      <c r="B155" s="6" t="s">
        <v>465</v>
      </c>
      <c r="C155" s="9" t="s">
        <v>1267</v>
      </c>
      <c r="D155" s="9" t="s">
        <v>761</v>
      </c>
      <c r="E155" s="9" t="s">
        <v>762</v>
      </c>
      <c r="F155" s="9" t="s">
        <v>782</v>
      </c>
      <c r="H155" s="9" t="s">
        <v>772</v>
      </c>
      <c r="I155" s="9" t="s">
        <v>773</v>
      </c>
      <c r="J155" s="44" t="n">
        <v>0.8</v>
      </c>
      <c r="K155" s="38"/>
      <c r="L155" s="39" t="n">
        <v>20958.79</v>
      </c>
      <c r="M155" s="39" t="n">
        <v>11210.11</v>
      </c>
      <c r="P155" s="47" t="n">
        <v>37742</v>
      </c>
      <c r="Q155" s="41" t="n">
        <f aca="false">IF(OR($A3="",P3=""),"",ROUND(YEARFRAC(P3,README!$C$5),1))</f>
        <v>23.3</v>
      </c>
      <c r="R155" s="40"/>
      <c r="S155" s="42" t="n">
        <v>28000</v>
      </c>
      <c r="T155" s="42" t="n">
        <v>27076</v>
      </c>
      <c r="U155" s="42" t="n">
        <v>30400</v>
      </c>
      <c r="V155" s="42" t="n">
        <v>3324</v>
      </c>
      <c r="W155" s="44" t="n">
        <v>1</v>
      </c>
      <c r="X155" s="6" t="n">
        <v>3</v>
      </c>
      <c r="Y155" s="46" t="n">
        <v>2.8</v>
      </c>
      <c r="Z155" s="6" t="s">
        <v>1264</v>
      </c>
      <c r="AA155" s="9" t="s">
        <v>774</v>
      </c>
      <c r="AB155" s="36" t="s">
        <v>804</v>
      </c>
      <c r="AC155" s="27" t="n">
        <f aca="false">COUNTIF(環境認証!$A$2:$A$849,A3)</f>
        <v>1</v>
      </c>
      <c r="AD155" s="6" t="n">
        <v>12.3</v>
      </c>
      <c r="AE155" s="6" t="n">
        <v>8.6</v>
      </c>
    </row>
    <row r="156" customFormat="false" ht="15" hidden="false" customHeight="true" outlineLevel="0" collapsed="false">
      <c r="A156" s="6" t="s">
        <v>1268</v>
      </c>
      <c r="B156" s="6" t="s">
        <v>465</v>
      </c>
      <c r="C156" s="9" t="s">
        <v>1269</v>
      </c>
      <c r="D156" s="9" t="s">
        <v>761</v>
      </c>
      <c r="E156" s="9" t="s">
        <v>762</v>
      </c>
      <c r="F156" s="9" t="s">
        <v>782</v>
      </c>
      <c r="H156" s="9" t="s">
        <v>772</v>
      </c>
      <c r="I156" s="9" t="s">
        <v>778</v>
      </c>
      <c r="J156" s="37"/>
      <c r="K156" s="38"/>
      <c r="L156" s="39" t="n">
        <v>140667.09</v>
      </c>
      <c r="M156" s="39" t="n">
        <v>3944.81</v>
      </c>
      <c r="P156" s="47" t="n">
        <v>41122</v>
      </c>
      <c r="Q156" s="41" t="n">
        <f aca="false">IF(OR($A4="",P4=""),"",ROUND(YEARFRAC(P4,README!$C$5),1))</f>
        <v>14</v>
      </c>
      <c r="R156" s="40"/>
      <c r="S156" s="42" t="n">
        <v>8423</v>
      </c>
      <c r="T156" s="42" t="n">
        <v>7607</v>
      </c>
      <c r="U156" s="42" t="n">
        <v>11500</v>
      </c>
      <c r="V156" s="42" t="n">
        <v>3893</v>
      </c>
      <c r="W156" s="44" t="n">
        <v>0.948</v>
      </c>
      <c r="X156" s="6" t="n">
        <v>13</v>
      </c>
      <c r="Y156" s="46" t="n">
        <v>0.3</v>
      </c>
      <c r="Z156" s="6" t="s">
        <v>1264</v>
      </c>
      <c r="AA156" s="9" t="s">
        <v>774</v>
      </c>
      <c r="AB156" s="9" t="s">
        <v>1270</v>
      </c>
      <c r="AC156" s="27" t="n">
        <f aca="false">COUNTIF(環境認証!$A$2:$A$849,A4)</f>
        <v>1</v>
      </c>
      <c r="AD156" s="6" t="n">
        <v>51.2</v>
      </c>
      <c r="AE156" s="6" t="n">
        <v>36.5</v>
      </c>
    </row>
    <row r="157" customFormat="false" ht="15" hidden="false" customHeight="true" outlineLevel="0" collapsed="false">
      <c r="A157" s="6" t="s">
        <v>1271</v>
      </c>
      <c r="B157" s="6" t="s">
        <v>465</v>
      </c>
      <c r="C157" s="9" t="s">
        <v>1272</v>
      </c>
      <c r="D157" s="9" t="s">
        <v>761</v>
      </c>
      <c r="E157" s="9" t="s">
        <v>762</v>
      </c>
      <c r="F157" s="9" t="s">
        <v>895</v>
      </c>
      <c r="H157" s="9" t="s">
        <v>882</v>
      </c>
      <c r="I157" s="9" t="s">
        <v>778</v>
      </c>
      <c r="J157" s="37"/>
      <c r="K157" s="38"/>
      <c r="L157" s="39" t="n">
        <v>15467.77</v>
      </c>
      <c r="M157" s="39" t="n">
        <v>8503.82</v>
      </c>
      <c r="P157" s="47" t="n">
        <v>40179</v>
      </c>
      <c r="Q157" s="41" t="n">
        <f aca="false">IF(OR($A5="",P5=""),"",ROUND(YEARFRAC(P5,README!$C$5),1))</f>
        <v>16.6</v>
      </c>
      <c r="R157" s="40"/>
      <c r="S157" s="42" t="n">
        <v>9900</v>
      </c>
      <c r="T157" s="42" t="n">
        <v>6364</v>
      </c>
      <c r="U157" s="42" t="n">
        <v>11800</v>
      </c>
      <c r="V157" s="42" t="n">
        <v>5436</v>
      </c>
      <c r="W157" s="44" t="n">
        <v>1</v>
      </c>
      <c r="X157" s="6" t="n">
        <v>6</v>
      </c>
      <c r="Y157" s="46" t="n">
        <v>1.8</v>
      </c>
      <c r="Z157" s="6" t="s">
        <v>1264</v>
      </c>
      <c r="AA157" s="9" t="s">
        <v>774</v>
      </c>
      <c r="AB157" s="36" t="s">
        <v>874</v>
      </c>
      <c r="AC157" s="27" t="n">
        <f aca="false">COUNTIF(環境認証!$A$2:$A$849,A5)</f>
        <v>1</v>
      </c>
      <c r="AD157" s="6" t="n">
        <v>85.4</v>
      </c>
      <c r="AE157" s="6" t="n">
        <v>19.2</v>
      </c>
    </row>
    <row r="158" customFormat="false" ht="15" hidden="false" customHeight="true" outlineLevel="0" collapsed="false">
      <c r="A158" s="6" t="s">
        <v>1273</v>
      </c>
      <c r="B158" s="6" t="s">
        <v>465</v>
      </c>
      <c r="C158" s="9" t="s">
        <v>1274</v>
      </c>
      <c r="D158" s="9" t="s">
        <v>761</v>
      </c>
      <c r="E158" s="9" t="s">
        <v>762</v>
      </c>
      <c r="F158" s="9" t="s">
        <v>881</v>
      </c>
      <c r="H158" s="9" t="s">
        <v>882</v>
      </c>
      <c r="I158" s="9" t="s">
        <v>786</v>
      </c>
      <c r="J158" s="44" t="n">
        <v>0.5</v>
      </c>
      <c r="K158" s="38"/>
      <c r="L158" s="39" t="n">
        <v>41741.18</v>
      </c>
      <c r="M158" s="39" t="n">
        <v>16140.82</v>
      </c>
      <c r="P158" s="47" t="n">
        <v>40391</v>
      </c>
      <c r="Q158" s="41" t="n">
        <f aca="false">IF(OR($A6="",P6=""),"",ROUND(YEARFRAC(P6,README!$C$5),1))</f>
        <v>16</v>
      </c>
      <c r="R158" s="40"/>
      <c r="S158" s="42" t="n">
        <v>21000</v>
      </c>
      <c r="T158" s="42" t="n">
        <v>20341</v>
      </c>
      <c r="U158" s="42" t="n">
        <v>25700</v>
      </c>
      <c r="V158" s="42" t="n">
        <v>5359</v>
      </c>
      <c r="W158" s="44" t="n">
        <v>0.948</v>
      </c>
      <c r="X158" s="6" t="n">
        <v>23</v>
      </c>
      <c r="Y158" s="46" t="n">
        <v>7</v>
      </c>
      <c r="Z158" s="6" t="s">
        <v>1264</v>
      </c>
      <c r="AA158" s="9" t="s">
        <v>774</v>
      </c>
      <c r="AB158" s="36" t="s">
        <v>804</v>
      </c>
      <c r="AC158" s="27" t="n">
        <f aca="false">COUNTIF(環境認証!$A$2:$A$849,A6)</f>
        <v>1</v>
      </c>
      <c r="AD158" s="6" t="n">
        <v>26.3</v>
      </c>
      <c r="AE158" s="6" t="n">
        <v>22.4</v>
      </c>
    </row>
    <row r="159" customFormat="false" ht="15" hidden="false" customHeight="true" outlineLevel="0" collapsed="false">
      <c r="A159" s="6" t="s">
        <v>1275</v>
      </c>
      <c r="B159" s="6" t="s">
        <v>465</v>
      </c>
      <c r="C159" s="9" t="s">
        <v>1276</v>
      </c>
      <c r="D159" s="9" t="s">
        <v>761</v>
      </c>
      <c r="E159" s="9" t="s">
        <v>925</v>
      </c>
      <c r="F159" s="9" t="s">
        <v>1277</v>
      </c>
      <c r="G159" s="9" t="s">
        <v>790</v>
      </c>
      <c r="H159" s="9" t="s">
        <v>921</v>
      </c>
      <c r="I159" s="9" t="s">
        <v>791</v>
      </c>
      <c r="J159" s="44" t="n">
        <v>0.6</v>
      </c>
      <c r="K159" s="39" t="n">
        <v>2720.3</v>
      </c>
      <c r="L159" s="39" t="n">
        <v>19968.2</v>
      </c>
      <c r="M159" s="39" t="n">
        <v>8376.44</v>
      </c>
      <c r="P159" s="47" t="n">
        <v>40210</v>
      </c>
      <c r="Q159" s="41" t="n">
        <f aca="false">IF(OR($A7="",P7=""),"",ROUND(YEARFRAC(P7,README!$C$5),1))</f>
        <v>16.5</v>
      </c>
      <c r="R159" s="40"/>
      <c r="S159" s="42" t="n">
        <v>10770</v>
      </c>
      <c r="T159" s="42" t="n">
        <v>9505</v>
      </c>
      <c r="U159" s="42" t="n">
        <v>14160</v>
      </c>
      <c r="V159" s="42" t="n">
        <v>4655</v>
      </c>
      <c r="W159" s="44" t="n">
        <v>1</v>
      </c>
      <c r="X159" s="6" t="n">
        <v>20</v>
      </c>
      <c r="Y159" s="45"/>
      <c r="Z159" s="6" t="s">
        <v>1264</v>
      </c>
      <c r="AA159" s="9" t="s">
        <v>774</v>
      </c>
      <c r="AB159" s="6" t="s">
        <v>1278</v>
      </c>
      <c r="AC159" s="27" t="n">
        <f aca="false">COUNTIF(環境認証!$A$2:$A$849,A7)</f>
        <v>1</v>
      </c>
      <c r="AD159" s="6" t="n">
        <v>49</v>
      </c>
      <c r="AE159" s="6" t="n">
        <v>31.5</v>
      </c>
    </row>
    <row r="160" customFormat="false" ht="15" hidden="false" customHeight="true" outlineLevel="0" collapsed="false">
      <c r="A160" s="6" t="s">
        <v>1279</v>
      </c>
      <c r="B160" s="6" t="s">
        <v>465</v>
      </c>
      <c r="C160" s="9" t="s">
        <v>1280</v>
      </c>
      <c r="D160" s="9" t="s">
        <v>761</v>
      </c>
      <c r="E160" s="9" t="s">
        <v>939</v>
      </c>
      <c r="F160" s="9" t="s">
        <v>1281</v>
      </c>
      <c r="H160" s="9" t="s">
        <v>921</v>
      </c>
      <c r="I160" s="9" t="s">
        <v>795</v>
      </c>
      <c r="J160" s="44" t="n">
        <v>0.5</v>
      </c>
      <c r="K160" s="38"/>
      <c r="L160" s="39" t="n">
        <v>78897.42</v>
      </c>
      <c r="M160" s="39" t="n">
        <v>21715.52</v>
      </c>
      <c r="P160" s="47" t="n">
        <v>37316</v>
      </c>
      <c r="Q160" s="41" t="n">
        <f aca="false">IF(OR($A8="",P8=""),"",ROUND(YEARFRAC(P8,README!$C$5),1))</f>
        <v>24.4</v>
      </c>
      <c r="R160" s="40"/>
      <c r="S160" s="42" t="n">
        <v>22700</v>
      </c>
      <c r="T160" s="42" t="n">
        <v>17410</v>
      </c>
      <c r="U160" s="42" t="n">
        <v>25300</v>
      </c>
      <c r="V160" s="42" t="n">
        <v>7890</v>
      </c>
      <c r="W160" s="44" t="n">
        <v>0.996</v>
      </c>
      <c r="X160" s="6" t="n">
        <v>44</v>
      </c>
      <c r="Y160" s="46" t="n">
        <v>2.8</v>
      </c>
      <c r="Z160" s="6" t="s">
        <v>1264</v>
      </c>
      <c r="AA160" s="9" t="s">
        <v>774</v>
      </c>
      <c r="AB160" s="36" t="s">
        <v>883</v>
      </c>
      <c r="AC160" s="27" t="n">
        <f aca="false">COUNTIF(環境認証!$A$2:$A$849,A8)</f>
        <v>1</v>
      </c>
      <c r="AD160" s="6" t="n">
        <v>45.3</v>
      </c>
      <c r="AE160" s="6" t="n">
        <v>11.5</v>
      </c>
    </row>
    <row r="161" customFormat="false" ht="15" hidden="false" customHeight="true" outlineLevel="0" collapsed="false">
      <c r="A161" s="6" t="s">
        <v>1282</v>
      </c>
      <c r="B161" s="6" t="s">
        <v>465</v>
      </c>
      <c r="C161" s="6" t="s">
        <v>1283</v>
      </c>
      <c r="D161" s="9" t="s">
        <v>761</v>
      </c>
      <c r="E161" s="9" t="s">
        <v>946</v>
      </c>
      <c r="F161" s="9" t="s">
        <v>1284</v>
      </c>
      <c r="G161" s="9" t="s">
        <v>799</v>
      </c>
      <c r="H161" s="9" t="s">
        <v>921</v>
      </c>
      <c r="I161" s="9" t="s">
        <v>800</v>
      </c>
      <c r="J161" s="44" t="n">
        <v>1</v>
      </c>
      <c r="K161" s="39" t="n">
        <v>2487.92</v>
      </c>
      <c r="L161" s="39" t="n">
        <v>14201.97</v>
      </c>
      <c r="M161" s="39" t="n">
        <v>10412.41</v>
      </c>
      <c r="N161" s="6" t="n">
        <v>11</v>
      </c>
      <c r="O161" s="6" t="n">
        <v>0</v>
      </c>
      <c r="P161" s="47" t="n">
        <v>44927</v>
      </c>
      <c r="Q161" s="41" t="n">
        <f aca="false">IF(OR($A9="",P9=""),"",ROUND(YEARFRAC(P9,README!$C$5),1))</f>
        <v>3.6</v>
      </c>
      <c r="R161" s="47" t="n">
        <v>46111</v>
      </c>
      <c r="S161" s="42" t="n">
        <v>17500</v>
      </c>
      <c r="T161" s="42" t="n">
        <v>18160</v>
      </c>
      <c r="U161" s="42" t="n">
        <v>17500</v>
      </c>
      <c r="V161" s="42" t="n">
        <v>-660</v>
      </c>
      <c r="W161" s="44" t="n">
        <v>0.96</v>
      </c>
      <c r="X161" s="6" t="n">
        <v>25</v>
      </c>
      <c r="Y161" s="46" t="n">
        <v>9.2</v>
      </c>
      <c r="Z161" s="6" t="s">
        <v>1264</v>
      </c>
      <c r="AA161" s="9" t="s">
        <v>774</v>
      </c>
      <c r="AB161" s="6" t="s">
        <v>1285</v>
      </c>
      <c r="AC161" s="27" t="n">
        <f aca="false">COUNTIF(環境認証!$A$2:$A$849,A9)</f>
        <v>1</v>
      </c>
      <c r="AD161" s="6" t="n">
        <v>-3.6</v>
      </c>
      <c r="AE161" s="6" t="n">
        <v>0</v>
      </c>
    </row>
    <row r="162" customFormat="false" ht="15" hidden="false" customHeight="true" outlineLevel="0" collapsed="false">
      <c r="A162" s="6" t="s">
        <v>1286</v>
      </c>
      <c r="B162" s="6" t="s">
        <v>465</v>
      </c>
      <c r="C162" s="9" t="s">
        <v>1287</v>
      </c>
      <c r="D162" s="9" t="s">
        <v>761</v>
      </c>
      <c r="E162" s="9" t="s">
        <v>969</v>
      </c>
      <c r="F162" s="9" t="s">
        <v>1288</v>
      </c>
      <c r="H162" s="9" t="s">
        <v>971</v>
      </c>
      <c r="I162" s="9" t="s">
        <v>800</v>
      </c>
      <c r="J162" s="44" t="n">
        <v>1</v>
      </c>
      <c r="K162" s="38"/>
      <c r="L162" s="39" t="n">
        <v>23161.27</v>
      </c>
      <c r="M162" s="39" t="n">
        <v>15041.74</v>
      </c>
      <c r="P162" s="47" t="n">
        <v>34759</v>
      </c>
      <c r="Q162" s="41" t="n">
        <f aca="false">IF(OR($A10="",P10=""),"",ROUND(YEARFRAC(P10,README!$C$5),1))</f>
        <v>31.4</v>
      </c>
      <c r="R162" s="40"/>
      <c r="S162" s="42" t="n">
        <v>17300</v>
      </c>
      <c r="T162" s="42" t="n">
        <v>18101</v>
      </c>
      <c r="U162" s="42" t="n">
        <v>18400</v>
      </c>
      <c r="V162" s="42" t="n">
        <v>299</v>
      </c>
      <c r="W162" s="44" t="n">
        <v>1</v>
      </c>
      <c r="X162" s="6" t="n">
        <v>1</v>
      </c>
      <c r="Y162" s="46" t="n">
        <v>9.9</v>
      </c>
      <c r="Z162" s="6" t="s">
        <v>1264</v>
      </c>
      <c r="AA162" s="9" t="s">
        <v>774</v>
      </c>
      <c r="AB162" s="6" t="s">
        <v>1289</v>
      </c>
      <c r="AC162" s="27" t="n">
        <f aca="false">COUNTIF(環境認証!$A$2:$A$849,A10)</f>
        <v>1</v>
      </c>
      <c r="AD162" s="6" t="n">
        <v>1.7</v>
      </c>
      <c r="AE162" s="6" t="n">
        <v>6.4</v>
      </c>
    </row>
    <row r="163" customFormat="false" ht="15" hidden="false" customHeight="true" outlineLevel="0" collapsed="false">
      <c r="A163" s="6" t="s">
        <v>1290</v>
      </c>
      <c r="B163" s="6" t="s">
        <v>465</v>
      </c>
      <c r="C163" s="9" t="s">
        <v>1291</v>
      </c>
      <c r="D163" s="9" t="s">
        <v>761</v>
      </c>
      <c r="E163" s="9" t="s">
        <v>981</v>
      </c>
      <c r="F163" s="9" t="s">
        <v>1292</v>
      </c>
      <c r="H163" s="9" t="s">
        <v>971</v>
      </c>
      <c r="I163" s="9" t="s">
        <v>807</v>
      </c>
      <c r="J163" s="44" t="n">
        <v>0.2</v>
      </c>
      <c r="K163" s="38"/>
      <c r="L163" s="39" t="n">
        <v>35198.77</v>
      </c>
      <c r="M163" s="39" t="n">
        <v>5145.27</v>
      </c>
      <c r="P163" s="47" t="n">
        <v>39995</v>
      </c>
      <c r="Q163" s="41" t="n">
        <f aca="false">IF(OR($A11="",P11=""),"",ROUND(YEARFRAC(P11,README!$C$5),1))</f>
        <v>17.1</v>
      </c>
      <c r="R163" s="40"/>
      <c r="S163" s="42" t="n">
        <v>4461</v>
      </c>
      <c r="T163" s="42" t="n">
        <v>3903</v>
      </c>
      <c r="U163" s="42" t="n">
        <v>4960</v>
      </c>
      <c r="V163" s="42" t="n">
        <v>1057</v>
      </c>
      <c r="W163" s="44" t="n">
        <v>1</v>
      </c>
      <c r="X163" s="6" t="n">
        <v>19</v>
      </c>
      <c r="Y163" s="46" t="n">
        <v>1.9</v>
      </c>
      <c r="Z163" s="6" t="s">
        <v>1264</v>
      </c>
      <c r="AA163" s="9" t="s">
        <v>774</v>
      </c>
      <c r="AB163" s="36" t="s">
        <v>892</v>
      </c>
      <c r="AC163" s="27" t="n">
        <f aca="false">COUNTIF(環境認証!$A$2:$A$849,A11)</f>
        <v>1</v>
      </c>
      <c r="AD163" s="6" t="n">
        <v>27.1</v>
      </c>
      <c r="AE163" s="6" t="n">
        <v>11.2</v>
      </c>
    </row>
    <row r="164" customFormat="false" ht="15" hidden="false" customHeight="true" outlineLevel="0" collapsed="false">
      <c r="A164" s="6" t="s">
        <v>1293</v>
      </c>
      <c r="B164" s="6" t="s">
        <v>465</v>
      </c>
      <c r="C164" s="9" t="s">
        <v>1294</v>
      </c>
      <c r="D164" s="9" t="s">
        <v>761</v>
      </c>
      <c r="E164" s="9" t="s">
        <v>981</v>
      </c>
      <c r="F164" s="9" t="s">
        <v>1295</v>
      </c>
      <c r="G164" s="9" t="s">
        <v>811</v>
      </c>
      <c r="H164" s="9" t="s">
        <v>971</v>
      </c>
      <c r="I164" s="9" t="s">
        <v>800</v>
      </c>
      <c r="J164" s="44" t="n">
        <v>1</v>
      </c>
      <c r="K164" s="39" t="n">
        <v>2034.62</v>
      </c>
      <c r="L164" s="39" t="n">
        <v>9383.85</v>
      </c>
      <c r="M164" s="39" t="n">
        <v>7099.42</v>
      </c>
      <c r="N164" s="6" t="n">
        <v>12</v>
      </c>
      <c r="O164" s="6" t="n">
        <v>0</v>
      </c>
      <c r="P164" s="47" t="n">
        <v>33178</v>
      </c>
      <c r="Q164" s="41" t="n">
        <f aca="false">IF(OR($A12="",P12=""),"",ROUND(YEARFRAC(P12,README!$C$5),1))</f>
        <v>35.8</v>
      </c>
      <c r="R164" s="47" t="n">
        <v>45996</v>
      </c>
      <c r="S164" s="42" t="n">
        <v>9720</v>
      </c>
      <c r="T164" s="42" t="n">
        <v>9773</v>
      </c>
      <c r="U164" s="42" t="n">
        <v>9870</v>
      </c>
      <c r="V164" s="42" t="n">
        <v>97</v>
      </c>
      <c r="W164" s="44" t="n">
        <v>1</v>
      </c>
      <c r="X164" s="6" t="n">
        <v>21</v>
      </c>
      <c r="Y164" s="46" t="n">
        <v>7.2</v>
      </c>
      <c r="Z164" s="6" t="s">
        <v>1264</v>
      </c>
      <c r="AA164" s="9" t="s">
        <v>774</v>
      </c>
      <c r="AB164" s="6" t="s">
        <v>1296</v>
      </c>
      <c r="AC164" s="27" t="n">
        <f aca="false">COUNTIF(環境認証!$A$2:$A$849,A12)</f>
        <v>1</v>
      </c>
      <c r="AD164" s="6" t="n">
        <v>1</v>
      </c>
      <c r="AE164" s="6" t="n">
        <v>1.5</v>
      </c>
    </row>
    <row r="165" customFormat="false" ht="15" hidden="false" customHeight="true" outlineLevel="0" collapsed="false">
      <c r="A165" s="6" t="s">
        <v>1297</v>
      </c>
      <c r="B165" s="6" t="s">
        <v>465</v>
      </c>
      <c r="C165" s="9" t="s">
        <v>1298</v>
      </c>
      <c r="D165" s="9" t="s">
        <v>761</v>
      </c>
      <c r="E165" s="9" t="s">
        <v>981</v>
      </c>
      <c r="F165" s="9" t="s">
        <v>1299</v>
      </c>
      <c r="H165" s="9" t="s">
        <v>971</v>
      </c>
      <c r="I165" s="9" t="s">
        <v>816</v>
      </c>
      <c r="J165" s="44" t="n">
        <v>0.05</v>
      </c>
      <c r="K165" s="38"/>
      <c r="L165" s="39" t="n">
        <v>75826.76</v>
      </c>
      <c r="M165" s="39" t="n">
        <v>2108.56</v>
      </c>
      <c r="P165" s="47" t="n">
        <v>42064</v>
      </c>
      <c r="Q165" s="41" t="n">
        <f aca="false">IF(OR($A13="",P13=""),"",ROUND(YEARFRAC(P13,README!$C$5),1))</f>
        <v>11.4</v>
      </c>
      <c r="R165" s="40"/>
      <c r="S165" s="42" t="n">
        <v>3455</v>
      </c>
      <c r="T165" s="42" t="n">
        <v>2995</v>
      </c>
      <c r="U165" s="42" t="n">
        <v>3960</v>
      </c>
      <c r="V165" s="42" t="n">
        <v>965</v>
      </c>
      <c r="W165" s="44" t="n">
        <v>0.966</v>
      </c>
      <c r="X165" s="6" t="n">
        <v>37</v>
      </c>
      <c r="Y165" s="46" t="n">
        <v>0.8</v>
      </c>
      <c r="Z165" s="6" t="s">
        <v>1264</v>
      </c>
      <c r="AA165" s="9" t="s">
        <v>774</v>
      </c>
      <c r="AB165" s="36" t="s">
        <v>899</v>
      </c>
      <c r="AC165" s="27" t="n">
        <f aca="false">COUNTIF(環境認証!$A$2:$A$849,A13)</f>
        <v>1</v>
      </c>
      <c r="AD165" s="6" t="n">
        <v>32.2</v>
      </c>
      <c r="AE165" s="6" t="n">
        <v>14.6</v>
      </c>
    </row>
    <row r="166" customFormat="false" ht="15" hidden="false" customHeight="true" outlineLevel="0" collapsed="false">
      <c r="A166" s="6" t="s">
        <v>1300</v>
      </c>
      <c r="B166" s="6" t="s">
        <v>465</v>
      </c>
      <c r="C166" s="9" t="s">
        <v>1301</v>
      </c>
      <c r="D166" s="9" t="s">
        <v>761</v>
      </c>
      <c r="E166" s="9" t="s">
        <v>981</v>
      </c>
      <c r="F166" s="9" t="s">
        <v>1299</v>
      </c>
      <c r="G166" s="9" t="s">
        <v>821</v>
      </c>
      <c r="H166" s="9" t="s">
        <v>971</v>
      </c>
      <c r="I166" s="9" t="s">
        <v>822</v>
      </c>
      <c r="J166" s="44" t="n">
        <v>0.28</v>
      </c>
      <c r="K166" s="39" t="n">
        <v>5999.33</v>
      </c>
      <c r="L166" s="39" t="n">
        <v>52982.94</v>
      </c>
      <c r="M166" s="39" t="n">
        <v>8079.32</v>
      </c>
      <c r="N166" s="6" t="n">
        <v>31</v>
      </c>
      <c r="O166" s="6" t="n">
        <v>2</v>
      </c>
      <c r="P166" s="47" t="n">
        <v>36678</v>
      </c>
      <c r="Q166" s="41" t="n">
        <f aca="false">IF(OR($A14="",P14=""),"",ROUND(YEARFRAC(P14,README!$C$5),1))</f>
        <v>26.2</v>
      </c>
      <c r="R166" s="47" t="n">
        <v>45772</v>
      </c>
      <c r="S166" s="42" t="n">
        <v>9651</v>
      </c>
      <c r="T166" s="42" t="n">
        <v>9773</v>
      </c>
      <c r="U166" s="42" t="n">
        <v>11400</v>
      </c>
      <c r="V166" s="42" t="n">
        <v>1627</v>
      </c>
      <c r="W166" s="44" t="n">
        <v>0.932</v>
      </c>
      <c r="X166" s="6" t="n">
        <v>44</v>
      </c>
      <c r="Y166" s="46" t="n">
        <v>0.5</v>
      </c>
      <c r="Z166" s="6" t="s">
        <v>1264</v>
      </c>
      <c r="AA166" s="9" t="s">
        <v>774</v>
      </c>
      <c r="AB166" s="6" t="s">
        <v>1302</v>
      </c>
      <c r="AC166" s="27" t="n">
        <f aca="false">COUNTIF(環境認証!$A$2:$A$849,A14)</f>
        <v>1</v>
      </c>
      <c r="AD166" s="6" t="n">
        <v>16.6</v>
      </c>
      <c r="AE166" s="6" t="n">
        <v>18.1</v>
      </c>
    </row>
    <row r="167" customFormat="false" ht="15" hidden="false" customHeight="true" outlineLevel="0" collapsed="false">
      <c r="A167" s="6" t="s">
        <v>1303</v>
      </c>
      <c r="B167" s="6" t="s">
        <v>465</v>
      </c>
      <c r="C167" s="9" t="s">
        <v>1304</v>
      </c>
      <c r="D167" s="9" t="s">
        <v>761</v>
      </c>
      <c r="E167" s="9" t="s">
        <v>981</v>
      </c>
      <c r="F167" s="9" t="s">
        <v>1305</v>
      </c>
      <c r="H167" s="9" t="s">
        <v>971</v>
      </c>
      <c r="I167" s="9" t="s">
        <v>826</v>
      </c>
      <c r="J167" s="44" t="n">
        <v>0.5</v>
      </c>
      <c r="K167" s="38"/>
      <c r="L167" s="39" t="n">
        <v>32997.6</v>
      </c>
      <c r="M167" s="39" t="n">
        <v>8890.28</v>
      </c>
      <c r="P167" s="47" t="n">
        <v>37073</v>
      </c>
      <c r="Q167" s="41" t="n">
        <f aca="false">IF(OR($A15="",P15=""),"",ROUND(YEARFRAC(P15,README!$C$5),1))</f>
        <v>25.1</v>
      </c>
      <c r="R167" s="40"/>
      <c r="S167" s="42" t="n">
        <v>9200</v>
      </c>
      <c r="T167" s="42" t="n">
        <v>9734</v>
      </c>
      <c r="U167" s="42" t="n">
        <v>11600</v>
      </c>
      <c r="V167" s="42" t="n">
        <v>1866</v>
      </c>
      <c r="W167" s="44" t="n">
        <v>1</v>
      </c>
      <c r="X167" s="6" t="n">
        <v>16</v>
      </c>
      <c r="Y167" s="46" t="n">
        <v>0.5</v>
      </c>
      <c r="Z167" s="6" t="s">
        <v>1264</v>
      </c>
      <c r="AA167" s="9" t="s">
        <v>774</v>
      </c>
      <c r="AB167" s="36" t="s">
        <v>906</v>
      </c>
      <c r="AC167" s="27" t="n">
        <f aca="false">COUNTIF(環境認証!$A$2:$A$849,A15)</f>
        <v>1</v>
      </c>
      <c r="AD167" s="6" t="n">
        <v>19.2</v>
      </c>
      <c r="AE167" s="6" t="n">
        <v>26.1</v>
      </c>
    </row>
    <row r="168" customFormat="false" ht="15" hidden="false" customHeight="true" outlineLevel="0" collapsed="false">
      <c r="A168" s="6" t="s">
        <v>1306</v>
      </c>
      <c r="B168" s="6" t="s">
        <v>465</v>
      </c>
      <c r="C168" s="9" t="s">
        <v>1307</v>
      </c>
      <c r="D168" s="9" t="s">
        <v>761</v>
      </c>
      <c r="E168" s="9" t="s">
        <v>1005</v>
      </c>
      <c r="F168" s="9" t="s">
        <v>1308</v>
      </c>
      <c r="G168" s="9" t="s">
        <v>829</v>
      </c>
      <c r="H168" s="6" t="s">
        <v>952</v>
      </c>
      <c r="I168" s="9" t="s">
        <v>830</v>
      </c>
      <c r="J168" s="44" t="n">
        <v>0.83</v>
      </c>
      <c r="K168" s="39" t="n">
        <v>2064.27</v>
      </c>
      <c r="L168" s="39" t="n">
        <v>15647.62</v>
      </c>
      <c r="M168" s="39" t="n">
        <v>9313.83</v>
      </c>
      <c r="N168" s="6" t="n">
        <v>14</v>
      </c>
      <c r="O168" s="6" t="n">
        <v>0</v>
      </c>
      <c r="P168" s="47" t="n">
        <v>45078</v>
      </c>
      <c r="Q168" s="41" t="n">
        <f aca="false">IF(OR($A16="",P16=""),"",ROUND(YEARFRAC(P16,README!$C$5),1))</f>
        <v>3.2</v>
      </c>
      <c r="R168" s="47" t="n">
        <v>45968</v>
      </c>
      <c r="S168" s="42" t="n">
        <v>14865</v>
      </c>
      <c r="T168" s="42" t="n">
        <v>14911</v>
      </c>
      <c r="U168" s="42" t="n">
        <v>15355</v>
      </c>
      <c r="V168" s="42" t="n">
        <v>444</v>
      </c>
      <c r="W168" s="44" t="n">
        <v>1</v>
      </c>
      <c r="X168" s="6" t="n">
        <v>21</v>
      </c>
      <c r="Y168" s="46" t="n">
        <v>0.2</v>
      </c>
      <c r="Z168" s="6" t="s">
        <v>1264</v>
      </c>
      <c r="AA168" s="9" t="s">
        <v>774</v>
      </c>
      <c r="AB168" s="6" t="s">
        <v>1309</v>
      </c>
      <c r="AC168" s="27" t="n">
        <f aca="false">COUNTIF(環境認証!$A$2:$A$849,A16)</f>
        <v>1</v>
      </c>
      <c r="AD168" s="6" t="n">
        <v>3</v>
      </c>
      <c r="AE168" s="6" t="n">
        <v>3.3</v>
      </c>
    </row>
    <row r="169" customFormat="false" ht="15" hidden="false" customHeight="true" outlineLevel="0" collapsed="false">
      <c r="A169" s="6" t="s">
        <v>1310</v>
      </c>
      <c r="B169" s="6" t="s">
        <v>465</v>
      </c>
      <c r="C169" s="6" t="s">
        <v>1311</v>
      </c>
      <c r="D169" s="9" t="s">
        <v>761</v>
      </c>
      <c r="E169" s="9" t="s">
        <v>950</v>
      </c>
      <c r="F169" s="9" t="s">
        <v>1312</v>
      </c>
      <c r="H169" s="6" t="s">
        <v>952</v>
      </c>
      <c r="I169" s="9" t="s">
        <v>800</v>
      </c>
      <c r="J169" s="44" t="n">
        <v>1</v>
      </c>
      <c r="K169" s="38"/>
      <c r="L169" s="39" t="n">
        <v>12823.15</v>
      </c>
      <c r="M169" s="39" t="n">
        <v>10440.1</v>
      </c>
      <c r="P169" s="47" t="n">
        <v>44348</v>
      </c>
      <c r="Q169" s="41" t="n">
        <f aca="false">IF(OR($A17="",P17=""),"",ROUND(YEARFRAC(P17,README!$C$5),1))</f>
        <v>5.2</v>
      </c>
      <c r="R169" s="40"/>
      <c r="S169" s="42" t="n">
        <v>17000</v>
      </c>
      <c r="T169" s="42" t="n">
        <v>16620</v>
      </c>
      <c r="U169" s="42" t="n">
        <v>17100</v>
      </c>
      <c r="V169" s="42" t="n">
        <v>480</v>
      </c>
      <c r="W169" s="44" t="n">
        <v>1</v>
      </c>
      <c r="X169" s="6" t="n">
        <v>9</v>
      </c>
      <c r="Y169" s="46" t="n">
        <v>0.3</v>
      </c>
      <c r="Z169" s="6" t="s">
        <v>1264</v>
      </c>
      <c r="AA169" s="9" t="s">
        <v>774</v>
      </c>
      <c r="AB169" s="9" t="s">
        <v>1313</v>
      </c>
      <c r="AC169" s="27" t="n">
        <f aca="false">COUNTIF(環境認証!$A$2:$A$849,A17)</f>
        <v>1</v>
      </c>
      <c r="AD169" s="6" t="n">
        <v>2.9</v>
      </c>
      <c r="AE169" s="6" t="n">
        <v>0.6</v>
      </c>
    </row>
    <row r="170" customFormat="false" ht="15" hidden="false" customHeight="true" outlineLevel="0" collapsed="false">
      <c r="A170" s="6" t="s">
        <v>1314</v>
      </c>
      <c r="B170" s="6" t="s">
        <v>465</v>
      </c>
      <c r="C170" s="9" t="s">
        <v>1315</v>
      </c>
      <c r="D170" s="9" t="s">
        <v>761</v>
      </c>
      <c r="E170" s="9" t="s">
        <v>762</v>
      </c>
      <c r="F170" s="9" t="s">
        <v>1316</v>
      </c>
      <c r="G170" s="9" t="s">
        <v>836</v>
      </c>
      <c r="H170" s="9" t="s">
        <v>882</v>
      </c>
      <c r="I170" s="9" t="s">
        <v>837</v>
      </c>
      <c r="J170" s="44" t="n">
        <v>0</v>
      </c>
      <c r="K170" s="39" t="n">
        <v>18100.41</v>
      </c>
      <c r="L170" s="39" t="n">
        <v>49753.92</v>
      </c>
      <c r="M170" s="38" t="n">
        <v>6166</v>
      </c>
      <c r="P170" s="40"/>
      <c r="Q170" s="41" t="str">
        <f aca="false">IF(OR($A18="",P18=""),"",ROUND(YEARFRAC(P18,README!$C$5),1))</f>
        <v/>
      </c>
      <c r="R170" s="40"/>
      <c r="S170" s="48" t="n">
        <v>8350</v>
      </c>
      <c r="T170" s="48" t="n">
        <v>6796.004</v>
      </c>
      <c r="U170" s="48" t="n">
        <v>9050</v>
      </c>
      <c r="V170" s="43" t="n">
        <f aca="false">IF($A18="","",IF(OR(T18="",U18=""),"",U18-T18))</f>
        <v>4038.723</v>
      </c>
      <c r="W170" s="37" t="n">
        <v>1</v>
      </c>
      <c r="X170" s="1" t="n">
        <v>16</v>
      </c>
      <c r="Y170" s="45"/>
      <c r="Z170" s="6" t="s">
        <v>1264</v>
      </c>
      <c r="AA170" s="9" t="s">
        <v>774</v>
      </c>
      <c r="AB170" s="6" t="s">
        <v>1317</v>
      </c>
      <c r="AC170" s="27" t="n">
        <f aca="false">COUNTIF(環境認証!$A$2:$A$849,A18)</f>
        <v>1</v>
      </c>
      <c r="AD170" s="1" t="n">
        <v>33.2</v>
      </c>
      <c r="AE170" s="1" t="n">
        <v>8.4</v>
      </c>
    </row>
    <row r="171" customFormat="false" ht="15" hidden="false" customHeight="true" outlineLevel="0" collapsed="false">
      <c r="A171" s="6" t="s">
        <v>1318</v>
      </c>
      <c r="B171" s="6" t="s">
        <v>465</v>
      </c>
      <c r="C171" s="6" t="s">
        <v>1319</v>
      </c>
      <c r="D171" s="9" t="s">
        <v>761</v>
      </c>
      <c r="E171" s="9" t="s">
        <v>762</v>
      </c>
      <c r="F171" s="9" t="s">
        <v>782</v>
      </c>
      <c r="G171" s="9" t="s">
        <v>840</v>
      </c>
      <c r="H171" s="9" t="s">
        <v>772</v>
      </c>
      <c r="I171" s="9" t="s">
        <v>800</v>
      </c>
      <c r="J171" s="44" t="n">
        <v>1</v>
      </c>
      <c r="K171" s="39" t="n">
        <v>1895.59</v>
      </c>
      <c r="L171" s="39" t="n">
        <v>11661.69</v>
      </c>
      <c r="M171" s="39" t="n">
        <v>7253.87</v>
      </c>
      <c r="N171" s="6" t="n">
        <v>12</v>
      </c>
      <c r="O171" s="6" t="n">
        <v>2</v>
      </c>
      <c r="P171" s="47" t="n">
        <v>33086</v>
      </c>
      <c r="Q171" s="41" t="n">
        <f aca="false">IF(OR($A19="",P19=""),"",ROUND(YEARFRAC(P19,README!$C$5),1))</f>
        <v>36</v>
      </c>
      <c r="R171" s="47" t="n">
        <v>46135</v>
      </c>
      <c r="S171" s="42" t="n">
        <v>9200</v>
      </c>
      <c r="T171" s="48" t="n">
        <v>4152.394</v>
      </c>
      <c r="U171" s="48" t="n">
        <v>6000</v>
      </c>
      <c r="V171" s="43" t="n">
        <f aca="false">IF($A19="","",IF(OR(T19="",U19=""),"",U19-T19))</f>
        <v>6730.979</v>
      </c>
      <c r="W171" s="37" t="n">
        <v>1</v>
      </c>
      <c r="X171" s="1" t="n">
        <v>18</v>
      </c>
      <c r="Y171" s="46" t="n">
        <v>10.8</v>
      </c>
      <c r="Z171" s="6" t="s">
        <v>1264</v>
      </c>
      <c r="AA171" s="9" t="s">
        <v>774</v>
      </c>
      <c r="AB171" s="9" t="s">
        <v>1320</v>
      </c>
      <c r="AC171" s="27" t="n">
        <f aca="false">COUNTIF(環境認証!$A$2:$A$849,A19)</f>
        <v>0</v>
      </c>
      <c r="AD171" s="1" t="n">
        <v>44.5</v>
      </c>
      <c r="AE171" s="1" t="n">
        <v>27.8</v>
      </c>
    </row>
    <row r="172" customFormat="false" ht="15" hidden="false" customHeight="true" outlineLevel="0" collapsed="false">
      <c r="A172" s="6" t="s">
        <v>1321</v>
      </c>
      <c r="B172" s="6" t="s">
        <v>471</v>
      </c>
      <c r="C172" s="9" t="s">
        <v>1322</v>
      </c>
      <c r="D172" s="9" t="s">
        <v>761</v>
      </c>
      <c r="E172" s="36" t="s">
        <v>762</v>
      </c>
      <c r="F172" s="36" t="s">
        <v>911</v>
      </c>
      <c r="H172" s="6" t="s">
        <v>764</v>
      </c>
      <c r="I172" s="6" t="s">
        <v>1323</v>
      </c>
      <c r="J172" s="37"/>
      <c r="K172" s="38"/>
      <c r="L172" s="38"/>
      <c r="M172" s="39" t="n">
        <v>365092.05</v>
      </c>
      <c r="P172" s="40"/>
      <c r="Q172" s="41" t="str">
        <f aca="false">IF(OR($A116="",P116=""),"",ROUND(YEARFRAC(P116,README!$C$5),1))</f>
        <v/>
      </c>
      <c r="R172" s="40"/>
      <c r="S172" s="42" t="n">
        <v>487709</v>
      </c>
      <c r="T172" s="42" t="n">
        <v>472587</v>
      </c>
      <c r="U172" s="42" t="n">
        <v>628000</v>
      </c>
      <c r="V172" s="43" t="n">
        <f aca="false">IF($A116="","",IF(OR(T116="",U116=""),"",U116-T116))</f>
        <v>3809</v>
      </c>
      <c r="W172" s="44" t="n">
        <v>0.991</v>
      </c>
      <c r="X172" s="6" t="n">
        <v>666</v>
      </c>
      <c r="Y172" s="45"/>
      <c r="Z172" s="6" t="s">
        <v>1324</v>
      </c>
      <c r="AA172" s="9" t="s">
        <v>774</v>
      </c>
      <c r="AB172" s="9" t="s">
        <v>1141</v>
      </c>
      <c r="AC172" s="27" t="n">
        <f aca="false">COUNTIF(環境認証!$A$2:$A$849,A116)</f>
        <v>1</v>
      </c>
      <c r="AD172" s="1" t="n">
        <v>35.9</v>
      </c>
      <c r="AE172" s="1" t="n">
        <v>31.4</v>
      </c>
    </row>
    <row r="173" customFormat="false" ht="15" hidden="false" customHeight="true" outlineLevel="0" collapsed="false">
      <c r="A173" s="6" t="s">
        <v>1325</v>
      </c>
      <c r="B173" s="6" t="s">
        <v>471</v>
      </c>
      <c r="C173" s="9" t="s">
        <v>1326</v>
      </c>
      <c r="D173" s="9" t="s">
        <v>761</v>
      </c>
      <c r="E173" s="9" t="s">
        <v>762</v>
      </c>
      <c r="F173" s="9" t="s">
        <v>820</v>
      </c>
      <c r="H173" s="9" t="s">
        <v>772</v>
      </c>
      <c r="J173" s="37"/>
      <c r="K173" s="38"/>
      <c r="L173" s="38"/>
      <c r="M173" s="39" t="n">
        <v>8117.07</v>
      </c>
      <c r="N173" s="6" t="n">
        <v>12</v>
      </c>
      <c r="O173" s="6" t="n">
        <v>3</v>
      </c>
      <c r="P173" s="47" t="n">
        <v>23193</v>
      </c>
      <c r="Q173" s="41" t="n">
        <f aca="false">IF(OR($A56="",P56=""),"",ROUND(YEARFRAC(P56,README!$C$5),1))</f>
        <v>63.1</v>
      </c>
      <c r="R173" s="40"/>
      <c r="S173" s="42" t="n">
        <v>14100</v>
      </c>
      <c r="T173" s="42" t="n">
        <v>12514</v>
      </c>
      <c r="U173" s="42" t="n">
        <v>15100</v>
      </c>
      <c r="V173" s="42" t="n">
        <v>2586</v>
      </c>
      <c r="W173" s="44" t="n">
        <v>0.992</v>
      </c>
      <c r="X173" s="6" t="n">
        <v>21</v>
      </c>
      <c r="Y173" s="45"/>
      <c r="Z173" s="6" t="s">
        <v>1324</v>
      </c>
      <c r="AA173" s="9" t="s">
        <v>774</v>
      </c>
      <c r="AB173" s="9" t="s">
        <v>1327</v>
      </c>
      <c r="AC173" s="27" t="n">
        <f aca="false">COUNTIF(環境認証!$A$2:$A$849,A56)</f>
        <v>1</v>
      </c>
      <c r="AD173" s="6" t="n">
        <v>20.7</v>
      </c>
      <c r="AE173" s="6" t="n">
        <v>7.1</v>
      </c>
    </row>
    <row r="174" customFormat="false" ht="15" hidden="false" customHeight="true" outlineLevel="0" collapsed="false">
      <c r="A174" s="6" t="s">
        <v>1328</v>
      </c>
      <c r="B174" s="6" t="s">
        <v>471</v>
      </c>
      <c r="C174" s="9" t="s">
        <v>1329</v>
      </c>
      <c r="D174" s="9" t="s">
        <v>761</v>
      </c>
      <c r="E174" s="9" t="s">
        <v>762</v>
      </c>
      <c r="F174" s="9" t="s">
        <v>820</v>
      </c>
      <c r="H174" s="9" t="s">
        <v>772</v>
      </c>
      <c r="J174" s="37"/>
      <c r="K174" s="38"/>
      <c r="L174" s="38"/>
      <c r="M174" s="39" t="n">
        <v>2032.11</v>
      </c>
      <c r="N174" s="6" t="n">
        <v>8</v>
      </c>
      <c r="O174" s="6" t="n">
        <v>3</v>
      </c>
      <c r="P174" s="47" t="n">
        <v>26512</v>
      </c>
      <c r="Q174" s="41" t="n">
        <f aca="false">IF(OR($A57="",P57=""),"",ROUND(YEARFRAC(P57,README!$C$5),1))</f>
        <v>54</v>
      </c>
      <c r="R174" s="40"/>
      <c r="S174" s="42" t="n">
        <v>3050</v>
      </c>
      <c r="T174" s="42" t="n">
        <v>2722</v>
      </c>
      <c r="U174" s="42" t="n">
        <v>3120</v>
      </c>
      <c r="V174" s="42" t="n">
        <v>398</v>
      </c>
      <c r="W174" s="44" t="n">
        <v>1</v>
      </c>
      <c r="X174" s="6" t="n">
        <v>7</v>
      </c>
      <c r="Y174" s="45"/>
      <c r="Z174" s="6" t="s">
        <v>1324</v>
      </c>
      <c r="AA174" s="9" t="s">
        <v>774</v>
      </c>
      <c r="AB174" s="9" t="s">
        <v>1327</v>
      </c>
      <c r="AC174" s="27" t="n">
        <f aca="false">COUNTIF(環境認証!$A$2:$A$849,A57)</f>
        <v>1</v>
      </c>
      <c r="AD174" s="6" t="n">
        <v>14.6</v>
      </c>
      <c r="AE174" s="6" t="n">
        <v>2.3</v>
      </c>
    </row>
    <row r="175" customFormat="false" ht="15" hidden="false" customHeight="true" outlineLevel="0" collapsed="false">
      <c r="A175" s="6" t="s">
        <v>1330</v>
      </c>
      <c r="B175" s="6" t="s">
        <v>471</v>
      </c>
      <c r="C175" s="9" t="s">
        <v>1331</v>
      </c>
      <c r="D175" s="9" t="s">
        <v>761</v>
      </c>
      <c r="E175" s="9" t="s">
        <v>762</v>
      </c>
      <c r="F175" s="9" t="s">
        <v>782</v>
      </c>
      <c r="H175" s="9" t="s">
        <v>772</v>
      </c>
      <c r="J175" s="37"/>
      <c r="K175" s="38"/>
      <c r="L175" s="38"/>
      <c r="M175" s="39" t="n">
        <v>9619.67</v>
      </c>
      <c r="N175" s="6" t="n">
        <v>12</v>
      </c>
      <c r="O175" s="6" t="n">
        <v>1</v>
      </c>
      <c r="P175" s="47" t="n">
        <v>32051</v>
      </c>
      <c r="Q175" s="41" t="n">
        <f aca="false">IF(OR($A58="",P58=""),"",ROUND(YEARFRAC(P58,README!$C$5),1))</f>
        <v>38.9</v>
      </c>
      <c r="R175" s="40"/>
      <c r="S175" s="42" t="n">
        <v>8265</v>
      </c>
      <c r="T175" s="42" t="n">
        <v>7954</v>
      </c>
      <c r="U175" s="42" t="n">
        <v>9320</v>
      </c>
      <c r="V175" s="42" t="n">
        <v>1366</v>
      </c>
      <c r="W175" s="44" t="n">
        <v>0.983</v>
      </c>
      <c r="X175" s="6" t="n">
        <v>53</v>
      </c>
      <c r="Y175" s="45"/>
      <c r="Z175" s="6" t="s">
        <v>1324</v>
      </c>
      <c r="AA175" s="9" t="s">
        <v>774</v>
      </c>
      <c r="AB175" s="9" t="s">
        <v>1332</v>
      </c>
      <c r="AC175" s="27" t="n">
        <f aca="false">COUNTIF(環境認証!$A$2:$A$849,A58)</f>
        <v>2</v>
      </c>
      <c r="AD175" s="6" t="n">
        <v>17.2</v>
      </c>
      <c r="AE175" s="6" t="n">
        <v>12.8</v>
      </c>
    </row>
    <row r="176" customFormat="false" ht="15" hidden="false" customHeight="true" outlineLevel="0" collapsed="false">
      <c r="A176" s="6" t="s">
        <v>1333</v>
      </c>
      <c r="B176" s="6" t="s">
        <v>471</v>
      </c>
      <c r="C176" s="9" t="s">
        <v>1334</v>
      </c>
      <c r="D176" s="9" t="s">
        <v>761</v>
      </c>
      <c r="E176" s="9" t="s">
        <v>762</v>
      </c>
      <c r="F176" s="36" t="s">
        <v>926</v>
      </c>
      <c r="H176" s="9" t="s">
        <v>837</v>
      </c>
      <c r="J176" s="37"/>
      <c r="K176" s="38"/>
      <c r="L176" s="38"/>
      <c r="M176" s="38" t="n">
        <v>24104</v>
      </c>
      <c r="N176" s="6" t="n">
        <v>8</v>
      </c>
      <c r="P176" s="47" t="n">
        <v>31199</v>
      </c>
      <c r="Q176" s="41" t="n">
        <f aca="false">IF(OR($A59="",P59=""),"",ROUND(YEARFRAC(P59,README!$C$5),1))</f>
        <v>41.2</v>
      </c>
      <c r="R176" s="40"/>
      <c r="S176" s="48" t="n">
        <v>16749.3</v>
      </c>
      <c r="T176" s="48" t="n">
        <v>15533.571</v>
      </c>
      <c r="U176" s="48" t="n">
        <v>23700</v>
      </c>
      <c r="V176" s="43" t="n">
        <f aca="false">IF($A59="","",IF(OR(T59="",U59=""),"",U59-T59))</f>
        <v>2480.462</v>
      </c>
      <c r="W176" s="37" t="n">
        <v>0.973</v>
      </c>
      <c r="X176" s="1" t="n">
        <v>94</v>
      </c>
      <c r="Y176" s="45"/>
      <c r="Z176" s="6" t="s">
        <v>1324</v>
      </c>
      <c r="AA176" s="9" t="s">
        <v>774</v>
      </c>
      <c r="AB176" s="9" t="s">
        <v>1335</v>
      </c>
      <c r="AC176" s="27" t="n">
        <f aca="false">COUNTIF(環境認証!$A$2:$A$849,A59)</f>
        <v>1</v>
      </c>
      <c r="AD176" s="1" t="n">
        <v>52.6</v>
      </c>
      <c r="AE176" s="1" t="n">
        <v>41.5</v>
      </c>
    </row>
    <row r="177" customFormat="false" ht="15" hidden="false" customHeight="true" outlineLevel="0" collapsed="false">
      <c r="A177" s="6" t="s">
        <v>1336</v>
      </c>
      <c r="B177" s="6" t="s">
        <v>471</v>
      </c>
      <c r="C177" s="9" t="s">
        <v>1337</v>
      </c>
      <c r="D177" s="9" t="s">
        <v>761</v>
      </c>
      <c r="E177" s="9" t="s">
        <v>762</v>
      </c>
      <c r="F177" s="9" t="s">
        <v>782</v>
      </c>
      <c r="H177" s="9" t="s">
        <v>772</v>
      </c>
      <c r="J177" s="37"/>
      <c r="K177" s="38"/>
      <c r="L177" s="38"/>
      <c r="M177" s="39" t="n">
        <v>3663.38</v>
      </c>
      <c r="N177" s="6" t="n">
        <v>10</v>
      </c>
      <c r="O177" s="6" t="n">
        <v>2</v>
      </c>
      <c r="P177" s="47" t="n">
        <v>34151</v>
      </c>
      <c r="Q177" s="41" t="n">
        <f aca="false">IF(OR($A60="",P60=""),"",ROUND(YEARFRAC(P60,README!$C$5),1))</f>
        <v>33.1</v>
      </c>
      <c r="R177" s="40"/>
      <c r="S177" s="42" t="n">
        <v>2865</v>
      </c>
      <c r="T177" s="42" t="n">
        <v>2592</v>
      </c>
      <c r="U177" s="42" t="n">
        <v>3990</v>
      </c>
      <c r="V177" s="42" t="n">
        <v>1398</v>
      </c>
      <c r="W177" s="44" t="n">
        <v>0.942</v>
      </c>
      <c r="X177" s="6" t="n">
        <v>11</v>
      </c>
      <c r="Y177" s="45"/>
      <c r="Z177" s="6" t="s">
        <v>1324</v>
      </c>
      <c r="AA177" s="9" t="s">
        <v>774</v>
      </c>
      <c r="AB177" s="9" t="s">
        <v>1338</v>
      </c>
      <c r="AC177" s="27" t="n">
        <f aca="false">COUNTIF(環境認証!$A$2:$A$849,A60)</f>
        <v>1</v>
      </c>
      <c r="AD177" s="6" t="n">
        <v>53.9</v>
      </c>
      <c r="AE177" s="6" t="n">
        <v>39.3</v>
      </c>
    </row>
    <row r="178" customFormat="false" ht="15" hidden="false" customHeight="true" outlineLevel="0" collapsed="false">
      <c r="A178" s="6" t="s">
        <v>1339</v>
      </c>
      <c r="B178" s="6" t="s">
        <v>471</v>
      </c>
      <c r="C178" s="9" t="s">
        <v>1340</v>
      </c>
      <c r="D178" s="9" t="s">
        <v>761</v>
      </c>
      <c r="E178" s="9" t="s">
        <v>762</v>
      </c>
      <c r="F178" s="9" t="s">
        <v>815</v>
      </c>
      <c r="H178" s="9" t="s">
        <v>772</v>
      </c>
      <c r="J178" s="37"/>
      <c r="K178" s="38"/>
      <c r="L178" s="38"/>
      <c r="M178" s="39" t="n">
        <v>2198.61</v>
      </c>
      <c r="N178" s="6" t="n">
        <v>4</v>
      </c>
      <c r="O178" s="6" t="n">
        <v>1</v>
      </c>
      <c r="P178" s="47" t="n">
        <v>35765</v>
      </c>
      <c r="Q178" s="41" t="n">
        <f aca="false">IF(OR($A61="",P61=""),"",ROUND(YEARFRAC(P61,README!$C$5),1))</f>
        <v>28.7</v>
      </c>
      <c r="R178" s="40"/>
      <c r="S178" s="42" t="n">
        <v>2800</v>
      </c>
      <c r="T178" s="42" t="n">
        <v>2597</v>
      </c>
      <c r="U178" s="42" t="n">
        <v>3320</v>
      </c>
      <c r="V178" s="42" t="n">
        <v>723</v>
      </c>
      <c r="W178" s="44" t="n">
        <v>1</v>
      </c>
      <c r="X178" s="6" t="n">
        <v>4</v>
      </c>
      <c r="Y178" s="45"/>
      <c r="Z178" s="6" t="s">
        <v>1324</v>
      </c>
      <c r="AA178" s="9" t="s">
        <v>774</v>
      </c>
      <c r="AB178" s="9" t="s">
        <v>1341</v>
      </c>
      <c r="AC178" s="27" t="n">
        <f aca="false">COUNTIF(環境認証!$A$2:$A$849,A61)</f>
        <v>1</v>
      </c>
      <c r="AD178" s="6" t="n">
        <v>27.8</v>
      </c>
      <c r="AE178" s="6" t="n">
        <v>18.6</v>
      </c>
    </row>
    <row r="179" customFormat="false" ht="15" hidden="false" customHeight="true" outlineLevel="0" collapsed="false">
      <c r="A179" s="6" t="s">
        <v>1342</v>
      </c>
      <c r="B179" s="6" t="s">
        <v>471</v>
      </c>
      <c r="C179" s="9" t="s">
        <v>1343</v>
      </c>
      <c r="D179" s="9" t="s">
        <v>761</v>
      </c>
      <c r="E179" s="9" t="s">
        <v>762</v>
      </c>
      <c r="F179" s="9" t="s">
        <v>782</v>
      </c>
      <c r="H179" s="9" t="s">
        <v>772</v>
      </c>
      <c r="J179" s="37"/>
      <c r="K179" s="38"/>
      <c r="L179" s="38"/>
      <c r="M179" s="39" t="n">
        <v>2386.48</v>
      </c>
      <c r="N179" s="6" t="n">
        <v>7</v>
      </c>
      <c r="O179" s="6" t="n">
        <v>1</v>
      </c>
      <c r="P179" s="47" t="n">
        <v>35370</v>
      </c>
      <c r="Q179" s="41" t="n">
        <f aca="false">IF(OR($A62="",P62=""),"",ROUND(YEARFRAC(P62,README!$C$5),1))</f>
        <v>29.8</v>
      </c>
      <c r="R179" s="40"/>
      <c r="S179" s="42" t="n">
        <v>2578</v>
      </c>
      <c r="T179" s="42" t="n">
        <v>2284</v>
      </c>
      <c r="U179" s="42" t="n">
        <v>4140</v>
      </c>
      <c r="V179" s="42" t="n">
        <v>1856</v>
      </c>
      <c r="W179" s="44" t="n">
        <v>0.846</v>
      </c>
      <c r="X179" s="6" t="n">
        <v>6</v>
      </c>
      <c r="Y179" s="45"/>
      <c r="Z179" s="6" t="s">
        <v>1324</v>
      </c>
      <c r="AA179" s="9" t="s">
        <v>774</v>
      </c>
      <c r="AB179" s="9" t="s">
        <v>1344</v>
      </c>
      <c r="AC179" s="27" t="n">
        <f aca="false">COUNTIF(環境認証!$A$2:$A$849,A62)</f>
        <v>1</v>
      </c>
      <c r="AD179" s="6" t="n">
        <v>81.3</v>
      </c>
      <c r="AE179" s="6" t="n">
        <v>60.6</v>
      </c>
    </row>
    <row r="180" customFormat="false" ht="15" hidden="false" customHeight="true" outlineLevel="0" collapsed="false">
      <c r="A180" s="6" t="s">
        <v>1345</v>
      </c>
      <c r="B180" s="6" t="s">
        <v>471</v>
      </c>
      <c r="C180" s="9" t="s">
        <v>1346</v>
      </c>
      <c r="D180" s="9" t="s">
        <v>761</v>
      </c>
      <c r="E180" s="9" t="s">
        <v>762</v>
      </c>
      <c r="F180" s="9" t="s">
        <v>763</v>
      </c>
      <c r="H180" s="9" t="s">
        <v>772</v>
      </c>
      <c r="J180" s="37"/>
      <c r="K180" s="38"/>
      <c r="L180" s="38"/>
      <c r="M180" s="39" t="n">
        <v>2137.53</v>
      </c>
      <c r="N180" s="6" t="n">
        <v>8</v>
      </c>
      <c r="P180" s="47" t="n">
        <v>35247</v>
      </c>
      <c r="Q180" s="41" t="n">
        <f aca="false">IF(OR($A63="",P63=""),"",ROUND(YEARFRAC(P63,README!$C$5),1))</f>
        <v>30.1</v>
      </c>
      <c r="R180" s="40"/>
      <c r="S180" s="42" t="n">
        <v>2346</v>
      </c>
      <c r="T180" s="42" t="n">
        <v>2035</v>
      </c>
      <c r="U180" s="42" t="n">
        <v>2960</v>
      </c>
      <c r="V180" s="42" t="n">
        <v>925</v>
      </c>
      <c r="W180" s="44" t="n">
        <v>1</v>
      </c>
      <c r="X180" s="6" t="n">
        <v>1</v>
      </c>
      <c r="Y180" s="45"/>
      <c r="Z180" s="6" t="s">
        <v>1324</v>
      </c>
      <c r="AA180" s="9" t="s">
        <v>774</v>
      </c>
      <c r="AB180" s="9" t="s">
        <v>1347</v>
      </c>
      <c r="AC180" s="27" t="n">
        <f aca="false">COUNTIF(環境認証!$A$2:$A$849,A63)</f>
        <v>1</v>
      </c>
      <c r="AD180" s="6" t="n">
        <v>45.5</v>
      </c>
      <c r="AE180" s="6" t="n">
        <v>26.2</v>
      </c>
    </row>
    <row r="181" customFormat="false" ht="15" hidden="false" customHeight="true" outlineLevel="0" collapsed="false">
      <c r="A181" s="6" t="s">
        <v>1348</v>
      </c>
      <c r="B181" s="6" t="s">
        <v>471</v>
      </c>
      <c r="C181" s="9" t="s">
        <v>1349</v>
      </c>
      <c r="D181" s="9" t="s">
        <v>761</v>
      </c>
      <c r="E181" s="9" t="s">
        <v>762</v>
      </c>
      <c r="F181" s="9" t="s">
        <v>820</v>
      </c>
      <c r="H181" s="9" t="s">
        <v>772</v>
      </c>
      <c r="J181" s="37"/>
      <c r="K181" s="38"/>
      <c r="L181" s="38"/>
      <c r="M181" s="39" t="n">
        <v>2659.59</v>
      </c>
      <c r="N181" s="6" t="n">
        <v>10</v>
      </c>
      <c r="P181" s="47" t="n">
        <v>35065</v>
      </c>
      <c r="Q181" s="41" t="n">
        <f aca="false">IF(OR($A64="",P64=""),"",ROUND(YEARFRAC(P64,README!$C$5),1))</f>
        <v>30.6</v>
      </c>
      <c r="R181" s="40"/>
      <c r="S181" s="42" t="n">
        <v>1560</v>
      </c>
      <c r="T181" s="42" t="n">
        <v>1178</v>
      </c>
      <c r="U181" s="42" t="n">
        <v>2450</v>
      </c>
      <c r="V181" s="42" t="n">
        <v>1272</v>
      </c>
      <c r="W181" s="44" t="n">
        <v>1</v>
      </c>
      <c r="X181" s="6" t="n">
        <v>9</v>
      </c>
      <c r="Y181" s="45"/>
      <c r="Z181" s="6" t="s">
        <v>1324</v>
      </c>
      <c r="AA181" s="9" t="s">
        <v>774</v>
      </c>
      <c r="AB181" s="9" t="s">
        <v>1350</v>
      </c>
      <c r="AC181" s="27" t="n">
        <f aca="false">COUNTIF(環境認証!$A$2:$A$849,A64)</f>
        <v>1</v>
      </c>
      <c r="AD181" s="6" t="n">
        <v>108</v>
      </c>
      <c r="AE181" s="6" t="n">
        <v>57.1</v>
      </c>
    </row>
    <row r="182" customFormat="false" ht="15" hidden="false" customHeight="true" outlineLevel="0" collapsed="false">
      <c r="A182" s="6" t="s">
        <v>1351</v>
      </c>
      <c r="B182" s="6" t="s">
        <v>471</v>
      </c>
      <c r="C182" s="9" t="s">
        <v>1352</v>
      </c>
      <c r="D182" s="9" t="s">
        <v>761</v>
      </c>
      <c r="E182" s="9" t="s">
        <v>762</v>
      </c>
      <c r="F182" s="9" t="s">
        <v>820</v>
      </c>
      <c r="H182" s="9" t="s">
        <v>772</v>
      </c>
      <c r="J182" s="37"/>
      <c r="K182" s="38"/>
      <c r="L182" s="38"/>
      <c r="M182" s="39" t="n">
        <v>1487.44</v>
      </c>
      <c r="N182" s="6" t="n">
        <v>7</v>
      </c>
      <c r="O182" s="6" t="n">
        <v>1</v>
      </c>
      <c r="P182" s="47" t="n">
        <v>32874</v>
      </c>
      <c r="Q182" s="41" t="n">
        <f aca="false">IF(OR($A65="",P65=""),"",ROUND(YEARFRAC(P65,README!$C$5),1))</f>
        <v>36.6</v>
      </c>
      <c r="R182" s="40"/>
      <c r="S182" s="42" t="n">
        <v>1240</v>
      </c>
      <c r="T182" s="42" t="n">
        <v>1116</v>
      </c>
      <c r="U182" s="42" t="n">
        <v>1640</v>
      </c>
      <c r="V182" s="42" t="n">
        <v>524</v>
      </c>
      <c r="W182" s="44" t="n">
        <v>0.851</v>
      </c>
      <c r="X182" s="6" t="n">
        <v>6</v>
      </c>
      <c r="Y182" s="45"/>
      <c r="Z182" s="6" t="s">
        <v>1324</v>
      </c>
      <c r="AA182" s="9" t="s">
        <v>774</v>
      </c>
      <c r="AB182" s="9" t="s">
        <v>1134</v>
      </c>
      <c r="AC182" s="27" t="n">
        <f aca="false">COUNTIF(環境認証!$A$2:$A$849,A65)</f>
        <v>1</v>
      </c>
      <c r="AD182" s="6" t="n">
        <v>47</v>
      </c>
      <c r="AE182" s="6" t="n">
        <v>32.3</v>
      </c>
    </row>
    <row r="183" customFormat="false" ht="15" hidden="false" customHeight="true" outlineLevel="0" collapsed="false">
      <c r="A183" s="6" t="s">
        <v>1353</v>
      </c>
      <c r="B183" s="6" t="s">
        <v>471</v>
      </c>
      <c r="C183" s="9" t="s">
        <v>1354</v>
      </c>
      <c r="D183" s="9" t="s">
        <v>761</v>
      </c>
      <c r="E183" s="9" t="s">
        <v>762</v>
      </c>
      <c r="F183" s="9" t="s">
        <v>820</v>
      </c>
      <c r="H183" s="9" t="s">
        <v>772</v>
      </c>
      <c r="J183" s="37"/>
      <c r="K183" s="38"/>
      <c r="L183" s="38"/>
      <c r="M183" s="39" t="n">
        <v>2848.91</v>
      </c>
      <c r="N183" s="6" t="n">
        <v>7</v>
      </c>
      <c r="O183" s="6" t="n">
        <v>2</v>
      </c>
      <c r="P183" s="47" t="n">
        <v>34060</v>
      </c>
      <c r="Q183" s="41" t="n">
        <f aca="false">IF(OR($A66="",P66=""),"",ROUND(YEARFRAC(P66,README!$C$5),1))</f>
        <v>33.4</v>
      </c>
      <c r="R183" s="40"/>
      <c r="S183" s="42" t="n">
        <v>2520</v>
      </c>
      <c r="T183" s="42" t="n">
        <v>2276</v>
      </c>
      <c r="U183" s="42" t="n">
        <v>3130</v>
      </c>
      <c r="V183" s="42" t="n">
        <v>854</v>
      </c>
      <c r="W183" s="44" t="n">
        <v>1</v>
      </c>
      <c r="X183" s="6" t="n">
        <v>6</v>
      </c>
      <c r="Y183" s="45"/>
      <c r="Z183" s="6" t="s">
        <v>1324</v>
      </c>
      <c r="AA183" s="9" t="s">
        <v>774</v>
      </c>
      <c r="AB183" s="9" t="s">
        <v>1134</v>
      </c>
      <c r="AC183" s="27" t="n">
        <f aca="false">COUNTIF(環境認証!$A$2:$A$849,A66)</f>
        <v>1</v>
      </c>
      <c r="AD183" s="6" t="n">
        <v>37.5</v>
      </c>
      <c r="AE183" s="6" t="n">
        <v>24.2</v>
      </c>
    </row>
    <row r="184" customFormat="false" ht="15" hidden="false" customHeight="true" outlineLevel="0" collapsed="false">
      <c r="A184" s="6" t="s">
        <v>1355</v>
      </c>
      <c r="B184" s="6" t="s">
        <v>471</v>
      </c>
      <c r="C184" s="9" t="s">
        <v>1356</v>
      </c>
      <c r="D184" s="9" t="s">
        <v>761</v>
      </c>
      <c r="E184" s="9" t="s">
        <v>762</v>
      </c>
      <c r="F184" s="9" t="s">
        <v>782</v>
      </c>
      <c r="H184" s="9" t="s">
        <v>837</v>
      </c>
      <c r="J184" s="37"/>
      <c r="K184" s="38"/>
      <c r="L184" s="38"/>
      <c r="M184" s="38" t="n">
        <v>10949</v>
      </c>
      <c r="N184" s="6" t="n">
        <v>9</v>
      </c>
      <c r="O184" s="6" t="n">
        <v>2</v>
      </c>
      <c r="P184" s="47" t="n">
        <v>30773</v>
      </c>
      <c r="Q184" s="41" t="n">
        <f aca="false">IF(OR($A67="",P67=""),"",ROUND(YEARFRAC(P67,README!$C$5),1))</f>
        <v>42.4</v>
      </c>
      <c r="R184" s="40"/>
      <c r="S184" s="48" t="n">
        <v>9000</v>
      </c>
      <c r="T184" s="48" t="n">
        <v>9200.066</v>
      </c>
      <c r="U184" s="48" t="n">
        <v>9240</v>
      </c>
      <c r="V184" s="43" t="n">
        <f aca="false">IF($A67="","",IF(OR(T67="",U67=""),"",U67-T67))</f>
        <v>3220.43</v>
      </c>
      <c r="W184" s="37" t="n">
        <v>0.466</v>
      </c>
      <c r="X184" s="1" t="n">
        <v>13</v>
      </c>
      <c r="Y184" s="45"/>
      <c r="Z184" s="6" t="s">
        <v>1324</v>
      </c>
      <c r="AA184" s="9" t="s">
        <v>774</v>
      </c>
      <c r="AB184" s="9" t="s">
        <v>1357</v>
      </c>
      <c r="AC184" s="27" t="n">
        <f aca="false">COUNTIF(環境認証!$A$2:$A$849,A67)</f>
        <v>1</v>
      </c>
      <c r="AD184" s="1" t="n">
        <v>0.4</v>
      </c>
      <c r="AE184" s="1" t="n">
        <v>2.7</v>
      </c>
    </row>
    <row r="185" customFormat="false" ht="15" hidden="false" customHeight="true" outlineLevel="0" collapsed="false">
      <c r="A185" s="6" t="s">
        <v>1358</v>
      </c>
      <c r="B185" s="6" t="s">
        <v>471</v>
      </c>
      <c r="C185" s="9" t="s">
        <v>1359</v>
      </c>
      <c r="D185" s="9" t="s">
        <v>761</v>
      </c>
      <c r="E185" s="9" t="s">
        <v>762</v>
      </c>
      <c r="F185" s="9" t="s">
        <v>815</v>
      </c>
      <c r="H185" s="9" t="s">
        <v>772</v>
      </c>
      <c r="J185" s="37"/>
      <c r="K185" s="38"/>
      <c r="L185" s="38"/>
      <c r="M185" s="39" t="n">
        <v>22790.7</v>
      </c>
      <c r="N185" s="6" t="n">
        <v>34</v>
      </c>
      <c r="O185" s="6" t="n">
        <v>3</v>
      </c>
      <c r="P185" s="47" t="n">
        <v>34943</v>
      </c>
      <c r="Q185" s="41" t="n">
        <f aca="false">IF(OR($A68="",P68=""),"",ROUND(YEARFRAC(P68,README!$C$5),1))</f>
        <v>30.9</v>
      </c>
      <c r="R185" s="40"/>
      <c r="S185" s="42" t="n">
        <v>66900</v>
      </c>
      <c r="T185" s="42" t="n">
        <v>61956</v>
      </c>
      <c r="U185" s="42" t="n">
        <v>70700</v>
      </c>
      <c r="V185" s="42" t="n">
        <v>8744</v>
      </c>
      <c r="W185" s="44" t="n">
        <v>0.993</v>
      </c>
      <c r="X185" s="6" t="n">
        <v>44</v>
      </c>
      <c r="Y185" s="45"/>
      <c r="Z185" s="6" t="s">
        <v>1324</v>
      </c>
      <c r="AA185" s="9" t="s">
        <v>774</v>
      </c>
      <c r="AB185" s="9" t="s">
        <v>1360</v>
      </c>
      <c r="AC185" s="27" t="n">
        <f aca="false">COUNTIF(環境認証!$A$2:$A$849,A68)</f>
        <v>1</v>
      </c>
      <c r="AD185" s="6" t="n">
        <v>14.1</v>
      </c>
      <c r="AE185" s="6" t="n">
        <v>5.7</v>
      </c>
    </row>
    <row r="186" customFormat="false" ht="15" hidden="false" customHeight="true" outlineLevel="0" collapsed="false">
      <c r="A186" s="6" t="s">
        <v>1361</v>
      </c>
      <c r="B186" s="6" t="s">
        <v>471</v>
      </c>
      <c r="C186" s="9" t="s">
        <v>1362</v>
      </c>
      <c r="D186" s="9" t="s">
        <v>761</v>
      </c>
      <c r="E186" s="9" t="s">
        <v>762</v>
      </c>
      <c r="F186" s="9" t="s">
        <v>820</v>
      </c>
      <c r="H186" s="9" t="s">
        <v>772</v>
      </c>
      <c r="J186" s="37"/>
      <c r="K186" s="38"/>
      <c r="L186" s="38"/>
      <c r="M186" s="39" t="n">
        <v>2379.31</v>
      </c>
      <c r="N186" s="6" t="n">
        <v>8</v>
      </c>
      <c r="P186" s="47" t="n">
        <v>31107</v>
      </c>
      <c r="Q186" s="41" t="n">
        <f aca="false">IF(OR($A69="",P69=""),"",ROUND(YEARFRAC(P69,README!$C$5),1))</f>
        <v>41.4</v>
      </c>
      <c r="R186" s="40"/>
      <c r="S186" s="42" t="n">
        <v>2460</v>
      </c>
      <c r="T186" s="42" t="n">
        <v>2385</v>
      </c>
      <c r="U186" s="42" t="n">
        <v>2260</v>
      </c>
      <c r="V186" s="42" t="n">
        <v>-125</v>
      </c>
      <c r="W186" s="44" t="n">
        <v>1</v>
      </c>
      <c r="X186" s="6" t="n">
        <v>8</v>
      </c>
      <c r="Y186" s="45"/>
      <c r="Z186" s="6" t="s">
        <v>1324</v>
      </c>
      <c r="AA186" s="9" t="s">
        <v>774</v>
      </c>
      <c r="AB186" s="9" t="s">
        <v>1115</v>
      </c>
      <c r="AC186" s="27" t="n">
        <f aca="false">COUNTIF(環境認証!$A$2:$A$849,A69)</f>
        <v>1</v>
      </c>
      <c r="AD186" s="6" t="n">
        <v>-5.2</v>
      </c>
      <c r="AE186" s="6" t="n">
        <v>-8.1</v>
      </c>
    </row>
    <row r="187" customFormat="false" ht="15" hidden="false" customHeight="true" outlineLevel="0" collapsed="false">
      <c r="A187" s="6" t="s">
        <v>1363</v>
      </c>
      <c r="B187" s="6" t="s">
        <v>471</v>
      </c>
      <c r="C187" s="9" t="s">
        <v>1364</v>
      </c>
      <c r="D187" s="9" t="s">
        <v>761</v>
      </c>
      <c r="E187" s="9" t="s">
        <v>762</v>
      </c>
      <c r="F187" s="9" t="s">
        <v>782</v>
      </c>
      <c r="H187" s="9" t="s">
        <v>772</v>
      </c>
      <c r="J187" s="37"/>
      <c r="K187" s="38"/>
      <c r="L187" s="38"/>
      <c r="M187" s="39" t="n">
        <v>4816.37</v>
      </c>
      <c r="N187" s="6" t="n">
        <v>10</v>
      </c>
      <c r="O187" s="6" t="n">
        <v>1</v>
      </c>
      <c r="P187" s="47" t="n">
        <v>34151</v>
      </c>
      <c r="Q187" s="41" t="n">
        <f aca="false">IF(OR($A70="",P70=""),"",ROUND(YEARFRAC(P70,README!$C$5),1))</f>
        <v>33.1</v>
      </c>
      <c r="R187" s="40"/>
      <c r="S187" s="42" t="n">
        <v>5000</v>
      </c>
      <c r="T187" s="42" t="n">
        <v>4362</v>
      </c>
      <c r="U187" s="42" t="n">
        <v>7620</v>
      </c>
      <c r="V187" s="42" t="n">
        <v>3258</v>
      </c>
      <c r="W187" s="44" t="n">
        <v>1</v>
      </c>
      <c r="X187" s="6" t="n">
        <v>10</v>
      </c>
      <c r="Y187" s="45"/>
      <c r="Z187" s="6" t="s">
        <v>1324</v>
      </c>
      <c r="AA187" s="9" t="s">
        <v>774</v>
      </c>
      <c r="AB187" s="9" t="s">
        <v>1365</v>
      </c>
      <c r="AC187" s="27" t="n">
        <f aca="false">COUNTIF(環境認証!$A$2:$A$849,A70)</f>
        <v>1</v>
      </c>
      <c r="AD187" s="6" t="n">
        <v>74.7</v>
      </c>
      <c r="AE187" s="6" t="n">
        <v>52.4</v>
      </c>
    </row>
    <row r="188" customFormat="false" ht="15" hidden="false" customHeight="true" outlineLevel="0" collapsed="false">
      <c r="A188" s="6" t="s">
        <v>1366</v>
      </c>
      <c r="B188" s="6" t="s">
        <v>471</v>
      </c>
      <c r="C188" s="9" t="s">
        <v>1367</v>
      </c>
      <c r="D188" s="9" t="s">
        <v>761</v>
      </c>
      <c r="E188" s="9" t="s">
        <v>762</v>
      </c>
      <c r="F188" s="9" t="s">
        <v>820</v>
      </c>
      <c r="H188" s="9" t="s">
        <v>772</v>
      </c>
      <c r="J188" s="37"/>
      <c r="K188" s="38"/>
      <c r="L188" s="38"/>
      <c r="M188" s="39" t="n">
        <v>5899.11</v>
      </c>
      <c r="N188" s="6" t="n">
        <v>8</v>
      </c>
      <c r="O188" s="6" t="n">
        <v>1</v>
      </c>
      <c r="P188" s="47" t="n">
        <v>40269</v>
      </c>
      <c r="Q188" s="41" t="n">
        <f aca="false">IF(OR($A71="",P71=""),"",ROUND(YEARFRAC(P71,README!$C$5),1))</f>
        <v>16.4</v>
      </c>
      <c r="R188" s="40"/>
      <c r="S188" s="42" t="n">
        <v>5600</v>
      </c>
      <c r="T188" s="42" t="n">
        <v>4908</v>
      </c>
      <c r="U188" s="42" t="n">
        <v>8650</v>
      </c>
      <c r="V188" s="42" t="n">
        <v>3742</v>
      </c>
      <c r="W188" s="44" t="n">
        <v>1</v>
      </c>
      <c r="X188" s="6" t="n">
        <v>1</v>
      </c>
      <c r="Y188" s="45"/>
      <c r="Z188" s="6" t="s">
        <v>1324</v>
      </c>
      <c r="AA188" s="9" t="s">
        <v>774</v>
      </c>
      <c r="AB188" s="9" t="s">
        <v>1368</v>
      </c>
      <c r="AC188" s="27" t="n">
        <f aca="false">COUNTIF(環境認証!$A$2:$A$849,A71)</f>
        <v>1</v>
      </c>
      <c r="AD188" s="6" t="n">
        <v>76.2</v>
      </c>
      <c r="AE188" s="6" t="n">
        <v>54.5</v>
      </c>
    </row>
    <row r="189" customFormat="false" ht="15" hidden="false" customHeight="true" outlineLevel="0" collapsed="false">
      <c r="A189" s="6" t="s">
        <v>1369</v>
      </c>
      <c r="B189" s="6" t="s">
        <v>471</v>
      </c>
      <c r="C189" s="9" t="s">
        <v>1370</v>
      </c>
      <c r="D189" s="9" t="s">
        <v>761</v>
      </c>
      <c r="E189" s="9" t="s">
        <v>762</v>
      </c>
      <c r="F189" s="9" t="s">
        <v>763</v>
      </c>
      <c r="H189" s="9" t="s">
        <v>772</v>
      </c>
      <c r="J189" s="37"/>
      <c r="K189" s="38"/>
      <c r="L189" s="38"/>
      <c r="M189" s="39" t="n">
        <v>2889.34</v>
      </c>
      <c r="N189" s="6" t="n">
        <v>9</v>
      </c>
      <c r="P189" s="47" t="n">
        <v>40210</v>
      </c>
      <c r="Q189" s="41" t="n">
        <f aca="false">IF(OR($A72="",P72=""),"",ROUND(YEARFRAC(P72,README!$C$5),1))</f>
        <v>16.5</v>
      </c>
      <c r="R189" s="40"/>
      <c r="S189" s="42" t="n">
        <v>3550</v>
      </c>
      <c r="T189" s="42" t="n">
        <v>3100</v>
      </c>
      <c r="U189" s="42" t="n">
        <v>5530</v>
      </c>
      <c r="V189" s="42" t="n">
        <v>2430</v>
      </c>
      <c r="W189" s="44" t="n">
        <v>1</v>
      </c>
      <c r="X189" s="6" t="n">
        <v>8</v>
      </c>
      <c r="Y189" s="45"/>
      <c r="Z189" s="6" t="s">
        <v>1324</v>
      </c>
      <c r="AA189" s="9" t="s">
        <v>774</v>
      </c>
      <c r="AB189" s="9" t="s">
        <v>1036</v>
      </c>
      <c r="AC189" s="27" t="n">
        <f aca="false">COUNTIF(環境認証!$A$2:$A$849,A72)</f>
        <v>1</v>
      </c>
      <c r="AD189" s="6" t="n">
        <v>78.4</v>
      </c>
      <c r="AE189" s="6" t="n">
        <v>55.8</v>
      </c>
    </row>
    <row r="190" customFormat="false" ht="15" hidden="false" customHeight="true" outlineLevel="0" collapsed="false">
      <c r="A190" s="6" t="s">
        <v>1371</v>
      </c>
      <c r="B190" s="6" t="s">
        <v>471</v>
      </c>
      <c r="C190" s="9" t="s">
        <v>1372</v>
      </c>
      <c r="D190" s="9" t="s">
        <v>761</v>
      </c>
      <c r="E190" s="9" t="s">
        <v>762</v>
      </c>
      <c r="F190" s="9" t="s">
        <v>815</v>
      </c>
      <c r="H190" s="9" t="s">
        <v>772</v>
      </c>
      <c r="J190" s="37"/>
      <c r="K190" s="38"/>
      <c r="L190" s="38"/>
      <c r="M190" s="39" t="n">
        <v>13960.84</v>
      </c>
      <c r="N190" s="6" t="n">
        <v>15</v>
      </c>
      <c r="O190" s="6" t="n">
        <v>1</v>
      </c>
      <c r="P190" s="47" t="n">
        <v>37530</v>
      </c>
      <c r="Q190" s="41" t="n">
        <f aca="false">IF(OR($A73="",P73=""),"",ROUND(YEARFRAC(P73,README!$C$5),1))</f>
        <v>23.9</v>
      </c>
      <c r="R190" s="40"/>
      <c r="S190" s="42" t="n">
        <v>24000</v>
      </c>
      <c r="T190" s="42" t="n">
        <v>22970</v>
      </c>
      <c r="U190" s="42" t="n">
        <v>40300</v>
      </c>
      <c r="V190" s="42" t="n">
        <v>17330</v>
      </c>
      <c r="W190" s="44" t="n">
        <v>1</v>
      </c>
      <c r="X190" s="6" t="n">
        <v>15</v>
      </c>
      <c r="Y190" s="45"/>
      <c r="Z190" s="6" t="s">
        <v>1324</v>
      </c>
      <c r="AA190" s="9" t="s">
        <v>774</v>
      </c>
      <c r="AB190" s="9" t="s">
        <v>1373</v>
      </c>
      <c r="AC190" s="27" t="n">
        <f aca="false">COUNTIF(環境認証!$A$2:$A$849,A73)</f>
        <v>0</v>
      </c>
      <c r="AD190" s="6" t="n">
        <v>75.4</v>
      </c>
      <c r="AE190" s="6" t="n">
        <v>67.9</v>
      </c>
    </row>
    <row r="191" customFormat="false" ht="15" hidden="false" customHeight="true" outlineLevel="0" collapsed="false">
      <c r="A191" s="6" t="s">
        <v>1374</v>
      </c>
      <c r="B191" s="6" t="s">
        <v>471</v>
      </c>
      <c r="C191" s="9" t="s">
        <v>1375</v>
      </c>
      <c r="D191" s="9" t="s">
        <v>761</v>
      </c>
      <c r="E191" s="9" t="s">
        <v>762</v>
      </c>
      <c r="F191" s="9" t="s">
        <v>820</v>
      </c>
      <c r="H191" s="9" t="s">
        <v>772</v>
      </c>
      <c r="J191" s="37"/>
      <c r="K191" s="38"/>
      <c r="L191" s="38"/>
      <c r="M191" s="39" t="n">
        <v>2143.08</v>
      </c>
      <c r="N191" s="6" t="n">
        <v>8</v>
      </c>
      <c r="P191" s="47" t="n">
        <v>40299</v>
      </c>
      <c r="Q191" s="41" t="n">
        <f aca="false">IF(OR($A74="",P74=""),"",ROUND(YEARFRAC(P74,README!$C$5),1))</f>
        <v>16.3</v>
      </c>
      <c r="R191" s="40"/>
      <c r="S191" s="42" t="n">
        <v>1721</v>
      </c>
      <c r="T191" s="42" t="n">
        <v>1400</v>
      </c>
      <c r="U191" s="42" t="n">
        <v>2960</v>
      </c>
      <c r="V191" s="42" t="n">
        <v>1560</v>
      </c>
      <c r="W191" s="44" t="n">
        <v>1</v>
      </c>
      <c r="X191" s="6" t="n">
        <v>6</v>
      </c>
      <c r="Y191" s="45"/>
      <c r="Z191" s="6" t="s">
        <v>1324</v>
      </c>
      <c r="AA191" s="9" t="s">
        <v>774</v>
      </c>
      <c r="AB191" s="9" t="s">
        <v>1347</v>
      </c>
      <c r="AC191" s="27" t="n">
        <f aca="false">COUNTIF(環境認証!$A$2:$A$849,A74)</f>
        <v>2</v>
      </c>
      <c r="AD191" s="6" t="n">
        <v>111.4</v>
      </c>
      <c r="AE191" s="6" t="n">
        <v>72</v>
      </c>
    </row>
    <row r="192" customFormat="false" ht="15" hidden="false" customHeight="true" outlineLevel="0" collapsed="false">
      <c r="A192" s="6" t="s">
        <v>1376</v>
      </c>
      <c r="B192" s="6" t="s">
        <v>471</v>
      </c>
      <c r="C192" s="9" t="s">
        <v>1377</v>
      </c>
      <c r="D192" s="9" t="s">
        <v>761</v>
      </c>
      <c r="E192" s="9" t="s">
        <v>762</v>
      </c>
      <c r="F192" s="9" t="s">
        <v>771</v>
      </c>
      <c r="H192" s="9" t="s">
        <v>772</v>
      </c>
      <c r="J192" s="37"/>
      <c r="K192" s="38"/>
      <c r="L192" s="38"/>
      <c r="M192" s="39" t="n">
        <v>6751.31</v>
      </c>
      <c r="N192" s="6" t="n">
        <v>11</v>
      </c>
      <c r="O192" s="6" t="n">
        <v>2</v>
      </c>
      <c r="P192" s="47" t="n">
        <v>40909</v>
      </c>
      <c r="Q192" s="41" t="n">
        <f aca="false">IF(OR($A75="",P75=""),"",ROUND(YEARFRAC(P75,README!$C$5),1))</f>
        <v>14.6</v>
      </c>
      <c r="R192" s="40"/>
      <c r="S192" s="42" t="n">
        <v>9650</v>
      </c>
      <c r="T192" s="42" t="n">
        <v>9229</v>
      </c>
      <c r="U192" s="42" t="n">
        <v>17600</v>
      </c>
      <c r="V192" s="42" t="n">
        <v>8371</v>
      </c>
      <c r="W192" s="44" t="n">
        <v>1</v>
      </c>
      <c r="X192" s="6" t="n">
        <v>16</v>
      </c>
      <c r="Y192" s="45"/>
      <c r="Z192" s="6" t="s">
        <v>1324</v>
      </c>
      <c r="AA192" s="9" t="s">
        <v>774</v>
      </c>
      <c r="AB192" s="9" t="s">
        <v>1021</v>
      </c>
      <c r="AC192" s="27" t="n">
        <f aca="false">COUNTIF(環境認証!$A$2:$A$849,A75)</f>
        <v>1</v>
      </c>
      <c r="AD192" s="6" t="n">
        <v>90.7</v>
      </c>
      <c r="AE192" s="6" t="n">
        <v>82.4</v>
      </c>
    </row>
    <row r="193" customFormat="false" ht="15" hidden="false" customHeight="true" outlineLevel="0" collapsed="false">
      <c r="A193" s="6" t="s">
        <v>1378</v>
      </c>
      <c r="B193" s="6" t="s">
        <v>471</v>
      </c>
      <c r="C193" s="9" t="s">
        <v>1379</v>
      </c>
      <c r="D193" s="9" t="s">
        <v>761</v>
      </c>
      <c r="E193" s="9" t="s">
        <v>762</v>
      </c>
      <c r="F193" s="9" t="s">
        <v>782</v>
      </c>
      <c r="H193" s="9" t="s">
        <v>772</v>
      </c>
      <c r="J193" s="37"/>
      <c r="K193" s="38"/>
      <c r="L193" s="38"/>
      <c r="M193" s="39" t="n">
        <v>8752.21</v>
      </c>
      <c r="N193" s="6" t="n">
        <v>7</v>
      </c>
      <c r="O193" s="6" t="n">
        <v>2</v>
      </c>
      <c r="P193" s="47" t="n">
        <v>33117</v>
      </c>
      <c r="Q193" s="41" t="n">
        <f aca="false">IF(OR($A76="",P76=""),"",ROUND(YEARFRAC(P76,README!$C$5),1))</f>
        <v>35.9</v>
      </c>
      <c r="R193" s="40"/>
      <c r="S193" s="42" t="n">
        <v>9200</v>
      </c>
      <c r="T193" s="42" t="n">
        <v>9819</v>
      </c>
      <c r="U193" s="42" t="n">
        <v>17400</v>
      </c>
      <c r="V193" s="42" t="n">
        <v>7581</v>
      </c>
      <c r="W193" s="44" t="n">
        <v>1</v>
      </c>
      <c r="X193" s="6" t="n">
        <v>16</v>
      </c>
      <c r="Y193" s="45"/>
      <c r="Z193" s="6" t="s">
        <v>1324</v>
      </c>
      <c r="AA193" s="9" t="s">
        <v>774</v>
      </c>
      <c r="AB193" s="9" t="s">
        <v>1380</v>
      </c>
      <c r="AC193" s="27" t="n">
        <f aca="false">COUNTIF(環境認証!$A$2:$A$849,A76)</f>
        <v>1</v>
      </c>
      <c r="AD193" s="6" t="n">
        <v>77.2</v>
      </c>
      <c r="AE193" s="6" t="n">
        <v>89.1</v>
      </c>
    </row>
    <row r="194" customFormat="false" ht="15" hidden="false" customHeight="true" outlineLevel="0" collapsed="false">
      <c r="A194" s="6" t="s">
        <v>1381</v>
      </c>
      <c r="B194" s="6" t="s">
        <v>471</v>
      </c>
      <c r="C194" s="9" t="s">
        <v>1382</v>
      </c>
      <c r="D194" s="9" t="s">
        <v>761</v>
      </c>
      <c r="E194" s="9" t="s">
        <v>762</v>
      </c>
      <c r="F194" s="9" t="s">
        <v>815</v>
      </c>
      <c r="H194" s="9" t="s">
        <v>772</v>
      </c>
      <c r="J194" s="37"/>
      <c r="K194" s="38"/>
      <c r="L194" s="38"/>
      <c r="M194" s="39" t="n">
        <v>6328.28</v>
      </c>
      <c r="N194" s="6" t="n">
        <v>12</v>
      </c>
      <c r="O194" s="6" t="n">
        <v>1</v>
      </c>
      <c r="P194" s="47" t="n">
        <v>32478</v>
      </c>
      <c r="Q194" s="41" t="n">
        <f aca="false">IF(OR($A77="",P77=""),"",ROUND(YEARFRAC(P77,README!$C$5),1))</f>
        <v>37.7</v>
      </c>
      <c r="R194" s="40"/>
      <c r="S194" s="42" t="n">
        <v>7000</v>
      </c>
      <c r="T194" s="42" t="n">
        <v>7028</v>
      </c>
      <c r="U194" s="42" t="n">
        <v>13100</v>
      </c>
      <c r="V194" s="42" t="n">
        <v>6072</v>
      </c>
      <c r="W194" s="44" t="n">
        <v>1</v>
      </c>
      <c r="X194" s="6" t="n">
        <v>11</v>
      </c>
      <c r="Y194" s="45"/>
      <c r="Z194" s="6" t="s">
        <v>1324</v>
      </c>
      <c r="AA194" s="9" t="s">
        <v>774</v>
      </c>
      <c r="AB194" s="9" t="s">
        <v>1027</v>
      </c>
      <c r="AC194" s="27" t="n">
        <f aca="false">COUNTIF(環境認証!$A$2:$A$849,A77)</f>
        <v>1</v>
      </c>
      <c r="AD194" s="6" t="n">
        <v>86.4</v>
      </c>
      <c r="AE194" s="6" t="n">
        <v>87.1</v>
      </c>
    </row>
    <row r="195" customFormat="false" ht="15" hidden="false" customHeight="true" outlineLevel="0" collapsed="false">
      <c r="A195" s="6" t="s">
        <v>1383</v>
      </c>
      <c r="B195" s="6" t="s">
        <v>471</v>
      </c>
      <c r="C195" s="9" t="s">
        <v>1384</v>
      </c>
      <c r="D195" s="9" t="s">
        <v>761</v>
      </c>
      <c r="E195" s="9" t="s">
        <v>762</v>
      </c>
      <c r="F195" s="9" t="s">
        <v>782</v>
      </c>
      <c r="H195" s="9" t="s">
        <v>772</v>
      </c>
      <c r="J195" s="37"/>
      <c r="K195" s="38"/>
      <c r="L195" s="38"/>
      <c r="M195" s="39" t="n">
        <v>13240.61</v>
      </c>
      <c r="N195" s="6" t="n">
        <v>6</v>
      </c>
      <c r="O195" s="6" t="n">
        <v>1</v>
      </c>
      <c r="P195" s="47" t="n">
        <v>40057</v>
      </c>
      <c r="Q195" s="41" t="n">
        <f aca="false">IF(OR($A78="",P78=""),"",ROUND(YEARFRAC(P78,README!$C$5),1))</f>
        <v>16.9</v>
      </c>
      <c r="R195" s="40"/>
      <c r="S195" s="42" t="n">
        <v>14000</v>
      </c>
      <c r="T195" s="42" t="n">
        <v>13410</v>
      </c>
      <c r="U195" s="42" t="n">
        <v>18700</v>
      </c>
      <c r="V195" s="42" t="n">
        <v>5290</v>
      </c>
      <c r="W195" s="44" t="n">
        <v>0.934</v>
      </c>
      <c r="X195" s="6" t="n">
        <v>12</v>
      </c>
      <c r="Y195" s="45"/>
      <c r="Z195" s="6" t="s">
        <v>1324</v>
      </c>
      <c r="AA195" s="9" t="s">
        <v>774</v>
      </c>
      <c r="AB195" s="9" t="s">
        <v>1030</v>
      </c>
      <c r="AC195" s="27" t="n">
        <f aca="false">COUNTIF(環境認証!$A$2:$A$849,A78)</f>
        <v>1</v>
      </c>
      <c r="AD195" s="6" t="n">
        <v>39.4</v>
      </c>
      <c r="AE195" s="6" t="n">
        <v>33.6</v>
      </c>
    </row>
    <row r="196" customFormat="false" ht="15" hidden="false" customHeight="true" outlineLevel="0" collapsed="false">
      <c r="A196" s="6" t="s">
        <v>1385</v>
      </c>
      <c r="B196" s="6" t="s">
        <v>471</v>
      </c>
      <c r="C196" s="9" t="s">
        <v>1386</v>
      </c>
      <c r="D196" s="9" t="s">
        <v>761</v>
      </c>
      <c r="E196" s="9" t="s">
        <v>762</v>
      </c>
      <c r="F196" s="9" t="s">
        <v>815</v>
      </c>
      <c r="H196" s="9" t="s">
        <v>772</v>
      </c>
      <c r="J196" s="37"/>
      <c r="K196" s="38"/>
      <c r="L196" s="38"/>
      <c r="M196" s="39" t="n">
        <v>2951.7</v>
      </c>
      <c r="N196" s="6" t="n">
        <v>9</v>
      </c>
      <c r="O196" s="6" t="n">
        <v>1</v>
      </c>
      <c r="P196" s="47" t="n">
        <v>35765</v>
      </c>
      <c r="Q196" s="41" t="n">
        <f aca="false">IF(OR($A79="",P79=""),"",ROUND(YEARFRAC(P79,README!$C$5),1))</f>
        <v>28.7</v>
      </c>
      <c r="R196" s="40"/>
      <c r="S196" s="42" t="n">
        <v>4135</v>
      </c>
      <c r="T196" s="42" t="n">
        <v>4093</v>
      </c>
      <c r="U196" s="42" t="n">
        <v>6810</v>
      </c>
      <c r="V196" s="42" t="n">
        <v>2717</v>
      </c>
      <c r="W196" s="44" t="n">
        <v>1</v>
      </c>
      <c r="X196" s="6" t="n">
        <v>1</v>
      </c>
      <c r="Y196" s="45"/>
      <c r="Z196" s="6" t="s">
        <v>1324</v>
      </c>
      <c r="AA196" s="9" t="s">
        <v>774</v>
      </c>
      <c r="AB196" s="9" t="s">
        <v>1053</v>
      </c>
      <c r="AC196" s="27" t="n">
        <f aca="false">COUNTIF(環境認証!$A$2:$A$849,A79)</f>
        <v>1</v>
      </c>
      <c r="AD196" s="6" t="n">
        <v>66.4</v>
      </c>
      <c r="AE196" s="6" t="n">
        <v>64.7</v>
      </c>
    </row>
    <row r="197" customFormat="false" ht="15" hidden="false" customHeight="true" outlineLevel="0" collapsed="false">
      <c r="A197" s="6" t="s">
        <v>1387</v>
      </c>
      <c r="B197" s="6" t="s">
        <v>471</v>
      </c>
      <c r="C197" s="9" t="s">
        <v>1388</v>
      </c>
      <c r="D197" s="9" t="s">
        <v>761</v>
      </c>
      <c r="E197" s="9" t="s">
        <v>762</v>
      </c>
      <c r="F197" s="9" t="s">
        <v>771</v>
      </c>
      <c r="H197" s="9" t="s">
        <v>772</v>
      </c>
      <c r="J197" s="37"/>
      <c r="K197" s="38"/>
      <c r="L197" s="38"/>
      <c r="M197" s="39" t="n">
        <v>7498.33</v>
      </c>
      <c r="N197" s="6" t="n">
        <v>10</v>
      </c>
      <c r="P197" s="47" t="n">
        <v>40391</v>
      </c>
      <c r="Q197" s="41" t="n">
        <f aca="false">IF(OR($A80="",P80=""),"",ROUND(YEARFRAC(P80,README!$C$5),1))</f>
        <v>16</v>
      </c>
      <c r="R197" s="40"/>
      <c r="S197" s="42" t="n">
        <v>8450</v>
      </c>
      <c r="T197" s="42" t="n">
        <v>8118</v>
      </c>
      <c r="U197" s="42" t="n">
        <v>12100</v>
      </c>
      <c r="V197" s="42" t="n">
        <v>3982</v>
      </c>
      <c r="W197" s="44" t="n">
        <v>1</v>
      </c>
      <c r="X197" s="6" t="n">
        <v>4</v>
      </c>
      <c r="Y197" s="45"/>
      <c r="Z197" s="6" t="s">
        <v>1324</v>
      </c>
      <c r="AA197" s="9" t="s">
        <v>774</v>
      </c>
      <c r="AB197" s="9" t="s">
        <v>1036</v>
      </c>
      <c r="AC197" s="27" t="n">
        <f aca="false">COUNTIF(環境認証!$A$2:$A$849,A80)</f>
        <v>1</v>
      </c>
      <c r="AD197" s="6" t="n">
        <v>49.1</v>
      </c>
      <c r="AE197" s="6" t="n">
        <v>43.2</v>
      </c>
    </row>
    <row r="198" customFormat="false" ht="15" hidden="false" customHeight="true" outlineLevel="0" collapsed="false">
      <c r="A198" s="6" t="s">
        <v>1389</v>
      </c>
      <c r="B198" s="6" t="s">
        <v>471</v>
      </c>
      <c r="C198" s="9" t="s">
        <v>1390</v>
      </c>
      <c r="D198" s="9" t="s">
        <v>761</v>
      </c>
      <c r="E198" s="9" t="s">
        <v>762</v>
      </c>
      <c r="F198" s="9" t="s">
        <v>782</v>
      </c>
      <c r="H198" s="9" t="s">
        <v>772</v>
      </c>
      <c r="J198" s="37"/>
      <c r="K198" s="38"/>
      <c r="L198" s="38"/>
      <c r="M198" s="39" t="n">
        <v>4426.1</v>
      </c>
      <c r="N198" s="6" t="n">
        <v>7</v>
      </c>
      <c r="O198" s="6" t="n">
        <v>1</v>
      </c>
      <c r="P198" s="47" t="n">
        <v>37196</v>
      </c>
      <c r="Q198" s="41" t="n">
        <f aca="false">IF(OR($A81="",P81=""),"",ROUND(YEARFRAC(P81,README!$C$5),1))</f>
        <v>24.8</v>
      </c>
      <c r="R198" s="40"/>
      <c r="S198" s="42" t="n">
        <v>9800</v>
      </c>
      <c r="T198" s="42" t="n">
        <v>9814</v>
      </c>
      <c r="U198" s="42" t="n">
        <v>13600</v>
      </c>
      <c r="V198" s="42" t="n">
        <v>3786</v>
      </c>
      <c r="W198" s="44" t="n">
        <v>1</v>
      </c>
      <c r="X198" s="6" t="n">
        <v>7</v>
      </c>
      <c r="Y198" s="45"/>
      <c r="Z198" s="6" t="s">
        <v>1324</v>
      </c>
      <c r="AA198" s="9" t="s">
        <v>774</v>
      </c>
      <c r="AB198" s="9" t="s">
        <v>1021</v>
      </c>
      <c r="AC198" s="27" t="n">
        <f aca="false">COUNTIF(環境認証!$A$2:$A$849,A81)</f>
        <v>1</v>
      </c>
      <c r="AD198" s="6" t="n">
        <v>38.6</v>
      </c>
      <c r="AE198" s="6" t="n">
        <v>38.8</v>
      </c>
    </row>
    <row r="199" customFormat="false" ht="15" hidden="false" customHeight="true" outlineLevel="0" collapsed="false">
      <c r="A199" s="6" t="s">
        <v>1391</v>
      </c>
      <c r="B199" s="6" t="s">
        <v>471</v>
      </c>
      <c r="C199" s="9" t="s">
        <v>1392</v>
      </c>
      <c r="D199" s="9" t="s">
        <v>761</v>
      </c>
      <c r="E199" s="9" t="s">
        <v>762</v>
      </c>
      <c r="F199" s="9" t="s">
        <v>815</v>
      </c>
      <c r="H199" s="9" t="s">
        <v>772</v>
      </c>
      <c r="I199" s="1" t="s">
        <v>1393</v>
      </c>
      <c r="J199" s="37"/>
      <c r="K199" s="38"/>
      <c r="L199" s="38"/>
      <c r="M199" s="39" t="n">
        <v>2674.97</v>
      </c>
      <c r="N199" s="6" t="n">
        <v>9</v>
      </c>
      <c r="O199" s="6" t="n">
        <v>1</v>
      </c>
      <c r="P199" s="47" t="n">
        <v>37135</v>
      </c>
      <c r="Q199" s="41" t="n">
        <f aca="false">IF(OR($A82="",P82=""),"",ROUND(YEARFRAC(P82,README!$C$5),1))</f>
        <v>24.9</v>
      </c>
      <c r="R199" s="40"/>
      <c r="S199" s="42" t="n">
        <v>4800</v>
      </c>
      <c r="T199" s="42" t="n">
        <v>4891</v>
      </c>
      <c r="U199" s="42" t="n">
        <v>6760</v>
      </c>
      <c r="V199" s="42" t="n">
        <v>1869</v>
      </c>
      <c r="W199" s="44" t="n">
        <v>1</v>
      </c>
      <c r="X199" s="6" t="n">
        <v>6</v>
      </c>
      <c r="Y199" s="45"/>
      <c r="Z199" s="6" t="s">
        <v>1324</v>
      </c>
      <c r="AA199" s="49" t="s">
        <v>774</v>
      </c>
      <c r="AB199" s="9" t="s">
        <v>1041</v>
      </c>
      <c r="AC199" s="27" t="n">
        <f aca="false">COUNTIF(環境認証!$A$2:$A$849,A82)</f>
        <v>1</v>
      </c>
      <c r="AD199" s="6" t="n">
        <v>38.2</v>
      </c>
      <c r="AE199" s="6" t="n">
        <v>40.8</v>
      </c>
    </row>
    <row r="200" customFormat="false" ht="15" hidden="false" customHeight="true" outlineLevel="0" collapsed="false">
      <c r="A200" s="6" t="s">
        <v>1394</v>
      </c>
      <c r="B200" s="6" t="s">
        <v>471</v>
      </c>
      <c r="C200" s="9" t="s">
        <v>1395</v>
      </c>
      <c r="D200" s="9" t="s">
        <v>761</v>
      </c>
      <c r="E200" s="9" t="s">
        <v>762</v>
      </c>
      <c r="F200" s="9" t="s">
        <v>815</v>
      </c>
      <c r="H200" s="9" t="s">
        <v>772</v>
      </c>
      <c r="J200" s="37"/>
      <c r="K200" s="38" t="n">
        <v>1751.13</v>
      </c>
      <c r="L200" s="38" t="n">
        <v>14995.09</v>
      </c>
      <c r="M200" s="39" t="n">
        <v>8566.73</v>
      </c>
      <c r="N200" s="6" t="n">
        <v>11</v>
      </c>
      <c r="O200" s="6" t="n">
        <v>1</v>
      </c>
      <c r="P200" s="47" t="n">
        <v>38018</v>
      </c>
      <c r="Q200" s="41" t="n">
        <f aca="false">IF(OR($A83="",P83=""),"",ROUND(YEARFRAC(P83,README!$C$5),1))</f>
        <v>22.5</v>
      </c>
      <c r="R200" s="40"/>
      <c r="S200" s="42" t="n">
        <v>16000</v>
      </c>
      <c r="T200" s="42" t="n">
        <v>15777</v>
      </c>
      <c r="U200" s="42" t="n">
        <v>24100</v>
      </c>
      <c r="V200" s="42" t="n">
        <v>8323</v>
      </c>
      <c r="W200" s="44" t="n">
        <v>0.965</v>
      </c>
      <c r="X200" s="6" t="n">
        <v>10</v>
      </c>
      <c r="Y200" s="45"/>
      <c r="Z200" s="6" t="s">
        <v>1324</v>
      </c>
      <c r="AA200" s="9" t="s">
        <v>774</v>
      </c>
      <c r="AB200" s="9" t="s">
        <v>1368</v>
      </c>
      <c r="AC200" s="27" t="n">
        <f aca="false">COUNTIF(環境認証!$A$2:$A$849,A83)</f>
        <v>1</v>
      </c>
      <c r="AD200" s="6" t="n">
        <v>52.8</v>
      </c>
      <c r="AE200" s="6" t="n">
        <v>50.6</v>
      </c>
    </row>
    <row r="201" customFormat="false" ht="15" hidden="false" customHeight="true" outlineLevel="0" collapsed="false">
      <c r="A201" s="6" t="s">
        <v>1396</v>
      </c>
      <c r="B201" s="6" t="s">
        <v>471</v>
      </c>
      <c r="C201" s="9" t="s">
        <v>1397</v>
      </c>
      <c r="D201" s="9" t="s">
        <v>761</v>
      </c>
      <c r="E201" s="9" t="s">
        <v>762</v>
      </c>
      <c r="F201" s="9" t="s">
        <v>820</v>
      </c>
      <c r="H201" s="9" t="s">
        <v>772</v>
      </c>
      <c r="J201" s="37"/>
      <c r="K201" s="38" t="n">
        <v>679.06</v>
      </c>
      <c r="L201" s="38" t="n">
        <v>4351.46</v>
      </c>
      <c r="M201" s="39" t="n">
        <v>32042.62</v>
      </c>
      <c r="N201" s="6" t="n">
        <v>20</v>
      </c>
      <c r="O201" s="6" t="n">
        <v>2</v>
      </c>
      <c r="P201" s="47" t="n">
        <v>34366</v>
      </c>
      <c r="Q201" s="41" t="n">
        <f aca="false">IF(OR($A84="",P84=""),"",ROUND(YEARFRAC(P84,README!$C$5),1))</f>
        <v>32.5</v>
      </c>
      <c r="R201" s="40"/>
      <c r="S201" s="42" t="n">
        <v>28000</v>
      </c>
      <c r="T201" s="42" t="n">
        <v>27606</v>
      </c>
      <c r="U201" s="42" t="n">
        <v>38300</v>
      </c>
      <c r="V201" s="42" t="n">
        <v>10694</v>
      </c>
      <c r="W201" s="44" t="n">
        <v>0.99</v>
      </c>
      <c r="X201" s="6" t="n">
        <v>96</v>
      </c>
      <c r="Y201" s="45"/>
      <c r="Z201" s="6" t="s">
        <v>1324</v>
      </c>
      <c r="AA201" s="9" t="s">
        <v>774</v>
      </c>
      <c r="AB201" s="9" t="s">
        <v>1047</v>
      </c>
      <c r="AC201" s="27" t="n">
        <f aca="false">COUNTIF(環境認証!$A$2:$A$849,A84)</f>
        <v>1</v>
      </c>
      <c r="AD201" s="6" t="n">
        <v>38.7</v>
      </c>
      <c r="AE201" s="6" t="n">
        <v>36.8</v>
      </c>
    </row>
    <row r="202" customFormat="false" ht="15" hidden="false" customHeight="true" outlineLevel="0" collapsed="false">
      <c r="A202" s="6" t="s">
        <v>1398</v>
      </c>
      <c r="B202" s="6" t="s">
        <v>471</v>
      </c>
      <c r="C202" s="9" t="s">
        <v>1399</v>
      </c>
      <c r="D202" s="9" t="s">
        <v>761</v>
      </c>
      <c r="E202" s="9" t="s">
        <v>762</v>
      </c>
      <c r="F202" s="9" t="s">
        <v>820</v>
      </c>
      <c r="H202" s="9" t="s">
        <v>772</v>
      </c>
      <c r="J202" s="37"/>
      <c r="K202" s="38" t="n">
        <v>550.06</v>
      </c>
      <c r="L202" s="38" t="n">
        <v>4117.7</v>
      </c>
      <c r="M202" s="39" t="n">
        <v>2622.42</v>
      </c>
      <c r="N202" s="6" t="n">
        <v>10</v>
      </c>
      <c r="O202" s="6" t="n">
        <v>1</v>
      </c>
      <c r="P202" s="47" t="n">
        <v>38749</v>
      </c>
      <c r="Q202" s="41" t="n">
        <f aca="false">IF(OR($A85="",P85=""),"",ROUND(YEARFRAC(P85,README!$C$5),1))</f>
        <v>20.5</v>
      </c>
      <c r="R202" s="40"/>
      <c r="S202" s="42" t="n">
        <v>2871</v>
      </c>
      <c r="T202" s="42" t="n">
        <v>2931</v>
      </c>
      <c r="U202" s="42" t="n">
        <v>3490</v>
      </c>
      <c r="V202" s="42" t="n">
        <v>559</v>
      </c>
      <c r="W202" s="44" t="n">
        <v>1</v>
      </c>
      <c r="X202" s="6" t="n">
        <v>9</v>
      </c>
      <c r="Y202" s="45"/>
      <c r="Z202" s="6" t="s">
        <v>1324</v>
      </c>
      <c r="AA202" s="9" t="s">
        <v>774</v>
      </c>
      <c r="AB202" s="9" t="s">
        <v>1050</v>
      </c>
      <c r="AC202" s="27" t="n">
        <f aca="false">COUNTIF(環境認証!$A$2:$A$849,A85)</f>
        <v>2</v>
      </c>
      <c r="AD202" s="6" t="n">
        <v>19.1</v>
      </c>
      <c r="AE202" s="6" t="n">
        <v>21.6</v>
      </c>
    </row>
    <row r="203" customFormat="false" ht="15" hidden="false" customHeight="true" outlineLevel="0" collapsed="false">
      <c r="A203" s="6" t="s">
        <v>1400</v>
      </c>
      <c r="B203" s="6" t="s">
        <v>471</v>
      </c>
      <c r="C203" s="9" t="s">
        <v>1401</v>
      </c>
      <c r="D203" s="9" t="s">
        <v>761</v>
      </c>
      <c r="E203" s="9" t="s">
        <v>762</v>
      </c>
      <c r="F203" s="9" t="s">
        <v>820</v>
      </c>
      <c r="H203" s="9" t="s">
        <v>772</v>
      </c>
      <c r="J203" s="37"/>
      <c r="K203" s="38" t="n">
        <v>657.8</v>
      </c>
      <c r="L203" s="38" t="n">
        <v>5152.98</v>
      </c>
      <c r="M203" s="39" t="n">
        <v>1760.24</v>
      </c>
      <c r="N203" s="6" t="n">
        <v>9</v>
      </c>
      <c r="O203" s="6" t="n">
        <v>1</v>
      </c>
      <c r="P203" s="47" t="n">
        <v>35096</v>
      </c>
      <c r="Q203" s="41" t="n">
        <f aca="false">IF(OR($A86="",P86=""),"",ROUND(YEARFRAC(P86,README!$C$5),1))</f>
        <v>30.5</v>
      </c>
      <c r="R203" s="40"/>
      <c r="S203" s="42" t="n">
        <v>1647</v>
      </c>
      <c r="T203" s="42" t="n">
        <v>1683</v>
      </c>
      <c r="U203" s="42" t="n">
        <v>2160</v>
      </c>
      <c r="V203" s="42" t="n">
        <v>477</v>
      </c>
      <c r="W203" s="44" t="n">
        <v>1</v>
      </c>
      <c r="X203" s="6" t="n">
        <v>9</v>
      </c>
      <c r="Y203" s="45"/>
      <c r="Z203" s="6" t="s">
        <v>1324</v>
      </c>
      <c r="AA203" s="9" t="s">
        <v>774</v>
      </c>
      <c r="AB203" s="9" t="s">
        <v>1053</v>
      </c>
      <c r="AC203" s="27" t="n">
        <f aca="false">COUNTIF(環境認証!$A$2:$A$849,A86)</f>
        <v>1</v>
      </c>
      <c r="AD203" s="6" t="n">
        <v>28.3</v>
      </c>
      <c r="AE203" s="6" t="n">
        <v>31.1</v>
      </c>
    </row>
    <row r="204" customFormat="false" ht="15" hidden="false" customHeight="true" outlineLevel="0" collapsed="false">
      <c r="A204" s="6" t="s">
        <v>1402</v>
      </c>
      <c r="B204" s="6" t="s">
        <v>471</v>
      </c>
      <c r="C204" s="9" t="s">
        <v>1403</v>
      </c>
      <c r="D204" s="9" t="s">
        <v>761</v>
      </c>
      <c r="E204" s="9" t="s">
        <v>762</v>
      </c>
      <c r="F204" s="9" t="s">
        <v>771</v>
      </c>
      <c r="H204" s="9" t="s">
        <v>772</v>
      </c>
      <c r="J204" s="37"/>
      <c r="K204" s="38" t="n">
        <v>8992.18</v>
      </c>
      <c r="L204" s="38" t="n">
        <v>31020.21</v>
      </c>
      <c r="M204" s="39" t="n">
        <v>6965.73</v>
      </c>
      <c r="N204" s="6" t="n">
        <v>11</v>
      </c>
      <c r="O204" s="6" t="n">
        <v>2</v>
      </c>
      <c r="P204" s="47" t="n">
        <v>33451</v>
      </c>
      <c r="Q204" s="41" t="n">
        <f aca="false">IF(OR($A87="",P87=""),"",ROUND(YEARFRAC(P87,README!$C$5),1))</f>
        <v>35</v>
      </c>
      <c r="R204" s="40"/>
      <c r="S204" s="42" t="n">
        <v>13710</v>
      </c>
      <c r="T204" s="42" t="n">
        <v>14035</v>
      </c>
      <c r="U204" s="42" t="n">
        <v>16600</v>
      </c>
      <c r="V204" s="42" t="n">
        <v>2565</v>
      </c>
      <c r="W204" s="44" t="n">
        <v>1</v>
      </c>
      <c r="X204" s="6" t="n">
        <v>6</v>
      </c>
      <c r="Y204" s="45"/>
      <c r="Z204" s="6" t="s">
        <v>1324</v>
      </c>
      <c r="AA204" s="9" t="s">
        <v>774</v>
      </c>
      <c r="AB204" s="9" t="s">
        <v>1056</v>
      </c>
      <c r="AC204" s="27" t="n">
        <f aca="false">COUNTIF(環境認証!$A$2:$A$849,A87)</f>
        <v>0</v>
      </c>
      <c r="AD204" s="6" t="n">
        <v>18.3</v>
      </c>
      <c r="AE204" s="6" t="n">
        <v>21.1</v>
      </c>
    </row>
    <row r="205" customFormat="false" ht="15" hidden="false" customHeight="true" outlineLevel="0" collapsed="false">
      <c r="A205" s="6" t="s">
        <v>1404</v>
      </c>
      <c r="B205" s="6" t="s">
        <v>471</v>
      </c>
      <c r="C205" s="9" t="s">
        <v>1405</v>
      </c>
      <c r="D205" s="9" t="s">
        <v>761</v>
      </c>
      <c r="E205" s="9" t="s">
        <v>762</v>
      </c>
      <c r="F205" s="9" t="s">
        <v>820</v>
      </c>
      <c r="H205" s="9" t="s">
        <v>772</v>
      </c>
      <c r="J205" s="37"/>
      <c r="K205" s="38" t="n">
        <v>1058.04</v>
      </c>
      <c r="L205" s="38" t="n">
        <v>5888.82</v>
      </c>
      <c r="M205" s="39" t="n">
        <v>5630.17</v>
      </c>
      <c r="N205" s="6" t="n">
        <v>7</v>
      </c>
      <c r="O205" s="1" t="n">
        <v>1</v>
      </c>
      <c r="P205" s="47" t="n">
        <v>36192</v>
      </c>
      <c r="Q205" s="41" t="n">
        <f aca="false">IF(OR($A88="",P88=""),"",ROUND(YEARFRAC(P88,README!$C$5),1))</f>
        <v>27.5</v>
      </c>
      <c r="R205" s="40"/>
      <c r="S205" s="42" t="n">
        <v>8180</v>
      </c>
      <c r="T205" s="42" t="n">
        <v>8229</v>
      </c>
      <c r="U205" s="42" t="n">
        <v>10600</v>
      </c>
      <c r="V205" s="42" t="n">
        <v>2371</v>
      </c>
      <c r="W205" s="44" t="n">
        <v>1</v>
      </c>
      <c r="X205" s="6" t="n">
        <v>1</v>
      </c>
      <c r="Y205" s="45"/>
      <c r="Z205" s="6" t="s">
        <v>1324</v>
      </c>
      <c r="AA205" s="9" t="s">
        <v>774</v>
      </c>
      <c r="AB205" s="9" t="s">
        <v>1059</v>
      </c>
      <c r="AC205" s="27" t="n">
        <f aca="false">COUNTIF(環境認証!$A$2:$A$849,A88)</f>
        <v>2</v>
      </c>
      <c r="AD205" s="6" t="n">
        <v>28.8</v>
      </c>
      <c r="AE205" s="6" t="n">
        <v>29.6</v>
      </c>
    </row>
    <row r="206" customFormat="false" ht="15" hidden="false" customHeight="true" outlineLevel="0" collapsed="false">
      <c r="A206" s="6" t="s">
        <v>1406</v>
      </c>
      <c r="B206" s="6" t="s">
        <v>471</v>
      </c>
      <c r="C206" s="9" t="s">
        <v>1407</v>
      </c>
      <c r="D206" s="9" t="s">
        <v>761</v>
      </c>
      <c r="E206" s="9" t="s">
        <v>762</v>
      </c>
      <c r="F206" s="9" t="s">
        <v>820</v>
      </c>
      <c r="H206" s="9" t="s">
        <v>772</v>
      </c>
      <c r="J206" s="37"/>
      <c r="K206" s="38" t="n">
        <v>4006</v>
      </c>
      <c r="L206" s="38" t="n">
        <v>28575.8</v>
      </c>
      <c r="M206" s="39" t="n">
        <v>5015.88</v>
      </c>
      <c r="N206" s="6" t="n">
        <v>7</v>
      </c>
      <c r="O206" s="1" t="n">
        <v>2</v>
      </c>
      <c r="P206" s="47" t="n">
        <v>39508</v>
      </c>
      <c r="Q206" s="41" t="n">
        <f aca="false">IF(OR($A89="",P89=""),"",ROUND(YEARFRAC(P89,README!$C$5),1))</f>
        <v>18.4</v>
      </c>
      <c r="R206" s="40"/>
      <c r="S206" s="42" t="n">
        <v>6370</v>
      </c>
      <c r="T206" s="42" t="n">
        <v>6054</v>
      </c>
      <c r="U206" s="42" t="n">
        <v>7540</v>
      </c>
      <c r="V206" s="42" t="n">
        <v>1486</v>
      </c>
      <c r="W206" s="44" t="n">
        <v>1</v>
      </c>
      <c r="X206" s="6" t="n">
        <v>5</v>
      </c>
      <c r="Y206" s="45"/>
      <c r="Z206" s="6" t="s">
        <v>1324</v>
      </c>
      <c r="AA206" s="9" t="s">
        <v>774</v>
      </c>
      <c r="AB206" s="9" t="s">
        <v>1062</v>
      </c>
      <c r="AC206" s="27" t="n">
        <f aca="false">COUNTIF(環境認証!$A$2:$A$849,A89)</f>
        <v>1</v>
      </c>
      <c r="AD206" s="6" t="n">
        <v>24.5</v>
      </c>
      <c r="AE206" s="6" t="n">
        <v>18.4</v>
      </c>
    </row>
    <row r="207" customFormat="false" ht="15" hidden="false" customHeight="true" outlineLevel="0" collapsed="false">
      <c r="A207" s="6" t="s">
        <v>1408</v>
      </c>
      <c r="B207" s="6" t="s">
        <v>471</v>
      </c>
      <c r="C207" s="9" t="s">
        <v>1409</v>
      </c>
      <c r="D207" s="9" t="s">
        <v>761</v>
      </c>
      <c r="E207" s="9" t="s">
        <v>762</v>
      </c>
      <c r="F207" s="9" t="s">
        <v>815</v>
      </c>
      <c r="H207" s="9" t="s">
        <v>772</v>
      </c>
      <c r="J207" s="37"/>
      <c r="K207" s="38" t="n">
        <v>8409.52</v>
      </c>
      <c r="L207" s="38" t="n">
        <v>78796</v>
      </c>
      <c r="M207" s="39" t="n">
        <v>1642.83</v>
      </c>
      <c r="N207" s="6" t="n">
        <v>6</v>
      </c>
      <c r="O207" s="1" t="n">
        <v>4</v>
      </c>
      <c r="P207" s="47" t="n">
        <v>36951</v>
      </c>
      <c r="Q207" s="41" t="n">
        <f aca="false">IF(OR($A90="",P90=""),"",ROUND(YEARFRAC(P90,README!$C$5),1))</f>
        <v>25.4</v>
      </c>
      <c r="R207" s="40"/>
      <c r="S207" s="42" t="n">
        <v>2280</v>
      </c>
      <c r="T207" s="42" t="n">
        <v>2317</v>
      </c>
      <c r="U207" s="42" t="n">
        <v>3510</v>
      </c>
      <c r="V207" s="42" t="n">
        <v>1193</v>
      </c>
      <c r="W207" s="44" t="n">
        <v>1</v>
      </c>
      <c r="X207" s="6" t="n">
        <v>1</v>
      </c>
      <c r="Y207" s="45"/>
      <c r="Z207" s="6" t="s">
        <v>1324</v>
      </c>
      <c r="AA207" s="9" t="s">
        <v>774</v>
      </c>
      <c r="AB207" s="9" t="s">
        <v>1036</v>
      </c>
      <c r="AC207" s="27" t="n">
        <f aca="false">COUNTIF(環境認証!$A$2:$A$849,A90)</f>
        <v>1</v>
      </c>
      <c r="AD207" s="6" t="n">
        <v>51.5</v>
      </c>
      <c r="AE207" s="6" t="n">
        <v>53.9</v>
      </c>
    </row>
    <row r="208" customFormat="false" ht="15" hidden="false" customHeight="true" outlineLevel="0" collapsed="false">
      <c r="A208" s="6" t="s">
        <v>1410</v>
      </c>
      <c r="B208" s="6" t="s">
        <v>471</v>
      </c>
      <c r="C208" s="9" t="s">
        <v>1411</v>
      </c>
      <c r="D208" s="9" t="s">
        <v>761</v>
      </c>
      <c r="E208" s="9" t="s">
        <v>762</v>
      </c>
      <c r="F208" s="9" t="s">
        <v>771</v>
      </c>
      <c r="H208" s="9" t="s">
        <v>772</v>
      </c>
      <c r="J208" s="37"/>
      <c r="K208" s="38" t="n">
        <v>3522.46</v>
      </c>
      <c r="L208" s="38" t="n">
        <v>25733.1</v>
      </c>
      <c r="M208" s="39" t="n">
        <v>1131.93</v>
      </c>
      <c r="N208" s="6" t="n">
        <v>4</v>
      </c>
      <c r="O208" s="1" t="n">
        <v>2</v>
      </c>
      <c r="P208" s="47" t="n">
        <v>32568</v>
      </c>
      <c r="Q208" s="41" t="n">
        <f aca="false">IF(OR($A91="",P91=""),"",ROUND(YEARFRAC(P91,README!$C$5),1))</f>
        <v>37.4</v>
      </c>
      <c r="R208" s="40"/>
      <c r="S208" s="42" t="n">
        <v>942</v>
      </c>
      <c r="T208" s="42" t="n">
        <v>1032</v>
      </c>
      <c r="U208" s="42" t="n">
        <v>1360</v>
      </c>
      <c r="V208" s="42" t="n">
        <v>328</v>
      </c>
      <c r="W208" s="44" t="n">
        <v>1</v>
      </c>
      <c r="X208" s="6" t="n">
        <v>8</v>
      </c>
      <c r="Y208" s="45"/>
      <c r="Z208" s="6" t="s">
        <v>1324</v>
      </c>
      <c r="AA208" s="9" t="s">
        <v>774</v>
      </c>
      <c r="AB208" s="9" t="s">
        <v>1412</v>
      </c>
      <c r="AC208" s="27" t="n">
        <f aca="false">COUNTIF(環境認証!$A$2:$A$849,A91)</f>
        <v>1</v>
      </c>
      <c r="AD208" s="6" t="n">
        <v>31.8</v>
      </c>
      <c r="AE208" s="6" t="n">
        <v>44.4</v>
      </c>
    </row>
    <row r="209" customFormat="false" ht="15" hidden="false" customHeight="true" outlineLevel="0" collapsed="false">
      <c r="A209" s="6" t="s">
        <v>1413</v>
      </c>
      <c r="B209" s="6" t="s">
        <v>471</v>
      </c>
      <c r="C209" s="9" t="s">
        <v>1414</v>
      </c>
      <c r="D209" s="9" t="s">
        <v>761</v>
      </c>
      <c r="E209" s="9" t="s">
        <v>762</v>
      </c>
      <c r="F209" s="9" t="s">
        <v>763</v>
      </c>
      <c r="H209" s="9" t="s">
        <v>772</v>
      </c>
      <c r="J209" s="37"/>
      <c r="K209" s="38" t="n">
        <v>858.48</v>
      </c>
      <c r="L209" s="38" t="n">
        <v>5535.9</v>
      </c>
      <c r="M209" s="39" t="n">
        <v>1719.51</v>
      </c>
      <c r="N209" s="6" t="n">
        <v>7</v>
      </c>
      <c r="O209" s="6" t="n">
        <v>1</v>
      </c>
      <c r="P209" s="47" t="n">
        <v>33239</v>
      </c>
      <c r="Q209" s="41" t="n">
        <f aca="false">IF(OR($A92="",P92=""),"",ROUND(YEARFRAC(P92,README!$C$5),1))</f>
        <v>35.6</v>
      </c>
      <c r="R209" s="40"/>
      <c r="S209" s="42" t="n">
        <v>1592</v>
      </c>
      <c r="T209" s="42" t="n">
        <v>1589</v>
      </c>
      <c r="U209" s="42" t="n">
        <v>1970</v>
      </c>
      <c r="V209" s="42" t="n">
        <v>381</v>
      </c>
      <c r="W209" s="44" t="n">
        <v>1</v>
      </c>
      <c r="X209" s="6" t="n">
        <v>7</v>
      </c>
      <c r="Y209" s="45"/>
      <c r="Z209" s="6" t="s">
        <v>1324</v>
      </c>
      <c r="AA209" s="9" t="s">
        <v>774</v>
      </c>
      <c r="AB209" s="9" t="s">
        <v>1071</v>
      </c>
      <c r="AC209" s="27" t="n">
        <f aca="false">COUNTIF(環境認証!$A$2:$A$849,A92)</f>
        <v>1</v>
      </c>
      <c r="AD209" s="6" t="n">
        <v>24</v>
      </c>
      <c r="AE209" s="6" t="n">
        <v>23.7</v>
      </c>
    </row>
    <row r="210" customFormat="false" ht="15" hidden="false" customHeight="true" outlineLevel="0" collapsed="false">
      <c r="A210" s="6" t="s">
        <v>1415</v>
      </c>
      <c r="B210" s="6" t="s">
        <v>471</v>
      </c>
      <c r="C210" s="9" t="s">
        <v>1416</v>
      </c>
      <c r="D210" s="9" t="s">
        <v>761</v>
      </c>
      <c r="E210" s="9" t="s">
        <v>762</v>
      </c>
      <c r="F210" s="9" t="s">
        <v>763</v>
      </c>
      <c r="H210" s="9" t="s">
        <v>772</v>
      </c>
      <c r="J210" s="37"/>
      <c r="K210" s="38" t="n">
        <v>14917.11</v>
      </c>
      <c r="L210" s="38" t="n">
        <v>176607.89</v>
      </c>
      <c r="M210" s="39" t="n">
        <v>3980.56</v>
      </c>
      <c r="N210" s="6" t="n">
        <v>9</v>
      </c>
      <c r="O210" s="1" t="n">
        <v>5</v>
      </c>
      <c r="P210" s="47" t="n">
        <v>38384</v>
      </c>
      <c r="Q210" s="41" t="n">
        <f aca="false">IF(OR($A93="",P93=""),"",ROUND(YEARFRAC(P93,README!$C$5),1))</f>
        <v>21.5</v>
      </c>
      <c r="R210" s="40"/>
      <c r="S210" s="42" t="n">
        <v>4200</v>
      </c>
      <c r="T210" s="42" t="n">
        <v>4240</v>
      </c>
      <c r="U210" s="42" t="n">
        <v>6010</v>
      </c>
      <c r="V210" s="42" t="n">
        <v>1770</v>
      </c>
      <c r="W210" s="44" t="n">
        <v>1</v>
      </c>
      <c r="X210" s="6" t="n">
        <v>5</v>
      </c>
      <c r="Y210" s="45"/>
      <c r="Z210" s="6" t="s">
        <v>1324</v>
      </c>
      <c r="AA210" s="9" t="s">
        <v>774</v>
      </c>
      <c r="AB210" s="9" t="s">
        <v>1074</v>
      </c>
      <c r="AC210" s="27" t="n">
        <f aca="false">COUNTIF(環境認証!$A$2:$A$849,A93)</f>
        <v>2</v>
      </c>
      <c r="AD210" s="6" t="n">
        <v>41.7</v>
      </c>
      <c r="AE210" s="6" t="n">
        <v>43.1</v>
      </c>
    </row>
    <row r="211" customFormat="false" ht="15" hidden="false" customHeight="true" outlineLevel="0" collapsed="false">
      <c r="A211" s="6" t="s">
        <v>1417</v>
      </c>
      <c r="B211" s="6" t="s">
        <v>471</v>
      </c>
      <c r="C211" s="9" t="s">
        <v>1418</v>
      </c>
      <c r="D211" s="9" t="s">
        <v>761</v>
      </c>
      <c r="E211" s="9" t="s">
        <v>762</v>
      </c>
      <c r="F211" s="9" t="s">
        <v>763</v>
      </c>
      <c r="H211" s="9" t="s">
        <v>772</v>
      </c>
      <c r="J211" s="37"/>
      <c r="K211" s="38" t="n">
        <v>778.09</v>
      </c>
      <c r="L211" s="38" t="n">
        <v>4570.63</v>
      </c>
      <c r="M211" s="39" t="n">
        <v>2211.59</v>
      </c>
      <c r="N211" s="6" t="n">
        <v>10</v>
      </c>
      <c r="O211" s="6" t="n">
        <v>1</v>
      </c>
      <c r="P211" s="47" t="n">
        <v>33086</v>
      </c>
      <c r="Q211" s="41" t="n">
        <f aca="false">IF(OR($A94="",P94=""),"",ROUND(YEARFRAC(P94,README!$C$5),1))</f>
        <v>36</v>
      </c>
      <c r="R211" s="40"/>
      <c r="S211" s="42" t="n">
        <v>2295</v>
      </c>
      <c r="T211" s="42" t="n">
        <v>2395</v>
      </c>
      <c r="U211" s="42" t="n">
        <v>3220</v>
      </c>
      <c r="V211" s="42" t="n">
        <v>825</v>
      </c>
      <c r="W211" s="44" t="n">
        <v>1</v>
      </c>
      <c r="X211" s="6" t="n">
        <v>9</v>
      </c>
      <c r="Y211" s="45"/>
      <c r="Z211" s="6" t="s">
        <v>1324</v>
      </c>
      <c r="AA211" s="9" t="s">
        <v>774</v>
      </c>
      <c r="AB211" s="9" t="s">
        <v>1077</v>
      </c>
      <c r="AC211" s="27" t="n">
        <f aca="false">COUNTIF(環境認証!$A$2:$A$849,A94)</f>
        <v>1</v>
      </c>
      <c r="AD211" s="6" t="n">
        <v>34.4</v>
      </c>
      <c r="AE211" s="6" t="n">
        <v>40.3</v>
      </c>
    </row>
    <row r="212" customFormat="false" ht="15" hidden="false" customHeight="true" outlineLevel="0" collapsed="false">
      <c r="A212" s="6" t="s">
        <v>1419</v>
      </c>
      <c r="B212" s="6" t="s">
        <v>471</v>
      </c>
      <c r="C212" s="9" t="s">
        <v>1420</v>
      </c>
      <c r="D212" s="9" t="s">
        <v>761</v>
      </c>
      <c r="E212" s="9" t="s">
        <v>762</v>
      </c>
      <c r="F212" s="9" t="s">
        <v>815</v>
      </c>
      <c r="H212" s="9" t="s">
        <v>772</v>
      </c>
      <c r="J212" s="37"/>
      <c r="K212" s="38" t="n">
        <v>828.82</v>
      </c>
      <c r="L212" s="38" t="n">
        <v>5216.21</v>
      </c>
      <c r="M212" s="39" t="n">
        <v>16151.52</v>
      </c>
      <c r="N212" s="6" t="n">
        <v>18</v>
      </c>
      <c r="O212" s="6" t="n">
        <v>2</v>
      </c>
      <c r="P212" s="47" t="n">
        <v>34001</v>
      </c>
      <c r="Q212" s="41" t="n">
        <f aca="false">IF(OR($A95="",P95=""),"",ROUND(YEARFRAC(P95,README!$C$5),1))</f>
        <v>33.5</v>
      </c>
      <c r="R212" s="40"/>
      <c r="S212" s="42" t="n">
        <v>15500</v>
      </c>
      <c r="T212" s="42" t="n">
        <v>16053</v>
      </c>
      <c r="U212" s="42" t="n">
        <v>15300</v>
      </c>
      <c r="V212" s="42" t="n">
        <v>-753</v>
      </c>
      <c r="W212" s="44" t="n">
        <v>1</v>
      </c>
      <c r="X212" s="6" t="n">
        <v>11</v>
      </c>
      <c r="Y212" s="45"/>
      <c r="Z212" s="6" t="s">
        <v>1324</v>
      </c>
      <c r="AA212" s="9" t="s">
        <v>774</v>
      </c>
      <c r="AB212" s="9" t="s">
        <v>1080</v>
      </c>
      <c r="AC212" s="27" t="n">
        <f aca="false">COUNTIF(環境認証!$A$2:$A$849,A95)</f>
        <v>1</v>
      </c>
      <c r="AD212" s="6" t="n">
        <v>-4.7</v>
      </c>
      <c r="AE212" s="6" t="n">
        <v>-1.3</v>
      </c>
    </row>
    <row r="213" customFormat="false" ht="15" hidden="false" customHeight="true" outlineLevel="0" collapsed="false">
      <c r="A213" s="6" t="s">
        <v>1421</v>
      </c>
      <c r="B213" s="6" t="s">
        <v>471</v>
      </c>
      <c r="C213" s="9" t="s">
        <v>1422</v>
      </c>
      <c r="D213" s="9" t="s">
        <v>761</v>
      </c>
      <c r="E213" s="9" t="s">
        <v>762</v>
      </c>
      <c r="F213" s="9" t="s">
        <v>815</v>
      </c>
      <c r="H213" s="9" t="s">
        <v>772</v>
      </c>
      <c r="J213" s="37"/>
      <c r="K213" s="38" t="n">
        <v>716.95</v>
      </c>
      <c r="L213" s="38" t="n">
        <v>4205.09</v>
      </c>
      <c r="M213" s="39" t="n">
        <v>3829.4</v>
      </c>
      <c r="N213" s="6" t="n">
        <v>8</v>
      </c>
      <c r="O213" s="6" t="n">
        <v>1</v>
      </c>
      <c r="P213" s="47" t="n">
        <v>33573</v>
      </c>
      <c r="Q213" s="41" t="n">
        <f aca="false">IF(OR($A96="",P96=""),"",ROUND(YEARFRAC(P96,README!$C$5),1))</f>
        <v>34.7</v>
      </c>
      <c r="R213" s="40"/>
      <c r="S213" s="42" t="n">
        <v>3000</v>
      </c>
      <c r="T213" s="42" t="n">
        <v>3225</v>
      </c>
      <c r="U213" s="42" t="n">
        <v>3540</v>
      </c>
      <c r="V213" s="42" t="n">
        <v>315</v>
      </c>
      <c r="W213" s="44" t="n">
        <v>1</v>
      </c>
      <c r="X213" s="6" t="n">
        <v>8</v>
      </c>
      <c r="Y213" s="45"/>
      <c r="Z213" s="6" t="s">
        <v>1324</v>
      </c>
      <c r="AA213" s="9" t="s">
        <v>774</v>
      </c>
      <c r="AB213" s="9" t="s">
        <v>1083</v>
      </c>
      <c r="AC213" s="27" t="n">
        <f aca="false">COUNTIF(環境認証!$A$2:$A$849,A96)</f>
        <v>1</v>
      </c>
      <c r="AD213" s="6" t="n">
        <v>9.8</v>
      </c>
      <c r="AE213" s="6" t="n">
        <v>18</v>
      </c>
    </row>
    <row r="214" customFormat="false" ht="15" hidden="false" customHeight="true" outlineLevel="0" collapsed="false">
      <c r="A214" s="6" t="s">
        <v>1423</v>
      </c>
      <c r="B214" s="6" t="s">
        <v>471</v>
      </c>
      <c r="C214" s="9" t="s">
        <v>1424</v>
      </c>
      <c r="D214" s="9" t="s">
        <v>761</v>
      </c>
      <c r="E214" s="9" t="s">
        <v>762</v>
      </c>
      <c r="F214" s="9" t="s">
        <v>820</v>
      </c>
      <c r="H214" s="9" t="s">
        <v>772</v>
      </c>
      <c r="J214" s="37"/>
      <c r="K214" s="38" t="n">
        <v>1205.07</v>
      </c>
      <c r="L214" s="38" t="n">
        <v>6466.94</v>
      </c>
      <c r="M214" s="39" t="n">
        <v>11227.13</v>
      </c>
      <c r="N214" s="6" t="n">
        <v>12</v>
      </c>
      <c r="O214" s="6" t="n">
        <v>1</v>
      </c>
      <c r="P214" s="47" t="n">
        <v>39448</v>
      </c>
      <c r="Q214" s="41" t="n">
        <f aca="false">IF(OR($A97="",P97=""),"",ROUND(YEARFRAC(P97,README!$C$5),1))</f>
        <v>18.6</v>
      </c>
      <c r="R214" s="40"/>
      <c r="S214" s="42" t="n">
        <v>11200</v>
      </c>
      <c r="T214" s="42" t="n">
        <v>11019</v>
      </c>
      <c r="U214" s="42" t="n">
        <v>12000</v>
      </c>
      <c r="V214" s="42" t="n">
        <v>981</v>
      </c>
      <c r="W214" s="44" t="n">
        <v>1</v>
      </c>
      <c r="X214" s="6" t="n">
        <v>12</v>
      </c>
      <c r="Y214" s="45"/>
      <c r="Z214" s="6" t="s">
        <v>1324</v>
      </c>
      <c r="AA214" s="9" t="s">
        <v>774</v>
      </c>
      <c r="AB214" s="9" t="s">
        <v>1086</v>
      </c>
      <c r="AC214" s="27" t="n">
        <f aca="false">COUNTIF(環境認証!$A$2:$A$849,A97)</f>
        <v>1</v>
      </c>
      <c r="AD214" s="6" t="n">
        <v>8.9</v>
      </c>
      <c r="AE214" s="6" t="n">
        <v>7.1</v>
      </c>
    </row>
    <row r="215" customFormat="false" ht="15" hidden="false" customHeight="true" outlineLevel="0" collapsed="false">
      <c r="A215" s="6" t="s">
        <v>1425</v>
      </c>
      <c r="B215" s="6" t="s">
        <v>471</v>
      </c>
      <c r="C215" s="9" t="s">
        <v>1426</v>
      </c>
      <c r="D215" s="9" t="s">
        <v>761</v>
      </c>
      <c r="E215" s="9" t="s">
        <v>762</v>
      </c>
      <c r="F215" s="9" t="s">
        <v>782</v>
      </c>
      <c r="H215" s="9" t="s">
        <v>772</v>
      </c>
      <c r="J215" s="37"/>
      <c r="K215" s="38" t="n">
        <v>937.59</v>
      </c>
      <c r="L215" s="38" t="n">
        <v>7190.82</v>
      </c>
      <c r="M215" s="39" t="n">
        <v>2101.61</v>
      </c>
      <c r="N215" s="6" t="n">
        <v>8</v>
      </c>
      <c r="O215" s="1" t="n">
        <v>1</v>
      </c>
      <c r="P215" s="47" t="n">
        <v>42795</v>
      </c>
      <c r="Q215" s="41" t="n">
        <f aca="false">IF(OR($A98="",P98=""),"",ROUND(YEARFRAC(P98,README!$C$5),1))</f>
        <v>9.4</v>
      </c>
      <c r="R215" s="40"/>
      <c r="S215" s="42" t="n">
        <v>2635</v>
      </c>
      <c r="T215" s="42" t="n">
        <v>1527</v>
      </c>
      <c r="U215" s="42" t="n">
        <v>4270</v>
      </c>
      <c r="V215" s="42" t="n">
        <v>2743</v>
      </c>
      <c r="W215" s="44" t="n">
        <v>1</v>
      </c>
      <c r="X215" s="6" t="n">
        <v>1</v>
      </c>
      <c r="Y215" s="45"/>
      <c r="Z215" s="6" t="s">
        <v>1324</v>
      </c>
      <c r="AA215" s="9" t="s">
        <v>774</v>
      </c>
      <c r="AB215" s="9" t="s">
        <v>1086</v>
      </c>
      <c r="AC215" s="27" t="n">
        <f aca="false">COUNTIF(環境認証!$A$2:$A$849,A98)</f>
        <v>1</v>
      </c>
      <c r="AD215" s="6" t="n">
        <v>179.6</v>
      </c>
      <c r="AE215" s="6" t="n">
        <v>62</v>
      </c>
    </row>
    <row r="216" customFormat="false" ht="15" hidden="false" customHeight="true" outlineLevel="0" collapsed="false">
      <c r="A216" s="6" t="s">
        <v>1427</v>
      </c>
      <c r="B216" s="6" t="s">
        <v>471</v>
      </c>
      <c r="C216" s="9" t="s">
        <v>1428</v>
      </c>
      <c r="D216" s="9" t="s">
        <v>761</v>
      </c>
      <c r="E216" s="9" t="s">
        <v>762</v>
      </c>
      <c r="F216" s="9" t="s">
        <v>820</v>
      </c>
      <c r="H216" s="9" t="s">
        <v>772</v>
      </c>
      <c r="J216" s="37"/>
      <c r="K216" s="38" t="n">
        <v>1119.27</v>
      </c>
      <c r="L216" s="38" t="n">
        <v>8851</v>
      </c>
      <c r="M216" s="39" t="n">
        <v>1837.05</v>
      </c>
      <c r="N216" s="6" t="n">
        <v>8</v>
      </c>
      <c r="O216" s="1" t="n">
        <v>2</v>
      </c>
      <c r="P216" s="47" t="n">
        <v>40179</v>
      </c>
      <c r="Q216" s="41" t="n">
        <f aca="false">IF(OR($A99="",P99=""),"",ROUND(YEARFRAC(P99,README!$C$5),1))</f>
        <v>16.6</v>
      </c>
      <c r="R216" s="40"/>
      <c r="S216" s="42" t="n">
        <v>3521</v>
      </c>
      <c r="T216" s="42" t="n">
        <v>3544</v>
      </c>
      <c r="U216" s="42" t="n">
        <v>3990</v>
      </c>
      <c r="V216" s="42" t="n">
        <v>446</v>
      </c>
      <c r="W216" s="44" t="n">
        <v>1</v>
      </c>
      <c r="X216" s="6" t="n">
        <v>9</v>
      </c>
      <c r="Y216" s="45"/>
      <c r="Z216" s="6" t="s">
        <v>1324</v>
      </c>
      <c r="AA216" s="9" t="s">
        <v>774</v>
      </c>
      <c r="AB216" s="9" t="s">
        <v>1091</v>
      </c>
      <c r="AC216" s="27" t="n">
        <f aca="false">COUNTIF(環境認証!$A$2:$A$849,A99)</f>
        <v>1</v>
      </c>
      <c r="AD216" s="6" t="n">
        <v>12.6</v>
      </c>
      <c r="AE216" s="6" t="n">
        <v>13.3</v>
      </c>
    </row>
    <row r="217" customFormat="false" ht="15" hidden="false" customHeight="true" outlineLevel="0" collapsed="false">
      <c r="A217" s="6" t="s">
        <v>1429</v>
      </c>
      <c r="B217" s="6" t="s">
        <v>471</v>
      </c>
      <c r="C217" s="9" t="s">
        <v>1430</v>
      </c>
      <c r="D217" s="9" t="s">
        <v>761</v>
      </c>
      <c r="E217" s="9" t="s">
        <v>762</v>
      </c>
      <c r="F217" s="9" t="s">
        <v>820</v>
      </c>
      <c r="H217" s="9" t="s">
        <v>772</v>
      </c>
      <c r="I217" s="36" t="s">
        <v>1431</v>
      </c>
      <c r="J217" s="37"/>
      <c r="K217" s="38" t="n">
        <v>11034.78</v>
      </c>
      <c r="L217" s="38"/>
      <c r="M217" s="39" t="n">
        <v>3677.63</v>
      </c>
      <c r="N217" s="6" t="n">
        <v>10</v>
      </c>
      <c r="P217" s="47" t="n">
        <v>44866</v>
      </c>
      <c r="Q217" s="41" t="n">
        <f aca="false">IF(OR($A100="",P100=""),"",ROUND(YEARFRAC(P100,README!$C$5),1))</f>
        <v>3.8</v>
      </c>
      <c r="R217" s="40"/>
      <c r="S217" s="42" t="n">
        <v>5733</v>
      </c>
      <c r="T217" s="42" t="n">
        <v>5586</v>
      </c>
      <c r="U217" s="42" t="n">
        <v>7040</v>
      </c>
      <c r="V217" s="42" t="n">
        <v>1454</v>
      </c>
      <c r="W217" s="44" t="n">
        <v>1</v>
      </c>
      <c r="X217" s="6" t="n">
        <v>5</v>
      </c>
      <c r="Y217" s="45"/>
      <c r="Z217" s="6" t="s">
        <v>1324</v>
      </c>
      <c r="AA217" s="9" t="s">
        <v>774</v>
      </c>
      <c r="AB217" s="9" t="s">
        <v>1094</v>
      </c>
      <c r="AC217" s="27" t="n">
        <f aca="false">COUNTIF(環境認証!$A$2:$A$849,A100)</f>
        <v>2</v>
      </c>
      <c r="AD217" s="6" t="n">
        <v>26</v>
      </c>
      <c r="AE217" s="6" t="n">
        <v>22.8</v>
      </c>
    </row>
    <row r="218" customFormat="false" ht="15" hidden="false" customHeight="true" outlineLevel="0" collapsed="false">
      <c r="A218" s="6" t="s">
        <v>1432</v>
      </c>
      <c r="B218" s="6" t="s">
        <v>471</v>
      </c>
      <c r="C218" s="9" t="s">
        <v>1433</v>
      </c>
      <c r="D218" s="9" t="s">
        <v>761</v>
      </c>
      <c r="E218" s="9" t="s">
        <v>762</v>
      </c>
      <c r="F218" s="9" t="s">
        <v>763</v>
      </c>
      <c r="H218" s="9" t="s">
        <v>772</v>
      </c>
      <c r="J218" s="37"/>
      <c r="K218" s="38" t="n">
        <v>5289.01</v>
      </c>
      <c r="L218" s="38" t="n">
        <v>24560.36</v>
      </c>
      <c r="M218" s="39" t="n">
        <v>1224</v>
      </c>
      <c r="N218" s="6" t="n">
        <v>10</v>
      </c>
      <c r="O218" s="6" t="n">
        <v>1</v>
      </c>
      <c r="P218" s="47" t="n">
        <v>40026</v>
      </c>
      <c r="Q218" s="41" t="n">
        <f aca="false">IF(OR($A101="",P101=""),"",ROUND(YEARFRAC(P101,README!$C$5),1))</f>
        <v>17</v>
      </c>
      <c r="R218" s="40"/>
      <c r="S218" s="42" t="n">
        <v>1970</v>
      </c>
      <c r="T218" s="42" t="n">
        <v>2026</v>
      </c>
      <c r="U218" s="42" t="n">
        <v>2170</v>
      </c>
      <c r="V218" s="42" t="n">
        <v>144</v>
      </c>
      <c r="W218" s="44" t="n">
        <v>0.955</v>
      </c>
      <c r="X218" s="6" t="n">
        <v>11</v>
      </c>
      <c r="Y218" s="45"/>
      <c r="Z218" s="6" t="s">
        <v>1324</v>
      </c>
      <c r="AA218" s="9" t="s">
        <v>774</v>
      </c>
      <c r="AB218" s="9" t="s">
        <v>1074</v>
      </c>
      <c r="AC218" s="27" t="n">
        <f aca="false">COUNTIF(環境認証!$A$2:$A$849,A101)</f>
        <v>1</v>
      </c>
      <c r="AD218" s="6" t="n">
        <v>7.1</v>
      </c>
      <c r="AE218" s="6" t="n">
        <v>10.2</v>
      </c>
    </row>
    <row r="219" customFormat="false" ht="15" hidden="false" customHeight="true" outlineLevel="0" collapsed="false">
      <c r="A219" s="6" t="s">
        <v>1434</v>
      </c>
      <c r="B219" s="6" t="s">
        <v>471</v>
      </c>
      <c r="C219" s="9" t="s">
        <v>1435</v>
      </c>
      <c r="D219" s="9" t="s">
        <v>761</v>
      </c>
      <c r="E219" s="9" t="s">
        <v>762</v>
      </c>
      <c r="F219" s="36" t="s">
        <v>782</v>
      </c>
      <c r="H219" s="9" t="s">
        <v>772</v>
      </c>
      <c r="J219" s="37"/>
      <c r="K219" s="38" t="n">
        <v>1915.5</v>
      </c>
      <c r="L219" s="38" t="n">
        <v>11419.93</v>
      </c>
      <c r="M219" s="39" t="n">
        <v>9385.73</v>
      </c>
      <c r="N219" s="6" t="n">
        <v>12</v>
      </c>
      <c r="O219" s="6" t="n">
        <v>1</v>
      </c>
      <c r="P219" s="47" t="n">
        <v>45444</v>
      </c>
      <c r="Q219" s="41" t="n">
        <f aca="false">IF(OR($A102="",P102=""),"",ROUND(YEARFRAC(P102,README!$C$5),1))</f>
        <v>2.2</v>
      </c>
      <c r="R219" s="40"/>
      <c r="S219" s="42" t="n">
        <v>15503</v>
      </c>
      <c r="T219" s="42" t="n">
        <v>15731</v>
      </c>
      <c r="U219" s="42" t="n">
        <v>20600</v>
      </c>
      <c r="V219" s="42" t="n">
        <v>4869</v>
      </c>
      <c r="W219" s="44" t="n">
        <v>1</v>
      </c>
      <c r="X219" s="6" t="n">
        <v>9</v>
      </c>
      <c r="Y219" s="45"/>
      <c r="Z219" s="6" t="s">
        <v>1324</v>
      </c>
      <c r="AA219" s="9" t="s">
        <v>774</v>
      </c>
      <c r="AB219" s="9" t="s">
        <v>1100</v>
      </c>
      <c r="AC219" s="27" t="n">
        <f aca="false">COUNTIF(環境認証!$A$2:$A$849,A102)</f>
        <v>1</v>
      </c>
      <c r="AD219" s="6" t="n">
        <v>31</v>
      </c>
      <c r="AE219" s="6" t="n">
        <v>32.9</v>
      </c>
    </row>
    <row r="220" customFormat="false" ht="15" hidden="false" customHeight="true" outlineLevel="0" collapsed="false">
      <c r="A220" s="6" t="s">
        <v>1436</v>
      </c>
      <c r="B220" s="6" t="s">
        <v>471</v>
      </c>
      <c r="C220" s="9" t="s">
        <v>1437</v>
      </c>
      <c r="D220" s="9" t="s">
        <v>761</v>
      </c>
      <c r="E220" s="9" t="s">
        <v>762</v>
      </c>
      <c r="F220" s="9" t="s">
        <v>820</v>
      </c>
      <c r="H220" s="9" t="s">
        <v>772</v>
      </c>
      <c r="J220" s="37"/>
      <c r="K220" s="38" t="n">
        <v>8124.72</v>
      </c>
      <c r="L220" s="38" t="n">
        <v>112645.83</v>
      </c>
      <c r="M220" s="39" t="n">
        <v>3757.52</v>
      </c>
      <c r="N220" s="6" t="n">
        <v>11</v>
      </c>
      <c r="O220" s="6" t="n">
        <v>1</v>
      </c>
      <c r="P220" s="47" t="n">
        <v>45017</v>
      </c>
      <c r="Q220" s="41" t="n">
        <f aca="false">IF(OR($A103="",P103=""),"",ROUND(YEARFRAC(P103,README!$C$5),1))</f>
        <v>3.4</v>
      </c>
      <c r="R220" s="40"/>
      <c r="S220" s="42" t="n">
        <v>6300</v>
      </c>
      <c r="T220" s="42" t="n">
        <v>6503</v>
      </c>
      <c r="U220" s="42" t="n">
        <v>6910</v>
      </c>
      <c r="V220" s="42" t="n">
        <v>407</v>
      </c>
      <c r="W220" s="44" t="n">
        <v>1</v>
      </c>
      <c r="X220" s="6" t="n">
        <v>6</v>
      </c>
      <c r="Y220" s="45"/>
      <c r="Z220" s="6" t="s">
        <v>1324</v>
      </c>
      <c r="AA220" s="9" t="s">
        <v>774</v>
      </c>
      <c r="AB220" s="9" t="s">
        <v>1438</v>
      </c>
      <c r="AC220" s="27" t="n">
        <f aca="false">COUNTIF(環境認証!$A$2:$A$849,A103)</f>
        <v>0</v>
      </c>
      <c r="AD220" s="6" t="n">
        <v>6.3</v>
      </c>
      <c r="AE220" s="6" t="n">
        <v>9.7</v>
      </c>
    </row>
    <row r="221" customFormat="false" ht="15" hidden="false" customHeight="true" outlineLevel="0" collapsed="false">
      <c r="A221" s="6" t="s">
        <v>1439</v>
      </c>
      <c r="B221" s="6" t="s">
        <v>471</v>
      </c>
      <c r="C221" s="9" t="s">
        <v>1440</v>
      </c>
      <c r="D221" s="9" t="s">
        <v>761</v>
      </c>
      <c r="E221" s="9" t="s">
        <v>762</v>
      </c>
      <c r="F221" s="9" t="s">
        <v>782</v>
      </c>
      <c r="H221" s="9" t="s">
        <v>772</v>
      </c>
      <c r="J221" s="37"/>
      <c r="K221" s="38" t="n">
        <v>643.13</v>
      </c>
      <c r="L221" s="38" t="n">
        <v>4438.46</v>
      </c>
      <c r="M221" s="39" t="n">
        <v>2309.1</v>
      </c>
      <c r="N221" s="6" t="n">
        <v>11</v>
      </c>
      <c r="O221" s="1" t="n">
        <v>1</v>
      </c>
      <c r="P221" s="47" t="n">
        <v>44927</v>
      </c>
      <c r="Q221" s="41" t="n">
        <f aca="false">IF(OR($A104="",P104=""),"",ROUND(YEARFRAC(P104,README!$C$5),1))</f>
        <v>3.6</v>
      </c>
      <c r="R221" s="40"/>
      <c r="S221" s="42" t="n">
        <v>7150</v>
      </c>
      <c r="T221" s="42" t="n">
        <v>7442</v>
      </c>
      <c r="U221" s="42" t="n">
        <v>7310</v>
      </c>
      <c r="V221" s="42" t="n">
        <v>-132</v>
      </c>
      <c r="W221" s="44" t="n">
        <v>1</v>
      </c>
      <c r="X221" s="6" t="n">
        <v>8</v>
      </c>
      <c r="Y221" s="45"/>
      <c r="Z221" s="6" t="s">
        <v>1324</v>
      </c>
      <c r="AA221" s="9" t="s">
        <v>774</v>
      </c>
      <c r="AB221" s="9" t="s">
        <v>1106</v>
      </c>
      <c r="AC221" s="27" t="n">
        <f aca="false">COUNTIF(環境認証!$A$2:$A$849,A104)</f>
        <v>1</v>
      </c>
      <c r="AD221" s="6" t="n">
        <v>-1.8</v>
      </c>
      <c r="AE221" s="6" t="n">
        <v>2.2</v>
      </c>
    </row>
    <row r="222" customFormat="false" ht="15" hidden="false" customHeight="true" outlineLevel="0" collapsed="false">
      <c r="A222" s="6" t="s">
        <v>1441</v>
      </c>
      <c r="B222" s="6" t="s">
        <v>471</v>
      </c>
      <c r="C222" s="9" t="s">
        <v>1442</v>
      </c>
      <c r="D222" s="9" t="s">
        <v>761</v>
      </c>
      <c r="E222" s="9" t="s">
        <v>762</v>
      </c>
      <c r="F222" s="9" t="s">
        <v>815</v>
      </c>
      <c r="H222" s="9" t="s">
        <v>772</v>
      </c>
      <c r="J222" s="37"/>
      <c r="K222" s="38" t="n">
        <v>15838.93</v>
      </c>
      <c r="L222" s="38" t="n">
        <v>239769.07</v>
      </c>
      <c r="M222" s="39" t="n">
        <v>6177.74</v>
      </c>
      <c r="N222" s="6" t="n">
        <v>8</v>
      </c>
      <c r="O222" s="1" t="n">
        <v>4</v>
      </c>
      <c r="P222" s="47" t="n">
        <v>39934</v>
      </c>
      <c r="Q222" s="41" t="n">
        <f aca="false">IF(OR($A105="",P105=""),"",ROUND(YEARFRAC(P105,README!$C$5),1))</f>
        <v>17.3</v>
      </c>
      <c r="R222" s="40"/>
      <c r="S222" s="42" t="n">
        <v>19400</v>
      </c>
      <c r="T222" s="42" t="n">
        <v>20149</v>
      </c>
      <c r="U222" s="42" t="n">
        <v>20600</v>
      </c>
      <c r="V222" s="42" t="n">
        <v>451</v>
      </c>
      <c r="W222" s="44" t="n">
        <v>1</v>
      </c>
      <c r="X222" s="6" t="n">
        <v>7</v>
      </c>
      <c r="Y222" s="45"/>
      <c r="Z222" s="6" t="s">
        <v>1324</v>
      </c>
      <c r="AA222" s="9" t="s">
        <v>774</v>
      </c>
      <c r="AB222" s="9" t="s">
        <v>1443</v>
      </c>
      <c r="AC222" s="27" t="n">
        <f aca="false">COUNTIF(環境認証!$A$2:$A$849,A105)</f>
        <v>1</v>
      </c>
      <c r="AD222" s="6" t="n">
        <v>2.2</v>
      </c>
      <c r="AE222" s="6" t="n">
        <v>6.2</v>
      </c>
    </row>
    <row r="223" customFormat="false" ht="15" hidden="false" customHeight="true" outlineLevel="0" collapsed="false">
      <c r="A223" s="6" t="s">
        <v>1444</v>
      </c>
      <c r="B223" s="6" t="s">
        <v>471</v>
      </c>
      <c r="C223" s="9" t="s">
        <v>1445</v>
      </c>
      <c r="D223" s="9" t="s">
        <v>761</v>
      </c>
      <c r="E223" s="9" t="s">
        <v>762</v>
      </c>
      <c r="F223" s="9" t="s">
        <v>911</v>
      </c>
      <c r="H223" s="9" t="s">
        <v>882</v>
      </c>
      <c r="J223" s="37"/>
      <c r="K223" s="38" t="n">
        <v>2643.15</v>
      </c>
      <c r="L223" s="38" t="n">
        <v>15662.2</v>
      </c>
      <c r="M223" s="39" t="n">
        <v>4462.28</v>
      </c>
      <c r="N223" s="6" t="n">
        <v>9</v>
      </c>
      <c r="O223" s="6" t="n">
        <v>1</v>
      </c>
      <c r="P223" s="47" t="n">
        <v>34121</v>
      </c>
      <c r="Q223" s="41" t="n">
        <f aca="false">IF(OR($A106="",P106=""),"",ROUND(YEARFRAC(P106,README!$C$5),1))</f>
        <v>33.2</v>
      </c>
      <c r="R223" s="40"/>
      <c r="S223" s="42" t="n">
        <v>2958</v>
      </c>
      <c r="T223" s="42" t="n">
        <v>2554</v>
      </c>
      <c r="U223" s="42" t="n">
        <v>4290</v>
      </c>
      <c r="V223" s="42" t="n">
        <v>1736</v>
      </c>
      <c r="W223" s="44" t="n">
        <v>1</v>
      </c>
      <c r="X223" s="6" t="n">
        <v>7</v>
      </c>
      <c r="Y223" s="45"/>
      <c r="Z223" s="6" t="s">
        <v>1324</v>
      </c>
      <c r="AA223" s="9" t="s">
        <v>774</v>
      </c>
      <c r="AB223" s="9" t="s">
        <v>1112</v>
      </c>
      <c r="AC223" s="27" t="n">
        <f aca="false">COUNTIF(環境認証!$A$2:$A$849,A106)</f>
        <v>1</v>
      </c>
      <c r="AD223" s="6" t="n">
        <v>68</v>
      </c>
      <c r="AE223" s="6" t="n">
        <v>45</v>
      </c>
    </row>
    <row r="224" customFormat="false" ht="15" hidden="false" customHeight="true" outlineLevel="0" collapsed="false">
      <c r="A224" s="6" t="s">
        <v>1446</v>
      </c>
      <c r="B224" s="6" t="s">
        <v>471</v>
      </c>
      <c r="C224" s="9" t="s">
        <v>1447</v>
      </c>
      <c r="D224" s="9" t="s">
        <v>761</v>
      </c>
      <c r="E224" s="9" t="s">
        <v>762</v>
      </c>
      <c r="F224" s="9" t="s">
        <v>848</v>
      </c>
      <c r="H224" s="9" t="s">
        <v>882</v>
      </c>
      <c r="J224" s="37"/>
      <c r="K224" s="38" t="n">
        <v>9681.02</v>
      </c>
      <c r="L224" s="38" t="n">
        <v>96897.25</v>
      </c>
      <c r="M224" s="39" t="n">
        <v>6546.03</v>
      </c>
      <c r="N224" s="6" t="n">
        <v>11</v>
      </c>
      <c r="O224" s="6" t="n">
        <v>1</v>
      </c>
      <c r="P224" s="47" t="n">
        <v>33420</v>
      </c>
      <c r="Q224" s="41" t="n">
        <f aca="false">IF(OR($A107="",P107=""),"",ROUND(YEARFRAC(P107,README!$C$5),1))</f>
        <v>35.1</v>
      </c>
      <c r="R224" s="40"/>
      <c r="S224" s="42" t="n">
        <v>7710</v>
      </c>
      <c r="T224" s="42" t="n">
        <v>6849</v>
      </c>
      <c r="U224" s="42" t="n">
        <v>6780</v>
      </c>
      <c r="V224" s="42" t="n">
        <v>-69</v>
      </c>
      <c r="W224" s="44" t="n">
        <v>1</v>
      </c>
      <c r="X224" s="6" t="n">
        <v>12</v>
      </c>
      <c r="Y224" s="45"/>
      <c r="Z224" s="6" t="s">
        <v>1324</v>
      </c>
      <c r="AA224" s="9" t="s">
        <v>774</v>
      </c>
      <c r="AB224" s="9" t="s">
        <v>1115</v>
      </c>
      <c r="AC224" s="27" t="n">
        <f aca="false">COUNTIF(環境認証!$A$2:$A$849,A107)</f>
        <v>1</v>
      </c>
      <c r="AD224" s="6" t="n">
        <v>-1</v>
      </c>
      <c r="AE224" s="6" t="n">
        <v>-12.1</v>
      </c>
    </row>
    <row r="225" customFormat="false" ht="15" hidden="false" customHeight="true" outlineLevel="0" collapsed="false">
      <c r="A225" s="6" t="s">
        <v>1448</v>
      </c>
      <c r="B225" s="6" t="s">
        <v>471</v>
      </c>
      <c r="C225" s="9" t="s">
        <v>1449</v>
      </c>
      <c r="D225" s="9" t="s">
        <v>761</v>
      </c>
      <c r="E225" s="9" t="s">
        <v>925</v>
      </c>
      <c r="F225" s="9" t="s">
        <v>926</v>
      </c>
      <c r="H225" s="9" t="s">
        <v>921</v>
      </c>
      <c r="J225" s="37"/>
      <c r="K225" s="38" t="n">
        <v>1010.47</v>
      </c>
      <c r="L225" s="38" t="n">
        <v>8449.56</v>
      </c>
      <c r="M225" s="39" t="n">
        <v>2630.3</v>
      </c>
      <c r="N225" s="6" t="n">
        <v>7</v>
      </c>
      <c r="O225" s="6" t="n">
        <v>3</v>
      </c>
      <c r="P225" s="47" t="n">
        <v>40664</v>
      </c>
      <c r="Q225" s="41" t="n">
        <f aca="false">IF(OR($A108="",P108=""),"",ROUND(YEARFRAC(P108,README!$C$5),1))</f>
        <v>15.3</v>
      </c>
      <c r="R225" s="40"/>
      <c r="S225" s="42" t="n">
        <v>2000</v>
      </c>
      <c r="T225" s="42" t="n">
        <v>1659</v>
      </c>
      <c r="U225" s="42" t="n">
        <v>2950</v>
      </c>
      <c r="V225" s="42" t="n">
        <v>1291</v>
      </c>
      <c r="W225" s="44" t="n">
        <v>0.937</v>
      </c>
      <c r="X225" s="6" t="n">
        <v>8</v>
      </c>
      <c r="Y225" s="45"/>
      <c r="Z225" s="6" t="s">
        <v>1324</v>
      </c>
      <c r="AA225" s="9" t="s">
        <v>774</v>
      </c>
      <c r="AB225" s="9" t="s">
        <v>1118</v>
      </c>
      <c r="AC225" s="27" t="n">
        <f aca="false">COUNTIF(環境認証!$A$2:$A$849,A108)</f>
        <v>2</v>
      </c>
      <c r="AD225" s="6" t="n">
        <v>77.8</v>
      </c>
      <c r="AE225" s="6" t="n">
        <v>47.5</v>
      </c>
    </row>
    <row r="226" customFormat="false" ht="15" hidden="false" customHeight="true" outlineLevel="0" collapsed="false">
      <c r="A226" s="6" t="s">
        <v>1450</v>
      </c>
      <c r="B226" s="6" t="s">
        <v>471</v>
      </c>
      <c r="C226" s="9" t="s">
        <v>1451</v>
      </c>
      <c r="D226" s="9" t="s">
        <v>761</v>
      </c>
      <c r="E226" s="9" t="s">
        <v>762</v>
      </c>
      <c r="F226" s="9" t="s">
        <v>1452</v>
      </c>
      <c r="H226" s="9" t="s">
        <v>882</v>
      </c>
      <c r="J226" s="37"/>
      <c r="K226" s="38" t="n">
        <v>198.1</v>
      </c>
      <c r="L226" s="38" t="n">
        <v>1066.81</v>
      </c>
      <c r="M226" s="39" t="n">
        <v>17778.14</v>
      </c>
      <c r="N226" s="6" t="n">
        <v>18</v>
      </c>
      <c r="O226" s="6" t="n">
        <v>2</v>
      </c>
      <c r="P226" s="47" t="n">
        <v>34121</v>
      </c>
      <c r="Q226" s="41" t="n">
        <f aca="false">IF(OR($A109="",P109=""),"",ROUND(YEARFRAC(P109,README!$C$5),1))</f>
        <v>33.2</v>
      </c>
      <c r="R226" s="40"/>
      <c r="S226" s="42" t="n">
        <v>15220</v>
      </c>
      <c r="T226" s="42" t="n">
        <v>15553</v>
      </c>
      <c r="U226" s="42" t="n">
        <v>23300</v>
      </c>
      <c r="V226" s="42" t="n">
        <v>7747</v>
      </c>
      <c r="W226" s="44" t="n">
        <v>1</v>
      </c>
      <c r="X226" s="6" t="n">
        <v>10</v>
      </c>
      <c r="Y226" s="45"/>
      <c r="Z226" s="6" t="s">
        <v>1324</v>
      </c>
      <c r="AA226" s="9" t="s">
        <v>774</v>
      </c>
      <c r="AB226" s="9" t="s">
        <v>1121</v>
      </c>
      <c r="AC226" s="27" t="n">
        <f aca="false">COUNTIF(環境認証!$A$2:$A$849,A109)</f>
        <v>1</v>
      </c>
      <c r="AD226" s="6" t="n">
        <v>49.8</v>
      </c>
      <c r="AE226" s="6" t="n">
        <v>53.1</v>
      </c>
    </row>
    <row r="227" customFormat="false" ht="15" hidden="false" customHeight="true" outlineLevel="0" collapsed="false">
      <c r="A227" s="6" t="s">
        <v>1453</v>
      </c>
      <c r="B227" s="6" t="s">
        <v>471</v>
      </c>
      <c r="C227" s="9" t="s">
        <v>1454</v>
      </c>
      <c r="D227" s="9" t="s">
        <v>761</v>
      </c>
      <c r="E227" s="9" t="s">
        <v>762</v>
      </c>
      <c r="F227" s="9" t="s">
        <v>905</v>
      </c>
      <c r="H227" s="9" t="s">
        <v>882</v>
      </c>
      <c r="J227" s="37"/>
      <c r="K227" s="38" t="n">
        <v>2578.69</v>
      </c>
      <c r="L227" s="38" t="n">
        <v>24617.65</v>
      </c>
      <c r="M227" s="39" t="n">
        <v>3519.5</v>
      </c>
      <c r="N227" s="6" t="n">
        <v>14</v>
      </c>
      <c r="O227" s="6" t="n">
        <v>2</v>
      </c>
      <c r="P227" s="47" t="n">
        <v>39995</v>
      </c>
      <c r="Q227" s="41" t="n">
        <f aca="false">IF(OR($A110="",P110=""),"",ROUND(YEARFRAC(P110,README!$C$5),1))</f>
        <v>17.1</v>
      </c>
      <c r="R227" s="40"/>
      <c r="S227" s="42" t="n">
        <v>5600</v>
      </c>
      <c r="T227" s="42" t="n">
        <v>5232</v>
      </c>
      <c r="U227" s="42" t="n">
        <v>7390</v>
      </c>
      <c r="V227" s="42" t="n">
        <v>2158</v>
      </c>
      <c r="W227" s="44" t="n">
        <v>0.966</v>
      </c>
      <c r="X227" s="6" t="n">
        <v>18</v>
      </c>
      <c r="Y227" s="45"/>
      <c r="Z227" s="6" t="s">
        <v>1324</v>
      </c>
      <c r="AA227" s="9" t="s">
        <v>774</v>
      </c>
      <c r="AB227" s="9" t="s">
        <v>1050</v>
      </c>
      <c r="AC227" s="27" t="n">
        <f aca="false">COUNTIF(環境認証!$A$2:$A$849,A110)</f>
        <v>0</v>
      </c>
      <c r="AD227" s="6" t="n">
        <v>41.2</v>
      </c>
      <c r="AE227" s="6" t="n">
        <v>32</v>
      </c>
    </row>
    <row r="228" customFormat="false" ht="15" hidden="false" customHeight="true" outlineLevel="0" collapsed="false">
      <c r="A228" s="6" t="s">
        <v>1455</v>
      </c>
      <c r="B228" s="6" t="s">
        <v>471</v>
      </c>
      <c r="C228" s="9" t="s">
        <v>1456</v>
      </c>
      <c r="D228" s="9" t="s">
        <v>761</v>
      </c>
      <c r="E228" s="9" t="s">
        <v>762</v>
      </c>
      <c r="F228" s="9" t="s">
        <v>1452</v>
      </c>
      <c r="H228" s="9" t="s">
        <v>882</v>
      </c>
      <c r="J228" s="37"/>
      <c r="K228" s="38" t="n">
        <v>6808.12</v>
      </c>
      <c r="L228" s="38" t="n">
        <v>71957.65</v>
      </c>
      <c r="M228" s="39" t="n">
        <v>3849.63</v>
      </c>
      <c r="N228" s="6" t="n">
        <v>7</v>
      </c>
      <c r="O228" s="6" t="n">
        <v>1</v>
      </c>
      <c r="P228" s="47" t="n">
        <v>33178</v>
      </c>
      <c r="Q228" s="41" t="n">
        <f aca="false">IF(OR($A111="",P111=""),"",ROUND(YEARFRAC(P111,README!$C$5),1))</f>
        <v>35.8</v>
      </c>
      <c r="R228" s="40"/>
      <c r="S228" s="42" t="n">
        <v>3800</v>
      </c>
      <c r="T228" s="42" t="n">
        <v>4001</v>
      </c>
      <c r="U228" s="42" t="n">
        <v>5240</v>
      </c>
      <c r="V228" s="42" t="n">
        <v>1239</v>
      </c>
      <c r="W228" s="44" t="n">
        <v>1</v>
      </c>
      <c r="X228" s="6" t="n">
        <v>12</v>
      </c>
      <c r="Y228" s="45"/>
      <c r="Z228" s="6" t="s">
        <v>1324</v>
      </c>
      <c r="AA228" s="9" t="s">
        <v>774</v>
      </c>
      <c r="AB228" s="9" t="s">
        <v>1332</v>
      </c>
      <c r="AC228" s="27" t="n">
        <f aca="false">COUNTIF(環境認証!$A$2:$A$849,A111)</f>
        <v>0</v>
      </c>
      <c r="AD228" s="6" t="n">
        <v>31</v>
      </c>
      <c r="AE228" s="6" t="n">
        <v>37.9</v>
      </c>
    </row>
    <row r="229" customFormat="false" ht="15" hidden="false" customHeight="true" outlineLevel="0" collapsed="false">
      <c r="A229" s="6" t="s">
        <v>1457</v>
      </c>
      <c r="B229" s="6" t="s">
        <v>471</v>
      </c>
      <c r="C229" s="9" t="s">
        <v>1458</v>
      </c>
      <c r="D229" s="9" t="s">
        <v>761</v>
      </c>
      <c r="E229" s="9" t="s">
        <v>925</v>
      </c>
      <c r="F229" s="9" t="s">
        <v>926</v>
      </c>
      <c r="H229" s="9" t="s">
        <v>921</v>
      </c>
      <c r="J229" s="37"/>
      <c r="K229" s="38" t="n">
        <v>230.11</v>
      </c>
      <c r="L229" s="38" t="n">
        <v>1821.67</v>
      </c>
      <c r="M229" s="39" t="n">
        <v>28052.98</v>
      </c>
      <c r="N229" s="6" t="n">
        <v>20</v>
      </c>
      <c r="O229" s="6" t="n">
        <v>1</v>
      </c>
      <c r="P229" s="47" t="n">
        <v>39479</v>
      </c>
      <c r="Q229" s="41" t="n">
        <f aca="false">IF(OR($A112="",P112=""),"",ROUND(YEARFRAC(P112,README!$C$5),1))</f>
        <v>18.5</v>
      </c>
      <c r="R229" s="40"/>
      <c r="S229" s="42" t="n">
        <v>38100</v>
      </c>
      <c r="T229" s="42" t="n">
        <v>37098</v>
      </c>
      <c r="U229" s="42" t="n">
        <v>42200</v>
      </c>
      <c r="V229" s="42" t="n">
        <v>5102</v>
      </c>
      <c r="W229" s="44" t="n">
        <v>1</v>
      </c>
      <c r="X229" s="6" t="n">
        <v>37</v>
      </c>
      <c r="Y229" s="45"/>
      <c r="Z229" s="6" t="s">
        <v>1324</v>
      </c>
      <c r="AA229" s="9" t="s">
        <v>774</v>
      </c>
      <c r="AB229" s="9" t="s">
        <v>1129</v>
      </c>
      <c r="AC229" s="27" t="n">
        <f aca="false">COUNTIF(環境認証!$A$2:$A$849,A112)</f>
        <v>1</v>
      </c>
      <c r="AD229" s="6" t="n">
        <v>13.8</v>
      </c>
      <c r="AE229" s="6" t="n">
        <v>10.8</v>
      </c>
    </row>
    <row r="230" customFormat="false" ht="15" hidden="false" customHeight="true" outlineLevel="0" collapsed="false">
      <c r="A230" s="6" t="s">
        <v>1459</v>
      </c>
      <c r="B230" s="6" t="s">
        <v>471</v>
      </c>
      <c r="C230" s="9" t="s">
        <v>1460</v>
      </c>
      <c r="D230" s="9" t="s">
        <v>761</v>
      </c>
      <c r="E230" s="9" t="s">
        <v>762</v>
      </c>
      <c r="F230" s="9" t="s">
        <v>848</v>
      </c>
      <c r="H230" s="9" t="s">
        <v>882</v>
      </c>
      <c r="J230" s="37"/>
      <c r="K230" s="38" t="n">
        <v>281.59</v>
      </c>
      <c r="L230" s="38" t="n">
        <v>1477.91</v>
      </c>
      <c r="M230" s="39" t="n">
        <v>2396.96</v>
      </c>
      <c r="N230" s="6" t="n">
        <v>8</v>
      </c>
      <c r="O230" s="1" t="n">
        <v>0</v>
      </c>
      <c r="P230" s="47" t="n">
        <v>33786</v>
      </c>
      <c r="Q230" s="41" t="n">
        <f aca="false">IF(OR($A113="",P113=""),"",ROUND(YEARFRAC(P113,README!$C$5),1))</f>
        <v>34.1</v>
      </c>
      <c r="R230" s="40"/>
      <c r="S230" s="42" t="n">
        <v>2500</v>
      </c>
      <c r="T230" s="42" t="n">
        <v>2619</v>
      </c>
      <c r="U230" s="42" t="n">
        <v>2880</v>
      </c>
      <c r="V230" s="42" t="n">
        <v>261</v>
      </c>
      <c r="W230" s="44" t="n">
        <v>1</v>
      </c>
      <c r="X230" s="6" t="n">
        <v>6</v>
      </c>
      <c r="Y230" s="45"/>
      <c r="Z230" s="6" t="s">
        <v>1324</v>
      </c>
      <c r="AA230" s="9" t="s">
        <v>774</v>
      </c>
      <c r="AB230" s="9" t="s">
        <v>1083</v>
      </c>
      <c r="AC230" s="27" t="n">
        <f aca="false">COUNTIF(環境認証!$A$2:$A$849,A113)</f>
        <v>2</v>
      </c>
      <c r="AD230" s="6" t="n">
        <v>10</v>
      </c>
      <c r="AE230" s="6" t="n">
        <v>15.2</v>
      </c>
    </row>
    <row r="231" customFormat="false" ht="15" hidden="false" customHeight="true" outlineLevel="0" collapsed="false">
      <c r="A231" s="6" t="s">
        <v>1461</v>
      </c>
      <c r="B231" s="6" t="s">
        <v>471</v>
      </c>
      <c r="C231" s="9" t="s">
        <v>1462</v>
      </c>
      <c r="D231" s="9" t="s">
        <v>761</v>
      </c>
      <c r="E231" s="9" t="s">
        <v>762</v>
      </c>
      <c r="F231" s="9" t="s">
        <v>1152</v>
      </c>
      <c r="H231" s="9" t="s">
        <v>882</v>
      </c>
      <c r="J231" s="37"/>
      <c r="K231" s="38" t="n">
        <v>3755.01</v>
      </c>
      <c r="L231" s="38" t="n">
        <v>34281.86</v>
      </c>
      <c r="M231" s="39" t="n">
        <v>2716.92</v>
      </c>
      <c r="N231" s="6" t="n">
        <v>8</v>
      </c>
      <c r="O231" s="6" t="n">
        <v>1</v>
      </c>
      <c r="P231" s="47" t="n">
        <v>34700</v>
      </c>
      <c r="Q231" s="41" t="n">
        <f aca="false">IF(OR($A114="",P114=""),"",ROUND(YEARFRAC(P114,README!$C$5),1))</f>
        <v>31.6</v>
      </c>
      <c r="R231" s="40"/>
      <c r="S231" s="42" t="n">
        <v>2750</v>
      </c>
      <c r="T231" s="42" t="n">
        <v>2910</v>
      </c>
      <c r="U231" s="42" t="n">
        <v>2320</v>
      </c>
      <c r="V231" s="42" t="n">
        <v>-590</v>
      </c>
      <c r="W231" s="44" t="n">
        <v>1</v>
      </c>
      <c r="X231" s="6" t="n">
        <v>6</v>
      </c>
      <c r="Y231" s="45"/>
      <c r="Z231" s="6" t="s">
        <v>1324</v>
      </c>
      <c r="AA231" s="9" t="s">
        <v>774</v>
      </c>
      <c r="AB231" s="9" t="s">
        <v>1134</v>
      </c>
      <c r="AC231" s="27" t="n">
        <f aca="false">COUNTIF(環境認証!$A$2:$A$849,A114)</f>
        <v>1</v>
      </c>
      <c r="AD231" s="6" t="n">
        <v>-20.3</v>
      </c>
      <c r="AE231" s="6" t="n">
        <v>-15.6</v>
      </c>
    </row>
    <row r="232" customFormat="false" ht="15" hidden="false" customHeight="true" outlineLevel="0" collapsed="false">
      <c r="A232" s="6" t="s">
        <v>1463</v>
      </c>
      <c r="B232" s="6" t="s">
        <v>471</v>
      </c>
      <c r="C232" s="9" t="s">
        <v>1464</v>
      </c>
      <c r="D232" s="9" t="s">
        <v>761</v>
      </c>
      <c r="E232" s="9" t="s">
        <v>981</v>
      </c>
      <c r="F232" s="9" t="s">
        <v>982</v>
      </c>
      <c r="H232" s="9" t="s">
        <v>971</v>
      </c>
      <c r="J232" s="37"/>
      <c r="K232" s="38" t="n">
        <v>1382.35</v>
      </c>
      <c r="L232" s="38" t="n">
        <v>9072.57</v>
      </c>
      <c r="M232" s="39" t="n">
        <v>13517.62</v>
      </c>
      <c r="N232" s="6" t="n">
        <v>16</v>
      </c>
      <c r="O232" s="6" t="n">
        <v>1</v>
      </c>
      <c r="P232" s="47" t="n">
        <v>39479</v>
      </c>
      <c r="Q232" s="41" t="n">
        <f aca="false">IF(OR($A115="",P115=""),"",ROUND(YEARFRAC(P115,README!$C$5),1))</f>
        <v>18.5</v>
      </c>
      <c r="R232" s="40"/>
      <c r="S232" s="42" t="n">
        <v>9481</v>
      </c>
      <c r="T232" s="42" t="n">
        <v>8637</v>
      </c>
      <c r="U232" s="42" t="n">
        <v>14800</v>
      </c>
      <c r="V232" s="42" t="n">
        <v>6163</v>
      </c>
      <c r="W232" s="44" t="n">
        <v>1</v>
      </c>
      <c r="X232" s="6" t="n">
        <v>8</v>
      </c>
      <c r="Y232" s="45"/>
      <c r="Z232" s="6" t="s">
        <v>1324</v>
      </c>
      <c r="AA232" s="9" t="s">
        <v>774</v>
      </c>
      <c r="AB232" s="9" t="s">
        <v>1137</v>
      </c>
      <c r="AC232" s="27" t="n">
        <f aca="false">COUNTIF(環境認証!$A$2:$A$849,A115)</f>
        <v>1</v>
      </c>
      <c r="AD232" s="6" t="n">
        <v>71.4</v>
      </c>
      <c r="AE232" s="6" t="n">
        <v>56.1</v>
      </c>
    </row>
    <row r="233" customFormat="false" ht="15" hidden="false" customHeight="true" outlineLevel="0" collapsed="false">
      <c r="A233" s="6" t="s">
        <v>1465</v>
      </c>
      <c r="B233" s="6" t="s">
        <v>478</v>
      </c>
      <c r="C233" s="9" t="s">
        <v>1466</v>
      </c>
      <c r="D233" s="9" t="s">
        <v>761</v>
      </c>
      <c r="E233" s="36" t="s">
        <v>925</v>
      </c>
      <c r="F233" s="36" t="s">
        <v>926</v>
      </c>
      <c r="H233" s="6" t="s">
        <v>764</v>
      </c>
      <c r="I233" s="6" t="s">
        <v>1467</v>
      </c>
      <c r="K233" s="1" t="n">
        <v>1100.59</v>
      </c>
      <c r="L233" s="1" t="n">
        <v>9146.52</v>
      </c>
      <c r="M233" s="6" t="n">
        <v>260159.7</v>
      </c>
      <c r="N233" s="1" t="n">
        <v>11</v>
      </c>
      <c r="O233" s="1" t="n">
        <v>1</v>
      </c>
      <c r="P233" s="1" t="n">
        <v>32782</v>
      </c>
      <c r="Q233" s="1" t="n">
        <f aca="false">IF(OR($A386="",P386=""),"",ROUND(YEARFRAC(P386,README!$C$5),1))</f>
        <v>43.9</v>
      </c>
      <c r="S233" s="6" t="n">
        <v>222508</v>
      </c>
      <c r="T233" s="6" t="n">
        <v>221060.926</v>
      </c>
      <c r="U233" s="6" t="n">
        <v>288790</v>
      </c>
      <c r="V233" s="1" t="n">
        <f aca="false">IF($A386="","",IF(OR(T386="",U386=""),"",U386-T386))</f>
        <v>-216950.926</v>
      </c>
      <c r="W233" s="6" t="n">
        <v>0.973</v>
      </c>
      <c r="X233" s="6" t="n">
        <v>1036</v>
      </c>
      <c r="Z233" s="6" t="s">
        <v>1468</v>
      </c>
      <c r="AA233" s="9" t="s">
        <v>767</v>
      </c>
      <c r="AB233" s="9" t="s">
        <v>1469</v>
      </c>
      <c r="AC233" s="27" t="n">
        <f aca="false">COUNTIF(環境認証!$A$2:$A$849,A386)</f>
        <v>0</v>
      </c>
      <c r="AE233" s="1" t="n">
        <v>-13.8</v>
      </c>
    </row>
    <row r="234" customFormat="false" ht="15" hidden="false" customHeight="true" outlineLevel="0" collapsed="false">
      <c r="A234" s="6" t="s">
        <v>1470</v>
      </c>
      <c r="B234" s="6" t="s">
        <v>478</v>
      </c>
      <c r="C234" s="9" t="s">
        <v>1471</v>
      </c>
      <c r="D234" s="9" t="s">
        <v>761</v>
      </c>
      <c r="E234" s="9" t="s">
        <v>762</v>
      </c>
      <c r="F234" s="9" t="s">
        <v>815</v>
      </c>
      <c r="H234" s="9" t="s">
        <v>772</v>
      </c>
      <c r="J234" s="37"/>
      <c r="K234" s="38" t="n">
        <v>841.71</v>
      </c>
      <c r="L234" s="38" t="n">
        <v>7781.93</v>
      </c>
      <c r="M234" s="39" t="n">
        <v>4523.19</v>
      </c>
      <c r="N234" s="1" t="n">
        <v>12</v>
      </c>
      <c r="O234" s="1" t="n">
        <v>2</v>
      </c>
      <c r="P234" s="40" t="n">
        <v>33451</v>
      </c>
      <c r="Q234" s="41" t="str">
        <f aca="false">IF(OR($A298="",P298=""),"",ROUND(YEARFRAC(P298,README!$C$5),1))</f>
        <v/>
      </c>
      <c r="R234" s="40"/>
      <c r="S234" s="48" t="n">
        <v>1490</v>
      </c>
      <c r="T234" s="42" t="n">
        <v>3284</v>
      </c>
      <c r="U234" s="42" t="n">
        <v>4060</v>
      </c>
      <c r="V234" s="42" t="n">
        <v>776</v>
      </c>
      <c r="W234" s="44" t="n">
        <v>1</v>
      </c>
      <c r="X234" s="6" t="n">
        <v>17</v>
      </c>
      <c r="Y234" s="45"/>
      <c r="Z234" s="6" t="s">
        <v>1468</v>
      </c>
      <c r="AA234" s="9" t="s">
        <v>774</v>
      </c>
      <c r="AB234" s="6" t="s">
        <v>1472</v>
      </c>
      <c r="AC234" s="27" t="n">
        <f aca="false">COUNTIF(環境認証!$A$2:$A$849,A298)</f>
        <v>0</v>
      </c>
      <c r="AD234" s="6" t="n">
        <v>23.6</v>
      </c>
      <c r="AE234" s="1" t="n">
        <v>96.6</v>
      </c>
    </row>
    <row r="235" customFormat="false" ht="15" hidden="false" customHeight="true" outlineLevel="0" collapsed="false">
      <c r="A235" s="6" t="s">
        <v>1473</v>
      </c>
      <c r="B235" s="6" t="s">
        <v>478</v>
      </c>
      <c r="C235" s="9" t="s">
        <v>1474</v>
      </c>
      <c r="D235" s="9" t="s">
        <v>761</v>
      </c>
      <c r="E235" s="9" t="s">
        <v>762</v>
      </c>
      <c r="F235" s="9" t="s">
        <v>782</v>
      </c>
      <c r="H235" s="9" t="s">
        <v>772</v>
      </c>
      <c r="J235" s="37"/>
      <c r="K235" s="38" t="n">
        <v>4524.61</v>
      </c>
      <c r="L235" s="38" t="n">
        <v>28420.85</v>
      </c>
      <c r="M235" s="39" t="n">
        <v>4119.74</v>
      </c>
      <c r="N235" s="1" t="n">
        <v>15</v>
      </c>
      <c r="O235" s="1" t="n">
        <v>2</v>
      </c>
      <c r="P235" s="40" t="n">
        <v>34366</v>
      </c>
      <c r="Q235" s="41" t="str">
        <f aca="false">IF(OR($A299="",P299=""),"",ROUND(YEARFRAC(P299,README!$C$5),1))</f>
        <v/>
      </c>
      <c r="R235" s="40"/>
      <c r="S235" s="48" t="n">
        <v>8100</v>
      </c>
      <c r="T235" s="42" t="n">
        <v>2718</v>
      </c>
      <c r="U235" s="42" t="n">
        <v>4040</v>
      </c>
      <c r="V235" s="42" t="n">
        <v>1322</v>
      </c>
      <c r="W235" s="44" t="n">
        <v>0.864</v>
      </c>
      <c r="X235" s="6" t="n">
        <v>10</v>
      </c>
      <c r="Y235" s="45"/>
      <c r="Z235" s="6" t="s">
        <v>1468</v>
      </c>
      <c r="AA235" s="9" t="s">
        <v>774</v>
      </c>
      <c r="AB235" s="6" t="s">
        <v>1475</v>
      </c>
      <c r="AC235" s="27" t="n">
        <f aca="false">COUNTIF(環境認証!$A$2:$A$849,A299)</f>
        <v>1</v>
      </c>
      <c r="AD235" s="6" t="n">
        <v>48.6</v>
      </c>
      <c r="AE235" s="1" t="n">
        <v>70.4</v>
      </c>
    </row>
    <row r="236" customFormat="false" ht="15" hidden="false" customHeight="true" outlineLevel="0" collapsed="false">
      <c r="A236" s="6" t="s">
        <v>1476</v>
      </c>
      <c r="B236" s="6" t="s">
        <v>478</v>
      </c>
      <c r="C236" s="9" t="s">
        <v>1477</v>
      </c>
      <c r="D236" s="9" t="s">
        <v>761</v>
      </c>
      <c r="E236" s="9" t="s">
        <v>762</v>
      </c>
      <c r="F236" s="9" t="s">
        <v>815</v>
      </c>
      <c r="H236" s="9" t="s">
        <v>772</v>
      </c>
      <c r="J236" s="37"/>
      <c r="K236" s="38" t="n">
        <v>2047.22</v>
      </c>
      <c r="L236" s="38" t="n">
        <v>14706.36</v>
      </c>
      <c r="M236" s="39" t="n">
        <v>1925.24</v>
      </c>
      <c r="N236" s="1" t="n">
        <v>12</v>
      </c>
      <c r="O236" s="1" t="n">
        <v>1</v>
      </c>
      <c r="P236" s="40" t="n">
        <v>34669</v>
      </c>
      <c r="Q236" s="41" t="str">
        <f aca="false">IF(OR($A300="",P300=""),"",ROUND(YEARFRAC(P300,README!$C$5),1))</f>
        <v/>
      </c>
      <c r="R236" s="40"/>
      <c r="S236" s="48" t="n">
        <v>3188</v>
      </c>
      <c r="T236" s="42" t="n">
        <v>1927</v>
      </c>
      <c r="U236" s="42" t="n">
        <v>3130</v>
      </c>
      <c r="V236" s="42" t="n">
        <v>1203</v>
      </c>
      <c r="W236" s="44" t="n">
        <v>0.919</v>
      </c>
      <c r="X236" s="6" t="n">
        <v>12</v>
      </c>
      <c r="Y236" s="45"/>
      <c r="Z236" s="6" t="s">
        <v>1468</v>
      </c>
      <c r="AA236" s="9" t="s">
        <v>774</v>
      </c>
      <c r="AB236" s="6" t="s">
        <v>1478</v>
      </c>
      <c r="AC236" s="27" t="n">
        <f aca="false">COUNTIF(環境認証!$A$2:$A$849,A300)</f>
        <v>0</v>
      </c>
      <c r="AD236" s="6" t="n">
        <v>62.4</v>
      </c>
      <c r="AE236" s="1" t="n">
        <v>46.8</v>
      </c>
    </row>
    <row r="237" customFormat="false" ht="15" hidden="false" customHeight="true" outlineLevel="0" collapsed="false">
      <c r="A237" s="6" t="s">
        <v>1479</v>
      </c>
      <c r="B237" s="6" t="s">
        <v>478</v>
      </c>
      <c r="C237" s="9" t="s">
        <v>1480</v>
      </c>
      <c r="D237" s="9" t="s">
        <v>761</v>
      </c>
      <c r="E237" s="9" t="s">
        <v>762</v>
      </c>
      <c r="F237" s="9" t="s">
        <v>763</v>
      </c>
      <c r="H237" s="9" t="s">
        <v>772</v>
      </c>
      <c r="J237" s="37"/>
      <c r="K237" s="38" t="n">
        <v>9377.28</v>
      </c>
      <c r="L237" s="38" t="n">
        <v>91280.94</v>
      </c>
      <c r="M237" s="39" t="n">
        <v>2080.37</v>
      </c>
      <c r="N237" s="1" t="n">
        <v>42</v>
      </c>
      <c r="O237" s="1" t="n">
        <v>3</v>
      </c>
      <c r="P237" s="40" t="n">
        <v>39083</v>
      </c>
      <c r="Q237" s="41" t="str">
        <f aca="false">IF(OR($A301="",P301=""),"",ROUND(YEARFRAC(P301,README!$C$5),1))</f>
        <v/>
      </c>
      <c r="R237" s="40"/>
      <c r="S237" s="48" t="n">
        <v>13131</v>
      </c>
      <c r="T237" s="42" t="n">
        <v>1527</v>
      </c>
      <c r="U237" s="42" t="n">
        <v>2300</v>
      </c>
      <c r="V237" s="42" t="n">
        <v>773</v>
      </c>
      <c r="W237" s="44" t="n">
        <v>0.794</v>
      </c>
      <c r="X237" s="6" t="n">
        <v>4</v>
      </c>
      <c r="Y237" s="45"/>
      <c r="Z237" s="6" t="s">
        <v>1468</v>
      </c>
      <c r="AA237" s="9" t="s">
        <v>774</v>
      </c>
      <c r="AB237" s="6" t="s">
        <v>1481</v>
      </c>
      <c r="AC237" s="27" t="n">
        <f aca="false">COUNTIF(環境認証!$A$2:$A$849,A301)</f>
        <v>0</v>
      </c>
      <c r="AD237" s="6" t="n">
        <v>50.6</v>
      </c>
      <c r="AE237" s="1" t="n">
        <v>47.7</v>
      </c>
    </row>
    <row r="238" customFormat="false" ht="15" hidden="false" customHeight="true" outlineLevel="0" collapsed="false">
      <c r="A238" s="6" t="s">
        <v>1482</v>
      </c>
      <c r="B238" s="6" t="s">
        <v>478</v>
      </c>
      <c r="C238" s="9" t="s">
        <v>1483</v>
      </c>
      <c r="D238" s="9" t="s">
        <v>761</v>
      </c>
      <c r="E238" s="9" t="s">
        <v>762</v>
      </c>
      <c r="F238" s="9" t="s">
        <v>782</v>
      </c>
      <c r="H238" s="9" t="s">
        <v>772</v>
      </c>
      <c r="K238" s="1" t="n">
        <v>12011</v>
      </c>
      <c r="L238" s="1" t="n">
        <v>185974.87</v>
      </c>
      <c r="M238" s="6" t="n">
        <v>1940.65</v>
      </c>
      <c r="N238" s="1" t="n">
        <v>27</v>
      </c>
      <c r="O238" s="1" t="n">
        <v>3</v>
      </c>
      <c r="P238" s="1" t="n">
        <v>35490</v>
      </c>
      <c r="Q238" s="1" t="str">
        <f aca="false">IF(OR($A302="",P302=""),"",ROUND(YEARFRAC(P302,README!$C$5),1))</f>
        <v/>
      </c>
      <c r="S238" s="1" t="n">
        <v>6510</v>
      </c>
      <c r="T238" s="6" t="n">
        <v>1435</v>
      </c>
      <c r="U238" s="6" t="n">
        <v>2090</v>
      </c>
      <c r="V238" s="6" t="n">
        <v>655</v>
      </c>
      <c r="W238" s="6" t="n">
        <v>0.808</v>
      </c>
      <c r="X238" s="6" t="n">
        <v>4</v>
      </c>
      <c r="Z238" s="6" t="s">
        <v>1468</v>
      </c>
      <c r="AA238" s="9" t="s">
        <v>774</v>
      </c>
      <c r="AB238" s="6" t="s">
        <v>1484</v>
      </c>
      <c r="AC238" s="27" t="n">
        <f aca="false">COUNTIF(環境認証!$A$2:$A$849,A302)</f>
        <v>0</v>
      </c>
      <c r="AD238" s="6" t="n">
        <v>45.6</v>
      </c>
      <c r="AE238" s="1" t="n">
        <v>-4.6</v>
      </c>
    </row>
    <row r="239" customFormat="false" ht="15" hidden="false" customHeight="true" outlineLevel="0" collapsed="false">
      <c r="A239" s="6" t="s">
        <v>1485</v>
      </c>
      <c r="B239" s="6" t="s">
        <v>478</v>
      </c>
      <c r="C239" s="9" t="s">
        <v>1486</v>
      </c>
      <c r="D239" s="9" t="s">
        <v>761</v>
      </c>
      <c r="E239" s="9" t="s">
        <v>762</v>
      </c>
      <c r="F239" s="9" t="s">
        <v>815</v>
      </c>
      <c r="H239" s="9" t="s">
        <v>772</v>
      </c>
      <c r="K239" s="1" t="n">
        <v>27335.29</v>
      </c>
      <c r="L239" s="1" t="n">
        <v>257842.41</v>
      </c>
      <c r="M239" s="6" t="n">
        <v>1321.54</v>
      </c>
      <c r="N239" s="1" t="n">
        <v>45</v>
      </c>
      <c r="O239" s="1" t="n">
        <v>2</v>
      </c>
      <c r="P239" s="1" t="n">
        <v>38749</v>
      </c>
      <c r="Q239" s="1" t="str">
        <f aca="false">IF(OR($A303="",P303=""),"",ROUND(YEARFRAC(P303,README!$C$5),1))</f>
        <v/>
      </c>
      <c r="S239" s="1" t="n">
        <v>31300</v>
      </c>
      <c r="T239" s="6" t="n">
        <v>1416</v>
      </c>
      <c r="U239" s="6" t="n">
        <v>2150</v>
      </c>
      <c r="V239" s="6" t="n">
        <v>734</v>
      </c>
      <c r="W239" s="6" t="n">
        <v>0.866</v>
      </c>
      <c r="X239" s="6" t="n">
        <v>5</v>
      </c>
      <c r="Z239" s="6" t="s">
        <v>1468</v>
      </c>
      <c r="AA239" s="9" t="s">
        <v>774</v>
      </c>
      <c r="AB239" s="6" t="s">
        <v>1487</v>
      </c>
      <c r="AC239" s="27" t="n">
        <f aca="false">COUNTIF(環境認証!$A$2:$A$849,A303)</f>
        <v>0</v>
      </c>
      <c r="AD239" s="6" t="n">
        <v>51.8</v>
      </c>
      <c r="AE239" s="1" t="n">
        <v>29.1</v>
      </c>
    </row>
    <row r="240" customFormat="false" ht="15" hidden="false" customHeight="true" outlineLevel="0" collapsed="false">
      <c r="A240" s="6" t="s">
        <v>1488</v>
      </c>
      <c r="B240" s="6" t="s">
        <v>478</v>
      </c>
      <c r="C240" s="9" t="s">
        <v>1489</v>
      </c>
      <c r="D240" s="9" t="s">
        <v>761</v>
      </c>
      <c r="E240" s="9" t="s">
        <v>762</v>
      </c>
      <c r="F240" s="9" t="s">
        <v>782</v>
      </c>
      <c r="H240" s="9" t="s">
        <v>772</v>
      </c>
      <c r="K240" s="1" t="n">
        <v>1110.28</v>
      </c>
      <c r="L240" s="1" t="n">
        <v>8772.51</v>
      </c>
      <c r="M240" s="6" t="n">
        <v>1602.29</v>
      </c>
      <c r="N240" s="1" t="n">
        <v>9</v>
      </c>
      <c r="O240" s="1" t="n">
        <v>1</v>
      </c>
      <c r="P240" s="1" t="n">
        <v>29707</v>
      </c>
      <c r="Q240" s="1" t="str">
        <f aca="false">IF(OR($A304="",P304=""),"",ROUND(YEARFRAC(P304,README!$C$5),1))</f>
        <v/>
      </c>
      <c r="S240" s="1" t="n">
        <v>7000</v>
      </c>
      <c r="T240" s="6" t="n">
        <v>1144</v>
      </c>
      <c r="U240" s="6" t="n">
        <v>1320</v>
      </c>
      <c r="V240" s="6" t="n">
        <v>176</v>
      </c>
      <c r="W240" s="6" t="n">
        <v>0.863</v>
      </c>
      <c r="X240" s="6" t="n">
        <v>2</v>
      </c>
      <c r="Z240" s="6" t="s">
        <v>1468</v>
      </c>
      <c r="AA240" s="9" t="s">
        <v>774</v>
      </c>
      <c r="AB240" s="6" t="s">
        <v>1490</v>
      </c>
      <c r="AC240" s="27" t="n">
        <f aca="false">COUNTIF(環境認証!$A$2:$A$849,A304)</f>
        <v>0</v>
      </c>
      <c r="AD240" s="6" t="n">
        <v>15.4</v>
      </c>
      <c r="AE240" s="1" t="n">
        <v>51.4</v>
      </c>
    </row>
    <row r="241" customFormat="false" ht="15" hidden="false" customHeight="true" outlineLevel="0" collapsed="false">
      <c r="A241" s="6" t="s">
        <v>1491</v>
      </c>
      <c r="B241" s="6" t="s">
        <v>478</v>
      </c>
      <c r="C241" s="9" t="s">
        <v>1492</v>
      </c>
      <c r="D241" s="9" t="s">
        <v>761</v>
      </c>
      <c r="E241" s="9" t="s">
        <v>762</v>
      </c>
      <c r="F241" s="9" t="s">
        <v>815</v>
      </c>
      <c r="H241" s="9" t="s">
        <v>772</v>
      </c>
      <c r="K241" s="1" t="n">
        <v>2268.09</v>
      </c>
      <c r="L241" s="1" t="n">
        <v>9203.98</v>
      </c>
      <c r="M241" s="6" t="n">
        <v>1484.39</v>
      </c>
      <c r="N241" s="1" t="n">
        <v>9</v>
      </c>
      <c r="O241" s="1" t="n">
        <v>0</v>
      </c>
      <c r="P241" s="1" t="n">
        <v>39845</v>
      </c>
      <c r="Q241" s="1" t="str">
        <f aca="false">IF(OR($A305="",P305=""),"",ROUND(YEARFRAC(P305,README!$C$5),1))</f>
        <v/>
      </c>
      <c r="S241" s="1" t="n">
        <v>6090</v>
      </c>
      <c r="T241" s="6" t="n">
        <v>1887</v>
      </c>
      <c r="U241" s="6" t="n">
        <v>2910</v>
      </c>
      <c r="V241" s="6" t="n">
        <v>1023</v>
      </c>
      <c r="W241" s="6" t="n">
        <v>1</v>
      </c>
      <c r="X241" s="6" t="n">
        <v>7</v>
      </c>
      <c r="Z241" s="6" t="s">
        <v>1468</v>
      </c>
      <c r="AA241" s="9" t="s">
        <v>774</v>
      </c>
      <c r="AB241" s="6" t="s">
        <v>1493</v>
      </c>
      <c r="AC241" s="27" t="n">
        <f aca="false">COUNTIF(環境認証!$A$2:$A$849,A305)</f>
        <v>0</v>
      </c>
      <c r="AD241" s="6" t="n">
        <v>54.2</v>
      </c>
      <c r="AE241" s="1" t="n">
        <v>87.2</v>
      </c>
    </row>
    <row r="242" customFormat="false" ht="15" hidden="false" customHeight="true" outlineLevel="0" collapsed="false">
      <c r="A242" s="6" t="s">
        <v>1494</v>
      </c>
      <c r="B242" s="6" t="s">
        <v>478</v>
      </c>
      <c r="C242" s="9" t="s">
        <v>1495</v>
      </c>
      <c r="D242" s="9" t="s">
        <v>761</v>
      </c>
      <c r="E242" s="9" t="s">
        <v>762</v>
      </c>
      <c r="F242" s="9" t="s">
        <v>820</v>
      </c>
      <c r="H242" s="9" t="s">
        <v>772</v>
      </c>
      <c r="K242" s="1" t="n">
        <v>20054.15</v>
      </c>
      <c r="L242" s="1" t="n">
        <v>158663.55</v>
      </c>
      <c r="M242" s="6" t="n">
        <v>1363.22</v>
      </c>
      <c r="N242" s="1" t="n">
        <v>23</v>
      </c>
      <c r="O242" s="1" t="n">
        <v>2</v>
      </c>
      <c r="P242" s="1" t="n">
        <v>34060</v>
      </c>
      <c r="Q242" s="1" t="str">
        <f aca="false">IF(OR($A306="",P306=""),"",ROUND(YEARFRAC(P306,README!$C$5),1))</f>
        <v/>
      </c>
      <c r="S242" s="1" t="n">
        <v>13870</v>
      </c>
      <c r="T242" s="6" t="n">
        <v>1829</v>
      </c>
      <c r="U242" s="6" t="n">
        <v>2580</v>
      </c>
      <c r="V242" s="6" t="n">
        <v>751</v>
      </c>
      <c r="W242" s="6" t="n">
        <v>1</v>
      </c>
      <c r="X242" s="6" t="n">
        <v>26</v>
      </c>
      <c r="Z242" s="6" t="s">
        <v>1468</v>
      </c>
      <c r="AA242" s="9" t="s">
        <v>774</v>
      </c>
      <c r="AB242" s="6" t="s">
        <v>1496</v>
      </c>
      <c r="AC242" s="27" t="n">
        <f aca="false">COUNTIF(環境認証!$A$2:$A$849,A306)</f>
        <v>1</v>
      </c>
      <c r="AD242" s="6" t="n">
        <v>41.1</v>
      </c>
      <c r="AE242" s="1" t="n">
        <v>-3.4</v>
      </c>
    </row>
    <row r="243" customFormat="false" ht="15" hidden="false" customHeight="true" outlineLevel="0" collapsed="false">
      <c r="A243" s="6" t="s">
        <v>1497</v>
      </c>
      <c r="B243" s="6" t="s">
        <v>478</v>
      </c>
      <c r="C243" s="9" t="s">
        <v>1498</v>
      </c>
      <c r="D243" s="9" t="s">
        <v>761</v>
      </c>
      <c r="E243" s="9" t="s">
        <v>762</v>
      </c>
      <c r="F243" s="9" t="s">
        <v>763</v>
      </c>
      <c r="H243" s="9" t="s">
        <v>772</v>
      </c>
      <c r="K243" s="1" t="n">
        <v>6045.05</v>
      </c>
      <c r="L243" s="1" t="n">
        <v>37870.65</v>
      </c>
      <c r="M243" s="6" t="n">
        <v>1378.83</v>
      </c>
      <c r="N243" s="1" t="n">
        <v>10</v>
      </c>
      <c r="O243" s="1" t="n">
        <v>2</v>
      </c>
      <c r="P243" s="1" t="n">
        <v>40969</v>
      </c>
      <c r="Q243" s="1" t="str">
        <f aca="false">IF(OR($A307="",P307=""),"",ROUND(YEARFRAC(P307,README!$C$5),1))</f>
        <v/>
      </c>
      <c r="S243" s="1" t="n">
        <v>52907</v>
      </c>
      <c r="T243" s="6" t="n">
        <v>1139</v>
      </c>
      <c r="U243" s="6" t="n">
        <v>1550</v>
      </c>
      <c r="V243" s="6" t="n">
        <v>411</v>
      </c>
      <c r="W243" s="6" t="n">
        <v>1</v>
      </c>
      <c r="X243" s="6" t="n">
        <v>10</v>
      </c>
      <c r="Z243" s="6" t="s">
        <v>1468</v>
      </c>
      <c r="AA243" s="9" t="s">
        <v>774</v>
      </c>
      <c r="AB243" s="6" t="s">
        <v>1499</v>
      </c>
      <c r="AC243" s="27" t="n">
        <f aca="false">COUNTIF(環境認証!$A$2:$A$849,A307)</f>
        <v>0</v>
      </c>
      <c r="AD243" s="6" t="n">
        <v>36.1</v>
      </c>
      <c r="AE243" s="1" t="n">
        <v>10.8</v>
      </c>
    </row>
    <row r="244" customFormat="false" ht="15" hidden="false" customHeight="true" outlineLevel="0" collapsed="false">
      <c r="A244" s="6" t="s">
        <v>1500</v>
      </c>
      <c r="B244" s="6" t="s">
        <v>478</v>
      </c>
      <c r="C244" s="9" t="s">
        <v>1501</v>
      </c>
      <c r="D244" s="9" t="s">
        <v>761</v>
      </c>
      <c r="E244" s="9" t="s">
        <v>762</v>
      </c>
      <c r="F244" s="9" t="s">
        <v>763</v>
      </c>
      <c r="H244" s="9" t="s">
        <v>772</v>
      </c>
      <c r="K244" s="1" t="n">
        <v>12326.3</v>
      </c>
      <c r="L244" s="1" t="n">
        <v>80675.27</v>
      </c>
      <c r="M244" s="6" t="n">
        <v>1926.88</v>
      </c>
      <c r="N244" s="1" t="n">
        <v>17</v>
      </c>
      <c r="O244" s="1" t="n">
        <v>2</v>
      </c>
      <c r="P244" s="1" t="n">
        <v>34731</v>
      </c>
      <c r="Q244" s="1" t="str">
        <f aca="false">IF(OR($A308="",P308=""),"",ROUND(YEARFRAC(P308,README!$C$5),1))</f>
        <v/>
      </c>
      <c r="S244" s="1" t="n">
        <v>10200</v>
      </c>
      <c r="T244" s="6" t="n">
        <v>1871</v>
      </c>
      <c r="U244" s="6" t="n">
        <v>2840</v>
      </c>
      <c r="V244" s="6" t="n">
        <v>969</v>
      </c>
      <c r="W244" s="6" t="n">
        <v>0.927</v>
      </c>
      <c r="X244" s="6" t="n">
        <v>9</v>
      </c>
      <c r="Z244" s="6" t="s">
        <v>1468</v>
      </c>
      <c r="AA244" s="9" t="s">
        <v>774</v>
      </c>
      <c r="AB244" s="6" t="s">
        <v>1502</v>
      </c>
      <c r="AC244" s="27" t="n">
        <f aca="false">COUNTIF(環境認証!$A$2:$A$849,A308)</f>
        <v>0</v>
      </c>
      <c r="AD244" s="6" t="n">
        <v>51.8</v>
      </c>
      <c r="AE244" s="1" t="n">
        <v>9.8</v>
      </c>
    </row>
    <row r="245" customFormat="false" ht="15" hidden="false" customHeight="true" outlineLevel="0" collapsed="false">
      <c r="A245" s="6" t="s">
        <v>1503</v>
      </c>
      <c r="B245" s="6" t="s">
        <v>478</v>
      </c>
      <c r="C245" s="9" t="s">
        <v>1504</v>
      </c>
      <c r="D245" s="9" t="s">
        <v>761</v>
      </c>
      <c r="E245" s="9" t="s">
        <v>762</v>
      </c>
      <c r="F245" s="9" t="s">
        <v>820</v>
      </c>
      <c r="H245" s="9" t="s">
        <v>772</v>
      </c>
      <c r="K245" s="1" t="n">
        <v>15008.28</v>
      </c>
      <c r="L245" s="1" t="n">
        <v>48321.96</v>
      </c>
      <c r="M245" s="6" t="n">
        <v>2397.73</v>
      </c>
      <c r="N245" s="1" t="n">
        <v>10</v>
      </c>
      <c r="O245" s="1" t="n">
        <v>2</v>
      </c>
      <c r="P245" s="1" t="n">
        <v>38718</v>
      </c>
      <c r="Q245" s="1" t="str">
        <f aca="false">IF(OR($A309="",P309=""),"",ROUND(YEARFRAC(P309,README!$C$5),1))</f>
        <v/>
      </c>
      <c r="S245" s="1" t="n">
        <v>2100</v>
      </c>
      <c r="T245" s="6" t="n">
        <v>1119</v>
      </c>
      <c r="U245" s="6" t="n">
        <v>1800</v>
      </c>
      <c r="V245" s="6" t="n">
        <v>681</v>
      </c>
      <c r="W245" s="6" t="n">
        <v>1</v>
      </c>
      <c r="X245" s="6" t="n">
        <v>6</v>
      </c>
      <c r="Z245" s="6" t="s">
        <v>1468</v>
      </c>
      <c r="AA245" s="9" t="s">
        <v>774</v>
      </c>
      <c r="AB245" s="6" t="s">
        <v>1505</v>
      </c>
      <c r="AC245" s="27" t="n">
        <f aca="false">COUNTIF(環境認証!$A$2:$A$849,A309)</f>
        <v>0</v>
      </c>
      <c r="AD245" s="6" t="n">
        <v>60.9</v>
      </c>
      <c r="AE245" s="1" t="n">
        <v>68.1</v>
      </c>
    </row>
    <row r="246" customFormat="false" ht="15" hidden="false" customHeight="true" outlineLevel="0" collapsed="false">
      <c r="A246" s="6" t="s">
        <v>1506</v>
      </c>
      <c r="B246" s="6" t="s">
        <v>478</v>
      </c>
      <c r="C246" s="9" t="s">
        <v>1507</v>
      </c>
      <c r="D246" s="9" t="s">
        <v>761</v>
      </c>
      <c r="E246" s="9" t="s">
        <v>762</v>
      </c>
      <c r="F246" s="9" t="s">
        <v>848</v>
      </c>
      <c r="H246" s="9" t="s">
        <v>882</v>
      </c>
      <c r="K246" s="1" t="n">
        <v>4757.09</v>
      </c>
      <c r="L246" s="1" t="n">
        <v>18394.32</v>
      </c>
      <c r="M246" s="6" t="n">
        <v>5346.39</v>
      </c>
      <c r="N246" s="1" t="n">
        <v>6</v>
      </c>
      <c r="O246" s="1" t="n">
        <v>1</v>
      </c>
      <c r="P246" s="1" t="n">
        <v>30376</v>
      </c>
      <c r="Q246" s="1" t="str">
        <f aca="false">IF(OR($A310="",P310=""),"",ROUND(YEARFRAC(P310,README!$C$5),1))</f>
        <v/>
      </c>
      <c r="S246" s="1" t="n">
        <v>7254</v>
      </c>
      <c r="T246" s="6" t="n">
        <v>4740</v>
      </c>
      <c r="U246" s="6" t="n">
        <v>6970</v>
      </c>
      <c r="V246" s="6" t="n">
        <v>2230</v>
      </c>
      <c r="W246" s="6" t="n">
        <v>0.945</v>
      </c>
      <c r="X246" s="6" t="n">
        <v>15</v>
      </c>
      <c r="Z246" s="6" t="s">
        <v>1468</v>
      </c>
      <c r="AA246" s="9" t="s">
        <v>774</v>
      </c>
      <c r="AB246" s="6" t="s">
        <v>1508</v>
      </c>
      <c r="AC246" s="27" t="n">
        <f aca="false">COUNTIF(環境認証!$A$2:$A$849,A310)</f>
        <v>0</v>
      </c>
      <c r="AD246" s="6" t="n">
        <v>47</v>
      </c>
      <c r="AE246" s="1" t="n">
        <v>-26.2</v>
      </c>
    </row>
    <row r="247" customFormat="false" ht="15" hidden="false" customHeight="true" outlineLevel="0" collapsed="false">
      <c r="A247" s="6" t="s">
        <v>1509</v>
      </c>
      <c r="B247" s="6" t="s">
        <v>478</v>
      </c>
      <c r="C247" s="9" t="s">
        <v>1510</v>
      </c>
      <c r="D247" s="9" t="s">
        <v>761</v>
      </c>
      <c r="E247" s="9" t="s">
        <v>925</v>
      </c>
      <c r="F247" s="9" t="s">
        <v>926</v>
      </c>
      <c r="H247" s="9" t="s">
        <v>921</v>
      </c>
      <c r="K247" s="1" t="n">
        <v>8317.99</v>
      </c>
      <c r="L247" s="1" t="n">
        <v>28930.36</v>
      </c>
      <c r="M247" s="6" t="n">
        <v>4097.85</v>
      </c>
      <c r="N247" s="1" t="n">
        <v>4</v>
      </c>
      <c r="O247" s="1" t="n">
        <v>1</v>
      </c>
      <c r="P247" s="1" t="n">
        <v>38626</v>
      </c>
      <c r="Q247" s="1" t="str">
        <f aca="false">IF(OR($A311="",P311=""),"",ROUND(YEARFRAC(P311,README!$C$5),1))</f>
        <v/>
      </c>
      <c r="S247" s="1" t="n">
        <v>4335</v>
      </c>
      <c r="T247" s="6" t="n">
        <v>1690</v>
      </c>
      <c r="U247" s="6" t="n">
        <v>1930</v>
      </c>
      <c r="V247" s="6" t="n">
        <v>240</v>
      </c>
      <c r="W247" s="6" t="n">
        <v>0.814</v>
      </c>
      <c r="X247" s="6" t="n">
        <v>12</v>
      </c>
      <c r="Z247" s="6" t="s">
        <v>1468</v>
      </c>
      <c r="AA247" s="9" t="s">
        <v>774</v>
      </c>
      <c r="AB247" s="6" t="s">
        <v>1511</v>
      </c>
      <c r="AC247" s="27" t="n">
        <f aca="false">COUNTIF(環境認証!$A$2:$A$849,A311)</f>
        <v>0</v>
      </c>
      <c r="AD247" s="6" t="n">
        <v>14.2</v>
      </c>
      <c r="AE247" s="1" t="n">
        <v>0.3</v>
      </c>
    </row>
    <row r="248" customFormat="false" ht="15" hidden="false" customHeight="true" outlineLevel="0" collapsed="false">
      <c r="A248" s="6" t="s">
        <v>1512</v>
      </c>
      <c r="B248" s="6" t="s">
        <v>478</v>
      </c>
      <c r="C248" s="9" t="s">
        <v>1513</v>
      </c>
      <c r="D248" s="9" t="s">
        <v>761</v>
      </c>
      <c r="E248" s="9" t="s">
        <v>762</v>
      </c>
      <c r="F248" s="9" t="s">
        <v>911</v>
      </c>
      <c r="H248" s="9" t="s">
        <v>882</v>
      </c>
      <c r="K248" s="1" t="n">
        <v>4475.45</v>
      </c>
      <c r="L248" s="1" t="n">
        <v>36902.01</v>
      </c>
      <c r="M248" s="6" t="n">
        <v>1491.5</v>
      </c>
      <c r="N248" s="1" t="n">
        <v>11</v>
      </c>
      <c r="O248" s="1" t="n">
        <v>2</v>
      </c>
      <c r="P248" s="1" t="n">
        <v>37834</v>
      </c>
      <c r="Q248" s="1" t="str">
        <f aca="false">IF(OR($A312="",P312=""),"",ROUND(YEARFRAC(P312,README!$C$5),1))</f>
        <v/>
      </c>
      <c r="S248" s="1" t="n">
        <v>15080</v>
      </c>
      <c r="T248" s="6" t="n">
        <v>1329</v>
      </c>
      <c r="U248" s="6" t="n">
        <v>2360</v>
      </c>
      <c r="V248" s="6" t="n">
        <v>1031</v>
      </c>
      <c r="W248" s="6" t="n">
        <v>1</v>
      </c>
      <c r="X248" s="6" t="n">
        <v>8</v>
      </c>
      <c r="Z248" s="6" t="s">
        <v>1468</v>
      </c>
      <c r="AA248" s="9" t="s">
        <v>774</v>
      </c>
      <c r="AB248" s="6" t="s">
        <v>1514</v>
      </c>
      <c r="AC248" s="27" t="n">
        <f aca="false">COUNTIF(環境認証!$A$2:$A$849,A312)</f>
        <v>0</v>
      </c>
      <c r="AD248" s="6" t="n">
        <v>77.6</v>
      </c>
      <c r="AE248" s="1" t="n">
        <v>-21.1</v>
      </c>
    </row>
    <row r="249" customFormat="false" ht="15" hidden="false" customHeight="true" outlineLevel="0" collapsed="false">
      <c r="A249" s="6" t="s">
        <v>1515</v>
      </c>
      <c r="B249" s="6" t="s">
        <v>478</v>
      </c>
      <c r="C249" s="9" t="s">
        <v>1516</v>
      </c>
      <c r="D249" s="9" t="s">
        <v>761</v>
      </c>
      <c r="E249" s="9" t="s">
        <v>762</v>
      </c>
      <c r="F249" s="9" t="s">
        <v>1152</v>
      </c>
      <c r="H249" s="9" t="s">
        <v>882</v>
      </c>
      <c r="K249" s="1" t="n">
        <v>383.74</v>
      </c>
      <c r="L249" s="1" t="n">
        <v>2235.6</v>
      </c>
      <c r="M249" s="6" t="n">
        <v>1264.11</v>
      </c>
      <c r="N249" s="1" t="n">
        <v>10</v>
      </c>
      <c r="O249" s="1" t="n">
        <v>1</v>
      </c>
      <c r="P249" s="1" t="n">
        <v>42917</v>
      </c>
      <c r="Q249" s="1" t="str">
        <f aca="false">IF(OR($A313="",P313=""),"",ROUND(YEARFRAC(P313,README!$C$5),1))</f>
        <v/>
      </c>
      <c r="S249" s="1" t="n">
        <v>3800</v>
      </c>
      <c r="T249" s="6" t="n">
        <v>700</v>
      </c>
      <c r="U249" s="6" t="n">
        <v>1080</v>
      </c>
      <c r="V249" s="6" t="n">
        <v>380</v>
      </c>
      <c r="W249" s="6" t="n">
        <v>1</v>
      </c>
      <c r="X249" s="6" t="n">
        <v>7</v>
      </c>
      <c r="Z249" s="6" t="s">
        <v>1468</v>
      </c>
      <c r="AA249" s="9" t="s">
        <v>774</v>
      </c>
      <c r="AB249" s="6" t="s">
        <v>1517</v>
      </c>
      <c r="AC249" s="27" t="n">
        <f aca="false">COUNTIF(環境認証!$A$2:$A$849,A313)</f>
        <v>1</v>
      </c>
      <c r="AD249" s="6" t="n">
        <v>54.3</v>
      </c>
      <c r="AE249" s="1" t="n">
        <v>13.7</v>
      </c>
    </row>
    <row r="250" customFormat="false" ht="15" hidden="false" customHeight="true" outlineLevel="0" collapsed="false">
      <c r="A250" s="6" t="s">
        <v>1518</v>
      </c>
      <c r="B250" s="6" t="s">
        <v>478</v>
      </c>
      <c r="C250" s="9" t="s">
        <v>1519</v>
      </c>
      <c r="D250" s="9" t="s">
        <v>761</v>
      </c>
      <c r="E250" s="9" t="s">
        <v>762</v>
      </c>
      <c r="F250" s="9" t="s">
        <v>881</v>
      </c>
      <c r="H250" s="9" t="s">
        <v>882</v>
      </c>
      <c r="K250" s="1" t="n">
        <v>508.24</v>
      </c>
      <c r="L250" s="1" t="n">
        <v>3738.15</v>
      </c>
      <c r="M250" s="6" t="n">
        <v>2605.54</v>
      </c>
      <c r="N250" s="1" t="n">
        <v>10</v>
      </c>
      <c r="O250" s="1" t="n">
        <v>0</v>
      </c>
      <c r="P250" s="1" t="n">
        <v>45323</v>
      </c>
      <c r="Q250" s="1" t="str">
        <f aca="false">IF(OR($A314="",P314=""),"",ROUND(YEARFRAC(P314,README!$C$5),1))</f>
        <v/>
      </c>
      <c r="S250" s="1" t="n">
        <v>8010</v>
      </c>
      <c r="T250" s="6" t="n">
        <v>1400</v>
      </c>
      <c r="U250" s="6" t="n">
        <v>1850</v>
      </c>
      <c r="V250" s="6" t="n">
        <v>450</v>
      </c>
      <c r="W250" s="6" t="n">
        <v>1</v>
      </c>
      <c r="X250" s="6" t="n">
        <v>11</v>
      </c>
      <c r="Z250" s="6" t="s">
        <v>1468</v>
      </c>
      <c r="AA250" s="9" t="s">
        <v>774</v>
      </c>
      <c r="AB250" s="6" t="s">
        <v>1520</v>
      </c>
      <c r="AC250" s="27" t="n">
        <f aca="false">COUNTIF(環境認証!$A$2:$A$849,A314)</f>
        <v>0</v>
      </c>
      <c r="AD250" s="6" t="n">
        <v>32.1</v>
      </c>
      <c r="AE250" s="1" t="n">
        <v>7.1</v>
      </c>
    </row>
    <row r="251" customFormat="false" ht="15" hidden="false" customHeight="true" outlineLevel="0" collapsed="false">
      <c r="A251" s="6" t="s">
        <v>1521</v>
      </c>
      <c r="B251" s="6" t="s">
        <v>478</v>
      </c>
      <c r="C251" s="9" t="s">
        <v>1522</v>
      </c>
      <c r="D251" s="9" t="s">
        <v>761</v>
      </c>
      <c r="E251" s="9" t="s">
        <v>762</v>
      </c>
      <c r="F251" s="9" t="s">
        <v>905</v>
      </c>
      <c r="H251" s="9" t="s">
        <v>882</v>
      </c>
      <c r="K251" s="1" t="n">
        <v>694.1</v>
      </c>
      <c r="L251" s="1" t="n">
        <v>3668.1</v>
      </c>
      <c r="M251" s="6" t="n">
        <v>2385.69</v>
      </c>
      <c r="N251" s="1" t="n">
        <v>14</v>
      </c>
      <c r="O251" s="1" t="n">
        <v>0</v>
      </c>
      <c r="P251" s="1" t="n">
        <v>43313</v>
      </c>
      <c r="Q251" s="1" t="str">
        <f aca="false">IF(OR($A315="",P315=""),"",ROUND(YEARFRAC(P315,README!$C$5),1))</f>
        <v/>
      </c>
      <c r="S251" s="1" t="n">
        <v>6700</v>
      </c>
      <c r="T251" s="6" t="n">
        <v>1942</v>
      </c>
      <c r="U251" s="6" t="n">
        <v>2700</v>
      </c>
      <c r="V251" s="6" t="n">
        <v>758</v>
      </c>
      <c r="W251" s="6" t="n">
        <v>1</v>
      </c>
      <c r="X251" s="6" t="n">
        <v>6</v>
      </c>
      <c r="Z251" s="6" t="s">
        <v>1468</v>
      </c>
      <c r="AA251" s="9" t="s">
        <v>774</v>
      </c>
      <c r="AB251" s="6" t="s">
        <v>1523</v>
      </c>
      <c r="AC251" s="27" t="n">
        <f aca="false">COUNTIF(環境認証!$A$2:$A$849,A315)</f>
        <v>0</v>
      </c>
      <c r="AD251" s="6" t="n">
        <v>39</v>
      </c>
      <c r="AE251" s="1" t="n">
        <v>10.3</v>
      </c>
    </row>
    <row r="252" customFormat="false" ht="15" hidden="false" customHeight="true" outlineLevel="0" collapsed="false">
      <c r="A252" s="6" t="s">
        <v>1524</v>
      </c>
      <c r="B252" s="6" t="s">
        <v>478</v>
      </c>
      <c r="C252" s="9" t="s">
        <v>1525</v>
      </c>
      <c r="D252" s="9" t="s">
        <v>761</v>
      </c>
      <c r="E252" s="9" t="s">
        <v>762</v>
      </c>
      <c r="F252" s="9" t="s">
        <v>911</v>
      </c>
      <c r="H252" s="9" t="s">
        <v>882</v>
      </c>
      <c r="K252" s="1" t="n">
        <v>2706.99</v>
      </c>
      <c r="L252" s="1" t="n">
        <v>19950.42</v>
      </c>
      <c r="M252" s="6" t="n">
        <v>1261.91</v>
      </c>
      <c r="N252" s="1" t="n">
        <v>10</v>
      </c>
      <c r="O252" s="1" t="n">
        <v>1</v>
      </c>
      <c r="P252" s="1" t="n">
        <v>35125</v>
      </c>
      <c r="Q252" s="1" t="str">
        <f aca="false">IF(OR($A316="",P316=""),"",ROUND(YEARFRAC(P316,README!$C$5),1))</f>
        <v/>
      </c>
      <c r="S252" s="1" t="n">
        <v>2140</v>
      </c>
      <c r="T252" s="6" t="n">
        <v>569</v>
      </c>
      <c r="U252" s="6" t="n">
        <v>1080</v>
      </c>
      <c r="V252" s="6" t="n">
        <v>511</v>
      </c>
      <c r="W252" s="6" t="n">
        <v>1</v>
      </c>
      <c r="X252" s="6" t="n">
        <v>1</v>
      </c>
      <c r="Z252" s="6" t="s">
        <v>1468</v>
      </c>
      <c r="AA252" s="9" t="s">
        <v>774</v>
      </c>
      <c r="AB252" s="6" t="s">
        <v>1526</v>
      </c>
      <c r="AC252" s="27" t="n">
        <f aca="false">COUNTIF(環境認証!$A$2:$A$849,A316)</f>
        <v>0</v>
      </c>
      <c r="AD252" s="6" t="n">
        <v>89.8</v>
      </c>
      <c r="AE252" s="1" t="n">
        <v>-2.3</v>
      </c>
    </row>
    <row r="253" customFormat="false" ht="15" hidden="false" customHeight="true" outlineLevel="0" collapsed="false">
      <c r="A253" s="6" t="s">
        <v>1527</v>
      </c>
      <c r="B253" s="6" t="s">
        <v>478</v>
      </c>
      <c r="C253" s="9" t="s">
        <v>1528</v>
      </c>
      <c r="D253" s="9" t="s">
        <v>761</v>
      </c>
      <c r="E253" s="9" t="s">
        <v>762</v>
      </c>
      <c r="F253" s="9" t="s">
        <v>848</v>
      </c>
      <c r="H253" s="9" t="s">
        <v>882</v>
      </c>
      <c r="K253" s="1" t="n">
        <v>960.03</v>
      </c>
      <c r="L253" s="1" t="n">
        <v>5780.71</v>
      </c>
      <c r="M253" s="6" t="n">
        <v>1341.59</v>
      </c>
      <c r="N253" s="1" t="n">
        <v>12</v>
      </c>
      <c r="O253" s="1" t="n">
        <v>0</v>
      </c>
      <c r="P253" s="1" t="n">
        <v>33512</v>
      </c>
      <c r="Q253" s="1" t="str">
        <f aca="false">IF(OR($A317="",P317=""),"",ROUND(YEARFRAC(P317,README!$C$5),1))</f>
        <v/>
      </c>
      <c r="S253" s="1" t="n">
        <v>1560</v>
      </c>
      <c r="T253" s="6" t="n">
        <v>764</v>
      </c>
      <c r="U253" s="6" t="n">
        <v>1040</v>
      </c>
      <c r="V253" s="6" t="n">
        <v>276</v>
      </c>
      <c r="W253" s="6" t="n">
        <v>1</v>
      </c>
      <c r="X253" s="6" t="n">
        <v>9</v>
      </c>
      <c r="Z253" s="6" t="s">
        <v>1468</v>
      </c>
      <c r="AA253" s="9" t="s">
        <v>774</v>
      </c>
      <c r="AB253" s="6" t="s">
        <v>1529</v>
      </c>
      <c r="AC253" s="27" t="n">
        <f aca="false">COUNTIF(環境認証!$A$2:$A$849,A317)</f>
        <v>0</v>
      </c>
      <c r="AD253" s="6" t="n">
        <v>36.1</v>
      </c>
      <c r="AE253" s="1" t="n">
        <v>57.7</v>
      </c>
    </row>
    <row r="254" customFormat="false" ht="15" hidden="false" customHeight="true" outlineLevel="0" collapsed="false">
      <c r="A254" s="6" t="s">
        <v>1530</v>
      </c>
      <c r="B254" s="6" t="s">
        <v>478</v>
      </c>
      <c r="C254" s="9" t="s">
        <v>1531</v>
      </c>
      <c r="D254" s="9" t="s">
        <v>761</v>
      </c>
      <c r="E254" s="9" t="s">
        <v>762</v>
      </c>
      <c r="F254" s="9" t="s">
        <v>1532</v>
      </c>
      <c r="H254" s="9" t="s">
        <v>921</v>
      </c>
      <c r="K254" s="1" t="n">
        <v>1895.67</v>
      </c>
      <c r="L254" s="1" t="n">
        <v>10783.52</v>
      </c>
      <c r="M254" s="6" t="n">
        <v>4210.87</v>
      </c>
      <c r="N254" s="1" t="n">
        <v>12</v>
      </c>
      <c r="O254" s="1" t="n">
        <v>1</v>
      </c>
      <c r="P254" s="1" t="n">
        <v>35765</v>
      </c>
      <c r="Q254" s="1" t="str">
        <f aca="false">IF(OR($A318="",P318=""),"",ROUND(YEARFRAC(P318,README!$C$5),1))</f>
        <v/>
      </c>
      <c r="S254" s="1" t="n">
        <v>3150</v>
      </c>
      <c r="T254" s="6" t="n">
        <v>2144</v>
      </c>
      <c r="U254" s="6" t="n">
        <v>3370</v>
      </c>
      <c r="V254" s="6" t="n">
        <v>1226</v>
      </c>
      <c r="W254" s="6" t="n">
        <v>1</v>
      </c>
      <c r="X254" s="6" t="n">
        <v>14</v>
      </c>
      <c r="Z254" s="6" t="s">
        <v>1468</v>
      </c>
      <c r="AA254" s="9" t="s">
        <v>774</v>
      </c>
      <c r="AB254" s="6" t="s">
        <v>1533</v>
      </c>
      <c r="AC254" s="27" t="n">
        <f aca="false">COUNTIF(環境認証!$A$2:$A$849,A318)</f>
        <v>0</v>
      </c>
      <c r="AD254" s="6" t="n">
        <v>57.2</v>
      </c>
      <c r="AE254" s="1" t="n">
        <v>32.1</v>
      </c>
    </row>
    <row r="255" customFormat="false" ht="15" hidden="false" customHeight="true" outlineLevel="0" collapsed="false">
      <c r="A255" s="6" t="s">
        <v>1534</v>
      </c>
      <c r="B255" s="6" t="s">
        <v>478</v>
      </c>
      <c r="C255" s="9" t="s">
        <v>1535</v>
      </c>
      <c r="D255" s="9" t="s">
        <v>761</v>
      </c>
      <c r="E255" s="9" t="s">
        <v>969</v>
      </c>
      <c r="F255" s="9" t="s">
        <v>970</v>
      </c>
      <c r="H255" s="9" t="s">
        <v>971</v>
      </c>
      <c r="K255" s="1" t="n">
        <v>1128.45</v>
      </c>
      <c r="L255" s="1" t="n">
        <v>6715.07</v>
      </c>
      <c r="M255" s="6" t="n">
        <v>3928.12</v>
      </c>
      <c r="N255" s="1" t="n">
        <v>9</v>
      </c>
      <c r="O255" s="1" t="n">
        <v>0</v>
      </c>
      <c r="P255" s="1" t="n">
        <v>35247</v>
      </c>
      <c r="Q255" s="1" t="str">
        <f aca="false">IF(OR($A319="",P319=""),"",ROUND(YEARFRAC(P319,README!$C$5),1))</f>
        <v/>
      </c>
      <c r="S255" s="1" t="n">
        <v>1670</v>
      </c>
      <c r="T255" s="6" t="n">
        <v>4785</v>
      </c>
      <c r="U255" s="6" t="n">
        <v>5500</v>
      </c>
      <c r="V255" s="6" t="n">
        <v>715</v>
      </c>
      <c r="W255" s="6" t="n">
        <v>0.937</v>
      </c>
      <c r="X255" s="6" t="n">
        <v>19</v>
      </c>
      <c r="Z255" s="6" t="s">
        <v>1468</v>
      </c>
      <c r="AA255" s="9" t="s">
        <v>774</v>
      </c>
      <c r="AB255" s="6" t="s">
        <v>1536</v>
      </c>
      <c r="AC255" s="27" t="n">
        <f aca="false">COUNTIF(環境認証!$A$2:$A$849,A319)</f>
        <v>0</v>
      </c>
      <c r="AD255" s="6" t="n">
        <v>14.9</v>
      </c>
      <c r="AE255" s="1" t="n">
        <v>-10.2</v>
      </c>
    </row>
    <row r="256" customFormat="false" ht="15" hidden="false" customHeight="true" outlineLevel="0" collapsed="false">
      <c r="A256" s="6" t="s">
        <v>1537</v>
      </c>
      <c r="B256" s="6" t="s">
        <v>478</v>
      </c>
      <c r="C256" s="9" t="s">
        <v>1538</v>
      </c>
      <c r="D256" s="9" t="s">
        <v>761</v>
      </c>
      <c r="E256" s="9" t="s">
        <v>969</v>
      </c>
      <c r="F256" s="9" t="s">
        <v>970</v>
      </c>
      <c r="H256" s="9" t="s">
        <v>971</v>
      </c>
      <c r="K256" s="1" t="n">
        <v>1164.39</v>
      </c>
      <c r="L256" s="1" t="n">
        <v>8690.95</v>
      </c>
      <c r="M256" s="6" t="n">
        <v>8009.11</v>
      </c>
      <c r="N256" s="1" t="n">
        <v>13</v>
      </c>
      <c r="O256" s="1" t="n">
        <v>0</v>
      </c>
      <c r="P256" s="1" t="n">
        <v>36708</v>
      </c>
      <c r="Q256" s="1" t="str">
        <f aca="false">IF(OR($A320="",P320=""),"",ROUND(YEARFRAC(P320,README!$C$5),1))</f>
        <v/>
      </c>
      <c r="S256" s="1" t="n">
        <v>2810</v>
      </c>
      <c r="T256" s="6" t="n">
        <v>5239</v>
      </c>
      <c r="U256" s="6" t="n">
        <v>8210</v>
      </c>
      <c r="V256" s="6" t="n">
        <v>2971</v>
      </c>
      <c r="W256" s="6" t="n">
        <v>1</v>
      </c>
      <c r="X256" s="6" t="n">
        <v>25</v>
      </c>
      <c r="Z256" s="6" t="s">
        <v>1468</v>
      </c>
      <c r="AA256" s="9" t="s">
        <v>774</v>
      </c>
      <c r="AB256" s="6" t="s">
        <v>1539</v>
      </c>
      <c r="AC256" s="27" t="n">
        <f aca="false">COUNTIF(環境認証!$A$2:$A$849,A320)</f>
        <v>0</v>
      </c>
      <c r="AD256" s="6" t="n">
        <v>56.7</v>
      </c>
      <c r="AE256" s="1" t="n">
        <v>43.8</v>
      </c>
    </row>
    <row r="257" customFormat="false" ht="15" hidden="false" customHeight="true" outlineLevel="0" collapsed="false">
      <c r="A257" s="6" t="s">
        <v>1540</v>
      </c>
      <c r="B257" s="6" t="s">
        <v>478</v>
      </c>
      <c r="C257" s="9" t="s">
        <v>1541</v>
      </c>
      <c r="D257" s="9" t="s">
        <v>761</v>
      </c>
      <c r="E257" s="36" t="s">
        <v>981</v>
      </c>
      <c r="F257" s="36" t="s">
        <v>982</v>
      </c>
      <c r="H257" s="9" t="s">
        <v>837</v>
      </c>
      <c r="K257" s="1" t="n">
        <v>668.11</v>
      </c>
      <c r="L257" s="1" t="n">
        <v>5696.01</v>
      </c>
      <c r="M257" s="1" t="n">
        <v>3917.91</v>
      </c>
      <c r="N257" s="1" t="n">
        <v>9</v>
      </c>
      <c r="O257" s="1" t="n">
        <v>2</v>
      </c>
      <c r="P257" s="1" t="n">
        <v>34243</v>
      </c>
      <c r="Q257" s="1" t="str">
        <f aca="false">IF(OR($A321="",P321=""),"",ROUND(YEARFRAC(P321,README!$C$5),1))</f>
        <v/>
      </c>
      <c r="S257" s="1" t="n">
        <v>2140</v>
      </c>
      <c r="U257" s="1" t="n">
        <v>4200</v>
      </c>
      <c r="V257" s="1" t="n">
        <f aca="false">IF($A321="","",IF(OR(T321="",U321=""),"",U321-T321))</f>
        <v>-119</v>
      </c>
      <c r="W257" s="1" t="n">
        <v>1</v>
      </c>
      <c r="X257" s="1" t="n">
        <v>13</v>
      </c>
      <c r="Z257" s="6" t="s">
        <v>1468</v>
      </c>
      <c r="AA257" s="9" t="s">
        <v>774</v>
      </c>
      <c r="AB257" s="6" t="s">
        <v>1542</v>
      </c>
      <c r="AC257" s="27" t="n">
        <f aca="false">COUNTIF(環境認証!$A$2:$A$849,A321)</f>
        <v>0</v>
      </c>
      <c r="AE257" s="1" t="n">
        <v>96.3</v>
      </c>
    </row>
    <row r="258" customFormat="false" ht="15" hidden="false" customHeight="true" outlineLevel="0" collapsed="false">
      <c r="A258" s="6" t="s">
        <v>1543</v>
      </c>
      <c r="B258" s="6" t="s">
        <v>478</v>
      </c>
      <c r="C258" s="9" t="s">
        <v>1544</v>
      </c>
      <c r="D258" s="9" t="s">
        <v>761</v>
      </c>
      <c r="E258" s="9" t="s">
        <v>1545</v>
      </c>
      <c r="F258" s="9" t="s">
        <v>1546</v>
      </c>
      <c r="H258" s="9" t="s">
        <v>965</v>
      </c>
      <c r="K258" s="1" t="n">
        <v>4486.44</v>
      </c>
      <c r="L258" s="1" t="n">
        <v>22286.35</v>
      </c>
      <c r="M258" s="6" t="n">
        <v>6329.33</v>
      </c>
      <c r="N258" s="1" t="n">
        <v>14</v>
      </c>
      <c r="O258" s="1" t="n">
        <v>0</v>
      </c>
      <c r="P258" s="1" t="n">
        <v>39814</v>
      </c>
      <c r="Q258" s="1" t="str">
        <f aca="false">IF(OR($A322="",P322=""),"",ROUND(YEARFRAC(P322,README!$C$5),1))</f>
        <v/>
      </c>
      <c r="S258" s="1" t="n">
        <v>10996</v>
      </c>
      <c r="T258" s="6" t="n">
        <v>1929</v>
      </c>
      <c r="U258" s="6" t="n">
        <v>4070</v>
      </c>
      <c r="V258" s="6" t="n">
        <v>2141</v>
      </c>
      <c r="W258" s="6" t="n">
        <v>0.987</v>
      </c>
      <c r="X258" s="6" t="n">
        <v>16</v>
      </c>
      <c r="Z258" s="6" t="s">
        <v>1468</v>
      </c>
      <c r="AA258" s="9" t="s">
        <v>774</v>
      </c>
      <c r="AB258" s="6" t="s">
        <v>1547</v>
      </c>
      <c r="AC258" s="27" t="n">
        <f aca="false">COUNTIF(環境認証!$A$2:$A$849,A322)</f>
        <v>0</v>
      </c>
      <c r="AD258" s="6" t="n">
        <v>111</v>
      </c>
      <c r="AE258" s="1" t="n">
        <v>125.5</v>
      </c>
    </row>
    <row r="259" customFormat="false" ht="15" hidden="false" customHeight="true" outlineLevel="0" collapsed="false">
      <c r="A259" s="6" t="s">
        <v>1548</v>
      </c>
      <c r="B259" s="6" t="s">
        <v>478</v>
      </c>
      <c r="C259" s="9" t="s">
        <v>1549</v>
      </c>
      <c r="D259" s="9" t="s">
        <v>761</v>
      </c>
      <c r="E259" s="9" t="s">
        <v>762</v>
      </c>
      <c r="F259" s="9" t="s">
        <v>763</v>
      </c>
      <c r="H259" s="9" t="s">
        <v>772</v>
      </c>
      <c r="K259" s="1" t="n">
        <v>609.31</v>
      </c>
      <c r="L259" s="1" t="n">
        <v>5303.98</v>
      </c>
      <c r="M259" s="6" t="n">
        <v>2523.09</v>
      </c>
      <c r="N259" s="1" t="n">
        <v>10</v>
      </c>
      <c r="O259" s="1" t="n">
        <v>2</v>
      </c>
      <c r="P259" s="1" t="n">
        <v>37653</v>
      </c>
      <c r="Q259" s="1" t="str">
        <f aca="false">IF(OR($A323="",P323=""),"",ROUND(YEARFRAC(P323,README!$C$5),1))</f>
        <v/>
      </c>
      <c r="S259" s="1" t="n">
        <v>5430</v>
      </c>
      <c r="T259" s="6" t="n">
        <v>2033</v>
      </c>
      <c r="U259" s="6" t="n">
        <v>3330</v>
      </c>
      <c r="V259" s="6" t="n">
        <v>1297</v>
      </c>
      <c r="W259" s="6" t="n">
        <v>1</v>
      </c>
      <c r="X259" s="6" t="n">
        <v>11</v>
      </c>
      <c r="Z259" s="6" t="s">
        <v>1468</v>
      </c>
      <c r="AA259" s="9" t="s">
        <v>774</v>
      </c>
      <c r="AB259" s="6" t="s">
        <v>1550</v>
      </c>
      <c r="AC259" s="27" t="n">
        <f aca="false">COUNTIF(環境認証!$A$2:$A$849,A323)</f>
        <v>1</v>
      </c>
      <c r="AD259" s="6" t="n">
        <v>63.8</v>
      </c>
      <c r="AE259" s="1" t="n">
        <v>-14.5</v>
      </c>
    </row>
    <row r="260" customFormat="false" ht="15" hidden="false" customHeight="true" outlineLevel="0" collapsed="false">
      <c r="A260" s="6" t="s">
        <v>1551</v>
      </c>
      <c r="B260" s="6" t="s">
        <v>478</v>
      </c>
      <c r="C260" s="9" t="s">
        <v>1552</v>
      </c>
      <c r="D260" s="9" t="s">
        <v>761</v>
      </c>
      <c r="E260" s="9" t="s">
        <v>762</v>
      </c>
      <c r="F260" s="9" t="s">
        <v>763</v>
      </c>
      <c r="H260" s="9" t="s">
        <v>772</v>
      </c>
      <c r="K260" s="1" t="n">
        <v>1495.99</v>
      </c>
      <c r="L260" s="1" t="n">
        <v>7738.47</v>
      </c>
      <c r="M260" s="6" t="n">
        <v>6250.53</v>
      </c>
      <c r="N260" s="1" t="n">
        <v>8</v>
      </c>
      <c r="O260" s="1" t="n">
        <v>1</v>
      </c>
      <c r="P260" s="1" t="n">
        <v>31656</v>
      </c>
      <c r="Q260" s="1" t="str">
        <f aca="false">IF(OR($A324="",P324=""),"",ROUND(YEARFRAC(P324,README!$C$5),1))</f>
        <v/>
      </c>
      <c r="S260" s="1" t="n">
        <v>3776</v>
      </c>
      <c r="T260" s="6" t="n">
        <v>5369</v>
      </c>
      <c r="U260" s="6" t="n">
        <v>8720</v>
      </c>
      <c r="V260" s="6" t="n">
        <v>3351</v>
      </c>
      <c r="W260" s="6" t="n">
        <v>1</v>
      </c>
      <c r="X260" s="6" t="n">
        <v>1</v>
      </c>
      <c r="Z260" s="6" t="s">
        <v>1468</v>
      </c>
      <c r="AA260" s="9" t="s">
        <v>774</v>
      </c>
      <c r="AB260" s="6" t="s">
        <v>1553</v>
      </c>
      <c r="AC260" s="27" t="n">
        <f aca="false">COUNTIF(環境認証!$A$2:$A$849,A324)</f>
        <v>1</v>
      </c>
      <c r="AD260" s="6" t="n">
        <v>62.4</v>
      </c>
      <c r="AE260" s="1" t="n">
        <v>44.6</v>
      </c>
    </row>
    <row r="261" customFormat="false" ht="15" hidden="false" customHeight="true" outlineLevel="0" collapsed="false">
      <c r="A261" s="6" t="s">
        <v>1554</v>
      </c>
      <c r="B261" s="6" t="s">
        <v>478</v>
      </c>
      <c r="C261" s="9" t="s">
        <v>1555</v>
      </c>
      <c r="D261" s="9" t="s">
        <v>761</v>
      </c>
      <c r="E261" s="9" t="s">
        <v>981</v>
      </c>
      <c r="F261" s="9" t="s">
        <v>982</v>
      </c>
      <c r="H261" s="9" t="s">
        <v>971</v>
      </c>
      <c r="I261" s="36" t="s">
        <v>1556</v>
      </c>
      <c r="K261" s="1" t="n">
        <v>20488.08</v>
      </c>
      <c r="L261" s="1" t="n">
        <v>191597.49</v>
      </c>
      <c r="M261" s="6" t="n">
        <v>3729.35</v>
      </c>
      <c r="N261" s="1" t="n">
        <v>38</v>
      </c>
      <c r="O261" s="1" t="n">
        <v>3</v>
      </c>
      <c r="P261" s="1" t="n">
        <v>41334</v>
      </c>
      <c r="Q261" s="1" t="str">
        <f aca="false">IF(OR($A325="",P325=""),"",ROUND(YEARFRAC(P325,README!$C$5),1))</f>
        <v/>
      </c>
      <c r="S261" s="1" t="n">
        <v>21000</v>
      </c>
      <c r="T261" s="6" t="n">
        <v>1636</v>
      </c>
      <c r="U261" s="6" t="n">
        <v>2810</v>
      </c>
      <c r="V261" s="6" t="n">
        <v>1174</v>
      </c>
      <c r="W261" s="6" t="n">
        <v>1</v>
      </c>
      <c r="X261" s="6" t="n">
        <v>14</v>
      </c>
      <c r="Z261" s="6" t="s">
        <v>1468</v>
      </c>
      <c r="AA261" s="9" t="s">
        <v>774</v>
      </c>
      <c r="AB261" s="6" t="s">
        <v>1557</v>
      </c>
      <c r="AC261" s="27" t="n">
        <f aca="false">COUNTIF(環境認証!$A$2:$A$849,A325)</f>
        <v>0</v>
      </c>
      <c r="AD261" s="6" t="n">
        <v>71.8</v>
      </c>
      <c r="AE261" s="1" t="n">
        <v>11.4</v>
      </c>
    </row>
    <row r="262" customFormat="false" ht="15" hidden="false" customHeight="true" outlineLevel="0" collapsed="false">
      <c r="A262" s="6" t="s">
        <v>1558</v>
      </c>
      <c r="B262" s="6" t="s">
        <v>478</v>
      </c>
      <c r="C262" s="9" t="s">
        <v>1559</v>
      </c>
      <c r="D262" s="9" t="s">
        <v>761</v>
      </c>
      <c r="E262" s="9" t="s">
        <v>762</v>
      </c>
      <c r="F262" s="9" t="s">
        <v>763</v>
      </c>
      <c r="H262" s="9" t="s">
        <v>772</v>
      </c>
      <c r="I262" s="36" t="s">
        <v>1556</v>
      </c>
      <c r="K262" s="1" t="n">
        <v>22680.03</v>
      </c>
      <c r="L262" s="1" t="n">
        <v>290030.59</v>
      </c>
      <c r="M262" s="6" t="n">
        <v>2323.25</v>
      </c>
      <c r="N262" s="1" t="n">
        <v>38</v>
      </c>
      <c r="O262" s="1" t="n">
        <v>3</v>
      </c>
      <c r="P262" s="1" t="n">
        <v>41306</v>
      </c>
      <c r="Q262" s="1" t="str">
        <f aca="false">IF(OR($A326="",P326=""),"",ROUND(YEARFRAC(P326,README!$C$5),1))</f>
        <v/>
      </c>
      <c r="S262" s="1" t="n">
        <v>17500</v>
      </c>
      <c r="T262" s="6" t="n">
        <v>2334</v>
      </c>
      <c r="U262" s="6" t="n">
        <v>3440</v>
      </c>
      <c r="V262" s="6" t="n">
        <v>1106</v>
      </c>
      <c r="W262" s="6" t="n">
        <v>1</v>
      </c>
      <c r="X262" s="6" t="n">
        <v>9</v>
      </c>
      <c r="Z262" s="6" t="s">
        <v>1468</v>
      </c>
      <c r="AA262" s="9" t="s">
        <v>774</v>
      </c>
      <c r="AB262" s="6" t="s">
        <v>1560</v>
      </c>
      <c r="AC262" s="27" t="n">
        <f aca="false">COUNTIF(環境認証!$A$2:$A$849,A326)</f>
        <v>1</v>
      </c>
      <c r="AD262" s="6" t="n">
        <v>47.4</v>
      </c>
      <c r="AE262" s="1" t="n">
        <v>12.6</v>
      </c>
    </row>
    <row r="263" customFormat="false" ht="15" hidden="false" customHeight="true" outlineLevel="0" collapsed="false">
      <c r="A263" s="6" t="s">
        <v>1561</v>
      </c>
      <c r="B263" s="6" t="s">
        <v>478</v>
      </c>
      <c r="C263" s="9" t="s">
        <v>1562</v>
      </c>
      <c r="D263" s="9" t="s">
        <v>761</v>
      </c>
      <c r="E263" s="9" t="s">
        <v>762</v>
      </c>
      <c r="F263" s="9" t="s">
        <v>820</v>
      </c>
      <c r="H263" s="9" t="s">
        <v>772</v>
      </c>
      <c r="K263" s="1" t="n">
        <v>938.01</v>
      </c>
      <c r="L263" s="1" t="n">
        <v>4977.52</v>
      </c>
      <c r="M263" s="6" t="n">
        <v>2716.33</v>
      </c>
      <c r="N263" s="1" t="n">
        <v>7</v>
      </c>
      <c r="O263" s="1" t="n">
        <v>1</v>
      </c>
      <c r="P263" s="1" t="n">
        <v>35247</v>
      </c>
      <c r="Q263" s="1" t="str">
        <f aca="false">IF(OR($A327="",P327=""),"",ROUND(YEARFRAC(P327,README!$C$5),1))</f>
        <v/>
      </c>
      <c r="S263" s="1" t="n">
        <v>2460</v>
      </c>
      <c r="T263" s="6" t="n">
        <v>1683</v>
      </c>
      <c r="U263" s="6" t="n">
        <v>3230</v>
      </c>
      <c r="V263" s="6" t="n">
        <v>1547</v>
      </c>
      <c r="W263" s="6" t="n">
        <v>1</v>
      </c>
      <c r="X263" s="6" t="n">
        <v>7</v>
      </c>
      <c r="Z263" s="6" t="s">
        <v>1468</v>
      </c>
      <c r="AA263" s="9" t="s">
        <v>774</v>
      </c>
      <c r="AB263" s="6" t="s">
        <v>1563</v>
      </c>
      <c r="AC263" s="27" t="n">
        <f aca="false">COUNTIF(環境認証!$A$2:$A$849,A327)</f>
        <v>1</v>
      </c>
      <c r="AD263" s="6" t="n">
        <v>91.9</v>
      </c>
      <c r="AE263" s="1" t="n">
        <v>12.2</v>
      </c>
    </row>
    <row r="264" customFormat="false" ht="15" hidden="false" customHeight="true" outlineLevel="0" collapsed="false">
      <c r="A264" s="6" t="s">
        <v>1564</v>
      </c>
      <c r="B264" s="6" t="s">
        <v>478</v>
      </c>
      <c r="C264" s="9" t="s">
        <v>1565</v>
      </c>
      <c r="D264" s="9" t="s">
        <v>761</v>
      </c>
      <c r="E264" s="9" t="s">
        <v>762</v>
      </c>
      <c r="F264" s="9" t="s">
        <v>815</v>
      </c>
      <c r="H264" s="9" t="s">
        <v>772</v>
      </c>
      <c r="K264" s="1" t="n">
        <v>592.45</v>
      </c>
      <c r="L264" s="1" t="n">
        <v>3219.36</v>
      </c>
      <c r="M264" s="6" t="n">
        <v>3159.27</v>
      </c>
      <c r="N264" s="1" t="n">
        <v>9</v>
      </c>
      <c r="O264" s="1" t="n">
        <v>0</v>
      </c>
      <c r="P264" s="1" t="n">
        <v>34486</v>
      </c>
      <c r="Q264" s="1" t="str">
        <f aca="false">IF(OR($A328="",P328=""),"",ROUND(YEARFRAC(P328,README!$C$5),1))</f>
        <v/>
      </c>
      <c r="S264" s="1" t="n">
        <v>6000</v>
      </c>
      <c r="T264" s="6" t="n">
        <v>5708</v>
      </c>
      <c r="U264" s="6" t="n">
        <v>8580</v>
      </c>
      <c r="V264" s="6" t="n">
        <v>2872</v>
      </c>
      <c r="W264" s="6" t="n">
        <v>1</v>
      </c>
      <c r="X264" s="6" t="n">
        <v>6</v>
      </c>
      <c r="Z264" s="6" t="s">
        <v>1468</v>
      </c>
      <c r="AA264" s="9" t="s">
        <v>774</v>
      </c>
      <c r="AB264" s="6" t="s">
        <v>1566</v>
      </c>
      <c r="AC264" s="27" t="n">
        <f aca="false">COUNTIF(環境認証!$A$2:$A$849,A328)</f>
        <v>1</v>
      </c>
      <c r="AD264" s="6" t="n">
        <v>50.3</v>
      </c>
      <c r="AE264" s="1" t="n">
        <v>45.2</v>
      </c>
    </row>
    <row r="265" customFormat="false" ht="15" hidden="false" customHeight="true" outlineLevel="0" collapsed="false">
      <c r="A265" s="6" t="s">
        <v>1567</v>
      </c>
      <c r="B265" s="6" t="s">
        <v>478</v>
      </c>
      <c r="C265" s="9" t="s">
        <v>1568</v>
      </c>
      <c r="D265" s="9" t="s">
        <v>761</v>
      </c>
      <c r="E265" s="9" t="s">
        <v>762</v>
      </c>
      <c r="F265" s="9" t="s">
        <v>848</v>
      </c>
      <c r="H265" s="9" t="s">
        <v>882</v>
      </c>
      <c r="K265" s="1" t="n">
        <v>219.26</v>
      </c>
      <c r="L265" s="1" t="n">
        <v>1135.67</v>
      </c>
      <c r="M265" s="6" t="n">
        <v>3585.93</v>
      </c>
      <c r="N265" s="1" t="n">
        <v>8</v>
      </c>
      <c r="O265" s="1" t="n">
        <v>0</v>
      </c>
      <c r="P265" s="1" t="n">
        <v>44621</v>
      </c>
      <c r="Q265" s="1" t="str">
        <f aca="false">IF(OR($A329="",P329=""),"",ROUND(YEARFRAC(P329,README!$C$5),1))</f>
        <v/>
      </c>
      <c r="S265" s="1" t="n">
        <v>3310</v>
      </c>
      <c r="T265" s="6" t="n">
        <v>3825</v>
      </c>
      <c r="U265" s="6" t="n">
        <v>4920</v>
      </c>
      <c r="V265" s="6" t="n">
        <v>1095</v>
      </c>
      <c r="W265" s="6" t="n">
        <v>1</v>
      </c>
      <c r="X265" s="6" t="n">
        <v>11</v>
      </c>
      <c r="Z265" s="6" t="s">
        <v>1468</v>
      </c>
      <c r="AA265" s="9" t="s">
        <v>774</v>
      </c>
      <c r="AB265" s="6" t="s">
        <v>1569</v>
      </c>
      <c r="AC265" s="27" t="n">
        <f aca="false">COUNTIF(環境認証!$A$2:$A$849,A329)</f>
        <v>1</v>
      </c>
      <c r="AD265" s="6" t="n">
        <v>28.6</v>
      </c>
      <c r="AE265" s="1" t="n">
        <v>10</v>
      </c>
    </row>
    <row r="266" customFormat="false" ht="15" hidden="false" customHeight="true" outlineLevel="0" collapsed="false">
      <c r="A266" s="6" t="s">
        <v>1570</v>
      </c>
      <c r="B266" s="6" t="s">
        <v>478</v>
      </c>
      <c r="C266" s="9" t="s">
        <v>1571</v>
      </c>
      <c r="D266" s="9" t="s">
        <v>761</v>
      </c>
      <c r="E266" s="9" t="s">
        <v>762</v>
      </c>
      <c r="F266" s="9" t="s">
        <v>771</v>
      </c>
      <c r="H266" s="9" t="s">
        <v>772</v>
      </c>
      <c r="K266" s="1" t="n">
        <v>666.37</v>
      </c>
      <c r="L266" s="1" t="n">
        <v>5226.8</v>
      </c>
      <c r="M266" s="6" t="n">
        <v>1609.56</v>
      </c>
      <c r="N266" s="1" t="n">
        <v>12</v>
      </c>
      <c r="O266" s="1" t="n">
        <v>0</v>
      </c>
      <c r="P266" s="1" t="n">
        <v>41548</v>
      </c>
      <c r="Q266" s="1" t="str">
        <f aca="false">IF(OR($A330="",P330=""),"",ROUND(YEARFRAC(P330,README!$C$5),1))</f>
        <v/>
      </c>
      <c r="S266" s="1" t="n">
        <v>6500</v>
      </c>
      <c r="T266" s="6" t="n">
        <v>1647</v>
      </c>
      <c r="U266" s="6" t="n">
        <v>2020</v>
      </c>
      <c r="V266" s="6" t="n">
        <v>373</v>
      </c>
      <c r="W266" s="6" t="n">
        <v>1</v>
      </c>
      <c r="X266" s="6" t="n">
        <v>8</v>
      </c>
      <c r="Z266" s="6" t="s">
        <v>1468</v>
      </c>
      <c r="AA266" s="9" t="s">
        <v>774</v>
      </c>
      <c r="AB266" s="6" t="s">
        <v>1572</v>
      </c>
      <c r="AC266" s="27" t="n">
        <f aca="false">COUNTIF(環境認証!$A$2:$A$849,A330)</f>
        <v>1</v>
      </c>
      <c r="AD266" s="6" t="n">
        <v>22.6</v>
      </c>
      <c r="AE266" s="1" t="n">
        <v>4.2</v>
      </c>
    </row>
    <row r="267" customFormat="false" ht="15" hidden="false" customHeight="true" outlineLevel="0" collapsed="false">
      <c r="A267" s="6" t="s">
        <v>1573</v>
      </c>
      <c r="B267" s="6" t="s">
        <v>478</v>
      </c>
      <c r="C267" s="9" t="s">
        <v>1574</v>
      </c>
      <c r="D267" s="9" t="s">
        <v>761</v>
      </c>
      <c r="E267" s="9" t="s">
        <v>939</v>
      </c>
      <c r="F267" s="9" t="s">
        <v>940</v>
      </c>
      <c r="H267" s="9" t="s">
        <v>921</v>
      </c>
      <c r="M267" s="6" t="n">
        <v>6213.3</v>
      </c>
      <c r="Q267" s="1" t="str">
        <f aca="false">IF(OR($A331="",P331=""),"",ROUND(YEARFRAC(P331,README!$C$5),1))</f>
        <v/>
      </c>
      <c r="T267" s="6" t="n">
        <v>3471</v>
      </c>
      <c r="U267" s="6" t="n">
        <v>4830</v>
      </c>
      <c r="V267" s="6" t="n">
        <v>1359</v>
      </c>
      <c r="W267" s="6" t="n">
        <v>0.937</v>
      </c>
      <c r="X267" s="6" t="n">
        <v>30</v>
      </c>
      <c r="Z267" s="6" t="s">
        <v>1468</v>
      </c>
      <c r="AA267" s="9" t="s">
        <v>774</v>
      </c>
      <c r="AB267" s="6" t="s">
        <v>1575</v>
      </c>
      <c r="AC267" s="27" t="n">
        <f aca="false">COUNTIF(環境認証!$A$2:$A$849,A331)</f>
        <v>2</v>
      </c>
      <c r="AD267" s="6" t="n">
        <v>39.2</v>
      </c>
    </row>
    <row r="268" customFormat="false" ht="15" hidden="false" customHeight="true" outlineLevel="0" collapsed="false">
      <c r="A268" s="6" t="s">
        <v>1576</v>
      </c>
      <c r="B268" s="6" t="s">
        <v>478</v>
      </c>
      <c r="C268" s="9" t="s">
        <v>1577</v>
      </c>
      <c r="D268" s="9" t="s">
        <v>761</v>
      </c>
      <c r="E268" s="9" t="s">
        <v>925</v>
      </c>
      <c r="F268" s="9" t="s">
        <v>1578</v>
      </c>
      <c r="H268" s="9" t="s">
        <v>921</v>
      </c>
      <c r="I268" s="1" t="s">
        <v>1579</v>
      </c>
      <c r="M268" s="6" t="n">
        <v>2960.81</v>
      </c>
      <c r="Q268" s="1" t="str">
        <f aca="false">IF(OR($A332="",P332=""),"",ROUND(YEARFRAC(P332,README!$C$5),1))</f>
        <v/>
      </c>
      <c r="S268" s="1" t="n">
        <v>556828</v>
      </c>
      <c r="T268" s="6" t="n">
        <v>1197</v>
      </c>
      <c r="U268" s="6" t="n">
        <v>1350</v>
      </c>
      <c r="V268" s="6" t="n">
        <v>153</v>
      </c>
      <c r="W268" s="6" t="n">
        <v>1</v>
      </c>
      <c r="X268" s="6" t="n">
        <v>14</v>
      </c>
      <c r="Z268" s="6" t="s">
        <v>1468</v>
      </c>
      <c r="AA268" s="49" t="s">
        <v>774</v>
      </c>
      <c r="AB268" s="6" t="s">
        <v>1580</v>
      </c>
      <c r="AC268" s="27" t="n">
        <f aca="false">COUNTIF(環境認証!$A$2:$A$849,A332)</f>
        <v>2</v>
      </c>
      <c r="AD268" s="6" t="n">
        <v>12.8</v>
      </c>
    </row>
    <row r="269" customFormat="false" ht="15" hidden="false" customHeight="true" outlineLevel="0" collapsed="false">
      <c r="A269" s="6" t="s">
        <v>1581</v>
      </c>
      <c r="B269" s="6" t="s">
        <v>478</v>
      </c>
      <c r="C269" s="9" t="s">
        <v>1582</v>
      </c>
      <c r="D269" s="9" t="s">
        <v>761</v>
      </c>
      <c r="E269" s="9" t="s">
        <v>1197</v>
      </c>
      <c r="F269" s="9" t="s">
        <v>1198</v>
      </c>
      <c r="H269" s="6" t="s">
        <v>952</v>
      </c>
      <c r="I269" s="36" t="s">
        <v>1583</v>
      </c>
      <c r="K269" s="1" t="n">
        <v>784.26</v>
      </c>
      <c r="L269" s="1" t="n">
        <v>6675.52</v>
      </c>
      <c r="M269" s="6" t="n">
        <v>5205.49</v>
      </c>
      <c r="N269" s="1" t="n">
        <v>8</v>
      </c>
      <c r="O269" s="1" t="n">
        <v>3</v>
      </c>
      <c r="P269" s="1" t="n">
        <v>36434</v>
      </c>
      <c r="Q269" s="1" t="str">
        <f aca="false">IF(OR($A333="",P333=""),"",ROUND(YEARFRAC(P333,README!$C$5),1))</f>
        <v/>
      </c>
      <c r="T269" s="6" t="n">
        <v>1477</v>
      </c>
      <c r="U269" s="6" t="n">
        <v>2220</v>
      </c>
      <c r="V269" s="6" t="n">
        <v>743</v>
      </c>
      <c r="W269" s="6" t="n">
        <v>1</v>
      </c>
      <c r="X269" s="6" t="n">
        <v>10</v>
      </c>
      <c r="Y269" s="1" t="n">
        <v>2</v>
      </c>
      <c r="Z269" s="6" t="s">
        <v>1468</v>
      </c>
      <c r="AA269" s="9" t="s">
        <v>774</v>
      </c>
      <c r="AB269" s="6" t="s">
        <v>1584</v>
      </c>
      <c r="AC269" s="27" t="n">
        <f aca="false">COUNTIF(環境認証!$A$2:$A$849,A333)</f>
        <v>2</v>
      </c>
      <c r="AD269" s="6" t="n">
        <v>50.3</v>
      </c>
    </row>
    <row r="270" customFormat="false" ht="15" hidden="false" customHeight="true" outlineLevel="0" collapsed="false">
      <c r="A270" s="6" t="s">
        <v>1585</v>
      </c>
      <c r="B270" s="6" t="s">
        <v>478</v>
      </c>
      <c r="C270" s="9" t="s">
        <v>1586</v>
      </c>
      <c r="D270" s="9" t="s">
        <v>761</v>
      </c>
      <c r="E270" s="9" t="s">
        <v>1009</v>
      </c>
      <c r="F270" s="9" t="s">
        <v>1010</v>
      </c>
      <c r="H270" s="6" t="s">
        <v>952</v>
      </c>
      <c r="K270" s="1" t="n">
        <v>776.59</v>
      </c>
      <c r="L270" s="1" t="n">
        <v>2342.21</v>
      </c>
      <c r="M270" s="6" t="n">
        <v>4507.59</v>
      </c>
      <c r="N270" s="1" t="n">
        <v>4</v>
      </c>
      <c r="O270" s="1" t="n">
        <v>1</v>
      </c>
      <c r="P270" s="1" t="n">
        <v>35796</v>
      </c>
      <c r="Q270" s="1" t="str">
        <f aca="false">IF(OR($A334="",P334=""),"",ROUND(YEARFRAC(P334,README!$C$5),1))</f>
        <v/>
      </c>
      <c r="T270" s="6" t="n">
        <v>1566</v>
      </c>
      <c r="U270" s="6" t="n">
        <v>1760</v>
      </c>
      <c r="V270" s="6" t="n">
        <v>194</v>
      </c>
      <c r="W270" s="6" t="n">
        <v>1</v>
      </c>
      <c r="X270" s="6" t="n">
        <v>35</v>
      </c>
      <c r="Y270" s="1" t="n">
        <v>8</v>
      </c>
      <c r="Z270" s="6" t="s">
        <v>1468</v>
      </c>
      <c r="AA270" s="9" t="s">
        <v>774</v>
      </c>
      <c r="AB270" s="6" t="s">
        <v>1587</v>
      </c>
      <c r="AC270" s="27" t="n">
        <f aca="false">COUNTIF(環境認証!$A$2:$A$849,A334)</f>
        <v>2</v>
      </c>
      <c r="AD270" s="6" t="n">
        <v>12.4</v>
      </c>
    </row>
    <row r="271" customFormat="false" ht="15" hidden="false" customHeight="true" outlineLevel="0" collapsed="false">
      <c r="A271" s="6" t="s">
        <v>1588</v>
      </c>
      <c r="B271" s="6" t="s">
        <v>478</v>
      </c>
      <c r="C271" s="9" t="s">
        <v>1589</v>
      </c>
      <c r="D271" s="9" t="s">
        <v>761</v>
      </c>
      <c r="E271" s="9" t="s">
        <v>762</v>
      </c>
      <c r="F271" s="9" t="s">
        <v>815</v>
      </c>
      <c r="H271" s="9" t="s">
        <v>772</v>
      </c>
      <c r="K271" s="1" t="n">
        <v>1259.21</v>
      </c>
      <c r="L271" s="1" t="n">
        <v>3321.2</v>
      </c>
      <c r="M271" s="6" t="n">
        <v>4524.24</v>
      </c>
      <c r="N271" s="1" t="n">
        <v>4</v>
      </c>
      <c r="O271" s="1" t="n">
        <v>1</v>
      </c>
      <c r="P271" s="1" t="n">
        <v>31321</v>
      </c>
      <c r="Q271" s="1" t="str">
        <f aca="false">IF(OR($A335="",P335=""),"",ROUND(YEARFRAC(P335,README!$C$5),1))</f>
        <v/>
      </c>
      <c r="T271" s="6" t="n">
        <v>7524</v>
      </c>
      <c r="U271" s="6" t="n">
        <v>9200</v>
      </c>
      <c r="V271" s="6" t="n">
        <v>1676</v>
      </c>
      <c r="W271" s="6" t="n">
        <v>0.922</v>
      </c>
      <c r="X271" s="6" t="n">
        <v>5</v>
      </c>
      <c r="Y271" s="1" t="n">
        <v>9.9</v>
      </c>
      <c r="Z271" s="6" t="s">
        <v>1468</v>
      </c>
      <c r="AA271" s="9" t="s">
        <v>774</v>
      </c>
      <c r="AB271" s="6" t="s">
        <v>1590</v>
      </c>
      <c r="AC271" s="27" t="n">
        <f aca="false">COUNTIF(環境認証!$A$2:$A$849,A335)</f>
        <v>1</v>
      </c>
      <c r="AD271" s="6" t="n">
        <v>22.3</v>
      </c>
    </row>
    <row r="272" customFormat="false" ht="15" hidden="false" customHeight="true" outlineLevel="0" collapsed="false">
      <c r="A272" s="6" t="s">
        <v>1591</v>
      </c>
      <c r="B272" s="6" t="s">
        <v>478</v>
      </c>
      <c r="C272" s="9" t="s">
        <v>1592</v>
      </c>
      <c r="D272" s="9" t="s">
        <v>761</v>
      </c>
      <c r="E272" s="9" t="s">
        <v>762</v>
      </c>
      <c r="F272" s="9" t="s">
        <v>815</v>
      </c>
      <c r="H272" s="9" t="s">
        <v>772</v>
      </c>
      <c r="K272" s="1" t="n">
        <v>679.27</v>
      </c>
      <c r="L272" s="1" t="n">
        <v>1529.49</v>
      </c>
      <c r="M272" s="6" t="n">
        <v>2789.86</v>
      </c>
      <c r="N272" s="1" t="n">
        <v>3</v>
      </c>
      <c r="O272" s="1" t="n">
        <v>0</v>
      </c>
      <c r="P272" s="1" t="n">
        <v>35977</v>
      </c>
      <c r="Q272" s="1" t="str">
        <f aca="false">IF(OR($A336="",P336=""),"",ROUND(YEARFRAC(P336,README!$C$5),1))</f>
        <v/>
      </c>
      <c r="T272" s="6" t="n">
        <v>3775</v>
      </c>
      <c r="U272" s="6" t="n">
        <v>6320</v>
      </c>
      <c r="V272" s="6" t="n">
        <v>2545</v>
      </c>
      <c r="W272" s="6" t="n">
        <v>0.953</v>
      </c>
      <c r="X272" s="6" t="n">
        <v>10</v>
      </c>
      <c r="Y272" s="1" t="n">
        <v>8.5</v>
      </c>
      <c r="Z272" s="6" t="s">
        <v>1468</v>
      </c>
      <c r="AA272" s="9" t="s">
        <v>774</v>
      </c>
      <c r="AB272" s="6" t="s">
        <v>1593</v>
      </c>
      <c r="AC272" s="27" t="n">
        <f aca="false">COUNTIF(環境認証!$A$2:$A$849,A336)</f>
        <v>1</v>
      </c>
      <c r="AD272" s="6" t="n">
        <v>67.4</v>
      </c>
    </row>
    <row r="273" customFormat="false" ht="15" hidden="false" customHeight="true" outlineLevel="0" collapsed="false">
      <c r="A273" s="6" t="s">
        <v>1594</v>
      </c>
      <c r="B273" s="6" t="s">
        <v>478</v>
      </c>
      <c r="C273" s="9" t="s">
        <v>1595</v>
      </c>
      <c r="D273" s="9" t="s">
        <v>761</v>
      </c>
      <c r="E273" s="9" t="s">
        <v>762</v>
      </c>
      <c r="F273" s="9" t="s">
        <v>815</v>
      </c>
      <c r="H273" s="9" t="s">
        <v>772</v>
      </c>
      <c r="K273" s="1" t="n">
        <v>1705.35</v>
      </c>
      <c r="L273" s="1" t="n">
        <v>11847.87</v>
      </c>
      <c r="M273" s="6" t="n">
        <v>3510.44</v>
      </c>
      <c r="N273" s="1" t="n">
        <v>12</v>
      </c>
      <c r="O273" s="1" t="n">
        <v>2</v>
      </c>
      <c r="P273" s="1" t="n">
        <v>38231</v>
      </c>
      <c r="Q273" s="1" t="str">
        <f aca="false">IF(OR($A337="",P337=""),"",ROUND(YEARFRAC(P337,README!$C$5),1))</f>
        <v/>
      </c>
      <c r="T273" s="6" t="n">
        <v>3976</v>
      </c>
      <c r="U273" s="6" t="n">
        <v>4980</v>
      </c>
      <c r="V273" s="6" t="n">
        <v>1004</v>
      </c>
      <c r="W273" s="6" t="n">
        <v>1</v>
      </c>
      <c r="X273" s="6" t="n">
        <v>4</v>
      </c>
      <c r="Y273" s="1" t="n">
        <v>1.8</v>
      </c>
      <c r="Z273" s="6" t="s">
        <v>1468</v>
      </c>
      <c r="AA273" s="9" t="s">
        <v>774</v>
      </c>
      <c r="AB273" s="6" t="s">
        <v>1596</v>
      </c>
      <c r="AC273" s="27" t="n">
        <f aca="false">COUNTIF(環境認証!$A$2:$A$849,A337)</f>
        <v>0</v>
      </c>
      <c r="AD273" s="6" t="n">
        <v>25.3</v>
      </c>
    </row>
    <row r="274" customFormat="false" ht="15" hidden="false" customHeight="true" outlineLevel="0" collapsed="false">
      <c r="A274" s="6" t="s">
        <v>1597</v>
      </c>
      <c r="B274" s="6" t="s">
        <v>478</v>
      </c>
      <c r="C274" s="9" t="s">
        <v>1598</v>
      </c>
      <c r="D274" s="9" t="s">
        <v>761</v>
      </c>
      <c r="E274" s="9" t="s">
        <v>762</v>
      </c>
      <c r="F274" s="9" t="s">
        <v>815</v>
      </c>
      <c r="H274" s="9" t="s">
        <v>772</v>
      </c>
      <c r="K274" s="1" t="n">
        <v>575.54</v>
      </c>
      <c r="L274" s="1" t="n">
        <v>1272.6</v>
      </c>
      <c r="M274" s="6" t="n">
        <v>6425.29</v>
      </c>
      <c r="N274" s="1" t="n">
        <v>5</v>
      </c>
      <c r="O274" s="1" t="n">
        <v>0</v>
      </c>
      <c r="P274" s="1" t="n">
        <v>37226</v>
      </c>
      <c r="Q274" s="1" t="str">
        <f aca="false">IF(OR($A338="",P338=""),"",ROUND(YEARFRAC(P338,README!$C$5),1))</f>
        <v/>
      </c>
      <c r="T274" s="6" t="n">
        <v>5030</v>
      </c>
      <c r="U274" s="6" t="n">
        <v>8430</v>
      </c>
      <c r="V274" s="6" t="n">
        <v>3400</v>
      </c>
      <c r="W274" s="6" t="n">
        <v>1</v>
      </c>
      <c r="X274" s="6" t="n">
        <v>11</v>
      </c>
      <c r="Y274" s="1" t="n">
        <v>5.8</v>
      </c>
      <c r="Z274" s="6" t="s">
        <v>1468</v>
      </c>
      <c r="AA274" s="9" t="s">
        <v>774</v>
      </c>
      <c r="AB274" s="6" t="s">
        <v>1599</v>
      </c>
      <c r="AC274" s="27" t="n">
        <f aca="false">COUNTIF(環境認証!$A$2:$A$849,A338)</f>
        <v>1</v>
      </c>
      <c r="AD274" s="6" t="n">
        <v>67.6</v>
      </c>
    </row>
    <row r="275" customFormat="false" ht="15" hidden="false" customHeight="true" outlineLevel="0" collapsed="false">
      <c r="A275" s="6" t="s">
        <v>1600</v>
      </c>
      <c r="B275" s="6" t="s">
        <v>478</v>
      </c>
      <c r="C275" s="9" t="s">
        <v>1601</v>
      </c>
      <c r="D275" s="9" t="s">
        <v>761</v>
      </c>
      <c r="E275" s="9" t="s">
        <v>762</v>
      </c>
      <c r="F275" s="9" t="s">
        <v>820</v>
      </c>
      <c r="H275" s="9" t="s">
        <v>772</v>
      </c>
      <c r="K275" s="1" t="n">
        <v>2013.28</v>
      </c>
      <c r="L275" s="1" t="n">
        <v>7003.88</v>
      </c>
      <c r="M275" s="6" t="n">
        <v>4216.97</v>
      </c>
      <c r="N275" s="1" t="n">
        <v>5</v>
      </c>
      <c r="O275" s="1" t="n">
        <v>2</v>
      </c>
      <c r="P275" s="1" t="n">
        <v>33786</v>
      </c>
      <c r="Q275" s="1" t="str">
        <f aca="false">IF(OR($A339="",P339=""),"",ROUND(YEARFRAC(P339,README!$C$5),1))</f>
        <v/>
      </c>
      <c r="T275" s="6" t="n">
        <v>4162</v>
      </c>
      <c r="U275" s="6" t="n">
        <v>5730</v>
      </c>
      <c r="V275" s="6" t="n">
        <v>1568</v>
      </c>
      <c r="W275" s="6" t="n">
        <v>1</v>
      </c>
      <c r="X275" s="6" t="n">
        <v>7</v>
      </c>
      <c r="Y275" s="1" t="n">
        <v>6.4</v>
      </c>
      <c r="Z275" s="6" t="s">
        <v>1468</v>
      </c>
      <c r="AA275" s="9" t="s">
        <v>774</v>
      </c>
      <c r="AB275" s="6" t="s">
        <v>1602</v>
      </c>
      <c r="AC275" s="27" t="n">
        <f aca="false">COUNTIF(環境認証!$A$2:$A$849,A339)</f>
        <v>0</v>
      </c>
      <c r="AD275" s="6" t="n">
        <v>37.7</v>
      </c>
    </row>
    <row r="276" customFormat="false" ht="15" hidden="false" customHeight="true" outlineLevel="0" collapsed="false">
      <c r="A276" s="6" t="s">
        <v>1603</v>
      </c>
      <c r="B276" s="6" t="s">
        <v>478</v>
      </c>
      <c r="C276" s="9" t="s">
        <v>1604</v>
      </c>
      <c r="D276" s="9" t="s">
        <v>761</v>
      </c>
      <c r="E276" s="9" t="s">
        <v>762</v>
      </c>
      <c r="F276" s="9" t="s">
        <v>820</v>
      </c>
      <c r="H276" s="9" t="s">
        <v>772</v>
      </c>
      <c r="I276" s="36" t="s">
        <v>1605</v>
      </c>
      <c r="K276" s="1" t="n">
        <v>1013.03</v>
      </c>
      <c r="L276" s="1" t="n">
        <v>6505.39</v>
      </c>
      <c r="M276" s="6" t="n">
        <v>2971.22</v>
      </c>
      <c r="N276" s="1" t="n">
        <v>9</v>
      </c>
      <c r="O276" s="1" t="n">
        <v>3</v>
      </c>
      <c r="P276" s="1" t="n">
        <v>31929</v>
      </c>
      <c r="Q276" s="1" t="str">
        <f aca="false">IF(OR($A340="",P340=""),"",ROUND(YEARFRAC(P340,README!$C$5),1))</f>
        <v/>
      </c>
      <c r="T276" s="6" t="n">
        <v>2517</v>
      </c>
      <c r="U276" s="6" t="n">
        <v>3670</v>
      </c>
      <c r="V276" s="6" t="n">
        <v>1153</v>
      </c>
      <c r="W276" s="6" t="n">
        <v>1</v>
      </c>
      <c r="X276" s="6" t="n">
        <v>5</v>
      </c>
      <c r="Y276" s="1" t="n">
        <v>3.8</v>
      </c>
      <c r="Z276" s="6" t="s">
        <v>1468</v>
      </c>
      <c r="AA276" s="9" t="s">
        <v>774</v>
      </c>
      <c r="AB276" s="6" t="s">
        <v>1606</v>
      </c>
      <c r="AC276" s="27" t="n">
        <f aca="false">COUNTIF(環境認証!$A$2:$A$849,A340)</f>
        <v>1</v>
      </c>
      <c r="AD276" s="6" t="n">
        <v>45.8</v>
      </c>
    </row>
    <row r="277" customFormat="false" ht="15" hidden="false" customHeight="true" outlineLevel="0" collapsed="false">
      <c r="A277" s="6" t="s">
        <v>1607</v>
      </c>
      <c r="B277" s="6" t="s">
        <v>478</v>
      </c>
      <c r="C277" s="9" t="s">
        <v>1608</v>
      </c>
      <c r="D277" s="9" t="s">
        <v>761</v>
      </c>
      <c r="E277" s="9" t="s">
        <v>762</v>
      </c>
      <c r="F277" s="9" t="s">
        <v>820</v>
      </c>
      <c r="H277" s="9" t="s">
        <v>772</v>
      </c>
      <c r="K277" s="1" t="n">
        <v>1642.86</v>
      </c>
      <c r="L277" s="1" t="n">
        <v>10244.51</v>
      </c>
      <c r="M277" s="6" t="n">
        <v>2312.03</v>
      </c>
      <c r="N277" s="1" t="n">
        <v>9</v>
      </c>
      <c r="O277" s="1" t="n">
        <v>1</v>
      </c>
      <c r="P277" s="1" t="n">
        <v>33635</v>
      </c>
      <c r="Q277" s="1" t="str">
        <f aca="false">IF(OR($A341="",P341=""),"",ROUND(YEARFRAC(P341,README!$C$5),1))</f>
        <v/>
      </c>
      <c r="T277" s="6" t="n">
        <v>2415</v>
      </c>
      <c r="U277" s="6" t="n">
        <v>3360</v>
      </c>
      <c r="V277" s="6" t="n">
        <v>945</v>
      </c>
      <c r="W277" s="6" t="n">
        <v>1</v>
      </c>
      <c r="X277" s="6" t="n">
        <v>6</v>
      </c>
      <c r="Y277" s="1" t="n">
        <v>4.9</v>
      </c>
      <c r="Z277" s="6" t="s">
        <v>1468</v>
      </c>
      <c r="AA277" s="9" t="s">
        <v>774</v>
      </c>
      <c r="AB277" s="6" t="s">
        <v>1609</v>
      </c>
      <c r="AC277" s="27" t="n">
        <f aca="false">COUNTIF(環境認証!$A$2:$A$849,A341)</f>
        <v>1</v>
      </c>
      <c r="AD277" s="6" t="n">
        <v>39.1</v>
      </c>
    </row>
    <row r="278" customFormat="false" ht="15" hidden="false" customHeight="true" outlineLevel="0" collapsed="false">
      <c r="A278" s="6" t="s">
        <v>1610</v>
      </c>
      <c r="B278" s="6" t="s">
        <v>478</v>
      </c>
      <c r="C278" s="9" t="s">
        <v>1611</v>
      </c>
      <c r="D278" s="9" t="s">
        <v>761</v>
      </c>
      <c r="E278" s="9" t="s">
        <v>762</v>
      </c>
      <c r="F278" s="9" t="s">
        <v>763</v>
      </c>
      <c r="H278" s="9" t="s">
        <v>772</v>
      </c>
      <c r="I278" s="36" t="s">
        <v>1612</v>
      </c>
      <c r="K278" s="1" t="n">
        <v>1730.1</v>
      </c>
      <c r="L278" s="1" t="n">
        <v>15343.73</v>
      </c>
      <c r="M278" s="6" t="n">
        <v>3090.65</v>
      </c>
      <c r="N278" s="1" t="n">
        <v>9</v>
      </c>
      <c r="O278" s="1" t="n">
        <v>2</v>
      </c>
      <c r="P278" s="1" t="n">
        <v>32234</v>
      </c>
      <c r="Q278" s="1" t="str">
        <f aca="false">IF(OR($A342="",P342=""),"",ROUND(YEARFRAC(P342,README!$C$5),1))</f>
        <v/>
      </c>
      <c r="T278" s="6" t="n">
        <v>3267</v>
      </c>
      <c r="U278" s="6" t="n">
        <v>3750</v>
      </c>
      <c r="V278" s="6" t="n">
        <v>483</v>
      </c>
      <c r="W278" s="6" t="n">
        <v>1</v>
      </c>
      <c r="X278" s="6" t="n">
        <v>10</v>
      </c>
      <c r="Y278" s="1" t="n">
        <v>3.2</v>
      </c>
      <c r="Z278" s="6" t="s">
        <v>1468</v>
      </c>
      <c r="AA278" s="9" t="s">
        <v>774</v>
      </c>
      <c r="AB278" s="6" t="s">
        <v>1613</v>
      </c>
      <c r="AC278" s="27" t="n">
        <f aca="false">COUNTIF(環境認証!$A$2:$A$849,A342)</f>
        <v>1</v>
      </c>
      <c r="AD278" s="6" t="n">
        <v>14.8</v>
      </c>
    </row>
    <row r="279" customFormat="false" ht="15" hidden="false" customHeight="true" outlineLevel="0" collapsed="false">
      <c r="A279" s="6" t="s">
        <v>1614</v>
      </c>
      <c r="B279" s="6" t="s">
        <v>478</v>
      </c>
      <c r="C279" s="9" t="s">
        <v>1615</v>
      </c>
      <c r="D279" s="9" t="s">
        <v>761</v>
      </c>
      <c r="E279" s="9" t="s">
        <v>762</v>
      </c>
      <c r="F279" s="9" t="s">
        <v>848</v>
      </c>
      <c r="H279" s="9" t="s">
        <v>882</v>
      </c>
      <c r="K279" s="1" t="n">
        <v>2382.67</v>
      </c>
      <c r="L279" s="1" t="n">
        <v>7619.56</v>
      </c>
      <c r="M279" s="6" t="n">
        <v>4548.1</v>
      </c>
      <c r="N279" s="1" t="n">
        <v>7</v>
      </c>
      <c r="O279" s="1" t="n">
        <v>0</v>
      </c>
      <c r="P279" s="1" t="n">
        <v>32782</v>
      </c>
      <c r="Q279" s="1" t="str">
        <f aca="false">IF(OR($A343="",P343=""),"",ROUND(YEARFRAC(P343,README!$C$5),1))</f>
        <v/>
      </c>
      <c r="T279" s="6" t="n">
        <v>3689</v>
      </c>
      <c r="U279" s="6" t="n">
        <v>4650</v>
      </c>
      <c r="V279" s="6" t="n">
        <v>961</v>
      </c>
      <c r="W279" s="6" t="n">
        <v>1</v>
      </c>
      <c r="X279" s="6" t="n">
        <v>20</v>
      </c>
      <c r="Y279" s="1" t="n">
        <v>3.8</v>
      </c>
      <c r="Z279" s="6" t="s">
        <v>1468</v>
      </c>
      <c r="AA279" s="9" t="s">
        <v>774</v>
      </c>
      <c r="AB279" s="6" t="s">
        <v>1616</v>
      </c>
      <c r="AC279" s="27" t="n">
        <f aca="false">COUNTIF(環境認証!$A$2:$A$849,A343)</f>
        <v>1</v>
      </c>
      <c r="AD279" s="6" t="n">
        <v>26.1</v>
      </c>
    </row>
    <row r="280" customFormat="false" ht="15" hidden="false" customHeight="true" outlineLevel="0" collapsed="false">
      <c r="A280" s="6" t="s">
        <v>1617</v>
      </c>
      <c r="B280" s="6" t="s">
        <v>478</v>
      </c>
      <c r="C280" s="9" t="s">
        <v>1618</v>
      </c>
      <c r="D280" s="9" t="s">
        <v>761</v>
      </c>
      <c r="E280" s="9" t="s">
        <v>762</v>
      </c>
      <c r="F280" s="9" t="s">
        <v>782</v>
      </c>
      <c r="H280" s="9" t="s">
        <v>772</v>
      </c>
      <c r="K280" s="1" t="n">
        <v>1269.24</v>
      </c>
      <c r="L280" s="1" t="n">
        <v>6803.47</v>
      </c>
      <c r="M280" s="6" t="n">
        <v>2369.82</v>
      </c>
      <c r="N280" s="1" t="n">
        <v>7</v>
      </c>
      <c r="O280" s="1" t="n">
        <v>1</v>
      </c>
      <c r="P280" s="1" t="n">
        <v>37622</v>
      </c>
      <c r="Q280" s="1" t="str">
        <f aca="false">IF(OR($A344="",P344=""),"",ROUND(YEARFRAC(P344,README!$C$5),1))</f>
        <v/>
      </c>
      <c r="T280" s="6" t="n">
        <v>1722</v>
      </c>
      <c r="U280" s="6" t="n">
        <v>3190</v>
      </c>
      <c r="V280" s="6" t="n">
        <v>1468</v>
      </c>
      <c r="W280" s="6" t="n">
        <v>0.9</v>
      </c>
      <c r="X280" s="6" t="n">
        <v>11</v>
      </c>
      <c r="Y280" s="1" t="n">
        <v>3.3</v>
      </c>
      <c r="Z280" s="6" t="s">
        <v>1468</v>
      </c>
      <c r="AA280" s="9" t="s">
        <v>774</v>
      </c>
      <c r="AB280" s="6" t="s">
        <v>1619</v>
      </c>
      <c r="AC280" s="27" t="n">
        <f aca="false">COUNTIF(環境認証!$A$2:$A$849,A344)</f>
        <v>1</v>
      </c>
      <c r="AD280" s="6" t="n">
        <v>85.2</v>
      </c>
    </row>
    <row r="281" customFormat="false" ht="15" hidden="false" customHeight="true" outlineLevel="0" collapsed="false">
      <c r="A281" s="6" t="s">
        <v>1620</v>
      </c>
      <c r="B281" s="6" t="s">
        <v>478</v>
      </c>
      <c r="C281" s="9" t="s">
        <v>1621</v>
      </c>
      <c r="D281" s="9" t="s">
        <v>761</v>
      </c>
      <c r="E281" s="9" t="s">
        <v>762</v>
      </c>
      <c r="F281" s="9" t="s">
        <v>911</v>
      </c>
      <c r="H281" s="9" t="s">
        <v>882</v>
      </c>
      <c r="K281" s="1" t="n">
        <v>1113.87</v>
      </c>
      <c r="L281" s="1" t="n">
        <v>8720.09</v>
      </c>
      <c r="M281" s="6" t="n">
        <v>4443.97</v>
      </c>
      <c r="N281" s="1" t="n">
        <v>10</v>
      </c>
      <c r="O281" s="1" t="n">
        <v>0</v>
      </c>
      <c r="P281" s="1" t="n">
        <v>37742</v>
      </c>
      <c r="Q281" s="1" t="str">
        <f aca="false">IF(OR($A345="",P345=""),"",ROUND(YEARFRAC(P345,README!$C$5),1))</f>
        <v/>
      </c>
      <c r="T281" s="6" t="n">
        <v>4612</v>
      </c>
      <c r="U281" s="6" t="n">
        <v>5610</v>
      </c>
      <c r="V281" s="6" t="n">
        <v>998</v>
      </c>
      <c r="W281" s="6" t="n">
        <v>1</v>
      </c>
      <c r="X281" s="6" t="n">
        <v>21</v>
      </c>
      <c r="Y281" s="1" t="n">
        <v>3.9</v>
      </c>
      <c r="Z281" s="6" t="s">
        <v>1468</v>
      </c>
      <c r="AA281" s="9" t="s">
        <v>774</v>
      </c>
      <c r="AB281" s="6" t="s">
        <v>1622</v>
      </c>
      <c r="AC281" s="27" t="n">
        <f aca="false">COUNTIF(環境認証!$A$2:$A$849,A345)</f>
        <v>2</v>
      </c>
      <c r="AD281" s="6" t="n">
        <v>21.6</v>
      </c>
    </row>
    <row r="282" customFormat="false" ht="15" hidden="false" customHeight="true" outlineLevel="0" collapsed="false">
      <c r="A282" s="6" t="s">
        <v>1623</v>
      </c>
      <c r="B282" s="6" t="s">
        <v>478</v>
      </c>
      <c r="C282" s="9" t="s">
        <v>1624</v>
      </c>
      <c r="D282" s="9" t="s">
        <v>761</v>
      </c>
      <c r="E282" s="9" t="s">
        <v>1625</v>
      </c>
      <c r="F282" s="9" t="s">
        <v>1626</v>
      </c>
      <c r="H282" s="9" t="s">
        <v>965</v>
      </c>
      <c r="I282" s="36" t="s">
        <v>1605</v>
      </c>
      <c r="K282" s="1" t="n">
        <v>795.33</v>
      </c>
      <c r="L282" s="1" t="n">
        <v>5704.69</v>
      </c>
      <c r="M282" s="6" t="n">
        <v>3433.07</v>
      </c>
      <c r="N282" s="1" t="n">
        <v>8</v>
      </c>
      <c r="O282" s="1" t="n">
        <v>1</v>
      </c>
      <c r="P282" s="1" t="n">
        <v>31291</v>
      </c>
      <c r="Q282" s="1" t="str">
        <f aca="false">IF(OR($A346="",P346=""),"",ROUND(YEARFRAC(P346,README!$C$5),1))</f>
        <v/>
      </c>
      <c r="T282" s="6" t="n">
        <v>1466</v>
      </c>
      <c r="U282" s="6" t="n">
        <v>2290</v>
      </c>
      <c r="V282" s="6" t="n">
        <v>824</v>
      </c>
      <c r="W282" s="6" t="n">
        <v>1</v>
      </c>
      <c r="X282" s="6" t="n">
        <v>16</v>
      </c>
      <c r="Y282" s="1" t="n">
        <v>6.2</v>
      </c>
      <c r="Z282" s="6" t="s">
        <v>1468</v>
      </c>
      <c r="AA282" s="9" t="s">
        <v>774</v>
      </c>
      <c r="AB282" s="6" t="s">
        <v>1627</v>
      </c>
      <c r="AC282" s="27" t="n">
        <f aca="false">COUNTIF(環境認証!$A$2:$A$849,A346)</f>
        <v>1</v>
      </c>
      <c r="AD282" s="6" t="n">
        <v>56.2</v>
      </c>
    </row>
    <row r="283" customFormat="false" ht="15" hidden="false" customHeight="true" outlineLevel="0" collapsed="false">
      <c r="A283" s="6" t="s">
        <v>1628</v>
      </c>
      <c r="B283" s="6" t="s">
        <v>478</v>
      </c>
      <c r="C283" s="9" t="s">
        <v>1629</v>
      </c>
      <c r="D283" s="9" t="s">
        <v>761</v>
      </c>
      <c r="E283" s="9" t="s">
        <v>925</v>
      </c>
      <c r="F283" s="9" t="s">
        <v>930</v>
      </c>
      <c r="H283" s="9" t="s">
        <v>921</v>
      </c>
      <c r="I283" s="36" t="s">
        <v>1630</v>
      </c>
      <c r="K283" s="1" t="n">
        <v>1077.45</v>
      </c>
      <c r="L283" s="1" t="n">
        <v>7289.38</v>
      </c>
      <c r="M283" s="6" t="n">
        <v>3950.5</v>
      </c>
      <c r="N283" s="1" t="n">
        <v>9</v>
      </c>
      <c r="O283" s="1" t="n">
        <v>1</v>
      </c>
      <c r="P283" s="1" t="n">
        <v>32933</v>
      </c>
      <c r="Q283" s="1" t="str">
        <f aca="false">IF(OR($A347="",P347=""),"",ROUND(YEARFRAC(P347,README!$C$5),1))</f>
        <v/>
      </c>
      <c r="T283" s="6" t="n">
        <v>1825</v>
      </c>
      <c r="U283" s="6" t="n">
        <v>2420</v>
      </c>
      <c r="V283" s="6" t="n">
        <v>595</v>
      </c>
      <c r="W283" s="6" t="n">
        <v>0.946</v>
      </c>
      <c r="X283" s="6" t="n">
        <v>21</v>
      </c>
      <c r="Y283" s="1" t="n">
        <v>3.1</v>
      </c>
      <c r="Z283" s="6" t="s">
        <v>1468</v>
      </c>
      <c r="AA283" s="9" t="s">
        <v>774</v>
      </c>
      <c r="AB283" s="6" t="s">
        <v>1631</v>
      </c>
      <c r="AC283" s="27" t="n">
        <f aca="false">COUNTIF(環境認証!$A$2:$A$849,A347)</f>
        <v>1</v>
      </c>
      <c r="AD283" s="6" t="n">
        <v>32.6</v>
      </c>
    </row>
    <row r="284" customFormat="false" ht="15" hidden="false" customHeight="true" outlineLevel="0" collapsed="false">
      <c r="A284" s="6" t="s">
        <v>1632</v>
      </c>
      <c r="B284" s="6" t="s">
        <v>478</v>
      </c>
      <c r="C284" s="9" t="s">
        <v>1633</v>
      </c>
      <c r="D284" s="9" t="s">
        <v>761</v>
      </c>
      <c r="E284" s="9" t="s">
        <v>762</v>
      </c>
      <c r="F284" s="9" t="s">
        <v>815</v>
      </c>
      <c r="H284" s="9" t="s">
        <v>772</v>
      </c>
      <c r="K284" s="1" t="n">
        <v>2021.77</v>
      </c>
      <c r="L284" s="1" t="n">
        <v>14033.73</v>
      </c>
      <c r="M284" s="6" t="n">
        <v>1041.36</v>
      </c>
      <c r="N284" s="1" t="n">
        <v>10</v>
      </c>
      <c r="O284" s="1" t="n">
        <v>0</v>
      </c>
      <c r="P284" s="1" t="n">
        <v>40269</v>
      </c>
      <c r="Q284" s="1" t="str">
        <f aca="false">IF(OR($A348="",P348=""),"",ROUND(YEARFRAC(P348,README!$C$5),1))</f>
        <v/>
      </c>
      <c r="T284" s="6" t="n">
        <v>1524</v>
      </c>
      <c r="U284" s="6" t="n">
        <v>2510</v>
      </c>
      <c r="V284" s="6" t="n">
        <v>986</v>
      </c>
      <c r="W284" s="6" t="n">
        <v>0.828</v>
      </c>
      <c r="X284" s="6" t="n">
        <v>5</v>
      </c>
      <c r="Y284" s="1" t="n">
        <v>2.4</v>
      </c>
      <c r="Z284" s="6" t="s">
        <v>1468</v>
      </c>
      <c r="AA284" s="9" t="s">
        <v>774</v>
      </c>
      <c r="AB284" s="6" t="s">
        <v>1634</v>
      </c>
      <c r="AC284" s="27" t="n">
        <f aca="false">COUNTIF(環境認証!$A$2:$A$849,A348)</f>
        <v>0</v>
      </c>
      <c r="AD284" s="6" t="n">
        <v>64.7</v>
      </c>
    </row>
    <row r="285" customFormat="false" ht="15" hidden="false" customHeight="true" outlineLevel="0" collapsed="false">
      <c r="A285" s="6" t="s">
        <v>1635</v>
      </c>
      <c r="B285" s="6" t="s">
        <v>478</v>
      </c>
      <c r="C285" s="9" t="s">
        <v>1636</v>
      </c>
      <c r="D285" s="9" t="s">
        <v>761</v>
      </c>
      <c r="E285" s="9" t="s">
        <v>762</v>
      </c>
      <c r="F285" s="9" t="s">
        <v>820</v>
      </c>
      <c r="H285" s="9" t="s">
        <v>772</v>
      </c>
      <c r="K285" s="1" t="n">
        <v>270.05</v>
      </c>
      <c r="L285" s="1" t="n">
        <v>2006.13</v>
      </c>
      <c r="M285" s="6" t="n">
        <v>1769.75</v>
      </c>
      <c r="N285" s="1" t="n">
        <v>10</v>
      </c>
      <c r="O285" s="1" t="n">
        <v>0</v>
      </c>
      <c r="P285" s="1" t="n">
        <v>33573</v>
      </c>
      <c r="Q285" s="1" t="str">
        <f aca="false">IF(OR($A349="",P349=""),"",ROUND(YEARFRAC(P349,README!$C$5),1))</f>
        <v/>
      </c>
      <c r="T285" s="6" t="n">
        <v>1511</v>
      </c>
      <c r="U285" s="6" t="n">
        <v>1960</v>
      </c>
      <c r="V285" s="6" t="n">
        <v>449</v>
      </c>
      <c r="W285" s="6" t="n">
        <v>1</v>
      </c>
      <c r="X285" s="6" t="n">
        <v>8</v>
      </c>
      <c r="Y285" s="1" t="n">
        <v>3.6</v>
      </c>
      <c r="Z285" s="6" t="s">
        <v>1468</v>
      </c>
      <c r="AA285" s="9" t="s">
        <v>774</v>
      </c>
      <c r="AB285" s="6" t="s">
        <v>1637</v>
      </c>
      <c r="AC285" s="27" t="n">
        <f aca="false">COUNTIF(環境認証!$A$2:$A$849,A349)</f>
        <v>1</v>
      </c>
      <c r="AD285" s="6" t="n">
        <v>29.7</v>
      </c>
    </row>
    <row r="286" customFormat="false" ht="15" hidden="false" customHeight="true" outlineLevel="0" collapsed="false">
      <c r="A286" s="6" t="s">
        <v>1638</v>
      </c>
      <c r="B286" s="6" t="s">
        <v>478</v>
      </c>
      <c r="C286" s="9" t="s">
        <v>1639</v>
      </c>
      <c r="D286" s="9" t="s">
        <v>761</v>
      </c>
      <c r="E286" s="9" t="s">
        <v>1005</v>
      </c>
      <c r="F286" s="9" t="s">
        <v>1006</v>
      </c>
      <c r="H286" s="9" t="s">
        <v>971</v>
      </c>
      <c r="I286" s="36" t="s">
        <v>1640</v>
      </c>
      <c r="K286" s="1" t="n">
        <v>2756.41</v>
      </c>
      <c r="L286" s="1" t="n">
        <v>15834.55</v>
      </c>
      <c r="M286" s="6" t="n">
        <v>2423.86</v>
      </c>
      <c r="N286" s="1" t="n">
        <v>11</v>
      </c>
      <c r="O286" s="1" t="n">
        <v>0</v>
      </c>
      <c r="P286" s="1" t="n">
        <v>40787</v>
      </c>
      <c r="Q286" s="1" t="str">
        <f aca="false">IF(OR($A350="",P350=""),"",ROUND(YEARFRAC(P350,README!$C$5),1))</f>
        <v/>
      </c>
      <c r="T286" s="6" t="n">
        <v>1384</v>
      </c>
      <c r="U286" s="6" t="n">
        <v>1660</v>
      </c>
      <c r="V286" s="6" t="n">
        <v>276</v>
      </c>
      <c r="W286" s="6" t="n">
        <v>1</v>
      </c>
      <c r="X286" s="6" t="n">
        <v>28</v>
      </c>
      <c r="Y286" s="1" t="n">
        <v>2</v>
      </c>
      <c r="Z286" s="6" t="s">
        <v>1468</v>
      </c>
      <c r="AA286" s="9" t="s">
        <v>774</v>
      </c>
      <c r="AB286" s="6" t="s">
        <v>1641</v>
      </c>
      <c r="AC286" s="27" t="n">
        <f aca="false">COUNTIF(環境認証!$A$2:$A$849,A350)</f>
        <v>1</v>
      </c>
      <c r="AD286" s="6" t="n">
        <v>19.9</v>
      </c>
    </row>
    <row r="287" customFormat="false" ht="15" hidden="false" customHeight="true" outlineLevel="0" collapsed="false">
      <c r="A287" s="6" t="s">
        <v>1642</v>
      </c>
      <c r="B287" s="6" t="s">
        <v>478</v>
      </c>
      <c r="C287" s="9" t="s">
        <v>1643</v>
      </c>
      <c r="D287" s="9" t="s">
        <v>761</v>
      </c>
      <c r="E287" s="9" t="s">
        <v>969</v>
      </c>
      <c r="F287" s="9" t="s">
        <v>970</v>
      </c>
      <c r="H287" s="9" t="s">
        <v>971</v>
      </c>
      <c r="K287" s="1" t="n">
        <v>478.4</v>
      </c>
      <c r="L287" s="1" t="n">
        <v>2603.3</v>
      </c>
      <c r="M287" s="6" t="n">
        <v>3324.74</v>
      </c>
      <c r="N287" s="1" t="n">
        <v>7</v>
      </c>
      <c r="O287" s="1" t="n">
        <v>1</v>
      </c>
      <c r="P287" s="1" t="n">
        <v>33695</v>
      </c>
      <c r="Q287" s="1" t="str">
        <f aca="false">IF(OR($A351="",P351=""),"",ROUND(YEARFRAC(P351,README!$C$5),1))</f>
        <v/>
      </c>
      <c r="T287" s="6" t="n">
        <v>1965</v>
      </c>
      <c r="U287" s="6" t="n">
        <v>2530</v>
      </c>
      <c r="V287" s="6" t="n">
        <v>565</v>
      </c>
      <c r="W287" s="6" t="n">
        <v>0.896</v>
      </c>
      <c r="X287" s="6" t="n">
        <v>7</v>
      </c>
      <c r="Y287" s="1" t="n">
        <v>2.8</v>
      </c>
      <c r="Z287" s="6" t="s">
        <v>1468</v>
      </c>
      <c r="AA287" s="9" t="s">
        <v>774</v>
      </c>
      <c r="AB287" s="6" t="s">
        <v>1644</v>
      </c>
      <c r="AC287" s="27" t="n">
        <f aca="false">COUNTIF(環境認証!$A$2:$A$849,A351)</f>
        <v>0</v>
      </c>
      <c r="AD287" s="6" t="n">
        <v>28.8</v>
      </c>
    </row>
    <row r="288" customFormat="false" ht="15" hidden="false" customHeight="true" outlineLevel="0" collapsed="false">
      <c r="A288" s="6" t="s">
        <v>1645</v>
      </c>
      <c r="B288" s="6" t="s">
        <v>478</v>
      </c>
      <c r="C288" s="9" t="s">
        <v>1646</v>
      </c>
      <c r="D288" s="9" t="s">
        <v>761</v>
      </c>
      <c r="E288" s="9" t="s">
        <v>762</v>
      </c>
      <c r="F288" s="9" t="s">
        <v>911</v>
      </c>
      <c r="H288" s="9" t="s">
        <v>882</v>
      </c>
      <c r="K288" s="1" t="n">
        <v>721.34</v>
      </c>
      <c r="L288" s="1" t="n">
        <v>5644.91</v>
      </c>
      <c r="M288" s="6" t="n">
        <v>3118.69</v>
      </c>
      <c r="N288" s="1" t="n">
        <v>11</v>
      </c>
      <c r="O288" s="1" t="n">
        <v>1</v>
      </c>
      <c r="P288" s="1" t="n">
        <v>32203</v>
      </c>
      <c r="Q288" s="1" t="str">
        <f aca="false">IF(OR($A352="",P352=""),"",ROUND(YEARFRAC(P352,README!$C$5),1))</f>
        <v/>
      </c>
      <c r="T288" s="6" t="n">
        <v>3006</v>
      </c>
      <c r="U288" s="6" t="n">
        <v>3670</v>
      </c>
      <c r="V288" s="6" t="n">
        <v>664</v>
      </c>
      <c r="W288" s="6" t="n">
        <v>1</v>
      </c>
      <c r="X288" s="6" t="n">
        <v>2</v>
      </c>
      <c r="Y288" s="1" t="n">
        <v>4.9</v>
      </c>
      <c r="Z288" s="6" t="s">
        <v>1468</v>
      </c>
      <c r="AA288" s="9" t="s">
        <v>774</v>
      </c>
      <c r="AB288" s="6" t="s">
        <v>1647</v>
      </c>
      <c r="AC288" s="27" t="n">
        <f aca="false">COUNTIF(環境認証!$A$2:$A$849,A352)</f>
        <v>0</v>
      </c>
      <c r="AD288" s="6" t="n">
        <v>22.1</v>
      </c>
    </row>
    <row r="289" customFormat="false" ht="15" hidden="false" customHeight="true" outlineLevel="0" collapsed="false">
      <c r="A289" s="6" t="s">
        <v>1648</v>
      </c>
      <c r="B289" s="6" t="s">
        <v>478</v>
      </c>
      <c r="C289" s="9" t="s">
        <v>1649</v>
      </c>
      <c r="D289" s="9" t="s">
        <v>761</v>
      </c>
      <c r="E289" s="9" t="s">
        <v>762</v>
      </c>
      <c r="F289" s="9" t="s">
        <v>782</v>
      </c>
      <c r="H289" s="9" t="s">
        <v>772</v>
      </c>
      <c r="K289" s="1" t="n">
        <v>4646.65</v>
      </c>
      <c r="L289" s="1" t="n">
        <v>18102.32</v>
      </c>
      <c r="M289" s="6" t="n">
        <v>1329.96</v>
      </c>
      <c r="N289" s="1" t="n">
        <v>12</v>
      </c>
      <c r="O289" s="1" t="n">
        <v>2</v>
      </c>
      <c r="P289" s="1" t="n">
        <v>30103</v>
      </c>
      <c r="Q289" s="1" t="str">
        <f aca="false">IF(OR($A353="",P353=""),"",ROUND(YEARFRAC(P353,README!$C$5),1))</f>
        <v/>
      </c>
      <c r="T289" s="6" t="n">
        <v>1912</v>
      </c>
      <c r="U289" s="6" t="n">
        <v>2250</v>
      </c>
      <c r="V289" s="6" t="n">
        <v>338</v>
      </c>
      <c r="W289" s="6" t="n">
        <v>1</v>
      </c>
      <c r="X289" s="6" t="n">
        <v>3</v>
      </c>
      <c r="Y289" s="1" t="n">
        <v>3.4</v>
      </c>
      <c r="Z289" s="6" t="s">
        <v>1468</v>
      </c>
      <c r="AA289" s="9" t="s">
        <v>774</v>
      </c>
      <c r="AB289" s="6" t="s">
        <v>1650</v>
      </c>
      <c r="AC289" s="27" t="n">
        <f aca="false">COUNTIF(環境認証!$A$2:$A$849,A353)</f>
        <v>1</v>
      </c>
      <c r="AD289" s="6" t="n">
        <v>17.7</v>
      </c>
    </row>
    <row r="290" customFormat="false" ht="15" hidden="false" customHeight="true" outlineLevel="0" collapsed="false">
      <c r="A290" s="6" t="s">
        <v>1651</v>
      </c>
      <c r="B290" s="6" t="s">
        <v>478</v>
      </c>
      <c r="C290" s="9" t="s">
        <v>1652</v>
      </c>
      <c r="D290" s="9" t="s">
        <v>761</v>
      </c>
      <c r="E290" s="9" t="s">
        <v>762</v>
      </c>
      <c r="F290" s="9" t="s">
        <v>911</v>
      </c>
      <c r="H290" s="9" t="s">
        <v>882</v>
      </c>
      <c r="K290" s="1" t="n">
        <v>364.74</v>
      </c>
      <c r="L290" s="1" t="n">
        <v>2568.3</v>
      </c>
      <c r="M290" s="6" t="n">
        <v>3616.77</v>
      </c>
      <c r="N290" s="1" t="n">
        <v>12</v>
      </c>
      <c r="O290" s="1" t="n">
        <v>0</v>
      </c>
      <c r="P290" s="1" t="n">
        <v>39539</v>
      </c>
      <c r="Q290" s="1" t="str">
        <f aca="false">IF(OR($A354="",P354=""),"",ROUND(YEARFRAC(P354,README!$C$5),1))</f>
        <v/>
      </c>
      <c r="T290" s="6" t="n">
        <v>2805</v>
      </c>
      <c r="U290" s="6" t="n">
        <v>3460</v>
      </c>
      <c r="V290" s="6" t="n">
        <v>655</v>
      </c>
      <c r="W290" s="6" t="n">
        <v>1</v>
      </c>
      <c r="X290" s="6" t="n">
        <v>8</v>
      </c>
      <c r="Y290" s="1" t="n">
        <v>2.8</v>
      </c>
      <c r="Z290" s="6" t="s">
        <v>1468</v>
      </c>
      <c r="AA290" s="9" t="s">
        <v>774</v>
      </c>
      <c r="AB290" s="6" t="s">
        <v>1653</v>
      </c>
      <c r="AC290" s="27" t="n">
        <f aca="false">COUNTIF(環境認証!$A$2:$A$849,A354)</f>
        <v>1</v>
      </c>
      <c r="AD290" s="6" t="n">
        <v>23.4</v>
      </c>
    </row>
    <row r="291" customFormat="false" ht="15" hidden="false" customHeight="true" outlineLevel="0" collapsed="false">
      <c r="A291" s="6" t="s">
        <v>1654</v>
      </c>
      <c r="B291" s="6" t="s">
        <v>478</v>
      </c>
      <c r="C291" s="9" t="s">
        <v>1655</v>
      </c>
      <c r="D291" s="9" t="s">
        <v>761</v>
      </c>
      <c r="E291" s="9" t="s">
        <v>969</v>
      </c>
      <c r="F291" s="9" t="s">
        <v>970</v>
      </c>
      <c r="H291" s="9" t="s">
        <v>971</v>
      </c>
      <c r="I291" s="36" t="s">
        <v>1656</v>
      </c>
      <c r="K291" s="1" t="n">
        <v>4702.82</v>
      </c>
      <c r="L291" s="1" t="n">
        <v>28629.19</v>
      </c>
      <c r="M291" s="6" t="n">
        <v>4929.97</v>
      </c>
      <c r="N291" s="1" t="n">
        <v>16</v>
      </c>
      <c r="O291" s="1" t="n">
        <v>2</v>
      </c>
      <c r="P291" s="1" t="n">
        <v>32417</v>
      </c>
      <c r="Q291" s="1" t="str">
        <f aca="false">IF(OR($A355="",P355=""),"",ROUND(YEARFRAC(P355,README!$C$5),1))</f>
        <v/>
      </c>
      <c r="T291" s="6" t="n">
        <v>3627</v>
      </c>
      <c r="U291" s="6" t="n">
        <v>4330</v>
      </c>
      <c r="V291" s="6" t="n">
        <v>703</v>
      </c>
      <c r="W291" s="6" t="n">
        <v>0.99</v>
      </c>
      <c r="X291" s="6" t="n">
        <v>36</v>
      </c>
      <c r="Y291" s="1" t="n">
        <v>2.3</v>
      </c>
      <c r="Z291" s="6" t="s">
        <v>1468</v>
      </c>
      <c r="AA291" s="9" t="s">
        <v>774</v>
      </c>
      <c r="AB291" s="6" t="s">
        <v>1657</v>
      </c>
      <c r="AC291" s="27" t="n">
        <f aca="false">COUNTIF(環境認証!$A$2:$A$849,A355)</f>
        <v>0</v>
      </c>
      <c r="AD291" s="6" t="n">
        <v>19.4</v>
      </c>
    </row>
    <row r="292" customFormat="false" ht="15" hidden="false" customHeight="true" outlineLevel="0" collapsed="false">
      <c r="A292" s="6" t="s">
        <v>1658</v>
      </c>
      <c r="B292" s="6" t="s">
        <v>478</v>
      </c>
      <c r="C292" s="9" t="s">
        <v>1659</v>
      </c>
      <c r="D292" s="9" t="s">
        <v>761</v>
      </c>
      <c r="E292" s="9" t="s">
        <v>969</v>
      </c>
      <c r="F292" s="9" t="s">
        <v>970</v>
      </c>
      <c r="H292" s="9" t="s">
        <v>971</v>
      </c>
      <c r="I292" s="36" t="s">
        <v>1605</v>
      </c>
      <c r="K292" s="1" t="n">
        <v>1572.38</v>
      </c>
      <c r="L292" s="1" t="n">
        <v>8540.29</v>
      </c>
      <c r="M292" s="6" t="n">
        <v>4155.6</v>
      </c>
      <c r="N292" s="1" t="n">
        <v>8</v>
      </c>
      <c r="O292" s="1" t="n">
        <v>0</v>
      </c>
      <c r="P292" s="1" t="n">
        <v>34759</v>
      </c>
      <c r="Q292" s="1" t="str">
        <f aca="false">IF(OR($A356="",P356=""),"",ROUND(YEARFRAC(P356,README!$C$5),1))</f>
        <v/>
      </c>
      <c r="T292" s="6" t="n">
        <v>2377</v>
      </c>
      <c r="U292" s="6" t="n">
        <v>2630</v>
      </c>
      <c r="V292" s="6" t="n">
        <v>253</v>
      </c>
      <c r="W292" s="6" t="n">
        <v>0.938</v>
      </c>
      <c r="X292" s="6" t="n">
        <v>39</v>
      </c>
      <c r="Y292" s="1" t="n">
        <v>3.6</v>
      </c>
      <c r="Z292" s="6" t="s">
        <v>1468</v>
      </c>
      <c r="AA292" s="9" t="s">
        <v>774</v>
      </c>
      <c r="AB292" s="6" t="s">
        <v>1660</v>
      </c>
      <c r="AC292" s="27" t="n">
        <f aca="false">COUNTIF(環境認証!$A$2:$A$849,A356)</f>
        <v>0</v>
      </c>
      <c r="AD292" s="6" t="n">
        <v>10.6</v>
      </c>
    </row>
    <row r="293" customFormat="false" ht="15" hidden="false" customHeight="true" outlineLevel="0" collapsed="false">
      <c r="A293" s="6" t="s">
        <v>1661</v>
      </c>
      <c r="B293" s="6" t="s">
        <v>478</v>
      </c>
      <c r="C293" s="9" t="s">
        <v>1662</v>
      </c>
      <c r="D293" s="9" t="s">
        <v>761</v>
      </c>
      <c r="E293" s="9" t="s">
        <v>969</v>
      </c>
      <c r="F293" s="9" t="s">
        <v>970</v>
      </c>
      <c r="H293" s="9" t="s">
        <v>971</v>
      </c>
      <c r="K293" s="1" t="n">
        <v>245.61</v>
      </c>
      <c r="L293" s="1" t="n">
        <v>950.36</v>
      </c>
      <c r="M293" s="6" t="n">
        <v>2007.77</v>
      </c>
      <c r="N293" s="1" t="n">
        <v>10</v>
      </c>
      <c r="O293" s="1" t="n">
        <v>0</v>
      </c>
      <c r="P293" s="1" t="n">
        <v>41852</v>
      </c>
      <c r="Q293" s="1" t="str">
        <f aca="false">IF(OR($A357="",P357=""),"",ROUND(YEARFRAC(P357,README!$C$5),1))</f>
        <v/>
      </c>
      <c r="T293" s="6" t="n">
        <v>1271</v>
      </c>
      <c r="U293" s="6" t="n">
        <v>1460</v>
      </c>
      <c r="V293" s="6" t="n">
        <v>189</v>
      </c>
      <c r="W293" s="6" t="n">
        <v>1</v>
      </c>
      <c r="X293" s="6" t="n">
        <v>25</v>
      </c>
      <c r="Y293" s="1" t="n">
        <v>2.9</v>
      </c>
      <c r="Z293" s="6" t="s">
        <v>1468</v>
      </c>
      <c r="AA293" s="9" t="s">
        <v>774</v>
      </c>
      <c r="AB293" s="6" t="s">
        <v>1663</v>
      </c>
      <c r="AC293" s="27" t="n">
        <f aca="false">COUNTIF(環境認証!$A$2:$A$849,A357)</f>
        <v>0</v>
      </c>
      <c r="AD293" s="6" t="n">
        <v>14.9</v>
      </c>
    </row>
    <row r="294" customFormat="false" ht="15" hidden="false" customHeight="true" outlineLevel="0" collapsed="false">
      <c r="A294" s="6" t="s">
        <v>1664</v>
      </c>
      <c r="B294" s="6" t="s">
        <v>478</v>
      </c>
      <c r="C294" s="9" t="s">
        <v>1665</v>
      </c>
      <c r="D294" s="9" t="s">
        <v>761</v>
      </c>
      <c r="E294" s="9" t="s">
        <v>981</v>
      </c>
      <c r="F294" s="9" t="s">
        <v>982</v>
      </c>
      <c r="H294" s="9" t="s">
        <v>971</v>
      </c>
      <c r="K294" s="1" t="n">
        <v>676.26</v>
      </c>
      <c r="L294" s="1" t="n">
        <v>2320.12</v>
      </c>
      <c r="M294" s="6" t="n">
        <v>2521.51</v>
      </c>
      <c r="N294" s="1" t="n">
        <v>7</v>
      </c>
      <c r="O294" s="1" t="n">
        <v>0</v>
      </c>
      <c r="P294" s="1" t="n">
        <v>43922</v>
      </c>
      <c r="Q294" s="1" t="n">
        <f aca="false">IF(OR($A358="",P358=""),"",ROUND(YEARFRAC(P358,README!$C$5),1))</f>
        <v>23.4</v>
      </c>
      <c r="T294" s="6" t="n">
        <v>1118</v>
      </c>
      <c r="U294" s="6" t="n">
        <v>1360</v>
      </c>
      <c r="V294" s="6" t="n">
        <v>242</v>
      </c>
      <c r="W294" s="6" t="n">
        <v>1</v>
      </c>
      <c r="X294" s="6" t="n">
        <v>12</v>
      </c>
      <c r="Y294" s="1" t="n">
        <v>6.3</v>
      </c>
      <c r="Z294" s="6" t="s">
        <v>1468</v>
      </c>
      <c r="AA294" s="9" t="s">
        <v>774</v>
      </c>
      <c r="AB294" s="6" t="s">
        <v>1666</v>
      </c>
      <c r="AC294" s="27" t="n">
        <f aca="false">COUNTIF(環境認証!$A$2:$A$849,A358)</f>
        <v>1</v>
      </c>
      <c r="AD294" s="6" t="n">
        <v>21.6</v>
      </c>
    </row>
    <row r="295" customFormat="false" ht="15" hidden="false" customHeight="true" outlineLevel="0" collapsed="false">
      <c r="A295" s="6" t="s">
        <v>1667</v>
      </c>
      <c r="B295" s="6" t="s">
        <v>478</v>
      </c>
      <c r="C295" s="9" t="s">
        <v>1668</v>
      </c>
      <c r="D295" s="9" t="s">
        <v>761</v>
      </c>
      <c r="E295" s="9" t="s">
        <v>762</v>
      </c>
      <c r="F295" s="9" t="s">
        <v>815</v>
      </c>
      <c r="H295" s="9" t="s">
        <v>772</v>
      </c>
      <c r="K295" s="1" t="n">
        <v>633.89</v>
      </c>
      <c r="L295" s="1" t="n">
        <v>1112.71</v>
      </c>
      <c r="M295" s="6" t="n">
        <v>1491.68</v>
      </c>
      <c r="N295" s="1" t="n">
        <v>5</v>
      </c>
      <c r="O295" s="1" t="n">
        <v>0</v>
      </c>
      <c r="P295" s="1" t="n">
        <v>36192</v>
      </c>
      <c r="Q295" s="1" t="n">
        <f aca="false">IF(OR($A359="",P359=""),"",ROUND(YEARFRAC(P359,README!$C$5),1))</f>
        <v>40.4</v>
      </c>
      <c r="T295" s="6" t="n">
        <v>3499</v>
      </c>
      <c r="U295" s="6" t="n">
        <v>4480</v>
      </c>
      <c r="V295" s="6" t="n">
        <v>981</v>
      </c>
      <c r="W295" s="6" t="n">
        <v>1</v>
      </c>
      <c r="X295" s="6" t="n">
        <v>8</v>
      </c>
      <c r="Y295" s="1" t="n">
        <v>10.2</v>
      </c>
      <c r="Z295" s="6" t="s">
        <v>1468</v>
      </c>
      <c r="AA295" s="9" t="s">
        <v>774</v>
      </c>
      <c r="AB295" s="6" t="s">
        <v>1669</v>
      </c>
      <c r="AC295" s="27" t="n">
        <f aca="false">COUNTIF(環境認証!$A$2:$A$849,A359)</f>
        <v>1</v>
      </c>
      <c r="AD295" s="6" t="n">
        <v>28</v>
      </c>
    </row>
    <row r="296" customFormat="false" ht="15" hidden="false" customHeight="true" outlineLevel="0" collapsed="false">
      <c r="A296" s="6" t="s">
        <v>1670</v>
      </c>
      <c r="B296" s="6" t="s">
        <v>478</v>
      </c>
      <c r="C296" s="9" t="s">
        <v>1671</v>
      </c>
      <c r="D296" s="9" t="s">
        <v>761</v>
      </c>
      <c r="E296" s="9" t="s">
        <v>762</v>
      </c>
      <c r="F296" s="9" t="s">
        <v>848</v>
      </c>
      <c r="H296" s="9" t="s">
        <v>882</v>
      </c>
      <c r="I296" s="36" t="s">
        <v>1672</v>
      </c>
      <c r="K296" s="1" t="n">
        <v>45268.03</v>
      </c>
      <c r="L296" s="1" t="n">
        <v>262257.33</v>
      </c>
      <c r="M296" s="6" t="n">
        <v>3689.88</v>
      </c>
      <c r="N296" s="1" t="n">
        <v>30</v>
      </c>
      <c r="O296" s="1" t="n">
        <v>3</v>
      </c>
      <c r="Q296" s="1" t="n">
        <f aca="false">IF(OR($A360="",P360=""),"",ROUND(YEARFRAC(P360,README!$C$5),1))</f>
        <v>26.4</v>
      </c>
      <c r="T296" s="6" t="n">
        <v>3086</v>
      </c>
      <c r="U296" s="6" t="n">
        <v>4360</v>
      </c>
      <c r="V296" s="6" t="n">
        <v>1274</v>
      </c>
      <c r="W296" s="6" t="n">
        <v>1</v>
      </c>
      <c r="X296" s="6" t="n">
        <v>11</v>
      </c>
      <c r="Z296" s="6" t="s">
        <v>1468</v>
      </c>
      <c r="AA296" s="9" t="s">
        <v>774</v>
      </c>
      <c r="AB296" s="6" t="s">
        <v>1673</v>
      </c>
      <c r="AC296" s="27" t="n">
        <f aca="false">COUNTIF(環境認証!$A$2:$A$849,A360)</f>
        <v>1</v>
      </c>
      <c r="AD296" s="6" t="n">
        <v>41.3</v>
      </c>
    </row>
    <row r="297" customFormat="false" ht="15" hidden="false" customHeight="true" outlineLevel="0" collapsed="false">
      <c r="A297" s="6" t="s">
        <v>1674</v>
      </c>
      <c r="B297" s="6" t="s">
        <v>478</v>
      </c>
      <c r="C297" s="9" t="s">
        <v>1675</v>
      </c>
      <c r="D297" s="9" t="s">
        <v>761</v>
      </c>
      <c r="E297" s="9" t="s">
        <v>762</v>
      </c>
      <c r="F297" s="9" t="s">
        <v>1676</v>
      </c>
      <c r="H297" s="9" t="s">
        <v>882</v>
      </c>
      <c r="I297" s="1" t="s">
        <v>1677</v>
      </c>
      <c r="M297" s="6" t="n">
        <v>2744.02</v>
      </c>
      <c r="Q297" s="1" t="n">
        <f aca="false">IF(OR($A361="",P361=""),"",ROUND(YEARFRAC(P361,README!$C$5),1))</f>
        <v>25.9</v>
      </c>
      <c r="S297" s="1" t="n">
        <v>244261</v>
      </c>
      <c r="T297" s="6" t="n">
        <v>2343</v>
      </c>
      <c r="U297" s="6" t="n">
        <v>2960</v>
      </c>
      <c r="V297" s="6" t="n">
        <v>617</v>
      </c>
      <c r="W297" s="6" t="n">
        <v>1</v>
      </c>
      <c r="X297" s="6" t="n">
        <v>7</v>
      </c>
      <c r="Y297" s="1" t="n">
        <v>3.4</v>
      </c>
      <c r="Z297" s="6" t="s">
        <v>1468</v>
      </c>
      <c r="AA297" s="49" t="s">
        <v>774</v>
      </c>
      <c r="AB297" s="6" t="s">
        <v>1678</v>
      </c>
      <c r="AC297" s="27" t="n">
        <f aca="false">COUNTIF(環境認証!$A$2:$A$849,A361)</f>
        <v>1</v>
      </c>
      <c r="AD297" s="6" t="n">
        <v>26.3</v>
      </c>
    </row>
    <row r="298" customFormat="false" ht="15" hidden="false" customHeight="true" outlineLevel="0" collapsed="false">
      <c r="A298" s="6" t="s">
        <v>1679</v>
      </c>
      <c r="B298" s="6" t="s">
        <v>478</v>
      </c>
      <c r="C298" s="9" t="s">
        <v>1680</v>
      </c>
      <c r="D298" s="9" t="s">
        <v>761</v>
      </c>
      <c r="E298" s="9" t="s">
        <v>762</v>
      </c>
      <c r="F298" s="9" t="s">
        <v>848</v>
      </c>
      <c r="H298" s="9" t="s">
        <v>882</v>
      </c>
      <c r="M298" s="6" t="n">
        <v>2771.33</v>
      </c>
      <c r="Q298" s="1" t="n">
        <f aca="false">IF(OR($A362="",P362=""),"",ROUND(YEARFRAC(P362,README!$C$5),1))</f>
        <v>25.1</v>
      </c>
      <c r="T298" s="6" t="n">
        <v>1821</v>
      </c>
      <c r="U298" s="6" t="n">
        <v>2270</v>
      </c>
      <c r="V298" s="6" t="n">
        <v>449</v>
      </c>
      <c r="W298" s="6" t="n">
        <v>1</v>
      </c>
      <c r="X298" s="6" t="n">
        <v>6</v>
      </c>
      <c r="Z298" s="6" t="s">
        <v>1468</v>
      </c>
      <c r="AA298" s="9" t="s">
        <v>774</v>
      </c>
      <c r="AB298" s="6" t="s">
        <v>1681</v>
      </c>
      <c r="AC298" s="27" t="n">
        <f aca="false">COUNTIF(環境認証!$A$2:$A$849,A362)</f>
        <v>1</v>
      </c>
      <c r="AD298" s="6" t="n">
        <v>24.7</v>
      </c>
    </row>
    <row r="299" customFormat="false" ht="15" hidden="false" customHeight="true" outlineLevel="0" collapsed="false">
      <c r="A299" s="6" t="s">
        <v>1682</v>
      </c>
      <c r="B299" s="6" t="s">
        <v>478</v>
      </c>
      <c r="C299" s="9" t="s">
        <v>1683</v>
      </c>
      <c r="D299" s="9" t="s">
        <v>761</v>
      </c>
      <c r="E299" s="9" t="s">
        <v>762</v>
      </c>
      <c r="F299" s="9" t="s">
        <v>848</v>
      </c>
      <c r="H299" s="9" t="s">
        <v>882</v>
      </c>
      <c r="M299" s="6" t="n">
        <v>3434.69</v>
      </c>
      <c r="Q299" s="1" t="n">
        <f aca="false">IF(OR($A363="",P363=""),"",ROUND(YEARFRAC(P363,README!$C$5),1))</f>
        <v>13.1</v>
      </c>
      <c r="T299" s="6" t="n">
        <v>3283</v>
      </c>
      <c r="U299" s="6" t="n">
        <v>4010</v>
      </c>
      <c r="V299" s="6" t="n">
        <v>727</v>
      </c>
      <c r="W299" s="6" t="n">
        <v>1</v>
      </c>
      <c r="X299" s="6" t="n">
        <v>10</v>
      </c>
      <c r="Z299" s="6" t="s">
        <v>1468</v>
      </c>
      <c r="AA299" s="9" t="s">
        <v>774</v>
      </c>
      <c r="AB299" s="6" t="s">
        <v>1684</v>
      </c>
      <c r="AC299" s="27" t="n">
        <f aca="false">COUNTIF(環境認証!$A$2:$A$849,A363)</f>
        <v>1</v>
      </c>
      <c r="AD299" s="6" t="n">
        <v>22.1</v>
      </c>
    </row>
    <row r="300" customFormat="false" ht="15" hidden="false" customHeight="true" outlineLevel="0" collapsed="false">
      <c r="A300" s="6" t="s">
        <v>1685</v>
      </c>
      <c r="B300" s="6" t="s">
        <v>478</v>
      </c>
      <c r="C300" s="9" t="s">
        <v>1686</v>
      </c>
      <c r="D300" s="9" t="s">
        <v>761</v>
      </c>
      <c r="E300" s="9" t="s">
        <v>762</v>
      </c>
      <c r="F300" s="9" t="s">
        <v>763</v>
      </c>
      <c r="H300" s="9" t="s">
        <v>772</v>
      </c>
      <c r="M300" s="6" t="n">
        <v>1690.27</v>
      </c>
      <c r="Q300" s="1" t="n">
        <f aca="false">IF(OR($A364="",P364=""),"",ROUND(YEARFRAC(P364,README!$C$5),1))</f>
        <v>12.3</v>
      </c>
      <c r="T300" s="6" t="n">
        <v>2201</v>
      </c>
      <c r="U300" s="6" t="n">
        <v>2360</v>
      </c>
      <c r="V300" s="6" t="n">
        <v>159</v>
      </c>
      <c r="W300" s="6" t="n">
        <v>1</v>
      </c>
      <c r="X300" s="6" t="n">
        <v>9</v>
      </c>
      <c r="Z300" s="6" t="s">
        <v>1468</v>
      </c>
      <c r="AA300" s="9" t="s">
        <v>774</v>
      </c>
      <c r="AB300" s="6" t="s">
        <v>1687</v>
      </c>
      <c r="AC300" s="27" t="n">
        <f aca="false">COUNTIF(環境認証!$A$2:$A$849,A364)</f>
        <v>1</v>
      </c>
      <c r="AD300" s="6" t="n">
        <v>7.2</v>
      </c>
    </row>
    <row r="301" customFormat="false" ht="15" hidden="false" customHeight="true" outlineLevel="0" collapsed="false">
      <c r="A301" s="6" t="s">
        <v>1688</v>
      </c>
      <c r="B301" s="6" t="s">
        <v>478</v>
      </c>
      <c r="C301" s="9" t="s">
        <v>1689</v>
      </c>
      <c r="D301" s="9" t="s">
        <v>761</v>
      </c>
      <c r="E301" s="9" t="s">
        <v>981</v>
      </c>
      <c r="F301" s="9" t="s">
        <v>982</v>
      </c>
      <c r="H301" s="9" t="s">
        <v>971</v>
      </c>
      <c r="M301" s="6" t="n">
        <v>3004.07</v>
      </c>
      <c r="Q301" s="1" t="n">
        <f aca="false">IF(OR($A365="",P365=""),"",ROUND(YEARFRAC(P365,README!$C$5),1))</f>
        <v>21.6</v>
      </c>
      <c r="T301" s="6" t="n">
        <v>2064</v>
      </c>
      <c r="U301" s="6" t="n">
        <v>1940</v>
      </c>
      <c r="V301" s="6" t="n">
        <v>-124</v>
      </c>
      <c r="W301" s="6" t="n">
        <v>1</v>
      </c>
      <c r="X301" s="6" t="n">
        <v>17</v>
      </c>
      <c r="Z301" s="6" t="s">
        <v>1468</v>
      </c>
      <c r="AA301" s="9" t="s">
        <v>774</v>
      </c>
      <c r="AB301" s="6" t="s">
        <v>1690</v>
      </c>
      <c r="AC301" s="27" t="n">
        <f aca="false">COUNTIF(環境認証!$A$2:$A$849,A365)</f>
        <v>1</v>
      </c>
      <c r="AD301" s="6" t="n">
        <v>-6</v>
      </c>
    </row>
    <row r="302" customFormat="false" ht="15" hidden="false" customHeight="true" outlineLevel="0" collapsed="false">
      <c r="A302" s="6" t="s">
        <v>1691</v>
      </c>
      <c r="B302" s="6" t="s">
        <v>478</v>
      </c>
      <c r="C302" s="9" t="s">
        <v>1692</v>
      </c>
      <c r="D302" s="9" t="s">
        <v>761</v>
      </c>
      <c r="E302" s="9" t="s">
        <v>762</v>
      </c>
      <c r="F302" s="9" t="s">
        <v>911</v>
      </c>
      <c r="H302" s="9" t="s">
        <v>882</v>
      </c>
      <c r="M302" s="6" t="n">
        <v>3129.49</v>
      </c>
      <c r="Q302" s="1" t="n">
        <f aca="false">IF(OR($A366="",P366=""),"",ROUND(YEARFRAC(P366,README!$C$5),1))</f>
        <v>32.9</v>
      </c>
      <c r="T302" s="6" t="n">
        <v>2889</v>
      </c>
      <c r="U302" s="6" t="n">
        <v>3390</v>
      </c>
      <c r="V302" s="6" t="n">
        <v>501</v>
      </c>
      <c r="W302" s="6" t="n">
        <v>1</v>
      </c>
      <c r="X302" s="6" t="n">
        <v>10</v>
      </c>
      <c r="Z302" s="6" t="s">
        <v>1468</v>
      </c>
      <c r="AA302" s="9" t="s">
        <v>774</v>
      </c>
      <c r="AB302" s="6" t="s">
        <v>1693</v>
      </c>
      <c r="AC302" s="27" t="n">
        <f aca="false">COUNTIF(環境認証!$A$2:$A$849,A366)</f>
        <v>0</v>
      </c>
      <c r="AD302" s="6" t="n">
        <v>17.3</v>
      </c>
    </row>
    <row r="303" customFormat="false" ht="15" hidden="false" customHeight="true" outlineLevel="0" collapsed="false">
      <c r="A303" s="6" t="s">
        <v>1694</v>
      </c>
      <c r="B303" s="6" t="s">
        <v>478</v>
      </c>
      <c r="C303" s="9" t="s">
        <v>1695</v>
      </c>
      <c r="D303" s="9" t="s">
        <v>761</v>
      </c>
      <c r="E303" s="9" t="s">
        <v>762</v>
      </c>
      <c r="F303" s="9" t="s">
        <v>782</v>
      </c>
      <c r="H303" s="9" t="s">
        <v>772</v>
      </c>
      <c r="M303" s="6" t="n">
        <v>2228.26</v>
      </c>
      <c r="Q303" s="1" t="n">
        <f aca="false">IF(OR($A367="",P367=""),"",ROUND(YEARFRAC(P367,README!$C$5),1))</f>
        <v>32.9</v>
      </c>
      <c r="T303" s="6" t="n">
        <v>3512</v>
      </c>
      <c r="U303" s="6" t="n">
        <v>3770</v>
      </c>
      <c r="V303" s="6" t="n">
        <v>258</v>
      </c>
      <c r="W303" s="6" t="n">
        <v>1</v>
      </c>
      <c r="X303" s="6" t="n">
        <v>5</v>
      </c>
      <c r="Z303" s="6" t="s">
        <v>1468</v>
      </c>
      <c r="AA303" s="9" t="s">
        <v>774</v>
      </c>
      <c r="AB303" s="6" t="s">
        <v>1696</v>
      </c>
      <c r="AC303" s="27" t="n">
        <f aca="false">COUNTIF(環境認証!$A$2:$A$849,A367)</f>
        <v>0</v>
      </c>
      <c r="AD303" s="6" t="n">
        <v>7.3</v>
      </c>
    </row>
    <row r="304" customFormat="false" ht="15" hidden="false" customHeight="true" outlineLevel="0" collapsed="false">
      <c r="A304" s="6" t="s">
        <v>1697</v>
      </c>
      <c r="B304" s="6" t="s">
        <v>478</v>
      </c>
      <c r="C304" s="9" t="s">
        <v>1698</v>
      </c>
      <c r="D304" s="9" t="s">
        <v>761</v>
      </c>
      <c r="E304" s="9" t="s">
        <v>1005</v>
      </c>
      <c r="F304" s="9" t="s">
        <v>1006</v>
      </c>
      <c r="H304" s="9" t="s">
        <v>971</v>
      </c>
      <c r="M304" s="6" t="n">
        <v>2901.99</v>
      </c>
      <c r="Q304" s="1" t="str">
        <f aca="false">IF(OR($A368="",P368=""),"",ROUND(YEARFRAC(P368,README!$C$5),1))</f>
        <v/>
      </c>
      <c r="T304" s="6" t="n">
        <v>2331</v>
      </c>
      <c r="U304" s="6" t="n">
        <v>2990</v>
      </c>
      <c r="V304" s="6" t="n">
        <v>659</v>
      </c>
      <c r="W304" s="6" t="n">
        <v>1</v>
      </c>
      <c r="X304" s="6" t="n">
        <v>19</v>
      </c>
      <c r="Z304" s="6" t="s">
        <v>1468</v>
      </c>
      <c r="AA304" s="9" t="s">
        <v>774</v>
      </c>
      <c r="AB304" s="6" t="s">
        <v>1699</v>
      </c>
      <c r="AC304" s="27" t="n">
        <f aca="false">COUNTIF(環境認証!$A$2:$A$849,A368)</f>
        <v>0</v>
      </c>
      <c r="AD304" s="6" t="n">
        <v>28.3</v>
      </c>
    </row>
    <row r="305" customFormat="false" ht="15" hidden="false" customHeight="true" outlineLevel="0" collapsed="false">
      <c r="A305" s="6" t="s">
        <v>1700</v>
      </c>
      <c r="B305" s="6" t="s">
        <v>478</v>
      </c>
      <c r="C305" s="9" t="s">
        <v>1701</v>
      </c>
      <c r="D305" s="9" t="s">
        <v>761</v>
      </c>
      <c r="E305" s="9" t="s">
        <v>762</v>
      </c>
      <c r="F305" s="9" t="s">
        <v>905</v>
      </c>
      <c r="H305" s="9" t="s">
        <v>882</v>
      </c>
      <c r="M305" s="6" t="n">
        <v>1083.7</v>
      </c>
      <c r="Q305" s="1" t="str">
        <f aca="false">IF(OR($A369="",P369=""),"",ROUND(YEARFRAC(P369,README!$C$5),1))</f>
        <v/>
      </c>
      <c r="T305" s="6" t="n">
        <v>1696</v>
      </c>
      <c r="U305" s="6" t="n">
        <v>1690</v>
      </c>
      <c r="V305" s="6" t="n">
        <v>-6</v>
      </c>
      <c r="W305" s="6" t="n">
        <v>0.904</v>
      </c>
      <c r="X305" s="6" t="n">
        <v>6</v>
      </c>
      <c r="Z305" s="6" t="s">
        <v>1468</v>
      </c>
      <c r="AA305" s="9" t="s">
        <v>774</v>
      </c>
      <c r="AB305" s="6" t="s">
        <v>1702</v>
      </c>
      <c r="AC305" s="27" t="n">
        <f aca="false">COUNTIF(環境認証!$A$2:$A$849,A369)</f>
        <v>0</v>
      </c>
      <c r="AD305" s="6" t="n">
        <v>-0.4</v>
      </c>
    </row>
    <row r="306" customFormat="false" ht="15" hidden="false" customHeight="true" outlineLevel="0" collapsed="false">
      <c r="A306" s="6" t="s">
        <v>1703</v>
      </c>
      <c r="B306" s="6" t="s">
        <v>478</v>
      </c>
      <c r="C306" s="9" t="s">
        <v>1704</v>
      </c>
      <c r="D306" s="9" t="s">
        <v>761</v>
      </c>
      <c r="E306" s="9" t="s">
        <v>762</v>
      </c>
      <c r="F306" s="9" t="s">
        <v>1705</v>
      </c>
      <c r="H306" s="9" t="s">
        <v>921</v>
      </c>
      <c r="M306" s="6" t="n">
        <v>4879.78</v>
      </c>
      <c r="Q306" s="1" t="n">
        <f aca="false">IF(OR($A370="",P370=""),"",ROUND(YEARFRAC(P370,README!$C$5),1))</f>
        <v>33.5</v>
      </c>
      <c r="T306" s="6" t="n">
        <v>3913</v>
      </c>
      <c r="U306" s="6" t="n">
        <v>3940</v>
      </c>
      <c r="V306" s="6" t="n">
        <v>27</v>
      </c>
      <c r="W306" s="6" t="n">
        <v>1</v>
      </c>
      <c r="X306" s="6" t="n">
        <v>17</v>
      </c>
      <c r="Z306" s="6" t="s">
        <v>1468</v>
      </c>
      <c r="AA306" s="9" t="s">
        <v>774</v>
      </c>
      <c r="AB306" s="6" t="s">
        <v>1706</v>
      </c>
      <c r="AC306" s="27" t="n">
        <f aca="false">COUNTIF(環境認証!$A$2:$A$849,A370)</f>
        <v>0</v>
      </c>
      <c r="AD306" s="6" t="n">
        <v>0.7</v>
      </c>
    </row>
    <row r="307" customFormat="false" ht="15" hidden="false" customHeight="true" outlineLevel="0" collapsed="false">
      <c r="A307" s="6" t="s">
        <v>1707</v>
      </c>
      <c r="B307" s="6" t="s">
        <v>478</v>
      </c>
      <c r="C307" s="9" t="s">
        <v>1708</v>
      </c>
      <c r="D307" s="9" t="s">
        <v>761</v>
      </c>
      <c r="E307" s="9" t="s">
        <v>762</v>
      </c>
      <c r="F307" s="9" t="s">
        <v>911</v>
      </c>
      <c r="H307" s="9" t="s">
        <v>882</v>
      </c>
      <c r="M307" s="6" t="n">
        <v>2764.59</v>
      </c>
      <c r="Q307" s="1" t="n">
        <f aca="false">IF(OR($A371="",P371=""),"",ROUND(YEARFRAC(P371,README!$C$5),1))</f>
        <v>33.5</v>
      </c>
      <c r="T307" s="6" t="n">
        <v>3979</v>
      </c>
      <c r="U307" s="6" t="n">
        <v>3680</v>
      </c>
      <c r="V307" s="6" t="n">
        <v>-299</v>
      </c>
      <c r="W307" s="6" t="n">
        <v>1</v>
      </c>
      <c r="X307" s="6" t="n">
        <v>3</v>
      </c>
      <c r="Z307" s="6" t="s">
        <v>1468</v>
      </c>
      <c r="AA307" s="9" t="s">
        <v>774</v>
      </c>
      <c r="AB307" s="6" t="s">
        <v>1709</v>
      </c>
      <c r="AC307" s="27" t="n">
        <f aca="false">COUNTIF(環境認証!$A$2:$A$849,A371)</f>
        <v>1</v>
      </c>
      <c r="AD307" s="6" t="n">
        <v>-7.5</v>
      </c>
    </row>
    <row r="308" customFormat="false" ht="15" hidden="false" customHeight="true" outlineLevel="0" collapsed="false">
      <c r="A308" s="6" t="s">
        <v>1710</v>
      </c>
      <c r="B308" s="6" t="s">
        <v>478</v>
      </c>
      <c r="C308" s="9" t="s">
        <v>1711</v>
      </c>
      <c r="D308" s="9" t="s">
        <v>761</v>
      </c>
      <c r="E308" s="9" t="s">
        <v>969</v>
      </c>
      <c r="F308" s="9" t="s">
        <v>970</v>
      </c>
      <c r="H308" s="9" t="s">
        <v>971</v>
      </c>
      <c r="M308" s="6" t="n">
        <v>1973.27</v>
      </c>
      <c r="Q308" s="1" t="n">
        <f aca="false">IF(OR($A372="",P372=""),"",ROUND(YEARFRAC(P372,README!$C$5),1))</f>
        <v>36.7</v>
      </c>
      <c r="T308" s="6" t="n">
        <v>1819</v>
      </c>
      <c r="U308" s="6" t="n">
        <v>1830</v>
      </c>
      <c r="V308" s="6" t="n">
        <v>11</v>
      </c>
      <c r="W308" s="6" t="n">
        <v>0.951</v>
      </c>
      <c r="X308" s="6" t="n">
        <v>25</v>
      </c>
      <c r="Z308" s="6" t="s">
        <v>1468</v>
      </c>
      <c r="AA308" s="9" t="s">
        <v>774</v>
      </c>
      <c r="AB308" s="6" t="s">
        <v>1712</v>
      </c>
      <c r="AC308" s="27" t="n">
        <f aca="false">COUNTIF(環境認証!$A$2:$A$849,A372)</f>
        <v>1</v>
      </c>
      <c r="AD308" s="6" t="n">
        <v>0.6</v>
      </c>
    </row>
    <row r="309" customFormat="false" ht="15" hidden="false" customHeight="true" outlineLevel="0" collapsed="false">
      <c r="A309" s="6" t="s">
        <v>1713</v>
      </c>
      <c r="B309" s="6" t="s">
        <v>478</v>
      </c>
      <c r="C309" s="9" t="s">
        <v>1714</v>
      </c>
      <c r="D309" s="9" t="s">
        <v>761</v>
      </c>
      <c r="E309" s="9" t="s">
        <v>1005</v>
      </c>
      <c r="F309" s="9" t="s">
        <v>1006</v>
      </c>
      <c r="H309" s="9" t="s">
        <v>971</v>
      </c>
      <c r="M309" s="6" t="n">
        <v>3596.7</v>
      </c>
      <c r="Q309" s="1" t="n">
        <f aca="false">IF(OR($A373="",P373=""),"",ROUND(YEARFRAC(P373,README!$C$5),1))</f>
        <v>41.9</v>
      </c>
      <c r="T309" s="6" t="n">
        <v>3572</v>
      </c>
      <c r="U309" s="6" t="n">
        <v>3850</v>
      </c>
      <c r="V309" s="6" t="n">
        <v>278</v>
      </c>
      <c r="W309" s="6" t="n">
        <v>1</v>
      </c>
      <c r="X309" s="6" t="n">
        <v>32</v>
      </c>
      <c r="Z309" s="6" t="s">
        <v>1468</v>
      </c>
      <c r="AA309" s="9" t="s">
        <v>774</v>
      </c>
      <c r="AB309" s="6" t="s">
        <v>1715</v>
      </c>
      <c r="AC309" s="27" t="n">
        <f aca="false">COUNTIF(環境認証!$A$2:$A$849,A373)</f>
        <v>1</v>
      </c>
      <c r="AD309" s="6" t="n">
        <v>7.8</v>
      </c>
    </row>
    <row r="310" customFormat="false" ht="15" hidden="false" customHeight="true" outlineLevel="0" collapsed="false">
      <c r="A310" s="6" t="s">
        <v>1716</v>
      </c>
      <c r="B310" s="6" t="s">
        <v>478</v>
      </c>
      <c r="C310" s="9" t="s">
        <v>1717</v>
      </c>
      <c r="D310" s="9" t="s">
        <v>761</v>
      </c>
      <c r="E310" s="9" t="s">
        <v>1005</v>
      </c>
      <c r="F310" s="9" t="s">
        <v>1006</v>
      </c>
      <c r="H310" s="9" t="s">
        <v>971</v>
      </c>
      <c r="M310" s="6" t="n">
        <v>2949.22</v>
      </c>
      <c r="Q310" s="1" t="n">
        <f aca="false">IF(OR($A374="",P374=""),"",ROUND(YEARFRAC(P374,README!$C$5),1))</f>
        <v>38.5</v>
      </c>
      <c r="T310" s="6" t="n">
        <v>2841</v>
      </c>
      <c r="U310" s="6" t="n">
        <v>2860</v>
      </c>
      <c r="V310" s="6" t="n">
        <v>19</v>
      </c>
      <c r="W310" s="6" t="n">
        <v>0.843</v>
      </c>
      <c r="X310" s="6" t="n">
        <v>13</v>
      </c>
      <c r="Z310" s="6" t="s">
        <v>1468</v>
      </c>
      <c r="AA310" s="9" t="s">
        <v>774</v>
      </c>
      <c r="AB310" s="6" t="s">
        <v>1718</v>
      </c>
      <c r="AC310" s="27" t="n">
        <f aca="false">COUNTIF(環境認証!$A$2:$A$849,A374)</f>
        <v>1</v>
      </c>
      <c r="AD310" s="6" t="n">
        <v>0.7</v>
      </c>
    </row>
    <row r="311" customFormat="false" ht="15" hidden="false" customHeight="true" outlineLevel="0" collapsed="false">
      <c r="A311" s="6" t="s">
        <v>1719</v>
      </c>
      <c r="B311" s="6" t="s">
        <v>478</v>
      </c>
      <c r="C311" s="9" t="s">
        <v>1720</v>
      </c>
      <c r="D311" s="9" t="s">
        <v>761</v>
      </c>
      <c r="E311" s="9" t="s">
        <v>762</v>
      </c>
      <c r="F311" s="9" t="s">
        <v>1316</v>
      </c>
      <c r="H311" s="9" t="s">
        <v>882</v>
      </c>
      <c r="M311" s="6" t="n">
        <v>2059.86</v>
      </c>
      <c r="Q311" s="1" t="n">
        <f aca="false">IF(OR($A375="",P375=""),"",ROUND(YEARFRAC(P375,README!$C$5),1))</f>
        <v>37.4</v>
      </c>
      <c r="T311" s="6" t="n">
        <v>2076</v>
      </c>
      <c r="U311" s="6" t="n">
        <v>2170</v>
      </c>
      <c r="V311" s="6" t="n">
        <v>94</v>
      </c>
      <c r="W311" s="6" t="n">
        <v>1</v>
      </c>
      <c r="X311" s="6" t="n">
        <v>7</v>
      </c>
      <c r="Z311" s="6" t="s">
        <v>1468</v>
      </c>
      <c r="AA311" s="9" t="s">
        <v>774</v>
      </c>
      <c r="AB311" s="6" t="s">
        <v>1721</v>
      </c>
      <c r="AC311" s="27" t="n">
        <f aca="false">COUNTIF(環境認証!$A$2:$A$849,A375)</f>
        <v>1</v>
      </c>
      <c r="AD311" s="6" t="n">
        <v>4.5</v>
      </c>
    </row>
    <row r="312" customFormat="false" ht="15" hidden="false" customHeight="true" outlineLevel="0" collapsed="false">
      <c r="A312" s="6" t="s">
        <v>1722</v>
      </c>
      <c r="B312" s="6" t="s">
        <v>478</v>
      </c>
      <c r="C312" s="9" t="s">
        <v>1723</v>
      </c>
      <c r="D312" s="9" t="s">
        <v>761</v>
      </c>
      <c r="E312" s="9" t="s">
        <v>762</v>
      </c>
      <c r="F312" s="9" t="s">
        <v>763</v>
      </c>
      <c r="H312" s="9" t="s">
        <v>772</v>
      </c>
      <c r="M312" s="6" t="n">
        <v>2100.93</v>
      </c>
      <c r="Q312" s="1" t="n">
        <f aca="false">IF(OR($A376="",P376=""),"",ROUND(YEARFRAC(P376,README!$C$5),1))</f>
        <v>25.2</v>
      </c>
      <c r="T312" s="6" t="n">
        <v>3277</v>
      </c>
      <c r="U312" s="6" t="n">
        <v>3350</v>
      </c>
      <c r="V312" s="6" t="n">
        <v>73</v>
      </c>
      <c r="W312" s="6" t="n">
        <v>1</v>
      </c>
      <c r="X312" s="6" t="n">
        <v>4</v>
      </c>
      <c r="Z312" s="6" t="s">
        <v>1468</v>
      </c>
      <c r="AA312" s="9" t="s">
        <v>774</v>
      </c>
      <c r="AB312" s="6" t="s">
        <v>1724</v>
      </c>
      <c r="AC312" s="27" t="n">
        <f aca="false">COUNTIF(環境認証!$A$2:$A$849,A376)</f>
        <v>0</v>
      </c>
      <c r="AD312" s="6" t="n">
        <v>2.2</v>
      </c>
    </row>
    <row r="313" customFormat="false" ht="15" hidden="false" customHeight="true" outlineLevel="0" collapsed="false">
      <c r="A313" s="6" t="s">
        <v>1725</v>
      </c>
      <c r="B313" s="6" t="s">
        <v>478</v>
      </c>
      <c r="C313" s="9" t="s">
        <v>1726</v>
      </c>
      <c r="D313" s="9" t="s">
        <v>761</v>
      </c>
      <c r="E313" s="9" t="s">
        <v>1005</v>
      </c>
      <c r="F313" s="9" t="s">
        <v>1006</v>
      </c>
      <c r="H313" s="9" t="s">
        <v>971</v>
      </c>
      <c r="M313" s="6" t="n">
        <v>3374.93</v>
      </c>
      <c r="Q313" s="1" t="n">
        <f aca="false">IF(OR($A377="",P377=""),"",ROUND(YEARFRAC(P377,README!$C$5),1))</f>
        <v>31.9</v>
      </c>
      <c r="T313" s="6" t="n">
        <v>3052</v>
      </c>
      <c r="U313" s="6" t="n">
        <v>3680</v>
      </c>
      <c r="V313" s="6" t="n">
        <v>628</v>
      </c>
      <c r="W313" s="6" t="n">
        <v>1</v>
      </c>
      <c r="X313" s="6" t="n">
        <v>15</v>
      </c>
      <c r="Z313" s="6" t="s">
        <v>1468</v>
      </c>
      <c r="AA313" s="9" t="s">
        <v>774</v>
      </c>
      <c r="AB313" s="6" t="s">
        <v>1727</v>
      </c>
      <c r="AC313" s="27" t="n">
        <f aca="false">COUNTIF(環境認証!$A$2:$A$849,A377)</f>
        <v>1</v>
      </c>
      <c r="AD313" s="6" t="n">
        <v>20.6</v>
      </c>
    </row>
    <row r="314" customFormat="false" ht="15" hidden="false" customHeight="true" outlineLevel="0" collapsed="false">
      <c r="A314" s="6" t="s">
        <v>1728</v>
      </c>
      <c r="B314" s="6" t="s">
        <v>478</v>
      </c>
      <c r="C314" s="9" t="s">
        <v>1729</v>
      </c>
      <c r="D314" s="9" t="s">
        <v>761</v>
      </c>
      <c r="E314" s="9" t="s">
        <v>1005</v>
      </c>
      <c r="F314" s="9" t="s">
        <v>1006</v>
      </c>
      <c r="H314" s="9" t="s">
        <v>971</v>
      </c>
      <c r="M314" s="6" t="n">
        <v>1632.29</v>
      </c>
      <c r="Q314" s="1" t="n">
        <f aca="false">IF(OR($A378="",P378=""),"",ROUND(YEARFRAC(P378,README!$C$5),1))</f>
        <v>41.4</v>
      </c>
      <c r="T314" s="6" t="n">
        <v>1692</v>
      </c>
      <c r="U314" s="6" t="n">
        <v>1720</v>
      </c>
      <c r="V314" s="6" t="n">
        <v>28</v>
      </c>
      <c r="W314" s="6" t="n">
        <v>1</v>
      </c>
      <c r="X314" s="6" t="n">
        <v>12</v>
      </c>
      <c r="Z314" s="6" t="s">
        <v>1468</v>
      </c>
      <c r="AA314" s="9" t="s">
        <v>774</v>
      </c>
      <c r="AB314" s="6" t="s">
        <v>1730</v>
      </c>
      <c r="AC314" s="27" t="n">
        <f aca="false">COUNTIF(環境認証!$A$2:$A$849,A378)</f>
        <v>1</v>
      </c>
      <c r="AD314" s="6" t="n">
        <v>1.7</v>
      </c>
    </row>
    <row r="315" customFormat="false" ht="15" hidden="false" customHeight="true" outlineLevel="0" collapsed="false">
      <c r="A315" s="6" t="s">
        <v>1731</v>
      </c>
      <c r="B315" s="6" t="s">
        <v>478</v>
      </c>
      <c r="C315" s="9" t="s">
        <v>1732</v>
      </c>
      <c r="D315" s="9" t="s">
        <v>761</v>
      </c>
      <c r="E315" s="9" t="s">
        <v>1005</v>
      </c>
      <c r="F315" s="9" t="s">
        <v>1006</v>
      </c>
      <c r="H315" s="9" t="s">
        <v>971</v>
      </c>
      <c r="M315" s="6" t="n">
        <v>1475.75</v>
      </c>
      <c r="Q315" s="1" t="n">
        <f aca="false">IF(OR($A379="",P379=""),"",ROUND(YEARFRAC(P379,README!$C$5),1))</f>
        <v>32.2</v>
      </c>
      <c r="T315" s="6" t="n">
        <v>1621</v>
      </c>
      <c r="U315" s="6" t="n">
        <v>1600</v>
      </c>
      <c r="V315" s="6" t="n">
        <v>-21</v>
      </c>
      <c r="W315" s="6" t="n">
        <v>0.815</v>
      </c>
      <c r="X315" s="6" t="n">
        <v>13</v>
      </c>
      <c r="Z315" s="6" t="s">
        <v>1468</v>
      </c>
      <c r="AA315" s="9" t="s">
        <v>774</v>
      </c>
      <c r="AB315" s="6" t="s">
        <v>1733</v>
      </c>
      <c r="AC315" s="27" t="n">
        <f aca="false">COUNTIF(環境認証!$A$2:$A$849,A379)</f>
        <v>0</v>
      </c>
      <c r="AD315" s="6" t="n">
        <v>-1.3</v>
      </c>
    </row>
    <row r="316" customFormat="false" ht="15" hidden="false" customHeight="true" outlineLevel="0" collapsed="false">
      <c r="A316" s="6" t="s">
        <v>1734</v>
      </c>
      <c r="B316" s="6" t="s">
        <v>478</v>
      </c>
      <c r="C316" s="9" t="s">
        <v>1735</v>
      </c>
      <c r="D316" s="9" t="s">
        <v>761</v>
      </c>
      <c r="E316" s="9" t="s">
        <v>762</v>
      </c>
      <c r="F316" s="9" t="s">
        <v>848</v>
      </c>
      <c r="H316" s="9" t="s">
        <v>882</v>
      </c>
      <c r="M316" s="6" t="n">
        <v>2735.34</v>
      </c>
      <c r="Q316" s="1" t="n">
        <f aca="false">IF(OR($A380="",P380=""),"",ROUND(YEARFRAC(P380,README!$C$5),1))</f>
        <v>46.9</v>
      </c>
      <c r="T316" s="6" t="n">
        <v>3997</v>
      </c>
      <c r="U316" s="6" t="n">
        <v>4090</v>
      </c>
      <c r="V316" s="6" t="n">
        <v>93</v>
      </c>
      <c r="W316" s="6" t="n">
        <v>1</v>
      </c>
      <c r="X316" s="6" t="n">
        <v>9</v>
      </c>
      <c r="Z316" s="6" t="s">
        <v>1468</v>
      </c>
      <c r="AA316" s="9" t="s">
        <v>774</v>
      </c>
      <c r="AB316" s="6" t="s">
        <v>1736</v>
      </c>
      <c r="AC316" s="27" t="n">
        <f aca="false">COUNTIF(環境認証!$A$2:$A$849,A380)</f>
        <v>1</v>
      </c>
      <c r="AD316" s="6" t="n">
        <v>2.3</v>
      </c>
    </row>
    <row r="317" customFormat="false" ht="15" hidden="false" customHeight="true" outlineLevel="0" collapsed="false">
      <c r="A317" s="6" t="s">
        <v>1737</v>
      </c>
      <c r="B317" s="6" t="s">
        <v>478</v>
      </c>
      <c r="C317" s="9" t="s">
        <v>1738</v>
      </c>
      <c r="D317" s="9" t="s">
        <v>761</v>
      </c>
      <c r="E317" s="9" t="s">
        <v>762</v>
      </c>
      <c r="F317" s="9" t="s">
        <v>763</v>
      </c>
      <c r="H317" s="9" t="s">
        <v>772</v>
      </c>
      <c r="M317" s="6" t="n">
        <v>1237.43</v>
      </c>
      <c r="Q317" s="1" t="n">
        <f aca="false">IF(OR($A381="",P381=""),"",ROUND(YEARFRAC(P381,README!$C$5),1))</f>
        <v>34.2</v>
      </c>
      <c r="T317" s="6" t="n">
        <v>2029</v>
      </c>
      <c r="U317" s="6" t="n">
        <v>2100</v>
      </c>
      <c r="V317" s="6" t="n">
        <v>71</v>
      </c>
      <c r="W317" s="6" t="n">
        <v>0.915</v>
      </c>
      <c r="X317" s="6" t="n">
        <v>11</v>
      </c>
      <c r="Z317" s="6" t="s">
        <v>1468</v>
      </c>
      <c r="AA317" s="9" t="s">
        <v>774</v>
      </c>
      <c r="AB317" s="6" t="s">
        <v>1739</v>
      </c>
      <c r="AC317" s="27" t="n">
        <f aca="false">COUNTIF(環境認証!$A$2:$A$849,A381)</f>
        <v>0</v>
      </c>
      <c r="AD317" s="6" t="n">
        <v>3.5</v>
      </c>
    </row>
    <row r="318" customFormat="false" ht="15" hidden="false" customHeight="true" outlineLevel="0" collapsed="false">
      <c r="A318" s="6" t="s">
        <v>1740</v>
      </c>
      <c r="B318" s="6" t="s">
        <v>478</v>
      </c>
      <c r="C318" s="9" t="s">
        <v>1741</v>
      </c>
      <c r="D318" s="9" t="s">
        <v>761</v>
      </c>
      <c r="E318" s="9" t="s">
        <v>762</v>
      </c>
      <c r="F318" s="9" t="s">
        <v>1705</v>
      </c>
      <c r="H318" s="9" t="s">
        <v>921</v>
      </c>
      <c r="M318" s="6" t="n">
        <v>2247.87</v>
      </c>
      <c r="Q318" s="1" t="n">
        <f aca="false">IF(OR($A382="",P382=""),"",ROUND(YEARFRAC(P382,README!$C$5),1))</f>
        <v>18.1</v>
      </c>
      <c r="T318" s="6" t="n">
        <v>1949</v>
      </c>
      <c r="U318" s="6" t="n">
        <v>1960</v>
      </c>
      <c r="V318" s="6" t="n">
        <v>11</v>
      </c>
      <c r="W318" s="6" t="n">
        <v>0.885</v>
      </c>
      <c r="X318" s="6" t="n">
        <v>7</v>
      </c>
      <c r="Z318" s="6" t="s">
        <v>1468</v>
      </c>
      <c r="AA318" s="9" t="s">
        <v>774</v>
      </c>
      <c r="AB318" s="6" t="s">
        <v>1742</v>
      </c>
      <c r="AC318" s="27" t="n">
        <f aca="false">COUNTIF(環境認証!$A$2:$A$849,A382)</f>
        <v>0</v>
      </c>
      <c r="AD318" s="6" t="n">
        <v>0.6</v>
      </c>
    </row>
    <row r="319" customFormat="false" ht="15" hidden="false" customHeight="true" outlineLevel="0" collapsed="false">
      <c r="A319" s="6" t="s">
        <v>1743</v>
      </c>
      <c r="B319" s="6" t="s">
        <v>478</v>
      </c>
      <c r="C319" s="9" t="s">
        <v>1744</v>
      </c>
      <c r="D319" s="9" t="s">
        <v>761</v>
      </c>
      <c r="E319" s="9" t="s">
        <v>946</v>
      </c>
      <c r="F319" s="9" t="s">
        <v>1745</v>
      </c>
      <c r="H319" s="9" t="s">
        <v>921</v>
      </c>
      <c r="M319" s="6" t="n">
        <v>4112.19</v>
      </c>
      <c r="Q319" s="1" t="n">
        <f aca="false">IF(OR($A383="",P383=""),"",ROUND(YEARFRAC(P383,README!$C$5),1))</f>
        <v>34.9</v>
      </c>
      <c r="T319" s="6" t="n">
        <v>3661</v>
      </c>
      <c r="U319" s="6" t="n">
        <v>3960</v>
      </c>
      <c r="V319" s="6" t="n">
        <v>299</v>
      </c>
      <c r="W319" s="6" t="n">
        <v>1</v>
      </c>
      <c r="X319" s="6" t="n">
        <v>22</v>
      </c>
      <c r="Z319" s="6" t="s">
        <v>1468</v>
      </c>
      <c r="AA319" s="9" t="s">
        <v>774</v>
      </c>
      <c r="AB319" s="6" t="s">
        <v>1746</v>
      </c>
      <c r="AC319" s="27" t="n">
        <f aca="false">COUNTIF(環境認証!$A$2:$A$849,A383)</f>
        <v>1</v>
      </c>
      <c r="AD319" s="6" t="n">
        <v>8.2</v>
      </c>
    </row>
    <row r="320" customFormat="false" ht="15" hidden="false" customHeight="true" outlineLevel="0" collapsed="false">
      <c r="A320" s="6" t="s">
        <v>1747</v>
      </c>
      <c r="B320" s="6" t="s">
        <v>478</v>
      </c>
      <c r="C320" s="9" t="s">
        <v>1748</v>
      </c>
      <c r="D320" s="9" t="s">
        <v>1749</v>
      </c>
      <c r="E320" s="9" t="s">
        <v>762</v>
      </c>
      <c r="F320" s="9" t="s">
        <v>815</v>
      </c>
      <c r="H320" s="9" t="s">
        <v>772</v>
      </c>
      <c r="M320" s="6" t="n">
        <v>778.77</v>
      </c>
      <c r="Q320" s="1" t="n">
        <f aca="false">IF(OR($A384="",P384=""),"",ROUND(YEARFRAC(P384,README!$C$5),1))</f>
        <v>37.4</v>
      </c>
      <c r="T320" s="6" t="n">
        <v>2433</v>
      </c>
      <c r="U320" s="6" t="n">
        <v>2910</v>
      </c>
      <c r="V320" s="6" t="n">
        <v>477</v>
      </c>
      <c r="W320" s="6" t="n">
        <v>1</v>
      </c>
      <c r="X320" s="6" t="n">
        <v>5</v>
      </c>
      <c r="Z320" s="6" t="s">
        <v>1468</v>
      </c>
      <c r="AA320" s="9" t="s">
        <v>774</v>
      </c>
      <c r="AB320" s="6" t="s">
        <v>1750</v>
      </c>
      <c r="AC320" s="27" t="n">
        <f aca="false">COUNTIF(環境認証!$A$2:$A$849,A384)</f>
        <v>1</v>
      </c>
      <c r="AD320" s="6" t="n">
        <v>19.6</v>
      </c>
    </row>
    <row r="321" customFormat="false" ht="15" hidden="false" customHeight="true" outlineLevel="0" collapsed="false">
      <c r="A321" s="6" t="s">
        <v>1751</v>
      </c>
      <c r="B321" s="6" t="s">
        <v>478</v>
      </c>
      <c r="C321" s="9" t="s">
        <v>1752</v>
      </c>
      <c r="D321" s="9" t="s">
        <v>1749</v>
      </c>
      <c r="E321" s="9" t="s">
        <v>762</v>
      </c>
      <c r="F321" s="9" t="s">
        <v>1148</v>
      </c>
      <c r="H321" s="9" t="s">
        <v>882</v>
      </c>
      <c r="M321" s="6" t="n">
        <v>2124.68</v>
      </c>
      <c r="Q321" s="1" t="n">
        <f aca="false">IF(OR($A385="",P385=""),"",ROUND(YEARFRAC(P385,README!$C$5),1))</f>
        <v>24.2</v>
      </c>
      <c r="T321" s="6" t="n">
        <v>1429</v>
      </c>
      <c r="U321" s="6" t="n">
        <v>1310</v>
      </c>
      <c r="V321" s="6" t="n">
        <v>-119</v>
      </c>
      <c r="W321" s="6" t="n">
        <v>1</v>
      </c>
      <c r="X321" s="6" t="n">
        <v>2</v>
      </c>
      <c r="Z321" s="6" t="s">
        <v>1468</v>
      </c>
      <c r="AA321" s="9" t="s">
        <v>774</v>
      </c>
      <c r="AB321" s="6" t="s">
        <v>1753</v>
      </c>
      <c r="AC321" s="27" t="n">
        <f aca="false">COUNTIF(環境認証!$A$2:$A$849,A385)</f>
        <v>1</v>
      </c>
      <c r="AD321" s="6" t="n">
        <v>-8.3</v>
      </c>
    </row>
    <row r="322" customFormat="false" ht="15" hidden="false" customHeight="true" outlineLevel="0" collapsed="false">
      <c r="A322" s="6" t="s">
        <v>1754</v>
      </c>
      <c r="B322" s="6" t="s">
        <v>487</v>
      </c>
      <c r="C322" s="9" t="s">
        <v>1755</v>
      </c>
      <c r="D322" s="9" t="s">
        <v>761</v>
      </c>
      <c r="E322" s="36" t="s">
        <v>1545</v>
      </c>
      <c r="F322" s="36" t="s">
        <v>1546</v>
      </c>
      <c r="H322" s="6" t="s">
        <v>764</v>
      </c>
      <c r="I322" s="6" t="s">
        <v>1756</v>
      </c>
      <c r="J322" s="37"/>
      <c r="K322" s="38"/>
      <c r="L322" s="38"/>
      <c r="M322" s="39" t="n">
        <v>300200.04</v>
      </c>
      <c r="P322" s="40"/>
      <c r="Q322" s="41" t="str">
        <f aca="false">IF(OR($A55="",P55=""),"",ROUND(YEARFRAC(P55,README!$C$5),1))</f>
        <v/>
      </c>
      <c r="R322" s="40"/>
      <c r="S322" s="42" t="n">
        <v>290534</v>
      </c>
      <c r="T322" s="42" t="n">
        <v>272046</v>
      </c>
      <c r="U322" s="42" t="n">
        <v>351603</v>
      </c>
      <c r="V322" s="43" t="n">
        <f aca="false">IF($A55="","",IF(OR(T55="",U55=""),"",U55-T55))</f>
        <v>702.383</v>
      </c>
      <c r="W322" s="44" t="n">
        <v>0.983</v>
      </c>
      <c r="X322" s="6" t="n">
        <v>598</v>
      </c>
      <c r="Y322" s="46" t="n">
        <v>2.3</v>
      </c>
      <c r="Z322" s="6" t="s">
        <v>1757</v>
      </c>
      <c r="AA322" s="9" t="s">
        <v>774</v>
      </c>
      <c r="AB322" s="9" t="s">
        <v>1758</v>
      </c>
      <c r="AC322" s="27" t="n">
        <f aca="false">COUNTIF(環境認証!$A$2:$A$849,A55)</f>
        <v>0</v>
      </c>
      <c r="AD322" s="1" t="n">
        <v>111</v>
      </c>
    </row>
    <row r="323" customFormat="false" ht="15" hidden="false" customHeight="true" outlineLevel="0" collapsed="false">
      <c r="A323" s="6" t="s">
        <v>1759</v>
      </c>
      <c r="B323" s="6" t="s">
        <v>487</v>
      </c>
      <c r="C323" s="9" t="s">
        <v>1760</v>
      </c>
      <c r="D323" s="9" t="s">
        <v>761</v>
      </c>
      <c r="E323" s="9" t="s">
        <v>762</v>
      </c>
      <c r="F323" s="9" t="s">
        <v>848</v>
      </c>
      <c r="H323" s="9" t="s">
        <v>882</v>
      </c>
      <c r="J323" s="37"/>
      <c r="K323" s="38"/>
      <c r="L323" s="38"/>
      <c r="M323" s="39" t="n">
        <v>25828.29</v>
      </c>
      <c r="P323" s="40"/>
      <c r="Q323" s="41" t="str">
        <f aca="false">IF(OR($A21="",P21=""),"",ROUND(YEARFRAC(P21,README!$C$5),1))</f>
        <v/>
      </c>
      <c r="R323" s="40"/>
      <c r="S323" s="42" t="n">
        <v>22552</v>
      </c>
      <c r="T323" s="42" t="n">
        <v>20047</v>
      </c>
      <c r="U323" s="42" t="n">
        <v>25900</v>
      </c>
      <c r="V323" s="42" t="n">
        <v>5853</v>
      </c>
      <c r="W323" s="44" t="n">
        <v>1</v>
      </c>
      <c r="X323" s="6" t="n">
        <v>24</v>
      </c>
      <c r="Y323" s="46" t="n">
        <v>4.5</v>
      </c>
      <c r="Z323" s="6" t="s">
        <v>1757</v>
      </c>
      <c r="AA323" s="9" t="s">
        <v>774</v>
      </c>
      <c r="AB323" s="6" t="s">
        <v>1761</v>
      </c>
      <c r="AC323" s="27" t="n">
        <f aca="false">COUNTIF(環境認証!$A$2:$A$849,A21)</f>
        <v>1</v>
      </c>
      <c r="AD323" s="6" t="n">
        <v>29.2</v>
      </c>
      <c r="AE323" s="6" t="n">
        <v>14.8</v>
      </c>
    </row>
    <row r="324" customFormat="false" ht="15" hidden="false" customHeight="true" outlineLevel="0" collapsed="false">
      <c r="A324" s="6" t="s">
        <v>1762</v>
      </c>
      <c r="B324" s="6" t="s">
        <v>487</v>
      </c>
      <c r="C324" s="9" t="s">
        <v>1763</v>
      </c>
      <c r="D324" s="9" t="s">
        <v>761</v>
      </c>
      <c r="E324" s="9" t="s">
        <v>762</v>
      </c>
      <c r="F324" s="9" t="s">
        <v>782</v>
      </c>
      <c r="H324" s="9" t="s">
        <v>772</v>
      </c>
      <c r="J324" s="37"/>
      <c r="K324" s="38"/>
      <c r="L324" s="38"/>
      <c r="M324" s="39" t="n">
        <v>11749.3</v>
      </c>
      <c r="P324" s="40"/>
      <c r="Q324" s="41" t="str">
        <f aca="false">IF(OR($A22="",P22=""),"",ROUND(YEARFRAC(P22,README!$C$5),1))</f>
        <v/>
      </c>
      <c r="R324" s="40"/>
      <c r="S324" s="42" t="n">
        <v>9450</v>
      </c>
      <c r="T324" s="42" t="n">
        <v>9178</v>
      </c>
      <c r="U324" s="42" t="n">
        <v>13800</v>
      </c>
      <c r="V324" s="42" t="n">
        <v>4622</v>
      </c>
      <c r="W324" s="44" t="n">
        <v>1</v>
      </c>
      <c r="X324" s="6" t="n">
        <v>2</v>
      </c>
      <c r="Y324" s="46" t="n">
        <v>5.8</v>
      </c>
      <c r="Z324" s="6" t="s">
        <v>1757</v>
      </c>
      <c r="AA324" s="9" t="s">
        <v>774</v>
      </c>
      <c r="AB324" s="6" t="s">
        <v>1764</v>
      </c>
      <c r="AC324" s="27" t="n">
        <f aca="false">COUNTIF(環境認証!$A$2:$A$849,A22)</f>
        <v>1</v>
      </c>
      <c r="AD324" s="6" t="n">
        <v>50.4</v>
      </c>
      <c r="AE324" s="6" t="n">
        <v>46</v>
      </c>
    </row>
    <row r="325" customFormat="false" ht="15" hidden="false" customHeight="true" outlineLevel="0" collapsed="false">
      <c r="A325" s="6" t="s">
        <v>1765</v>
      </c>
      <c r="B325" s="6" t="s">
        <v>487</v>
      </c>
      <c r="C325" s="6" t="s">
        <v>1766</v>
      </c>
      <c r="D325" s="9" t="s">
        <v>761</v>
      </c>
      <c r="E325" s="9" t="s">
        <v>762</v>
      </c>
      <c r="F325" s="9" t="s">
        <v>782</v>
      </c>
      <c r="H325" s="9" t="s">
        <v>772</v>
      </c>
      <c r="J325" s="37"/>
      <c r="K325" s="38"/>
      <c r="L325" s="38"/>
      <c r="M325" s="39" t="n">
        <v>3526.21</v>
      </c>
      <c r="P325" s="40"/>
      <c r="Q325" s="41" t="str">
        <f aca="false">IF(OR($A23="",P23=""),"",ROUND(YEARFRAC(P23,README!$C$5),1))</f>
        <v/>
      </c>
      <c r="R325" s="40"/>
      <c r="S325" s="42" t="n">
        <v>4592</v>
      </c>
      <c r="T325" s="42" t="n">
        <v>4320</v>
      </c>
      <c r="U325" s="42" t="n">
        <v>4818</v>
      </c>
      <c r="V325" s="42" t="n">
        <v>498</v>
      </c>
      <c r="W325" s="44" t="n">
        <v>1</v>
      </c>
      <c r="X325" s="6" t="n">
        <v>8</v>
      </c>
      <c r="Y325" s="46" t="n">
        <v>7.9</v>
      </c>
      <c r="Z325" s="6" t="s">
        <v>1757</v>
      </c>
      <c r="AA325" s="9" t="s">
        <v>774</v>
      </c>
      <c r="AB325" s="6" t="s">
        <v>1767</v>
      </c>
      <c r="AC325" s="27" t="n">
        <f aca="false">COUNTIF(環境認証!$A$2:$A$849,A23)</f>
        <v>1</v>
      </c>
      <c r="AD325" s="6" t="n">
        <v>11.5</v>
      </c>
      <c r="AE325" s="6" t="n">
        <v>4.9</v>
      </c>
    </row>
    <row r="326" customFormat="false" ht="15" hidden="false" customHeight="true" outlineLevel="0" collapsed="false">
      <c r="A326" s="6" t="s">
        <v>1768</v>
      </c>
      <c r="B326" s="6" t="s">
        <v>487</v>
      </c>
      <c r="C326" s="9" t="s">
        <v>1769</v>
      </c>
      <c r="D326" s="9" t="s">
        <v>761</v>
      </c>
      <c r="E326" s="9" t="s">
        <v>762</v>
      </c>
      <c r="F326" s="9" t="s">
        <v>782</v>
      </c>
      <c r="H326" s="9" t="s">
        <v>772</v>
      </c>
      <c r="J326" s="37"/>
      <c r="K326" s="38"/>
      <c r="L326" s="38"/>
      <c r="M326" s="39" t="n">
        <v>11021.03</v>
      </c>
      <c r="P326" s="40"/>
      <c r="Q326" s="41" t="str">
        <f aca="false">IF(OR($A24="",P24=""),"",ROUND(YEARFRAC(P24,README!$C$5),1))</f>
        <v/>
      </c>
      <c r="R326" s="40"/>
      <c r="S326" s="42" t="n">
        <v>28146</v>
      </c>
      <c r="T326" s="42" t="n">
        <v>26403</v>
      </c>
      <c r="U326" s="42" t="n">
        <v>30700</v>
      </c>
      <c r="V326" s="42" t="n">
        <v>4297</v>
      </c>
      <c r="W326" s="44" t="n">
        <v>1</v>
      </c>
      <c r="X326" s="6" t="n">
        <v>17</v>
      </c>
      <c r="Y326" s="46" t="n">
        <v>1.8</v>
      </c>
      <c r="Z326" s="6" t="s">
        <v>1757</v>
      </c>
      <c r="AA326" s="9" t="s">
        <v>774</v>
      </c>
      <c r="AB326" s="6" t="s">
        <v>1770</v>
      </c>
      <c r="AC326" s="27" t="n">
        <f aca="false">COUNTIF(環境認証!$A$2:$A$849,A24)</f>
        <v>1</v>
      </c>
      <c r="AD326" s="6" t="n">
        <v>16.3</v>
      </c>
      <c r="AE326" s="6" t="n">
        <v>9.1</v>
      </c>
    </row>
    <row r="327" customFormat="false" ht="15" hidden="false" customHeight="true" outlineLevel="0" collapsed="false">
      <c r="A327" s="6" t="s">
        <v>1771</v>
      </c>
      <c r="B327" s="6" t="s">
        <v>487</v>
      </c>
      <c r="C327" s="9" t="s">
        <v>1772</v>
      </c>
      <c r="D327" s="9" t="s">
        <v>761</v>
      </c>
      <c r="E327" s="9" t="s">
        <v>762</v>
      </c>
      <c r="F327" s="9" t="s">
        <v>782</v>
      </c>
      <c r="H327" s="9" t="s">
        <v>772</v>
      </c>
      <c r="J327" s="37"/>
      <c r="K327" s="38"/>
      <c r="L327" s="38"/>
      <c r="M327" s="39" t="n">
        <v>12122.85</v>
      </c>
      <c r="P327" s="40"/>
      <c r="Q327" s="41" t="str">
        <f aca="false">IF(OR($A25="",P25=""),"",ROUND(YEARFRAC(P25,README!$C$5),1))</f>
        <v/>
      </c>
      <c r="R327" s="40"/>
      <c r="S327" s="42" t="n">
        <v>11000</v>
      </c>
      <c r="T327" s="42" t="n">
        <v>8723</v>
      </c>
      <c r="U327" s="42" t="n">
        <v>8380</v>
      </c>
      <c r="V327" s="42" t="n">
        <v>-343</v>
      </c>
      <c r="W327" s="44" t="n">
        <v>0.91</v>
      </c>
      <c r="X327" s="6" t="n">
        <v>4</v>
      </c>
      <c r="Y327" s="46" t="n">
        <v>6.3</v>
      </c>
      <c r="Z327" s="6" t="s">
        <v>1757</v>
      </c>
      <c r="AA327" s="9" t="s">
        <v>774</v>
      </c>
      <c r="AB327" s="6" t="s">
        <v>1773</v>
      </c>
      <c r="AC327" s="27" t="n">
        <f aca="false">COUNTIF(環境認証!$A$2:$A$849,A25)</f>
        <v>1</v>
      </c>
      <c r="AD327" s="6" t="n">
        <v>-3.9</v>
      </c>
      <c r="AE327" s="6" t="n">
        <v>-23.8</v>
      </c>
    </row>
    <row r="328" customFormat="false" ht="15" hidden="false" customHeight="true" outlineLevel="0" collapsed="false">
      <c r="A328" s="6" t="s">
        <v>1774</v>
      </c>
      <c r="B328" s="6" t="s">
        <v>487</v>
      </c>
      <c r="C328" s="9" t="s">
        <v>1775</v>
      </c>
      <c r="D328" s="9" t="s">
        <v>761</v>
      </c>
      <c r="E328" s="9" t="s">
        <v>762</v>
      </c>
      <c r="F328" s="9" t="s">
        <v>782</v>
      </c>
      <c r="H328" s="9" t="s">
        <v>772</v>
      </c>
      <c r="J328" s="37"/>
      <c r="K328" s="38"/>
      <c r="L328" s="38"/>
      <c r="M328" s="39" t="n">
        <v>19718.11</v>
      </c>
      <c r="P328" s="40"/>
      <c r="Q328" s="41" t="str">
        <f aca="false">IF(OR($A26="",P26=""),"",ROUND(YEARFRAC(P26,README!$C$5),1))</f>
        <v/>
      </c>
      <c r="R328" s="40"/>
      <c r="S328" s="42" t="n">
        <v>19080</v>
      </c>
      <c r="T328" s="42" t="n">
        <v>16108</v>
      </c>
      <c r="U328" s="42" t="n">
        <v>29500</v>
      </c>
      <c r="V328" s="42" t="n">
        <v>13392</v>
      </c>
      <c r="W328" s="44" t="n">
        <v>0.971</v>
      </c>
      <c r="X328" s="6" t="n">
        <v>12</v>
      </c>
      <c r="Y328" s="46" t="n">
        <v>0.2</v>
      </c>
      <c r="Z328" s="6" t="s">
        <v>1757</v>
      </c>
      <c r="AA328" s="9" t="s">
        <v>774</v>
      </c>
      <c r="AB328" s="6" t="s">
        <v>1776</v>
      </c>
      <c r="AC328" s="27" t="n">
        <f aca="false">COUNTIF(環境認証!$A$2:$A$849,A26)</f>
        <v>1</v>
      </c>
      <c r="AD328" s="6" t="n">
        <v>83.1</v>
      </c>
      <c r="AE328" s="6" t="n">
        <v>54.6</v>
      </c>
    </row>
    <row r="329" customFormat="false" ht="15" hidden="false" customHeight="true" outlineLevel="0" collapsed="false">
      <c r="A329" s="6" t="s">
        <v>1777</v>
      </c>
      <c r="B329" s="6" t="s">
        <v>487</v>
      </c>
      <c r="C329" s="9" t="s">
        <v>1778</v>
      </c>
      <c r="D329" s="9" t="s">
        <v>761</v>
      </c>
      <c r="E329" s="9" t="s">
        <v>762</v>
      </c>
      <c r="F329" s="9" t="s">
        <v>782</v>
      </c>
      <c r="H329" s="9" t="s">
        <v>772</v>
      </c>
      <c r="J329" s="37"/>
      <c r="K329" s="38"/>
      <c r="L329" s="38"/>
      <c r="M329" s="39" t="n">
        <v>8949.04</v>
      </c>
      <c r="P329" s="40"/>
      <c r="Q329" s="41" t="str">
        <f aca="false">IF(OR($A27="",P27=""),"",ROUND(YEARFRAC(P27,README!$C$5),1))</f>
        <v/>
      </c>
      <c r="R329" s="40"/>
      <c r="S329" s="42" t="n">
        <v>11431</v>
      </c>
      <c r="T329" s="42" t="n">
        <v>11045</v>
      </c>
      <c r="U329" s="42" t="n">
        <v>12700</v>
      </c>
      <c r="V329" s="42" t="n">
        <v>1655</v>
      </c>
      <c r="W329" s="44" t="n">
        <v>1</v>
      </c>
      <c r="X329" s="6" t="n">
        <v>5</v>
      </c>
      <c r="Y329" s="46" t="n">
        <v>4.7</v>
      </c>
      <c r="Z329" s="6" t="s">
        <v>1757</v>
      </c>
      <c r="AA329" s="9" t="s">
        <v>774</v>
      </c>
      <c r="AB329" s="6" t="s">
        <v>1779</v>
      </c>
      <c r="AC329" s="27" t="n">
        <f aca="false">COUNTIF(環境認証!$A$2:$A$849,A27)</f>
        <v>1</v>
      </c>
      <c r="AD329" s="6" t="n">
        <v>15</v>
      </c>
      <c r="AE329" s="6" t="n">
        <v>11.1</v>
      </c>
    </row>
    <row r="330" customFormat="false" ht="15" hidden="false" customHeight="true" outlineLevel="0" collapsed="false">
      <c r="A330" s="6" t="s">
        <v>1780</v>
      </c>
      <c r="B330" s="6" t="s">
        <v>487</v>
      </c>
      <c r="C330" s="9" t="s">
        <v>1781</v>
      </c>
      <c r="D330" s="9" t="s">
        <v>761</v>
      </c>
      <c r="E330" s="9" t="s">
        <v>762</v>
      </c>
      <c r="F330" s="9" t="s">
        <v>815</v>
      </c>
      <c r="H330" s="9" t="s">
        <v>772</v>
      </c>
      <c r="J330" s="37"/>
      <c r="K330" s="38"/>
      <c r="L330" s="38"/>
      <c r="M330" s="39" t="n">
        <v>5420.81</v>
      </c>
      <c r="P330" s="40"/>
      <c r="Q330" s="41" t="str">
        <f aca="false">IF(OR($A28="",P28=""),"",ROUND(YEARFRAC(P28,README!$C$5),1))</f>
        <v/>
      </c>
      <c r="R330" s="40"/>
      <c r="S330" s="42" t="n">
        <v>11420</v>
      </c>
      <c r="T330" s="42" t="n">
        <v>10952</v>
      </c>
      <c r="U330" s="42" t="n">
        <v>13900</v>
      </c>
      <c r="V330" s="42" t="n">
        <v>2948</v>
      </c>
      <c r="W330" s="44" t="n">
        <v>1</v>
      </c>
      <c r="X330" s="6" t="n">
        <v>10</v>
      </c>
      <c r="Y330" s="46" t="n">
        <v>5.3</v>
      </c>
      <c r="Z330" s="6" t="s">
        <v>1757</v>
      </c>
      <c r="AA330" s="9" t="s">
        <v>774</v>
      </c>
      <c r="AB330" s="6" t="s">
        <v>1782</v>
      </c>
      <c r="AC330" s="27" t="n">
        <f aca="false">COUNTIF(環境認証!$A$2:$A$849,A28)</f>
        <v>1</v>
      </c>
      <c r="AD330" s="6" t="n">
        <v>26.9</v>
      </c>
      <c r="AE330" s="6" t="n">
        <v>21.7</v>
      </c>
    </row>
    <row r="331" customFormat="false" ht="15" hidden="false" customHeight="true" outlineLevel="0" collapsed="false">
      <c r="A331" s="6" t="s">
        <v>1783</v>
      </c>
      <c r="B331" s="6" t="s">
        <v>487</v>
      </c>
      <c r="C331" s="9" t="s">
        <v>1784</v>
      </c>
      <c r="D331" s="9" t="s">
        <v>761</v>
      </c>
      <c r="E331" s="9" t="s">
        <v>762</v>
      </c>
      <c r="F331" s="9" t="s">
        <v>782</v>
      </c>
      <c r="G331" s="9" t="s">
        <v>868</v>
      </c>
      <c r="H331" s="9" t="s">
        <v>772</v>
      </c>
      <c r="J331" s="37"/>
      <c r="K331" s="38"/>
      <c r="L331" s="38"/>
      <c r="M331" s="39" t="n">
        <v>2580.24</v>
      </c>
      <c r="P331" s="40"/>
      <c r="Q331" s="41" t="str">
        <f aca="false">IF(OR($A29="",P29=""),"",ROUND(YEARFRAC(P29,README!$C$5),1))</f>
        <v/>
      </c>
      <c r="R331" s="40"/>
      <c r="S331" s="42" t="n">
        <v>6590</v>
      </c>
      <c r="T331" s="42" t="n">
        <v>6357</v>
      </c>
      <c r="U331" s="42" t="n">
        <v>7970</v>
      </c>
      <c r="V331" s="42" t="n">
        <v>1613</v>
      </c>
      <c r="W331" s="44" t="n">
        <v>0.877</v>
      </c>
      <c r="X331" s="6" t="n">
        <v>1</v>
      </c>
      <c r="Y331" s="46" t="n">
        <v>1.9</v>
      </c>
      <c r="Z331" s="6" t="s">
        <v>1757</v>
      </c>
      <c r="AA331" s="9" t="s">
        <v>774</v>
      </c>
      <c r="AB331" s="6" t="s">
        <v>1785</v>
      </c>
      <c r="AC331" s="27" t="n">
        <f aca="false">COUNTIF(環境認証!$A$2:$A$849,A29)</f>
        <v>1</v>
      </c>
      <c r="AD331" s="6" t="n">
        <v>25.4</v>
      </c>
      <c r="AE331" s="6" t="n">
        <v>20.9</v>
      </c>
    </row>
    <row r="332" customFormat="false" ht="15" hidden="false" customHeight="true" outlineLevel="0" collapsed="false">
      <c r="A332" s="6" t="s">
        <v>1786</v>
      </c>
      <c r="B332" s="6" t="s">
        <v>487</v>
      </c>
      <c r="C332" s="6" t="s">
        <v>1787</v>
      </c>
      <c r="D332" s="9" t="s">
        <v>761</v>
      </c>
      <c r="E332" s="9" t="s">
        <v>762</v>
      </c>
      <c r="F332" s="9" t="s">
        <v>782</v>
      </c>
      <c r="G332" s="9" t="s">
        <v>871</v>
      </c>
      <c r="H332" s="9" t="s">
        <v>772</v>
      </c>
      <c r="J332" s="37"/>
      <c r="K332" s="38"/>
      <c r="L332" s="38"/>
      <c r="M332" s="39" t="n">
        <v>2387.43</v>
      </c>
      <c r="P332" s="40"/>
      <c r="Q332" s="41" t="str">
        <f aca="false">IF(OR($A30="",P30=""),"",ROUND(YEARFRAC(P30,README!$C$5),1))</f>
        <v/>
      </c>
      <c r="R332" s="40"/>
      <c r="S332" s="42" t="n">
        <v>6200</v>
      </c>
      <c r="T332" s="42" t="n">
        <v>6065</v>
      </c>
      <c r="U332" s="42" t="n">
        <v>5910</v>
      </c>
      <c r="V332" s="42" t="n">
        <v>-155</v>
      </c>
      <c r="W332" s="44" t="n">
        <v>0.889</v>
      </c>
      <c r="X332" s="6" t="n">
        <v>7</v>
      </c>
      <c r="Y332" s="46" t="n">
        <v>5.7</v>
      </c>
      <c r="Z332" s="6" t="s">
        <v>1757</v>
      </c>
      <c r="AA332" s="9" t="s">
        <v>774</v>
      </c>
      <c r="AB332" s="6" t="s">
        <v>1788</v>
      </c>
      <c r="AC332" s="27" t="n">
        <f aca="false">COUNTIF(環境認証!$A$2:$A$849,A30)</f>
        <v>1</v>
      </c>
      <c r="AD332" s="6" t="n">
        <v>-2.6</v>
      </c>
      <c r="AE332" s="6" t="n">
        <v>-4.7</v>
      </c>
    </row>
    <row r="333" customFormat="false" ht="15" hidden="false" customHeight="true" outlineLevel="0" collapsed="false">
      <c r="A333" s="6" t="s">
        <v>1789</v>
      </c>
      <c r="B333" s="6" t="s">
        <v>487</v>
      </c>
      <c r="C333" s="6" t="s">
        <v>1790</v>
      </c>
      <c r="D333" s="9" t="s">
        <v>761</v>
      </c>
      <c r="E333" s="9" t="s">
        <v>762</v>
      </c>
      <c r="F333" s="9" t="s">
        <v>763</v>
      </c>
      <c r="H333" s="9" t="s">
        <v>772</v>
      </c>
      <c r="J333" s="37"/>
      <c r="K333" s="38"/>
      <c r="L333" s="38"/>
      <c r="M333" s="39" t="n">
        <v>5592.4</v>
      </c>
      <c r="P333" s="40"/>
      <c r="Q333" s="41" t="str">
        <f aca="false">IF(OR($A31="",P31=""),"",ROUND(YEARFRAC(P31,README!$C$5),1))</f>
        <v/>
      </c>
      <c r="R333" s="40"/>
      <c r="S333" s="42" t="n">
        <v>10860</v>
      </c>
      <c r="T333" s="42" t="n">
        <v>10449</v>
      </c>
      <c r="U333" s="42" t="n">
        <v>10600</v>
      </c>
      <c r="V333" s="42" t="n">
        <v>151</v>
      </c>
      <c r="W333" s="44" t="n">
        <v>1</v>
      </c>
      <c r="X333" s="6" t="n">
        <v>8</v>
      </c>
      <c r="Y333" s="46" t="n">
        <v>7</v>
      </c>
      <c r="Z333" s="6" t="s">
        <v>1757</v>
      </c>
      <c r="AA333" s="9" t="s">
        <v>774</v>
      </c>
      <c r="AB333" s="6" t="s">
        <v>1791</v>
      </c>
      <c r="AC333" s="27" t="n">
        <f aca="false">COUNTIF(環境認証!$A$2:$A$849,A31)</f>
        <v>1</v>
      </c>
      <c r="AD333" s="6" t="n">
        <v>1.4</v>
      </c>
      <c r="AE333" s="6" t="n">
        <v>-2.4</v>
      </c>
    </row>
    <row r="334" customFormat="false" ht="15" hidden="false" customHeight="true" outlineLevel="0" collapsed="false">
      <c r="A334" s="6" t="s">
        <v>1792</v>
      </c>
      <c r="B334" s="6" t="s">
        <v>487</v>
      </c>
      <c r="C334" s="6" t="s">
        <v>1793</v>
      </c>
      <c r="D334" s="9" t="s">
        <v>761</v>
      </c>
      <c r="E334" s="9" t="s">
        <v>762</v>
      </c>
      <c r="F334" s="9" t="s">
        <v>815</v>
      </c>
      <c r="H334" s="9" t="s">
        <v>772</v>
      </c>
      <c r="J334" s="37"/>
      <c r="K334" s="38"/>
      <c r="L334" s="38"/>
      <c r="M334" s="39" t="n">
        <v>2788.64</v>
      </c>
      <c r="P334" s="40"/>
      <c r="Q334" s="41" t="str">
        <f aca="false">IF(OR($A32="",P32=""),"",ROUND(YEARFRAC(P32,README!$C$5),1))</f>
        <v/>
      </c>
      <c r="R334" s="40"/>
      <c r="S334" s="42" t="n">
        <v>6640</v>
      </c>
      <c r="T334" s="42" t="n">
        <v>6551</v>
      </c>
      <c r="U334" s="42" t="n">
        <v>7330</v>
      </c>
      <c r="V334" s="42" t="n">
        <v>779</v>
      </c>
      <c r="W334" s="44" t="n">
        <v>1</v>
      </c>
      <c r="X334" s="6" t="n">
        <v>7</v>
      </c>
      <c r="Y334" s="46" t="n">
        <v>5.4</v>
      </c>
      <c r="Z334" s="6" t="s">
        <v>1757</v>
      </c>
      <c r="AA334" s="9" t="s">
        <v>774</v>
      </c>
      <c r="AB334" s="6" t="s">
        <v>1794</v>
      </c>
      <c r="AC334" s="27" t="n">
        <f aca="false">COUNTIF(環境認証!$A$2:$A$849,A32)</f>
        <v>1</v>
      </c>
      <c r="AD334" s="6" t="n">
        <v>11.9</v>
      </c>
      <c r="AE334" s="6" t="n">
        <v>10.4</v>
      </c>
    </row>
    <row r="335" customFormat="false" ht="15" hidden="false" customHeight="true" outlineLevel="0" collapsed="false">
      <c r="A335" s="6" t="s">
        <v>1795</v>
      </c>
      <c r="B335" s="6" t="s">
        <v>487</v>
      </c>
      <c r="C335" s="6" t="s">
        <v>1796</v>
      </c>
      <c r="D335" s="9" t="s">
        <v>761</v>
      </c>
      <c r="E335" s="9" t="s">
        <v>762</v>
      </c>
      <c r="F335" s="9" t="s">
        <v>820</v>
      </c>
      <c r="H335" s="9" t="s">
        <v>772</v>
      </c>
      <c r="J335" s="37"/>
      <c r="K335" s="38"/>
      <c r="L335" s="38"/>
      <c r="M335" s="39" t="n">
        <v>4829.68</v>
      </c>
      <c r="P335" s="40"/>
      <c r="Q335" s="41" t="str">
        <f aca="false">IF(OR($A33="",P33=""),"",ROUND(YEARFRAC(P33,README!$C$5),1))</f>
        <v/>
      </c>
      <c r="R335" s="40"/>
      <c r="S335" s="42" t="n">
        <v>9800</v>
      </c>
      <c r="T335" s="42" t="n">
        <v>9703</v>
      </c>
      <c r="U335" s="42" t="n">
        <v>10400</v>
      </c>
      <c r="V335" s="42" t="n">
        <v>697</v>
      </c>
      <c r="W335" s="44" t="n">
        <v>1</v>
      </c>
      <c r="X335" s="6" t="n">
        <v>1</v>
      </c>
      <c r="Y335" s="46" t="n">
        <v>5</v>
      </c>
      <c r="Z335" s="6" t="s">
        <v>1757</v>
      </c>
      <c r="AA335" s="9" t="s">
        <v>774</v>
      </c>
      <c r="AB335" s="6" t="s">
        <v>1797</v>
      </c>
      <c r="AC335" s="27" t="n">
        <f aca="false">COUNTIF(環境認証!$A$2:$A$849,A33)</f>
        <v>1</v>
      </c>
      <c r="AD335" s="6" t="n">
        <v>7.2</v>
      </c>
      <c r="AE335" s="6" t="n">
        <v>6.1</v>
      </c>
    </row>
    <row r="336" customFormat="false" ht="15" hidden="false" customHeight="true" outlineLevel="0" collapsed="false">
      <c r="A336" s="6" t="s">
        <v>1798</v>
      </c>
      <c r="B336" s="6" t="s">
        <v>487</v>
      </c>
      <c r="C336" s="9" t="s">
        <v>1799</v>
      </c>
      <c r="D336" s="9" t="s">
        <v>761</v>
      </c>
      <c r="E336" s="9" t="s">
        <v>762</v>
      </c>
      <c r="F336" s="9" t="s">
        <v>848</v>
      </c>
      <c r="H336" s="9" t="s">
        <v>882</v>
      </c>
      <c r="J336" s="37"/>
      <c r="K336" s="38"/>
      <c r="L336" s="38"/>
      <c r="M336" s="39" t="n">
        <v>5930.27</v>
      </c>
      <c r="P336" s="40"/>
      <c r="Q336" s="41" t="str">
        <f aca="false">IF(OR($A34="",P34=""),"",ROUND(YEARFRAC(P34,README!$C$5),1))</f>
        <v/>
      </c>
      <c r="R336" s="40"/>
      <c r="S336" s="42" t="n">
        <v>13100</v>
      </c>
      <c r="T336" s="42" t="n">
        <v>12774</v>
      </c>
      <c r="U336" s="42" t="n">
        <v>13400</v>
      </c>
      <c r="V336" s="42" t="n">
        <v>626</v>
      </c>
      <c r="W336" s="44" t="n">
        <v>0.997</v>
      </c>
      <c r="X336" s="6" t="n">
        <v>1</v>
      </c>
      <c r="Y336" s="46" t="n">
        <v>1.7</v>
      </c>
      <c r="Z336" s="6" t="s">
        <v>1757</v>
      </c>
      <c r="AA336" s="9" t="s">
        <v>774</v>
      </c>
      <c r="AB336" s="6" t="s">
        <v>1800</v>
      </c>
      <c r="AC336" s="27" t="n">
        <f aca="false">COUNTIF(環境認証!$A$2:$A$849,A34)</f>
        <v>1</v>
      </c>
      <c r="AD336" s="6" t="n">
        <v>4.9</v>
      </c>
      <c r="AE336" s="6" t="n">
        <v>2.3</v>
      </c>
    </row>
    <row r="337" customFormat="false" ht="15" hidden="false" customHeight="true" outlineLevel="0" collapsed="false">
      <c r="A337" s="6" t="s">
        <v>1801</v>
      </c>
      <c r="B337" s="6" t="s">
        <v>487</v>
      </c>
      <c r="C337" s="9" t="s">
        <v>1802</v>
      </c>
      <c r="D337" s="9" t="s">
        <v>761</v>
      </c>
      <c r="E337" s="9" t="s">
        <v>762</v>
      </c>
      <c r="F337" s="9" t="s">
        <v>782</v>
      </c>
      <c r="H337" s="9" t="s">
        <v>772</v>
      </c>
      <c r="J337" s="37"/>
      <c r="K337" s="38"/>
      <c r="L337" s="38"/>
      <c r="M337" s="39" t="n">
        <v>8973.84</v>
      </c>
      <c r="P337" s="40"/>
      <c r="Q337" s="41" t="str">
        <f aca="false">IF(OR($A35="",P35=""),"",ROUND(YEARFRAC(P35,README!$C$5),1))</f>
        <v/>
      </c>
      <c r="R337" s="40"/>
      <c r="S337" s="42" t="n">
        <v>17250</v>
      </c>
      <c r="T337" s="42" t="n">
        <v>16942</v>
      </c>
      <c r="U337" s="42" t="n">
        <v>17700</v>
      </c>
      <c r="V337" s="42" t="n">
        <v>758</v>
      </c>
      <c r="W337" s="44" t="n">
        <v>1</v>
      </c>
      <c r="X337" s="6" t="n">
        <v>8</v>
      </c>
      <c r="Y337" s="46" t="n">
        <v>1.8</v>
      </c>
      <c r="Z337" s="6" t="s">
        <v>1757</v>
      </c>
      <c r="AA337" s="9" t="s">
        <v>774</v>
      </c>
      <c r="AB337" s="6" t="s">
        <v>1803</v>
      </c>
      <c r="AC337" s="27" t="n">
        <f aca="false">COUNTIF(環境認証!$A$2:$A$849,A35)</f>
        <v>1</v>
      </c>
      <c r="AD337" s="6" t="n">
        <v>4.5</v>
      </c>
      <c r="AE337" s="6" t="n">
        <v>2.6</v>
      </c>
    </row>
    <row r="338" customFormat="false" ht="15" hidden="false" customHeight="true" outlineLevel="0" collapsed="false">
      <c r="A338" s="6" t="s">
        <v>1804</v>
      </c>
      <c r="B338" s="6" t="s">
        <v>487</v>
      </c>
      <c r="C338" s="6" t="s">
        <v>1805</v>
      </c>
      <c r="D338" s="9" t="s">
        <v>761</v>
      </c>
      <c r="E338" s="9" t="s">
        <v>969</v>
      </c>
      <c r="F338" s="9" t="s">
        <v>970</v>
      </c>
      <c r="H338" s="9" t="s">
        <v>971</v>
      </c>
      <c r="J338" s="37"/>
      <c r="K338" s="38"/>
      <c r="L338" s="38"/>
      <c r="M338" s="39" t="n">
        <v>11773.6</v>
      </c>
      <c r="P338" s="40"/>
      <c r="Q338" s="41" t="str">
        <f aca="false">IF(OR($A36="",P36=""),"",ROUND(YEARFRAC(P36,README!$C$5),1))</f>
        <v/>
      </c>
      <c r="R338" s="40"/>
      <c r="S338" s="42" t="n">
        <v>5610</v>
      </c>
      <c r="T338" s="42" t="n">
        <v>5453</v>
      </c>
      <c r="U338" s="42" t="n">
        <v>5100</v>
      </c>
      <c r="V338" s="42" t="n">
        <v>-353</v>
      </c>
      <c r="W338" s="44" t="n">
        <v>0.97</v>
      </c>
      <c r="X338" s="6" t="n">
        <v>43</v>
      </c>
      <c r="Y338" s="46" t="n">
        <v>4</v>
      </c>
      <c r="Z338" s="6" t="s">
        <v>1757</v>
      </c>
      <c r="AA338" s="9" t="s">
        <v>774</v>
      </c>
      <c r="AB338" s="6" t="s">
        <v>1806</v>
      </c>
      <c r="AC338" s="27" t="n">
        <f aca="false">COUNTIF(環境認証!$A$2:$A$849,A36)</f>
        <v>2</v>
      </c>
      <c r="AD338" s="6" t="n">
        <v>-6.5</v>
      </c>
      <c r="AE338" s="6" t="n">
        <v>-9.1</v>
      </c>
    </row>
    <row r="339" customFormat="false" ht="15" hidden="false" customHeight="true" outlineLevel="0" collapsed="false">
      <c r="A339" s="6" t="s">
        <v>1807</v>
      </c>
      <c r="B339" s="6" t="s">
        <v>487</v>
      </c>
      <c r="C339" s="9" t="s">
        <v>1231</v>
      </c>
      <c r="D339" s="9" t="s">
        <v>761</v>
      </c>
      <c r="E339" s="9" t="s">
        <v>981</v>
      </c>
      <c r="F339" s="9" t="s">
        <v>982</v>
      </c>
      <c r="H339" s="9" t="s">
        <v>971</v>
      </c>
      <c r="J339" s="37"/>
      <c r="K339" s="38"/>
      <c r="L339" s="38"/>
      <c r="M339" s="39" t="n">
        <v>5084.45</v>
      </c>
      <c r="P339" s="40"/>
      <c r="Q339" s="41" t="str">
        <f aca="false">IF(OR($A37="",P37=""),"",ROUND(YEARFRAC(P37,README!$C$5),1))</f>
        <v/>
      </c>
      <c r="R339" s="40"/>
      <c r="S339" s="42" t="n">
        <v>9518</v>
      </c>
      <c r="T339" s="42" t="n">
        <v>9574</v>
      </c>
      <c r="U339" s="42" t="n">
        <v>10600</v>
      </c>
      <c r="V339" s="42" t="n">
        <v>1026</v>
      </c>
      <c r="W339" s="44" t="n">
        <v>0.986</v>
      </c>
      <c r="X339" s="6" t="n">
        <v>2</v>
      </c>
      <c r="Y339" s="46" t="n">
        <v>3.2</v>
      </c>
      <c r="Z339" s="6" t="s">
        <v>1757</v>
      </c>
      <c r="AA339" s="9" t="s">
        <v>774</v>
      </c>
      <c r="AB339" s="6" t="s">
        <v>1808</v>
      </c>
      <c r="AC339" s="27" t="n">
        <f aca="false">COUNTIF(環境認証!$A$2:$A$849,A37)</f>
        <v>1</v>
      </c>
      <c r="AD339" s="6" t="n">
        <v>10.7</v>
      </c>
      <c r="AE339" s="6" t="n">
        <v>11.4</v>
      </c>
    </row>
    <row r="340" customFormat="false" ht="15" hidden="false" customHeight="true" outlineLevel="0" collapsed="false">
      <c r="A340" s="6" t="s">
        <v>1809</v>
      </c>
      <c r="B340" s="6" t="s">
        <v>487</v>
      </c>
      <c r="C340" s="9" t="s">
        <v>1228</v>
      </c>
      <c r="D340" s="9" t="s">
        <v>761</v>
      </c>
      <c r="E340" s="9" t="s">
        <v>981</v>
      </c>
      <c r="F340" s="9" t="s">
        <v>982</v>
      </c>
      <c r="H340" s="9" t="s">
        <v>971</v>
      </c>
      <c r="J340" s="37"/>
      <c r="K340" s="38"/>
      <c r="L340" s="38"/>
      <c r="M340" s="39" t="n">
        <v>8025.61</v>
      </c>
      <c r="P340" s="40"/>
      <c r="Q340" s="41" t="str">
        <f aca="false">IF(OR($A38="",P38=""),"",ROUND(YEARFRAC(P38,README!$C$5),1))</f>
        <v/>
      </c>
      <c r="R340" s="40"/>
      <c r="S340" s="42" t="n">
        <v>7632</v>
      </c>
      <c r="T340" s="42" t="n">
        <v>7594</v>
      </c>
      <c r="U340" s="42" t="n">
        <v>8410</v>
      </c>
      <c r="V340" s="42" t="n">
        <v>816</v>
      </c>
      <c r="W340" s="44" t="n">
        <v>0.961</v>
      </c>
      <c r="X340" s="6" t="n">
        <v>5</v>
      </c>
      <c r="Y340" s="46" t="n">
        <v>3.2</v>
      </c>
      <c r="Z340" s="6" t="s">
        <v>1757</v>
      </c>
      <c r="AA340" s="9" t="s">
        <v>774</v>
      </c>
      <c r="AB340" s="6" t="s">
        <v>1810</v>
      </c>
      <c r="AC340" s="27" t="n">
        <f aca="false">COUNTIF(環境認証!$A$2:$A$849,A38)</f>
        <v>1</v>
      </c>
      <c r="AD340" s="6" t="n">
        <v>10.7</v>
      </c>
      <c r="AE340" s="6" t="n">
        <v>10.2</v>
      </c>
    </row>
    <row r="341" customFormat="false" ht="15" hidden="false" customHeight="true" outlineLevel="0" collapsed="false">
      <c r="A341" s="6" t="s">
        <v>1811</v>
      </c>
      <c r="B341" s="6" t="s">
        <v>487</v>
      </c>
      <c r="C341" s="9" t="s">
        <v>1812</v>
      </c>
      <c r="D341" s="9" t="s">
        <v>761</v>
      </c>
      <c r="E341" s="9" t="s">
        <v>925</v>
      </c>
      <c r="F341" s="9" t="s">
        <v>930</v>
      </c>
      <c r="H341" s="9" t="s">
        <v>921</v>
      </c>
      <c r="J341" s="37"/>
      <c r="K341" s="38"/>
      <c r="L341" s="38"/>
      <c r="M341" s="39" t="n">
        <v>24928.37</v>
      </c>
      <c r="P341" s="40"/>
      <c r="Q341" s="41" t="str">
        <f aca="false">IF(OR($A39="",P39=""),"",ROUND(YEARFRAC(P39,README!$C$5),1))</f>
        <v/>
      </c>
      <c r="R341" s="40"/>
      <c r="S341" s="42" t="n">
        <v>13890</v>
      </c>
      <c r="T341" s="42" t="n">
        <v>12110</v>
      </c>
      <c r="U341" s="42" t="n">
        <v>22900</v>
      </c>
      <c r="V341" s="42" t="n">
        <v>10790</v>
      </c>
      <c r="W341" s="44" t="n">
        <v>1</v>
      </c>
      <c r="X341" s="6" t="n">
        <v>51</v>
      </c>
      <c r="Y341" s="46" t="n">
        <v>4.2</v>
      </c>
      <c r="Z341" s="6" t="s">
        <v>1757</v>
      </c>
      <c r="AA341" s="9" t="s">
        <v>774</v>
      </c>
      <c r="AB341" s="6" t="s">
        <v>1813</v>
      </c>
      <c r="AC341" s="27" t="n">
        <f aca="false">COUNTIF(環境認証!$A$2:$A$849,A39)</f>
        <v>1</v>
      </c>
      <c r="AD341" s="6" t="n">
        <v>89.1</v>
      </c>
      <c r="AE341" s="6" t="n">
        <v>64.9</v>
      </c>
    </row>
    <row r="342" customFormat="false" ht="15" hidden="false" customHeight="true" outlineLevel="0" collapsed="false">
      <c r="A342" s="6" t="s">
        <v>1814</v>
      </c>
      <c r="B342" s="6" t="s">
        <v>487</v>
      </c>
      <c r="C342" s="9" t="s">
        <v>1815</v>
      </c>
      <c r="D342" s="9" t="s">
        <v>761</v>
      </c>
      <c r="E342" s="9" t="s">
        <v>925</v>
      </c>
      <c r="F342" s="9" t="s">
        <v>930</v>
      </c>
      <c r="H342" s="9" t="s">
        <v>921</v>
      </c>
      <c r="J342" s="37"/>
      <c r="K342" s="38"/>
      <c r="L342" s="38"/>
      <c r="M342" s="39" t="n">
        <v>10466.21</v>
      </c>
      <c r="P342" s="40"/>
      <c r="Q342" s="41" t="str">
        <f aca="false">IF(OR($A40="",P40=""),"",ROUND(YEARFRAC(P40,README!$C$5),1))</f>
        <v/>
      </c>
      <c r="R342" s="40"/>
      <c r="S342" s="42" t="n">
        <v>4725</v>
      </c>
      <c r="T342" s="42" t="n">
        <v>4331</v>
      </c>
      <c r="U342" s="42" t="n">
        <v>3520</v>
      </c>
      <c r="V342" s="42" t="n">
        <v>-811</v>
      </c>
      <c r="W342" s="44" t="n">
        <v>1</v>
      </c>
      <c r="X342" s="6" t="n">
        <v>40</v>
      </c>
      <c r="Y342" s="46" t="n">
        <v>5.5</v>
      </c>
      <c r="Z342" s="6" t="s">
        <v>1757</v>
      </c>
      <c r="AA342" s="9" t="s">
        <v>774</v>
      </c>
      <c r="AB342" s="6" t="s">
        <v>1816</v>
      </c>
      <c r="AC342" s="27" t="n">
        <f aca="false">COUNTIF(環境認証!$A$2:$A$849,A40)</f>
        <v>1</v>
      </c>
      <c r="AD342" s="6" t="n">
        <v>-18.7</v>
      </c>
      <c r="AE342" s="6" t="n">
        <v>-25.5</v>
      </c>
    </row>
    <row r="343" customFormat="false" ht="15" hidden="false" customHeight="true" outlineLevel="0" collapsed="false">
      <c r="A343" s="6" t="s">
        <v>1817</v>
      </c>
      <c r="B343" s="6" t="s">
        <v>487</v>
      </c>
      <c r="C343" s="6" t="s">
        <v>1818</v>
      </c>
      <c r="D343" s="9" t="s">
        <v>761</v>
      </c>
      <c r="E343" s="9" t="s">
        <v>762</v>
      </c>
      <c r="F343" s="9" t="s">
        <v>1316</v>
      </c>
      <c r="H343" s="9" t="s">
        <v>882</v>
      </c>
      <c r="J343" s="37"/>
      <c r="K343" s="38"/>
      <c r="L343" s="38"/>
      <c r="M343" s="39" t="n">
        <v>3871.64</v>
      </c>
      <c r="P343" s="40"/>
      <c r="Q343" s="41" t="str">
        <f aca="false">IF(OR($A41="",P41=""),"",ROUND(YEARFRAC(P41,README!$C$5),1))</f>
        <v/>
      </c>
      <c r="R343" s="40"/>
      <c r="S343" s="42" t="n">
        <v>2550</v>
      </c>
      <c r="T343" s="42" t="n">
        <v>2382</v>
      </c>
      <c r="U343" s="42" t="n">
        <v>3070</v>
      </c>
      <c r="V343" s="42" t="n">
        <v>688</v>
      </c>
      <c r="W343" s="44" t="n">
        <v>1</v>
      </c>
      <c r="X343" s="6" t="n">
        <v>17</v>
      </c>
      <c r="Y343" s="46" t="n">
        <v>6.8</v>
      </c>
      <c r="Z343" s="6" t="s">
        <v>1757</v>
      </c>
      <c r="AA343" s="9" t="s">
        <v>774</v>
      </c>
      <c r="AB343" s="6" t="s">
        <v>1819</v>
      </c>
      <c r="AC343" s="27" t="n">
        <f aca="false">COUNTIF(環境認証!$A$2:$A$849,A41)</f>
        <v>1</v>
      </c>
      <c r="AD343" s="6" t="n">
        <v>28.9</v>
      </c>
      <c r="AE343" s="6" t="n">
        <v>20.4</v>
      </c>
    </row>
    <row r="344" customFormat="false" ht="15" hidden="false" customHeight="true" outlineLevel="0" collapsed="false">
      <c r="A344" s="6" t="s">
        <v>1820</v>
      </c>
      <c r="B344" s="6" t="s">
        <v>487</v>
      </c>
      <c r="C344" s="9" t="s">
        <v>1821</v>
      </c>
      <c r="D344" s="9" t="s">
        <v>761</v>
      </c>
      <c r="E344" s="9" t="s">
        <v>762</v>
      </c>
      <c r="F344" s="9" t="s">
        <v>1705</v>
      </c>
      <c r="H344" s="9" t="s">
        <v>921</v>
      </c>
      <c r="J344" s="37"/>
      <c r="K344" s="38"/>
      <c r="L344" s="38"/>
      <c r="M344" s="39" t="n">
        <v>9228.13</v>
      </c>
      <c r="P344" s="40"/>
      <c r="Q344" s="41" t="str">
        <f aca="false">IF(OR($A42="",P42=""),"",ROUND(YEARFRAC(P42,README!$C$5),1))</f>
        <v/>
      </c>
      <c r="R344" s="40"/>
      <c r="S344" s="42" t="n">
        <v>6500</v>
      </c>
      <c r="T344" s="42" t="n">
        <v>5867</v>
      </c>
      <c r="U344" s="42" t="n">
        <v>10200</v>
      </c>
      <c r="V344" s="42" t="n">
        <v>4333</v>
      </c>
      <c r="W344" s="44" t="n">
        <v>1</v>
      </c>
      <c r="X344" s="6" t="n">
        <v>25</v>
      </c>
      <c r="Y344" s="46" t="n">
        <v>2.6</v>
      </c>
      <c r="Z344" s="6" t="s">
        <v>1757</v>
      </c>
      <c r="AA344" s="9" t="s">
        <v>774</v>
      </c>
      <c r="AB344" s="6" t="s">
        <v>1822</v>
      </c>
      <c r="AC344" s="27" t="n">
        <f aca="false">COUNTIF(環境認証!$A$2:$A$849,A42)</f>
        <v>1</v>
      </c>
      <c r="AD344" s="6" t="n">
        <v>73.9</v>
      </c>
      <c r="AE344" s="6" t="n">
        <v>56.9</v>
      </c>
    </row>
    <row r="345" customFormat="false" ht="15" hidden="false" customHeight="true" outlineLevel="0" collapsed="false">
      <c r="A345" s="6" t="s">
        <v>1823</v>
      </c>
      <c r="B345" s="6" t="s">
        <v>487</v>
      </c>
      <c r="C345" s="9" t="s">
        <v>1824</v>
      </c>
      <c r="D345" s="9" t="s">
        <v>761</v>
      </c>
      <c r="E345" s="9" t="s">
        <v>925</v>
      </c>
      <c r="F345" s="9" t="s">
        <v>926</v>
      </c>
      <c r="H345" s="9" t="s">
        <v>921</v>
      </c>
      <c r="J345" s="37"/>
      <c r="K345" s="38"/>
      <c r="L345" s="38"/>
      <c r="M345" s="39" t="n">
        <v>40414.24</v>
      </c>
      <c r="P345" s="40"/>
      <c r="Q345" s="41" t="str">
        <f aca="false">IF(OR($A43="",P43=""),"",ROUND(YEARFRAC(P43,README!$C$5),1))</f>
        <v/>
      </c>
      <c r="R345" s="40"/>
      <c r="S345" s="42" t="n">
        <v>24500</v>
      </c>
      <c r="T345" s="42" t="n">
        <v>21008</v>
      </c>
      <c r="U345" s="42" t="n">
        <v>31600</v>
      </c>
      <c r="V345" s="42" t="n">
        <v>10592</v>
      </c>
      <c r="W345" s="44" t="n">
        <v>0.998</v>
      </c>
      <c r="X345" s="6" t="n">
        <v>50</v>
      </c>
      <c r="Y345" s="46" t="n">
        <v>1.4</v>
      </c>
      <c r="Z345" s="6" t="s">
        <v>1757</v>
      </c>
      <c r="AA345" s="9" t="s">
        <v>774</v>
      </c>
      <c r="AB345" s="6" t="s">
        <v>1825</v>
      </c>
      <c r="AC345" s="27" t="n">
        <f aca="false">COUNTIF(環境認証!$A$2:$A$849,A43)</f>
        <v>1</v>
      </c>
      <c r="AD345" s="6" t="n">
        <v>50.4</v>
      </c>
      <c r="AE345" s="6" t="n">
        <v>29</v>
      </c>
    </row>
    <row r="346" customFormat="false" ht="15" hidden="false" customHeight="true" outlineLevel="0" collapsed="false">
      <c r="A346" s="6" t="s">
        <v>1826</v>
      </c>
      <c r="B346" s="6" t="s">
        <v>487</v>
      </c>
      <c r="C346" s="9" t="s">
        <v>1827</v>
      </c>
      <c r="D346" s="9" t="s">
        <v>761</v>
      </c>
      <c r="E346" s="9" t="s">
        <v>925</v>
      </c>
      <c r="F346" s="9" t="s">
        <v>926</v>
      </c>
      <c r="H346" s="9" t="s">
        <v>921</v>
      </c>
      <c r="J346" s="37"/>
      <c r="K346" s="38"/>
      <c r="L346" s="38"/>
      <c r="M346" s="39" t="n">
        <v>2119.49</v>
      </c>
      <c r="P346" s="40"/>
      <c r="Q346" s="41" t="str">
        <f aca="false">IF(OR($A44="",P44=""),"",ROUND(YEARFRAC(P44,README!$C$5),1))</f>
        <v/>
      </c>
      <c r="R346" s="40"/>
      <c r="S346" s="42" t="n">
        <v>640</v>
      </c>
      <c r="T346" s="42" t="n">
        <v>746</v>
      </c>
      <c r="U346" s="42" t="n">
        <v>844</v>
      </c>
      <c r="V346" s="42" t="n">
        <v>98</v>
      </c>
      <c r="W346" s="44" t="n">
        <v>1</v>
      </c>
      <c r="X346" s="6" t="n">
        <v>13</v>
      </c>
      <c r="Y346" s="46" t="n">
        <v>8.3</v>
      </c>
      <c r="Z346" s="6" t="s">
        <v>1757</v>
      </c>
      <c r="AA346" s="9" t="s">
        <v>774</v>
      </c>
      <c r="AB346" s="6" t="s">
        <v>1828</v>
      </c>
      <c r="AC346" s="27" t="n">
        <f aca="false">COUNTIF(環境認証!$A$2:$A$849,A44)</f>
        <v>1</v>
      </c>
      <c r="AD346" s="6" t="n">
        <v>13.1</v>
      </c>
      <c r="AE346" s="6" t="n">
        <v>31.9</v>
      </c>
    </row>
    <row r="347" customFormat="false" ht="15" hidden="false" customHeight="true" outlineLevel="0" collapsed="false">
      <c r="A347" s="6" t="s">
        <v>1829</v>
      </c>
      <c r="B347" s="6" t="s">
        <v>487</v>
      </c>
      <c r="C347" s="9" t="s">
        <v>1830</v>
      </c>
      <c r="D347" s="9" t="s">
        <v>761</v>
      </c>
      <c r="E347" s="9" t="s">
        <v>925</v>
      </c>
      <c r="F347" s="9" t="s">
        <v>926</v>
      </c>
      <c r="H347" s="9" t="s">
        <v>921</v>
      </c>
      <c r="J347" s="37"/>
      <c r="K347" s="38"/>
      <c r="L347" s="38"/>
      <c r="M347" s="39" t="n">
        <v>1953.66</v>
      </c>
      <c r="P347" s="40"/>
      <c r="Q347" s="41" t="str">
        <f aca="false">IF(OR($A45="",P45=""),"",ROUND(YEARFRAC(P45,README!$C$5),1))</f>
        <v/>
      </c>
      <c r="R347" s="40"/>
      <c r="S347" s="42" t="n">
        <v>2077</v>
      </c>
      <c r="T347" s="42" t="n">
        <v>2133</v>
      </c>
      <c r="U347" s="42" t="n">
        <v>2200</v>
      </c>
      <c r="V347" s="42" t="n">
        <v>67</v>
      </c>
      <c r="W347" s="44" t="n">
        <v>0.848</v>
      </c>
      <c r="X347" s="6" t="n">
        <v>13</v>
      </c>
      <c r="Y347" s="46" t="n">
        <v>8.2</v>
      </c>
      <c r="Z347" s="6" t="s">
        <v>1757</v>
      </c>
      <c r="AA347" s="9" t="s">
        <v>774</v>
      </c>
      <c r="AB347" s="6" t="s">
        <v>1831</v>
      </c>
      <c r="AC347" s="27" t="n">
        <f aca="false">COUNTIF(環境認証!$A$2:$A$849,A45)</f>
        <v>1</v>
      </c>
      <c r="AD347" s="6" t="n">
        <v>3.1</v>
      </c>
      <c r="AE347" s="6" t="n">
        <v>5.9</v>
      </c>
    </row>
    <row r="348" customFormat="false" ht="15" hidden="false" customHeight="true" outlineLevel="0" collapsed="false">
      <c r="A348" s="6" t="s">
        <v>1832</v>
      </c>
      <c r="B348" s="6" t="s">
        <v>487</v>
      </c>
      <c r="C348" s="9" t="s">
        <v>1833</v>
      </c>
      <c r="D348" s="9" t="s">
        <v>761</v>
      </c>
      <c r="E348" s="9" t="s">
        <v>939</v>
      </c>
      <c r="F348" s="9" t="s">
        <v>940</v>
      </c>
      <c r="H348" s="9" t="s">
        <v>921</v>
      </c>
      <c r="J348" s="37"/>
      <c r="K348" s="38"/>
      <c r="L348" s="38"/>
      <c r="M348" s="39" t="n">
        <v>2610.91</v>
      </c>
      <c r="P348" s="40"/>
      <c r="Q348" s="41" t="str">
        <f aca="false">IF(OR($A46="",P46=""),"",ROUND(YEARFRAC(P46,README!$C$5),1))</f>
        <v/>
      </c>
      <c r="R348" s="40"/>
      <c r="S348" s="42" t="n">
        <v>1760</v>
      </c>
      <c r="T348" s="42" t="n">
        <v>1824</v>
      </c>
      <c r="U348" s="42" t="n">
        <v>1800</v>
      </c>
      <c r="V348" s="42" t="n">
        <v>-24</v>
      </c>
      <c r="W348" s="44" t="n">
        <v>1</v>
      </c>
      <c r="X348" s="6" t="n">
        <v>5</v>
      </c>
      <c r="Y348" s="46" t="n">
        <v>6.9</v>
      </c>
      <c r="Z348" s="6" t="s">
        <v>1757</v>
      </c>
      <c r="AA348" s="9" t="s">
        <v>774</v>
      </c>
      <c r="AB348" s="6" t="s">
        <v>1834</v>
      </c>
      <c r="AC348" s="27" t="n">
        <f aca="false">COUNTIF(環境認証!$A$2:$A$849,A46)</f>
        <v>1</v>
      </c>
      <c r="AD348" s="6" t="n">
        <v>-1.3</v>
      </c>
      <c r="AE348" s="6" t="n">
        <v>2.3</v>
      </c>
    </row>
    <row r="349" customFormat="false" ht="15" hidden="false" customHeight="true" outlineLevel="0" collapsed="false">
      <c r="A349" s="6" t="s">
        <v>1835</v>
      </c>
      <c r="B349" s="6" t="s">
        <v>487</v>
      </c>
      <c r="C349" s="6" t="s">
        <v>1836</v>
      </c>
      <c r="D349" s="9" t="s">
        <v>761</v>
      </c>
      <c r="E349" s="9" t="s">
        <v>996</v>
      </c>
      <c r="F349" s="9" t="s">
        <v>997</v>
      </c>
      <c r="H349" s="6" t="s">
        <v>952</v>
      </c>
      <c r="J349" s="37"/>
      <c r="K349" s="38"/>
      <c r="L349" s="38"/>
      <c r="M349" s="39" t="n">
        <v>6639.38</v>
      </c>
      <c r="P349" s="40"/>
      <c r="Q349" s="41" t="str">
        <f aca="false">IF(OR($A47="",P47=""),"",ROUND(YEARFRAC(P47,README!$C$5),1))</f>
        <v/>
      </c>
      <c r="R349" s="40"/>
      <c r="S349" s="42" t="n">
        <v>2760</v>
      </c>
      <c r="T349" s="42" t="n">
        <v>2957</v>
      </c>
      <c r="U349" s="42" t="n">
        <v>4680</v>
      </c>
      <c r="V349" s="42" t="n">
        <v>1723</v>
      </c>
      <c r="W349" s="44" t="n">
        <v>0.93</v>
      </c>
      <c r="X349" s="6" t="n">
        <v>45</v>
      </c>
      <c r="Y349" s="46" t="n">
        <v>0.8</v>
      </c>
      <c r="Z349" s="6" t="s">
        <v>1757</v>
      </c>
      <c r="AA349" s="9" t="s">
        <v>774</v>
      </c>
      <c r="AB349" s="6" t="s">
        <v>1837</v>
      </c>
      <c r="AC349" s="27" t="n">
        <f aca="false">COUNTIF(環境認証!$A$2:$A$849,A47)</f>
        <v>1</v>
      </c>
      <c r="AD349" s="6" t="n">
        <v>58.3</v>
      </c>
      <c r="AE349" s="6" t="n">
        <v>69.6</v>
      </c>
    </row>
    <row r="350" customFormat="false" ht="15" hidden="false" customHeight="true" outlineLevel="0" collapsed="false">
      <c r="A350" s="6" t="s">
        <v>1838</v>
      </c>
      <c r="B350" s="6" t="s">
        <v>487</v>
      </c>
      <c r="C350" s="6" t="s">
        <v>1839</v>
      </c>
      <c r="D350" s="9" t="s">
        <v>761</v>
      </c>
      <c r="E350" s="9" t="s">
        <v>950</v>
      </c>
      <c r="F350" s="9" t="s">
        <v>951</v>
      </c>
      <c r="H350" s="6" t="s">
        <v>952</v>
      </c>
      <c r="J350" s="37"/>
      <c r="K350" s="38"/>
      <c r="L350" s="38"/>
      <c r="M350" s="39" t="n">
        <v>13384.95</v>
      </c>
      <c r="P350" s="40"/>
      <c r="Q350" s="41" t="str">
        <f aca="false">IF(OR($A48="",P48=""),"",ROUND(YEARFRAC(P48,README!$C$5),1))</f>
        <v/>
      </c>
      <c r="R350" s="40"/>
      <c r="S350" s="42" t="n">
        <v>5500</v>
      </c>
      <c r="T350" s="42" t="n">
        <v>4876</v>
      </c>
      <c r="U350" s="42" t="n">
        <v>12700</v>
      </c>
      <c r="V350" s="42" t="n">
        <v>7824</v>
      </c>
      <c r="W350" s="44" t="n">
        <v>0.957</v>
      </c>
      <c r="X350" s="6" t="n">
        <v>43</v>
      </c>
      <c r="Y350" s="46" t="n">
        <v>0.2</v>
      </c>
      <c r="Z350" s="6" t="s">
        <v>1757</v>
      </c>
      <c r="AA350" s="9" t="s">
        <v>774</v>
      </c>
      <c r="AB350" s="6" t="s">
        <v>1840</v>
      </c>
      <c r="AC350" s="27" t="n">
        <f aca="false">COUNTIF(環境認証!$A$2:$A$849,A48)</f>
        <v>2</v>
      </c>
      <c r="AD350" s="6" t="n">
        <v>160.5</v>
      </c>
      <c r="AE350" s="6" t="n">
        <v>130.9</v>
      </c>
    </row>
    <row r="351" customFormat="false" ht="15" hidden="false" customHeight="true" outlineLevel="0" collapsed="false">
      <c r="A351" s="6" t="s">
        <v>1841</v>
      </c>
      <c r="B351" s="6" t="s">
        <v>487</v>
      </c>
      <c r="C351" s="9" t="s">
        <v>1842</v>
      </c>
      <c r="D351" s="9" t="s">
        <v>761</v>
      </c>
      <c r="E351" s="9" t="s">
        <v>1197</v>
      </c>
      <c r="F351" s="9" t="s">
        <v>1198</v>
      </c>
      <c r="H351" s="6" t="s">
        <v>952</v>
      </c>
      <c r="J351" s="37"/>
      <c r="K351" s="38"/>
      <c r="L351" s="38"/>
      <c r="M351" s="39" t="n">
        <v>6215.02</v>
      </c>
      <c r="P351" s="40"/>
      <c r="Q351" s="41" t="str">
        <f aca="false">IF(OR($A49="",P49=""),"",ROUND(YEARFRAC(P49,README!$C$5),1))</f>
        <v/>
      </c>
      <c r="R351" s="40"/>
      <c r="S351" s="42" t="n">
        <v>2120</v>
      </c>
      <c r="T351" s="42" t="n">
        <v>2492</v>
      </c>
      <c r="U351" s="42" t="n">
        <v>4670</v>
      </c>
      <c r="V351" s="42" t="n">
        <v>2178</v>
      </c>
      <c r="W351" s="44" t="n">
        <v>0.991</v>
      </c>
      <c r="X351" s="6" t="n">
        <v>48</v>
      </c>
      <c r="Y351" s="46" t="n">
        <v>0.1</v>
      </c>
      <c r="Z351" s="6" t="s">
        <v>1757</v>
      </c>
      <c r="AA351" s="9" t="s">
        <v>774</v>
      </c>
      <c r="AB351" s="6" t="s">
        <v>1843</v>
      </c>
      <c r="AC351" s="27" t="n">
        <f aca="false">COUNTIF(環境認証!$A$2:$A$849,A49)</f>
        <v>1</v>
      </c>
      <c r="AD351" s="6" t="n">
        <v>87.4</v>
      </c>
      <c r="AE351" s="6" t="n">
        <v>120.3</v>
      </c>
    </row>
    <row r="352" customFormat="false" ht="15" hidden="false" customHeight="true" outlineLevel="0" collapsed="false">
      <c r="A352" s="6" t="s">
        <v>1844</v>
      </c>
      <c r="B352" s="6" t="s">
        <v>487</v>
      </c>
      <c r="C352" s="9" t="s">
        <v>1845</v>
      </c>
      <c r="D352" s="9" t="s">
        <v>761</v>
      </c>
      <c r="E352" s="9" t="s">
        <v>981</v>
      </c>
      <c r="F352" s="9" t="s">
        <v>982</v>
      </c>
      <c r="H352" s="9" t="s">
        <v>971</v>
      </c>
      <c r="J352" s="37"/>
      <c r="K352" s="38"/>
      <c r="L352" s="38"/>
      <c r="M352" s="39" t="n">
        <v>6633.93</v>
      </c>
      <c r="P352" s="40"/>
      <c r="Q352" s="41" t="str">
        <f aca="false">IF(OR($A50="",P50=""),"",ROUND(YEARFRAC(P50,README!$C$5),1))</f>
        <v/>
      </c>
      <c r="R352" s="40"/>
      <c r="S352" s="42" t="n">
        <v>4410</v>
      </c>
      <c r="T352" s="42" t="n">
        <v>4221</v>
      </c>
      <c r="U352" s="42" t="n">
        <v>5440</v>
      </c>
      <c r="V352" s="42" t="n">
        <v>1219</v>
      </c>
      <c r="W352" s="44" t="n">
        <v>1</v>
      </c>
      <c r="X352" s="6" t="n">
        <v>10</v>
      </c>
      <c r="Y352" s="46" t="n">
        <v>3.2</v>
      </c>
      <c r="Z352" s="6" t="s">
        <v>1757</v>
      </c>
      <c r="AA352" s="9" t="s">
        <v>774</v>
      </c>
      <c r="AB352" s="6" t="s">
        <v>1846</v>
      </c>
      <c r="AC352" s="27" t="n">
        <f aca="false">COUNTIF(環境認証!$A$2:$A$849,A50)</f>
        <v>1</v>
      </c>
      <c r="AD352" s="6" t="n">
        <v>28.9</v>
      </c>
      <c r="AE352" s="6" t="n">
        <v>23.4</v>
      </c>
    </row>
    <row r="353" customFormat="false" ht="15" hidden="false" customHeight="true" outlineLevel="0" collapsed="false">
      <c r="A353" s="6" t="s">
        <v>1847</v>
      </c>
      <c r="B353" s="6" t="s">
        <v>487</v>
      </c>
      <c r="C353" s="6" t="s">
        <v>1848</v>
      </c>
      <c r="D353" s="9" t="s">
        <v>761</v>
      </c>
      <c r="E353" s="9" t="s">
        <v>1849</v>
      </c>
      <c r="F353" s="9" t="s">
        <v>1850</v>
      </c>
      <c r="H353" s="9" t="s">
        <v>965</v>
      </c>
      <c r="J353" s="37"/>
      <c r="K353" s="38"/>
      <c r="L353" s="38"/>
      <c r="M353" s="39" t="n">
        <v>3220.59</v>
      </c>
      <c r="P353" s="40"/>
      <c r="Q353" s="41" t="str">
        <f aca="false">IF(OR($A51="",P51=""),"",ROUND(YEARFRAC(P51,README!$C$5),1))</f>
        <v/>
      </c>
      <c r="R353" s="40"/>
      <c r="S353" s="42" t="n">
        <v>1380</v>
      </c>
      <c r="T353" s="42" t="n">
        <v>1634</v>
      </c>
      <c r="U353" s="42" t="n">
        <v>2290</v>
      </c>
      <c r="V353" s="42" t="n">
        <v>656</v>
      </c>
      <c r="W353" s="44" t="n">
        <v>1</v>
      </c>
      <c r="X353" s="6" t="n">
        <v>19</v>
      </c>
      <c r="Y353" s="46" t="n">
        <v>5.3</v>
      </c>
      <c r="Z353" s="6" t="s">
        <v>1757</v>
      </c>
      <c r="AA353" s="9" t="s">
        <v>774</v>
      </c>
      <c r="AB353" s="6" t="s">
        <v>1851</v>
      </c>
      <c r="AC353" s="27" t="n">
        <f aca="false">COUNTIF(環境認証!$A$2:$A$849,A51)</f>
        <v>1</v>
      </c>
      <c r="AD353" s="6" t="n">
        <v>40.1</v>
      </c>
      <c r="AE353" s="6" t="n">
        <v>65.9</v>
      </c>
    </row>
    <row r="354" customFormat="false" ht="15" hidden="false" customHeight="true" outlineLevel="0" collapsed="false">
      <c r="A354" s="6" t="s">
        <v>1852</v>
      </c>
      <c r="B354" s="6" t="s">
        <v>487</v>
      </c>
      <c r="C354" s="9" t="s">
        <v>1853</v>
      </c>
      <c r="D354" s="9" t="s">
        <v>761</v>
      </c>
      <c r="E354" s="9" t="s">
        <v>996</v>
      </c>
      <c r="F354" s="9" t="s">
        <v>997</v>
      </c>
      <c r="H354" s="6" t="s">
        <v>952</v>
      </c>
      <c r="J354" s="37"/>
      <c r="K354" s="38"/>
      <c r="L354" s="38"/>
      <c r="M354" s="39" t="n">
        <v>7517.73</v>
      </c>
      <c r="P354" s="40"/>
      <c r="Q354" s="41" t="str">
        <f aca="false">IF(OR($A52="",P52=""),"",ROUND(YEARFRAC(P52,README!$C$5),1))</f>
        <v/>
      </c>
      <c r="R354" s="40"/>
      <c r="S354" s="42" t="n">
        <v>2780</v>
      </c>
      <c r="T354" s="42" t="n">
        <v>2908</v>
      </c>
      <c r="U354" s="42" t="n">
        <v>3930</v>
      </c>
      <c r="V354" s="42" t="n">
        <v>1022</v>
      </c>
      <c r="W354" s="44" t="n">
        <v>1</v>
      </c>
      <c r="X354" s="6" t="n">
        <v>29</v>
      </c>
      <c r="Y354" s="46" t="n">
        <v>0.9</v>
      </c>
      <c r="Z354" s="6" t="s">
        <v>1757</v>
      </c>
      <c r="AA354" s="9" t="s">
        <v>774</v>
      </c>
      <c r="AB354" s="6" t="s">
        <v>1854</v>
      </c>
      <c r="AC354" s="27" t="n">
        <f aca="false">COUNTIF(環境認証!$A$2:$A$849,A52)</f>
        <v>1</v>
      </c>
      <c r="AD354" s="6" t="n">
        <v>35.1</v>
      </c>
      <c r="AE354" s="6" t="n">
        <v>41.4</v>
      </c>
    </row>
    <row r="355" customFormat="false" ht="15" hidden="false" customHeight="true" outlineLevel="0" collapsed="false">
      <c r="A355" s="6" t="s">
        <v>1855</v>
      </c>
      <c r="B355" s="6" t="s">
        <v>487</v>
      </c>
      <c r="C355" s="9" t="s">
        <v>1856</v>
      </c>
      <c r="D355" s="9" t="s">
        <v>761</v>
      </c>
      <c r="E355" s="9" t="s">
        <v>950</v>
      </c>
      <c r="F355" s="9" t="s">
        <v>951</v>
      </c>
      <c r="H355" s="6" t="s">
        <v>952</v>
      </c>
      <c r="J355" s="37"/>
      <c r="K355" s="38"/>
      <c r="L355" s="38"/>
      <c r="M355" s="39" t="n">
        <v>4693.99</v>
      </c>
      <c r="P355" s="40"/>
      <c r="Q355" s="41" t="str">
        <f aca="false">IF(OR($A53="",P53=""),"",ROUND(YEARFRAC(P53,README!$C$5),1))</f>
        <v/>
      </c>
      <c r="R355" s="40"/>
      <c r="S355" s="42" t="n">
        <v>4069</v>
      </c>
      <c r="T355" s="42" t="n">
        <v>4301</v>
      </c>
      <c r="U355" s="42" t="n">
        <v>4641</v>
      </c>
      <c r="V355" s="42" t="n">
        <v>340</v>
      </c>
      <c r="W355" s="44" t="n">
        <v>0.884</v>
      </c>
      <c r="X355" s="6" t="n">
        <v>25</v>
      </c>
      <c r="Y355" s="46" t="n">
        <v>1.9</v>
      </c>
      <c r="Z355" s="6" t="s">
        <v>1757</v>
      </c>
      <c r="AA355" s="9" t="s">
        <v>774</v>
      </c>
      <c r="AB355" s="6" t="s">
        <v>1857</v>
      </c>
      <c r="AC355" s="27" t="n">
        <f aca="false">COUNTIF(環境認証!$A$2:$A$849,A53)</f>
        <v>1</v>
      </c>
      <c r="AD355" s="6" t="n">
        <v>7.9</v>
      </c>
      <c r="AE355" s="6" t="n">
        <v>14.1</v>
      </c>
    </row>
    <row r="356" customFormat="false" ht="15" hidden="false" customHeight="true" outlineLevel="0" collapsed="false">
      <c r="A356" s="6" t="s">
        <v>1858</v>
      </c>
      <c r="B356" s="6" t="s">
        <v>487</v>
      </c>
      <c r="C356" s="9" t="s">
        <v>1859</v>
      </c>
      <c r="D356" s="9" t="s">
        <v>761</v>
      </c>
      <c r="E356" s="9" t="s">
        <v>1197</v>
      </c>
      <c r="F356" s="9" t="s">
        <v>1198</v>
      </c>
      <c r="H356" s="9" t="s">
        <v>837</v>
      </c>
      <c r="J356" s="37"/>
      <c r="K356" s="38"/>
      <c r="L356" s="38"/>
      <c r="M356" s="38" t="n">
        <v>4155.6</v>
      </c>
      <c r="P356" s="40"/>
      <c r="Q356" s="41" t="str">
        <f aca="false">IF(OR($A54="",P54=""),"",ROUND(YEARFRAC(P54,README!$C$5),1))</f>
        <v/>
      </c>
      <c r="R356" s="40"/>
      <c r="S356" s="48"/>
      <c r="T356" s="48" t="n">
        <v>2377</v>
      </c>
      <c r="U356" s="48" t="n">
        <v>2630</v>
      </c>
      <c r="V356" s="43" t="n">
        <f aca="false">IF($A54="","",IF(OR(T54="",U54=""),"",U54-T54))</f>
        <v>520.82</v>
      </c>
      <c r="W356" s="37" t="n">
        <v>0.938</v>
      </c>
      <c r="X356" s="1" t="n">
        <v>39</v>
      </c>
      <c r="Y356" s="45"/>
      <c r="Z356" s="6" t="s">
        <v>1757</v>
      </c>
      <c r="AA356" s="9" t="s">
        <v>774</v>
      </c>
      <c r="AB356" s="6" t="s">
        <v>1860</v>
      </c>
      <c r="AC356" s="27" t="n">
        <f aca="false">COUNTIF(環境認証!$A$2:$A$849,A54)</f>
        <v>1</v>
      </c>
      <c r="AD356" s="1" t="n">
        <v>10.6</v>
      </c>
    </row>
    <row r="357" customFormat="false" ht="15" hidden="false" customHeight="true" outlineLevel="0" collapsed="false">
      <c r="A357" s="6" t="s">
        <v>1861</v>
      </c>
      <c r="B357" s="6" t="s">
        <v>493</v>
      </c>
      <c r="C357" s="9" t="s">
        <v>1862</v>
      </c>
      <c r="D357" s="9" t="s">
        <v>1863</v>
      </c>
      <c r="E357" s="36" t="s">
        <v>969</v>
      </c>
      <c r="F357" s="36" t="s">
        <v>970</v>
      </c>
      <c r="H357" s="6" t="s">
        <v>764</v>
      </c>
      <c r="I357" s="6" t="s">
        <v>1864</v>
      </c>
      <c r="J357" s="37"/>
      <c r="K357" s="38"/>
      <c r="L357" s="38"/>
      <c r="M357" s="39" t="n">
        <v>185381.73</v>
      </c>
      <c r="P357" s="40"/>
      <c r="Q357" s="41" t="str">
        <f aca="false">IF(OR($A128="",P128=""),"",ROUND(YEARFRAC(P128,README!$C$5),1))</f>
        <v/>
      </c>
      <c r="R357" s="40"/>
      <c r="S357" s="42" t="n">
        <v>416049</v>
      </c>
      <c r="T357" s="42" t="n">
        <v>397475</v>
      </c>
      <c r="U357" s="42" t="n">
        <v>506000</v>
      </c>
      <c r="V357" s="43" t="n">
        <f aca="false">IF($A128="","",IF(OR(T128="",U128=""),"",U128-T128))</f>
        <v>7548</v>
      </c>
      <c r="W357" s="44" t="n">
        <v>0.989</v>
      </c>
      <c r="X357" s="6" t="n">
        <v>356</v>
      </c>
      <c r="Y357" s="46" t="n">
        <v>2.1</v>
      </c>
      <c r="Z357" s="6" t="s">
        <v>1865</v>
      </c>
      <c r="AA357" s="9" t="s">
        <v>774</v>
      </c>
      <c r="AB357" s="9" t="s">
        <v>1191</v>
      </c>
      <c r="AC357" s="27" t="n">
        <f aca="false">COUNTIF(環境認証!$A$2:$A$849,A128)</f>
        <v>2</v>
      </c>
      <c r="AD357" s="1" t="n">
        <v>14.9</v>
      </c>
    </row>
    <row r="358" customFormat="false" ht="15" hidden="false" customHeight="true" outlineLevel="0" collapsed="false">
      <c r="A358" s="6" t="s">
        <v>1866</v>
      </c>
      <c r="B358" s="6" t="s">
        <v>493</v>
      </c>
      <c r="C358" s="9" t="s">
        <v>1867</v>
      </c>
      <c r="D358" s="9" t="s">
        <v>761</v>
      </c>
      <c r="E358" s="9" t="s">
        <v>762</v>
      </c>
      <c r="F358" s="9" t="s">
        <v>782</v>
      </c>
      <c r="H358" s="9" t="s">
        <v>772</v>
      </c>
      <c r="I358" s="9" t="s">
        <v>1144</v>
      </c>
      <c r="J358" s="37"/>
      <c r="K358" s="39" t="n">
        <v>57177.66</v>
      </c>
      <c r="L358" s="39" t="n">
        <v>442150.7</v>
      </c>
      <c r="M358" s="39" t="n">
        <v>43041.54</v>
      </c>
      <c r="N358" s="6" t="n">
        <v>54</v>
      </c>
      <c r="O358" s="6" t="n">
        <v>6</v>
      </c>
      <c r="P358" s="47" t="n">
        <v>37712</v>
      </c>
      <c r="Q358" s="41" t="n">
        <f aca="false">IF(OR($A117="",P117=""),"",ROUND(YEARFRAC(P117,README!$C$5),1))</f>
        <v>23.4</v>
      </c>
      <c r="R358" s="40"/>
      <c r="S358" s="42" t="n">
        <v>115380</v>
      </c>
      <c r="T358" s="42" t="n">
        <v>109514</v>
      </c>
      <c r="U358" s="42" t="n">
        <v>159200</v>
      </c>
      <c r="V358" s="42" t="n">
        <v>49686</v>
      </c>
      <c r="W358" s="44" t="n">
        <v>1</v>
      </c>
      <c r="X358" s="6" t="n">
        <v>1</v>
      </c>
      <c r="Y358" s="46" t="n">
        <v>2</v>
      </c>
      <c r="Z358" s="6" t="s">
        <v>1865</v>
      </c>
      <c r="AA358" s="9" t="s">
        <v>774</v>
      </c>
      <c r="AB358" s="6" t="s">
        <v>1868</v>
      </c>
      <c r="AC358" s="27" t="n">
        <f aca="false">COUNTIF(環境認証!$A$2:$A$849,A117)</f>
        <v>2</v>
      </c>
      <c r="AD358" s="6" t="n">
        <v>45.4</v>
      </c>
      <c r="AE358" s="6" t="n">
        <v>38</v>
      </c>
    </row>
    <row r="359" customFormat="false" ht="15" hidden="false" customHeight="true" outlineLevel="0" collapsed="false">
      <c r="A359" s="6" t="s">
        <v>1869</v>
      </c>
      <c r="B359" s="6" t="s">
        <v>493</v>
      </c>
      <c r="C359" s="9" t="s">
        <v>1870</v>
      </c>
      <c r="D359" s="9" t="s">
        <v>761</v>
      </c>
      <c r="E359" s="9" t="s">
        <v>762</v>
      </c>
      <c r="F359" s="9" t="s">
        <v>782</v>
      </c>
      <c r="H359" s="9" t="s">
        <v>772</v>
      </c>
      <c r="I359" s="9" t="s">
        <v>1144</v>
      </c>
      <c r="J359" s="37"/>
      <c r="K359" s="39" t="n">
        <v>39602.42</v>
      </c>
      <c r="L359" s="39" t="n">
        <v>177486.95</v>
      </c>
      <c r="M359" s="39" t="n">
        <v>24588.43</v>
      </c>
      <c r="N359" s="6" t="n">
        <v>37</v>
      </c>
      <c r="O359" s="6" t="n">
        <v>4</v>
      </c>
      <c r="P359" s="47" t="n">
        <v>31472</v>
      </c>
      <c r="Q359" s="41" t="n">
        <f aca="false">IF(OR($A118="",P118=""),"",ROUND(YEARFRAC(P118,README!$C$5),1))</f>
        <v>40.4</v>
      </c>
      <c r="R359" s="40"/>
      <c r="S359" s="42" t="n">
        <v>62480</v>
      </c>
      <c r="T359" s="42" t="n">
        <v>61483</v>
      </c>
      <c r="U359" s="42" t="n">
        <v>65000</v>
      </c>
      <c r="V359" s="42" t="n">
        <v>3517</v>
      </c>
      <c r="W359" s="44" t="n">
        <v>1</v>
      </c>
      <c r="X359" s="6" t="n">
        <v>1</v>
      </c>
      <c r="Y359" s="46" t="n">
        <v>2.2</v>
      </c>
      <c r="Z359" s="6" t="s">
        <v>1865</v>
      </c>
      <c r="AA359" s="9" t="s">
        <v>774</v>
      </c>
      <c r="AB359" s="6" t="s">
        <v>1871</v>
      </c>
      <c r="AC359" s="27" t="n">
        <f aca="false">COUNTIF(環境認証!$A$2:$A$849,A118)</f>
        <v>1</v>
      </c>
      <c r="AD359" s="6" t="n">
        <v>5.7</v>
      </c>
      <c r="AE359" s="6" t="n">
        <v>4</v>
      </c>
    </row>
    <row r="360" customFormat="false" ht="15" hidden="false" customHeight="true" outlineLevel="0" collapsed="false">
      <c r="A360" s="6" t="s">
        <v>1872</v>
      </c>
      <c r="B360" s="6" t="s">
        <v>493</v>
      </c>
      <c r="C360" s="9" t="s">
        <v>1873</v>
      </c>
      <c r="D360" s="9" t="s">
        <v>761</v>
      </c>
      <c r="E360" s="9" t="s">
        <v>762</v>
      </c>
      <c r="F360" s="9" t="s">
        <v>1676</v>
      </c>
      <c r="H360" s="9" t="s">
        <v>772</v>
      </c>
      <c r="I360" s="9" t="s">
        <v>1153</v>
      </c>
      <c r="J360" s="37"/>
      <c r="K360" s="39" t="n">
        <v>6611.58</v>
      </c>
      <c r="L360" s="39" t="n">
        <v>46154.65</v>
      </c>
      <c r="M360" s="39" t="n">
        <v>16152.65</v>
      </c>
      <c r="N360" s="6" t="n">
        <v>19</v>
      </c>
      <c r="O360" s="6" t="n">
        <v>6</v>
      </c>
      <c r="P360" s="47" t="n">
        <v>36586</v>
      </c>
      <c r="Q360" s="41" t="n">
        <f aca="false">IF(OR($A119="",P119=""),"",ROUND(YEARFRAC(P119,README!$C$5),1))</f>
        <v>26.4</v>
      </c>
      <c r="R360" s="40"/>
      <c r="S360" s="42" t="n">
        <v>27200</v>
      </c>
      <c r="T360" s="42" t="n">
        <v>24279</v>
      </c>
      <c r="U360" s="42" t="n">
        <v>25440</v>
      </c>
      <c r="V360" s="42" t="n">
        <v>1161</v>
      </c>
      <c r="W360" s="44" t="n">
        <v>1</v>
      </c>
      <c r="X360" s="6" t="n">
        <v>24</v>
      </c>
      <c r="Y360" s="46" t="n">
        <v>1.1</v>
      </c>
      <c r="Z360" s="6" t="s">
        <v>1865</v>
      </c>
      <c r="AA360" s="9" t="s">
        <v>774</v>
      </c>
      <c r="AB360" s="6" t="s">
        <v>1874</v>
      </c>
      <c r="AC360" s="27" t="n">
        <f aca="false">COUNTIF(環境認証!$A$2:$A$849,A119)</f>
        <v>1</v>
      </c>
      <c r="AD360" s="6" t="n">
        <v>4.8</v>
      </c>
      <c r="AE360" s="6" t="n">
        <v>-6.5</v>
      </c>
    </row>
    <row r="361" customFormat="false" ht="15" hidden="false" customHeight="true" outlineLevel="0" collapsed="false">
      <c r="A361" s="6" t="s">
        <v>1875</v>
      </c>
      <c r="B361" s="6" t="s">
        <v>493</v>
      </c>
      <c r="C361" s="9" t="s">
        <v>1876</v>
      </c>
      <c r="D361" s="9" t="s">
        <v>761</v>
      </c>
      <c r="E361" s="9" t="s">
        <v>762</v>
      </c>
      <c r="F361" s="9" t="s">
        <v>782</v>
      </c>
      <c r="H361" s="9" t="s">
        <v>772</v>
      </c>
      <c r="I361" s="9" t="s">
        <v>1157</v>
      </c>
      <c r="J361" s="37"/>
      <c r="K361" s="39" t="n">
        <v>5694.16</v>
      </c>
      <c r="L361" s="39" t="n">
        <v>46971.43</v>
      </c>
      <c r="M361" s="39" t="n">
        <v>19777.54</v>
      </c>
      <c r="N361" s="6" t="n">
        <v>25</v>
      </c>
      <c r="O361" s="6" t="n">
        <v>2</v>
      </c>
      <c r="P361" s="47" t="n">
        <v>36770</v>
      </c>
      <c r="Q361" s="41" t="n">
        <f aca="false">IF(OR($A120="",P120=""),"",ROUND(YEARFRAC(P120,README!$C$5),1))</f>
        <v>25.9</v>
      </c>
      <c r="R361" s="40"/>
      <c r="S361" s="42" t="n">
        <v>43930</v>
      </c>
      <c r="T361" s="42" t="n">
        <v>40745</v>
      </c>
      <c r="U361" s="42" t="n">
        <v>36400</v>
      </c>
      <c r="V361" s="42" t="n">
        <v>-4345</v>
      </c>
      <c r="W361" s="44" t="n">
        <v>0.963</v>
      </c>
      <c r="X361" s="6" t="n">
        <v>136</v>
      </c>
      <c r="Y361" s="46" t="n">
        <v>2.3</v>
      </c>
      <c r="Z361" s="6" t="s">
        <v>1865</v>
      </c>
      <c r="AA361" s="9" t="s">
        <v>774</v>
      </c>
      <c r="AB361" s="6" t="s">
        <v>1877</v>
      </c>
      <c r="AC361" s="27" t="n">
        <f aca="false">COUNTIF(環境認証!$A$2:$A$849,A120)</f>
        <v>0</v>
      </c>
      <c r="AD361" s="6" t="n">
        <v>-10.7</v>
      </c>
      <c r="AE361" s="6" t="n">
        <v>-17.1</v>
      </c>
    </row>
    <row r="362" customFormat="false" ht="15" hidden="false" customHeight="true" outlineLevel="0" collapsed="false">
      <c r="A362" s="6" t="s">
        <v>1878</v>
      </c>
      <c r="B362" s="6" t="s">
        <v>493</v>
      </c>
      <c r="C362" s="9" t="s">
        <v>1879</v>
      </c>
      <c r="D362" s="9" t="s">
        <v>761</v>
      </c>
      <c r="E362" s="9" t="s">
        <v>762</v>
      </c>
      <c r="F362" s="9" t="s">
        <v>782</v>
      </c>
      <c r="H362" s="9" t="s">
        <v>772</v>
      </c>
      <c r="I362" s="9" t="s">
        <v>1161</v>
      </c>
      <c r="J362" s="37"/>
      <c r="K362" s="39" t="n">
        <v>13014.36</v>
      </c>
      <c r="L362" s="39" t="n">
        <v>148165.61</v>
      </c>
      <c r="M362" s="39" t="n">
        <v>29667.58</v>
      </c>
      <c r="N362" s="6" t="n">
        <v>42</v>
      </c>
      <c r="O362" s="6" t="n">
        <v>2</v>
      </c>
      <c r="P362" s="47" t="n">
        <v>37073</v>
      </c>
      <c r="Q362" s="41" t="n">
        <f aca="false">IF(OR($A121="",P121=""),"",ROUND(YEARFRAC(P121,README!$C$5),1))</f>
        <v>25.1</v>
      </c>
      <c r="R362" s="40"/>
      <c r="S362" s="42" t="n">
        <v>42090</v>
      </c>
      <c r="T362" s="42" t="n">
        <v>38992</v>
      </c>
      <c r="U362" s="42" t="n">
        <v>46176</v>
      </c>
      <c r="V362" s="42" t="n">
        <v>7184</v>
      </c>
      <c r="W362" s="44" t="n">
        <v>1</v>
      </c>
      <c r="X362" s="6" t="n">
        <v>1</v>
      </c>
      <c r="Y362" s="46" t="n">
        <v>2.7</v>
      </c>
      <c r="Z362" s="6" t="s">
        <v>1865</v>
      </c>
      <c r="AA362" s="9" t="s">
        <v>774</v>
      </c>
      <c r="AB362" s="6" t="s">
        <v>1880</v>
      </c>
      <c r="AC362" s="27" t="n">
        <f aca="false">COUNTIF(環境認証!$A$2:$A$849,A121)</f>
        <v>1</v>
      </c>
      <c r="AD362" s="6" t="n">
        <v>18.4</v>
      </c>
      <c r="AE362" s="6" t="n">
        <v>9.7</v>
      </c>
    </row>
    <row r="363" customFormat="false" ht="15" hidden="false" customHeight="true" outlineLevel="0" collapsed="false">
      <c r="A363" s="6" t="s">
        <v>1881</v>
      </c>
      <c r="B363" s="6" t="s">
        <v>493</v>
      </c>
      <c r="C363" s="9" t="s">
        <v>1882</v>
      </c>
      <c r="D363" s="9" t="s">
        <v>761</v>
      </c>
      <c r="E363" s="9" t="s">
        <v>762</v>
      </c>
      <c r="F363" s="9" t="s">
        <v>782</v>
      </c>
      <c r="H363" s="9" t="s">
        <v>772</v>
      </c>
      <c r="I363" s="9" t="s">
        <v>1166</v>
      </c>
      <c r="J363" s="37"/>
      <c r="K363" s="39" t="n">
        <v>5846.69</v>
      </c>
      <c r="L363" s="39" t="n">
        <v>53043.48</v>
      </c>
      <c r="M363" s="39" t="n">
        <v>8994.6</v>
      </c>
      <c r="N363" s="6" t="n">
        <v>20</v>
      </c>
      <c r="O363" s="6" t="n">
        <v>4</v>
      </c>
      <c r="P363" s="47" t="n">
        <v>41456</v>
      </c>
      <c r="Q363" s="41" t="n">
        <f aca="false">IF(OR($A122="",P122=""),"",ROUND(YEARFRAC(P122,README!$C$5),1))</f>
        <v>13.1</v>
      </c>
      <c r="R363" s="40"/>
      <c r="S363" s="42" t="n">
        <v>19150</v>
      </c>
      <c r="T363" s="42" t="n">
        <v>18309</v>
      </c>
      <c r="U363" s="42" t="n">
        <v>23900</v>
      </c>
      <c r="V363" s="42" t="n">
        <v>5591</v>
      </c>
      <c r="W363" s="44" t="n">
        <v>0.996</v>
      </c>
      <c r="X363" s="6" t="n">
        <v>56</v>
      </c>
      <c r="Y363" s="46" t="n">
        <v>1.5</v>
      </c>
      <c r="Z363" s="6" t="s">
        <v>1865</v>
      </c>
      <c r="AA363" s="9" t="s">
        <v>774</v>
      </c>
      <c r="AB363" s="6" t="s">
        <v>1883</v>
      </c>
      <c r="AC363" s="27" t="n">
        <f aca="false">COUNTIF(環境認証!$A$2:$A$849,A122)</f>
        <v>1</v>
      </c>
      <c r="AD363" s="6" t="n">
        <v>30.5</v>
      </c>
      <c r="AE363" s="6" t="n">
        <v>24.8</v>
      </c>
    </row>
    <row r="364" customFormat="false" ht="15" hidden="false" customHeight="true" outlineLevel="0" collapsed="false">
      <c r="A364" s="6" t="s">
        <v>1884</v>
      </c>
      <c r="B364" s="6" t="s">
        <v>493</v>
      </c>
      <c r="C364" s="9" t="s">
        <v>1885</v>
      </c>
      <c r="D364" s="9" t="s">
        <v>761</v>
      </c>
      <c r="E364" s="9" t="s">
        <v>762</v>
      </c>
      <c r="F364" s="9" t="s">
        <v>782</v>
      </c>
      <c r="H364" s="9" t="s">
        <v>772</v>
      </c>
      <c r="I364" s="6" t="s">
        <v>1886</v>
      </c>
      <c r="J364" s="37"/>
      <c r="K364" s="39" t="n">
        <v>17068.96</v>
      </c>
      <c r="L364" s="39" t="n">
        <v>241581.95</v>
      </c>
      <c r="M364" s="39" t="n">
        <v>24393.73</v>
      </c>
      <c r="N364" s="6" t="n">
        <v>52</v>
      </c>
      <c r="O364" s="6" t="n">
        <v>5</v>
      </c>
      <c r="P364" s="47" t="n">
        <v>41760</v>
      </c>
      <c r="Q364" s="41" t="n">
        <f aca="false">IF(OR($A123="",P123=""),"",ROUND(YEARFRAC(P123,README!$C$5),1))</f>
        <v>12.3</v>
      </c>
      <c r="R364" s="40"/>
      <c r="S364" s="42" t="n">
        <v>73789</v>
      </c>
      <c r="T364" s="42" t="n">
        <v>71962</v>
      </c>
      <c r="U364" s="42" t="n">
        <v>97502</v>
      </c>
      <c r="V364" s="42" t="n">
        <v>25540</v>
      </c>
      <c r="W364" s="44" t="n">
        <v>1</v>
      </c>
      <c r="X364" s="6" t="n">
        <v>1</v>
      </c>
      <c r="Y364" s="46" t="n">
        <v>2.3</v>
      </c>
      <c r="Z364" s="6" t="s">
        <v>1865</v>
      </c>
      <c r="AA364" s="9" t="s">
        <v>774</v>
      </c>
      <c r="AB364" s="6" t="s">
        <v>1887</v>
      </c>
      <c r="AC364" s="27" t="n">
        <f aca="false">COUNTIF(環境認証!$A$2:$A$849,A123)</f>
        <v>1</v>
      </c>
      <c r="AD364" s="6" t="n">
        <v>35.5</v>
      </c>
      <c r="AE364" s="6" t="n">
        <v>32.1</v>
      </c>
    </row>
    <row r="365" customFormat="false" ht="15" hidden="false" customHeight="true" outlineLevel="0" collapsed="false">
      <c r="A365" s="6" t="s">
        <v>1888</v>
      </c>
      <c r="B365" s="6" t="s">
        <v>493</v>
      </c>
      <c r="C365" s="9" t="s">
        <v>1889</v>
      </c>
      <c r="D365" s="9" t="s">
        <v>761</v>
      </c>
      <c r="E365" s="9" t="s">
        <v>762</v>
      </c>
      <c r="F365" s="9" t="s">
        <v>782</v>
      </c>
      <c r="H365" s="9" t="s">
        <v>772</v>
      </c>
      <c r="I365" s="6" t="s">
        <v>1890</v>
      </c>
      <c r="J365" s="37"/>
      <c r="K365" s="39" t="n">
        <v>3487.61</v>
      </c>
      <c r="L365" s="39" t="n">
        <v>35076.12</v>
      </c>
      <c r="M365" s="39" t="n">
        <v>10165.01</v>
      </c>
      <c r="N365" s="6" t="n">
        <v>24</v>
      </c>
      <c r="O365" s="6" t="n">
        <v>2</v>
      </c>
      <c r="P365" s="47" t="n">
        <v>38353</v>
      </c>
      <c r="Q365" s="41" t="n">
        <f aca="false">IF(OR($A124="",P124=""),"",ROUND(YEARFRAC(P124,README!$C$5),1))</f>
        <v>21.6</v>
      </c>
      <c r="R365" s="40"/>
      <c r="S365" s="42" t="n">
        <v>16330</v>
      </c>
      <c r="T365" s="42" t="n">
        <v>16182</v>
      </c>
      <c r="U365" s="42" t="n">
        <v>22700</v>
      </c>
      <c r="V365" s="42" t="n">
        <v>6518</v>
      </c>
      <c r="W365" s="44" t="n">
        <v>1</v>
      </c>
      <c r="X365" s="6" t="n">
        <v>24</v>
      </c>
      <c r="Y365" s="46" t="n">
        <v>1.4</v>
      </c>
      <c r="Z365" s="6" t="s">
        <v>1865</v>
      </c>
      <c r="AA365" s="9" t="s">
        <v>774</v>
      </c>
      <c r="AB365" s="6" t="s">
        <v>1891</v>
      </c>
      <c r="AC365" s="27" t="n">
        <f aca="false">COUNTIF(環境認証!$A$2:$A$849,A124)</f>
        <v>1</v>
      </c>
      <c r="AD365" s="6" t="n">
        <v>40.3</v>
      </c>
      <c r="AE365" s="6" t="n">
        <v>39</v>
      </c>
    </row>
    <row r="366" customFormat="false" ht="15" hidden="false" customHeight="true" outlineLevel="0" collapsed="false">
      <c r="A366" s="6" t="s">
        <v>1892</v>
      </c>
      <c r="B366" s="6" t="s">
        <v>493</v>
      </c>
      <c r="C366" s="9" t="s">
        <v>1893</v>
      </c>
      <c r="D366" s="9" t="s">
        <v>1894</v>
      </c>
      <c r="E366" s="9" t="s">
        <v>762</v>
      </c>
      <c r="F366" s="9" t="s">
        <v>782</v>
      </c>
      <c r="H366" s="9" t="s">
        <v>772</v>
      </c>
      <c r="I366" s="9" t="s">
        <v>1178</v>
      </c>
      <c r="J366" s="37"/>
      <c r="K366" s="39" t="n">
        <v>4357.88</v>
      </c>
      <c r="L366" s="39" t="n">
        <v>22906.74</v>
      </c>
      <c r="M366" s="39" t="n">
        <v>2956.77</v>
      </c>
      <c r="N366" s="6" t="n">
        <v>20</v>
      </c>
      <c r="O366" s="6" t="n">
        <v>1</v>
      </c>
      <c r="P366" s="47" t="n">
        <v>34243</v>
      </c>
      <c r="Q366" s="41" t="n">
        <f aca="false">IF(OR($A125="",P125=""),"",ROUND(YEARFRAC(P125,README!$C$5),1))</f>
        <v>32.9</v>
      </c>
      <c r="R366" s="40"/>
      <c r="S366" s="42" t="n">
        <v>2100</v>
      </c>
      <c r="T366" s="42" t="n">
        <v>2234</v>
      </c>
      <c r="U366" s="42" t="n">
        <v>4300</v>
      </c>
      <c r="V366" s="42" t="n">
        <v>2066</v>
      </c>
      <c r="W366" s="44" t="n">
        <v>0.861</v>
      </c>
      <c r="X366" s="6" t="n">
        <v>36</v>
      </c>
      <c r="Y366" s="46" t="n">
        <v>2</v>
      </c>
      <c r="Z366" s="6" t="s">
        <v>1865</v>
      </c>
      <c r="AA366" s="9" t="s">
        <v>774</v>
      </c>
      <c r="AB366" s="6" t="s">
        <v>1895</v>
      </c>
      <c r="AC366" s="27" t="n">
        <f aca="false">COUNTIF(環境認証!$A$2:$A$849,A125)</f>
        <v>1</v>
      </c>
      <c r="AD366" s="6" t="n">
        <v>92.5</v>
      </c>
      <c r="AE366" s="6" t="n">
        <v>104.8</v>
      </c>
    </row>
    <row r="367" customFormat="false" ht="15" hidden="false" customHeight="true" outlineLevel="0" collapsed="false">
      <c r="A367" s="6" t="s">
        <v>1896</v>
      </c>
      <c r="B367" s="6" t="s">
        <v>493</v>
      </c>
      <c r="C367" s="9" t="s">
        <v>1897</v>
      </c>
      <c r="D367" s="9" t="s">
        <v>1894</v>
      </c>
      <c r="E367" s="9" t="s">
        <v>762</v>
      </c>
      <c r="F367" s="9" t="s">
        <v>782</v>
      </c>
      <c r="H367" s="9" t="s">
        <v>772</v>
      </c>
      <c r="I367" s="9" t="s">
        <v>1182</v>
      </c>
      <c r="J367" s="37"/>
      <c r="K367" s="39" t="n">
        <v>4357.88</v>
      </c>
      <c r="L367" s="39" t="n">
        <v>22906.74</v>
      </c>
      <c r="M367" s="39" t="n">
        <v>4515.25</v>
      </c>
      <c r="N367" s="6" t="n">
        <v>20</v>
      </c>
      <c r="O367" s="6" t="n">
        <v>1</v>
      </c>
      <c r="P367" s="47" t="n">
        <v>34243</v>
      </c>
      <c r="Q367" s="41" t="n">
        <f aca="false">IF(OR($A126="",P126=""),"",ROUND(YEARFRAC(P126,README!$C$5),1))</f>
        <v>32.9</v>
      </c>
      <c r="R367" s="40"/>
      <c r="S367" s="42" t="n">
        <v>4000</v>
      </c>
      <c r="T367" s="42" t="n">
        <v>4060</v>
      </c>
      <c r="U367" s="42" t="n">
        <v>4570</v>
      </c>
      <c r="V367" s="42" t="n">
        <v>510</v>
      </c>
      <c r="W367" s="44" t="n">
        <v>0.818</v>
      </c>
      <c r="X367" s="6" t="n">
        <v>75</v>
      </c>
      <c r="Y367" s="46" t="n">
        <v>2</v>
      </c>
      <c r="Z367" s="6" t="s">
        <v>1865</v>
      </c>
      <c r="AA367" s="9" t="s">
        <v>774</v>
      </c>
      <c r="AB367" s="6" t="s">
        <v>1898</v>
      </c>
      <c r="AC367" s="27" t="n">
        <f aca="false">COUNTIF(環境認証!$A$2:$A$849,A126)</f>
        <v>1</v>
      </c>
      <c r="AD367" s="6" t="n">
        <v>12.6</v>
      </c>
      <c r="AE367" s="6" t="n">
        <v>14.3</v>
      </c>
    </row>
    <row r="368" customFormat="false" ht="15" hidden="false" customHeight="true" outlineLevel="0" collapsed="false">
      <c r="A368" s="6" t="s">
        <v>1899</v>
      </c>
      <c r="B368" s="6" t="s">
        <v>493</v>
      </c>
      <c r="C368" s="9" t="s">
        <v>1900</v>
      </c>
      <c r="D368" s="9" t="s">
        <v>1901</v>
      </c>
      <c r="E368" s="9" t="s">
        <v>762</v>
      </c>
      <c r="F368" s="9" t="s">
        <v>815</v>
      </c>
      <c r="H368" s="9" t="s">
        <v>772</v>
      </c>
      <c r="I368" s="9" t="s">
        <v>1186</v>
      </c>
      <c r="J368" s="37"/>
      <c r="K368" s="39" t="n">
        <v>2565.06</v>
      </c>
      <c r="L368" s="38"/>
      <c r="M368" s="39" t="n">
        <v>1128.63</v>
      </c>
      <c r="P368" s="40"/>
      <c r="Q368" s="41" t="str">
        <f aca="false">IF(OR($A127="",P127=""),"",ROUND(YEARFRAC(P127,README!$C$5),1))</f>
        <v/>
      </c>
      <c r="R368" s="40"/>
      <c r="S368" s="42" t="n">
        <v>9600</v>
      </c>
      <c r="T368" s="42" t="n">
        <v>9712</v>
      </c>
      <c r="U368" s="42" t="n">
        <v>20812</v>
      </c>
      <c r="V368" s="42" t="n">
        <v>11100</v>
      </c>
      <c r="W368" s="44" t="n">
        <v>1</v>
      </c>
      <c r="X368" s="6" t="n">
        <v>1</v>
      </c>
      <c r="Y368" s="45"/>
      <c r="Z368" s="6" t="s">
        <v>1865</v>
      </c>
      <c r="AA368" s="9" t="s">
        <v>774</v>
      </c>
      <c r="AB368" s="6" t="s">
        <v>1902</v>
      </c>
      <c r="AC368" s="27" t="n">
        <f aca="false">COUNTIF(環境認証!$A$2:$A$849,A127)</f>
        <v>2</v>
      </c>
      <c r="AD368" s="6" t="n">
        <v>114.3</v>
      </c>
      <c r="AE368" s="6" t="n">
        <v>116.8</v>
      </c>
    </row>
    <row r="369" customFormat="false" ht="15" hidden="false" customHeight="true" outlineLevel="0" collapsed="false">
      <c r="A369" s="6" t="s">
        <v>1903</v>
      </c>
      <c r="B369" s="6" t="s">
        <v>502</v>
      </c>
      <c r="C369" s="9" t="s">
        <v>1904</v>
      </c>
      <c r="D369" s="9" t="s">
        <v>1905</v>
      </c>
      <c r="E369" s="36" t="s">
        <v>762</v>
      </c>
      <c r="F369" s="36" t="s">
        <v>905</v>
      </c>
      <c r="H369" s="6" t="s">
        <v>764</v>
      </c>
      <c r="I369" s="6" t="s">
        <v>1906</v>
      </c>
      <c r="J369" s="37"/>
      <c r="K369" s="38"/>
      <c r="L369" s="38"/>
      <c r="M369" s="39" t="n">
        <v>488718.69</v>
      </c>
      <c r="P369" s="40"/>
      <c r="Q369" s="41" t="str">
        <f aca="false">IF(OR($A268="",P268=""),"",ROUND(YEARFRAC(P268,README!$C$5),1))</f>
        <v/>
      </c>
      <c r="R369" s="40"/>
      <c r="S369" s="42" t="n">
        <v>556828</v>
      </c>
      <c r="T369" s="42" t="n">
        <v>530874.042</v>
      </c>
      <c r="U369" s="42" t="n">
        <v>671024</v>
      </c>
      <c r="V369" s="43" t="n">
        <f aca="false">IF($A268="","",IF(OR(T268="",U268=""),"",U268-T268))</f>
        <v>153</v>
      </c>
      <c r="W369" s="44" t="n">
        <v>0.992</v>
      </c>
      <c r="X369" s="6" t="n">
        <v>1263</v>
      </c>
      <c r="Y369" s="45"/>
      <c r="Z369" s="6" t="s">
        <v>1907</v>
      </c>
      <c r="AA369" s="9" t="s">
        <v>767</v>
      </c>
      <c r="AB369" s="9" t="s">
        <v>1908</v>
      </c>
      <c r="AC369" s="27" t="n">
        <f aca="false">COUNTIF(環境認証!$A$2:$A$849,A268)</f>
        <v>0</v>
      </c>
      <c r="AD369" s="1" t="n">
        <v>-0.4</v>
      </c>
    </row>
    <row r="370" customFormat="false" ht="15" hidden="false" customHeight="true" outlineLevel="0" collapsed="false">
      <c r="A370" s="6" t="s">
        <v>1909</v>
      </c>
      <c r="B370" s="6" t="s">
        <v>502</v>
      </c>
      <c r="C370" s="9" t="s">
        <v>1910</v>
      </c>
      <c r="D370" s="9" t="s">
        <v>761</v>
      </c>
      <c r="E370" s="9" t="s">
        <v>762</v>
      </c>
      <c r="F370" s="9" t="s">
        <v>820</v>
      </c>
      <c r="H370" s="9" t="s">
        <v>772</v>
      </c>
      <c r="J370" s="37"/>
      <c r="K370" s="39" t="n">
        <v>1751.13</v>
      </c>
      <c r="L370" s="39" t="n">
        <v>14995.09</v>
      </c>
      <c r="M370" s="39" t="n">
        <v>8090.74</v>
      </c>
      <c r="N370" s="6" t="n">
        <v>13</v>
      </c>
      <c r="O370" s="6" t="n">
        <v>2</v>
      </c>
      <c r="P370" s="50" t="n">
        <v>34001</v>
      </c>
      <c r="Q370" s="41" t="n">
        <f aca="false">IF(OR($A200="",P200=""),"",ROUND(YEARFRAC(P200,README!$C$5),1))</f>
        <v>22.5</v>
      </c>
      <c r="R370" s="40"/>
      <c r="S370" s="42" t="n">
        <v>16276</v>
      </c>
      <c r="T370" s="48" t="n">
        <v>3913</v>
      </c>
      <c r="U370" s="42" t="n">
        <v>14100</v>
      </c>
      <c r="V370" s="43" t="n">
        <f aca="false">IF($A200="","",IF(OR(T200="",U200=""),"",U200-T200))</f>
        <v>8323</v>
      </c>
      <c r="W370" s="44" t="n">
        <v>1</v>
      </c>
      <c r="X370" s="6" t="n">
        <v>12</v>
      </c>
      <c r="Y370" s="45"/>
      <c r="Z370" s="6" t="s">
        <v>1907</v>
      </c>
      <c r="AA370" s="9" t="s">
        <v>774</v>
      </c>
      <c r="AB370" s="6" t="s">
        <v>1911</v>
      </c>
      <c r="AC370" s="27" t="n">
        <f aca="false">COUNTIF(環境認証!$A$2:$A$849,A200)</f>
        <v>1</v>
      </c>
      <c r="AD370" s="1" t="n">
        <v>0.7</v>
      </c>
      <c r="AE370" s="6" t="n">
        <v>-13.4</v>
      </c>
    </row>
    <row r="371" customFormat="false" ht="15" hidden="false" customHeight="true" outlineLevel="0" collapsed="false">
      <c r="A371" s="6" t="s">
        <v>1912</v>
      </c>
      <c r="B371" s="6" t="s">
        <v>502</v>
      </c>
      <c r="C371" s="9" t="s">
        <v>1913</v>
      </c>
      <c r="D371" s="9" t="s">
        <v>761</v>
      </c>
      <c r="E371" s="9" t="s">
        <v>762</v>
      </c>
      <c r="F371" s="9" t="s">
        <v>820</v>
      </c>
      <c r="H371" s="9" t="s">
        <v>772</v>
      </c>
      <c r="J371" s="37"/>
      <c r="K371" s="39" t="n">
        <v>679.06</v>
      </c>
      <c r="L371" s="39" t="n">
        <v>4351.46</v>
      </c>
      <c r="M371" s="39" t="n">
        <v>2291.13</v>
      </c>
      <c r="N371" s="6" t="n">
        <v>8</v>
      </c>
      <c r="O371" s="6" t="n">
        <v>1</v>
      </c>
      <c r="P371" s="50" t="n">
        <v>34001</v>
      </c>
      <c r="Q371" s="41" t="n">
        <f aca="false">IF(OR($A201="",P201=""),"",ROUND(YEARFRAC(P201,README!$C$5),1))</f>
        <v>32.5</v>
      </c>
      <c r="R371" s="40"/>
      <c r="S371" s="42" t="n">
        <v>2874</v>
      </c>
      <c r="T371" s="48" t="n">
        <v>3979</v>
      </c>
      <c r="U371" s="42" t="n">
        <v>2960</v>
      </c>
      <c r="V371" s="43" t="n">
        <f aca="false">IF($A201="","",IF(OR(T201="",U201=""),"",U201-T201))</f>
        <v>10694</v>
      </c>
      <c r="W371" s="44" t="n">
        <v>1</v>
      </c>
      <c r="X371" s="6" t="n">
        <v>1</v>
      </c>
      <c r="Y371" s="45"/>
      <c r="Z371" s="6" t="s">
        <v>1907</v>
      </c>
      <c r="AA371" s="9" t="s">
        <v>774</v>
      </c>
      <c r="AB371" s="6" t="s">
        <v>1914</v>
      </c>
      <c r="AC371" s="27" t="n">
        <f aca="false">COUNTIF(環境認証!$A$2:$A$849,A201)</f>
        <v>1</v>
      </c>
      <c r="AD371" s="1" t="n">
        <v>-7.5</v>
      </c>
      <c r="AE371" s="6" t="n">
        <v>3</v>
      </c>
    </row>
    <row r="372" customFormat="false" ht="15" hidden="false" customHeight="true" outlineLevel="0" collapsed="false">
      <c r="A372" s="6" t="s">
        <v>1915</v>
      </c>
      <c r="B372" s="6" t="s">
        <v>502</v>
      </c>
      <c r="C372" s="9" t="s">
        <v>1916</v>
      </c>
      <c r="D372" s="9" t="s">
        <v>761</v>
      </c>
      <c r="E372" s="9" t="s">
        <v>762</v>
      </c>
      <c r="F372" s="9" t="s">
        <v>820</v>
      </c>
      <c r="H372" s="9" t="s">
        <v>772</v>
      </c>
      <c r="J372" s="37"/>
      <c r="K372" s="39" t="n">
        <v>550.06</v>
      </c>
      <c r="L372" s="39" t="n">
        <v>4117.7</v>
      </c>
      <c r="M372" s="39" t="n">
        <v>2802.22</v>
      </c>
      <c r="N372" s="6" t="n">
        <v>8</v>
      </c>
      <c r="O372" s="6" t="n">
        <v>1</v>
      </c>
      <c r="P372" s="50" t="n">
        <v>32843</v>
      </c>
      <c r="Q372" s="41" t="n">
        <f aca="false">IF(OR($A202="",P202=""),"",ROUND(YEARFRAC(P202,README!$C$5),1))</f>
        <v>20.5</v>
      </c>
      <c r="R372" s="40"/>
      <c r="S372" s="42" t="n">
        <v>2100</v>
      </c>
      <c r="T372" s="48" t="n">
        <v>1819</v>
      </c>
      <c r="U372" s="42" t="n">
        <v>3290</v>
      </c>
      <c r="V372" s="43" t="n">
        <f aca="false">IF($A202="","",IF(OR(T202="",U202=""),"",U202-T202))</f>
        <v>559</v>
      </c>
      <c r="W372" s="44" t="n">
        <v>1</v>
      </c>
      <c r="X372" s="6" t="n">
        <v>5</v>
      </c>
      <c r="Y372" s="45"/>
      <c r="Z372" s="6" t="s">
        <v>1907</v>
      </c>
      <c r="AA372" s="9" t="s">
        <v>774</v>
      </c>
      <c r="AB372" s="6" t="s">
        <v>1914</v>
      </c>
      <c r="AC372" s="27" t="n">
        <f aca="false">COUNTIF(環境認証!$A$2:$A$849,A202)</f>
        <v>1</v>
      </c>
      <c r="AD372" s="1" t="n">
        <v>0.6</v>
      </c>
      <c r="AE372" s="6" t="n">
        <v>56.7</v>
      </c>
    </row>
    <row r="373" customFormat="false" ht="15" hidden="false" customHeight="true" outlineLevel="0" collapsed="false">
      <c r="A373" s="6" t="s">
        <v>1917</v>
      </c>
      <c r="B373" s="6" t="s">
        <v>502</v>
      </c>
      <c r="C373" s="9" t="s">
        <v>1918</v>
      </c>
      <c r="D373" s="9" t="s">
        <v>761</v>
      </c>
      <c r="E373" s="9" t="s">
        <v>762</v>
      </c>
      <c r="F373" s="9" t="s">
        <v>763</v>
      </c>
      <c r="H373" s="9" t="s">
        <v>772</v>
      </c>
      <c r="J373" s="37"/>
      <c r="K373" s="39" t="n">
        <v>657.8</v>
      </c>
      <c r="L373" s="39" t="n">
        <v>5152.98</v>
      </c>
      <c r="M373" s="39" t="n">
        <v>3319.37</v>
      </c>
      <c r="N373" s="6" t="n">
        <v>9</v>
      </c>
      <c r="O373" s="6" t="n">
        <v>1</v>
      </c>
      <c r="P373" s="50" t="n">
        <v>30956</v>
      </c>
      <c r="Q373" s="41" t="n">
        <f aca="false">IF(OR($A203="",P203=""),"",ROUND(YEARFRAC(P203,README!$C$5),1))</f>
        <v>30.5</v>
      </c>
      <c r="R373" s="40"/>
      <c r="S373" s="42" t="n">
        <v>2420</v>
      </c>
      <c r="T373" s="48" t="n">
        <v>3572</v>
      </c>
      <c r="U373" s="42" t="n">
        <v>4160</v>
      </c>
      <c r="V373" s="43" t="n">
        <f aca="false">IF($A203="","",IF(OR(T203="",U203=""),"",U203-T203))</f>
        <v>477</v>
      </c>
      <c r="W373" s="44" t="n">
        <v>1</v>
      </c>
      <c r="X373" s="6" t="n">
        <v>19</v>
      </c>
      <c r="Y373" s="45"/>
      <c r="Z373" s="6" t="s">
        <v>1907</v>
      </c>
      <c r="AA373" s="9" t="s">
        <v>774</v>
      </c>
      <c r="AB373" s="6" t="s">
        <v>1919</v>
      </c>
      <c r="AC373" s="27" t="n">
        <f aca="false">COUNTIF(環境認証!$A$2:$A$849,A203)</f>
        <v>1</v>
      </c>
      <c r="AD373" s="1" t="n">
        <v>7.8</v>
      </c>
      <c r="AE373" s="6" t="n">
        <v>71.9</v>
      </c>
    </row>
    <row r="374" customFormat="false" ht="15" hidden="false" customHeight="true" outlineLevel="0" collapsed="false">
      <c r="A374" s="6" t="s">
        <v>1920</v>
      </c>
      <c r="B374" s="6" t="s">
        <v>502</v>
      </c>
      <c r="C374" s="9" t="s">
        <v>1921</v>
      </c>
      <c r="D374" s="9" t="s">
        <v>761</v>
      </c>
      <c r="E374" s="9" t="s">
        <v>762</v>
      </c>
      <c r="F374" s="9" t="s">
        <v>782</v>
      </c>
      <c r="H374" s="9" t="s">
        <v>772</v>
      </c>
      <c r="J374" s="37"/>
      <c r="K374" s="39" t="n">
        <v>8992.18</v>
      </c>
      <c r="L374" s="39" t="n">
        <v>31020.21</v>
      </c>
      <c r="M374" s="39" t="n">
        <v>14466.03</v>
      </c>
      <c r="N374" s="6" t="n">
        <v>13</v>
      </c>
      <c r="O374" s="6" t="n">
        <v>2</v>
      </c>
      <c r="P374" s="50" t="n">
        <v>32174</v>
      </c>
      <c r="Q374" s="41" t="n">
        <f aca="false">IF(OR($A204="",P204=""),"",ROUND(YEARFRAC(P204,README!$C$5),1))</f>
        <v>35</v>
      </c>
      <c r="R374" s="40"/>
      <c r="S374" s="42" t="n">
        <v>11200</v>
      </c>
      <c r="T374" s="48" t="n">
        <v>2841</v>
      </c>
      <c r="U374" s="42" t="n">
        <v>13000</v>
      </c>
      <c r="V374" s="43" t="n">
        <f aca="false">IF($A204="","",IF(OR(T204="",U204=""),"",U204-T204))</f>
        <v>2565</v>
      </c>
      <c r="W374" s="44" t="n">
        <v>1</v>
      </c>
      <c r="X374" s="6" t="n">
        <v>10</v>
      </c>
      <c r="Y374" s="45"/>
      <c r="Z374" s="6" t="s">
        <v>1907</v>
      </c>
      <c r="AA374" s="9" t="s">
        <v>774</v>
      </c>
      <c r="AB374" s="6" t="s">
        <v>1922</v>
      </c>
      <c r="AC374" s="27" t="n">
        <f aca="false">COUNTIF(環境認証!$A$2:$A$849,A204)</f>
        <v>1</v>
      </c>
      <c r="AD374" s="1" t="n">
        <v>0.7</v>
      </c>
      <c r="AE374" s="6" t="n">
        <v>16.1</v>
      </c>
    </row>
    <row r="375" customFormat="false" ht="15" hidden="false" customHeight="true" outlineLevel="0" collapsed="false">
      <c r="A375" s="6" t="s">
        <v>1923</v>
      </c>
      <c r="B375" s="6" t="s">
        <v>502</v>
      </c>
      <c r="C375" s="9" t="s">
        <v>1924</v>
      </c>
      <c r="D375" s="9" t="s">
        <v>761</v>
      </c>
      <c r="E375" s="9" t="s">
        <v>762</v>
      </c>
      <c r="F375" s="9" t="s">
        <v>763</v>
      </c>
      <c r="H375" s="9" t="s">
        <v>772</v>
      </c>
      <c r="J375" s="37"/>
      <c r="K375" s="39" t="n">
        <v>1058.04</v>
      </c>
      <c r="L375" s="39" t="n">
        <v>5888.82</v>
      </c>
      <c r="M375" s="39" t="n">
        <v>3855.01</v>
      </c>
      <c r="N375" s="6" t="n">
        <v>9</v>
      </c>
      <c r="O375" s="6" t="n">
        <v>1</v>
      </c>
      <c r="P375" s="50" t="n">
        <v>32568</v>
      </c>
      <c r="Q375" s="41" t="n">
        <f aca="false">IF(OR($A205="",P205=""),"",ROUND(YEARFRAC(P205,README!$C$5),1))</f>
        <v>27.5</v>
      </c>
      <c r="R375" s="40"/>
      <c r="S375" s="42" t="n">
        <v>5100</v>
      </c>
      <c r="T375" s="48" t="n">
        <v>2076</v>
      </c>
      <c r="U375" s="42" t="n">
        <v>4790</v>
      </c>
      <c r="V375" s="43" t="n">
        <f aca="false">IF($A205="","",IF(OR(T205="",U205=""),"",U205-T205))</f>
        <v>2371</v>
      </c>
      <c r="W375" s="44" t="n">
        <v>1</v>
      </c>
      <c r="X375" s="6" t="n">
        <v>9</v>
      </c>
      <c r="Y375" s="45"/>
      <c r="Z375" s="6" t="s">
        <v>1907</v>
      </c>
      <c r="AA375" s="9" t="s">
        <v>774</v>
      </c>
      <c r="AB375" s="6" t="s">
        <v>1914</v>
      </c>
      <c r="AC375" s="27" t="n">
        <f aca="false">COUNTIF(環境認証!$A$2:$A$849,A205)</f>
        <v>1</v>
      </c>
      <c r="AD375" s="1" t="n">
        <v>4.5</v>
      </c>
      <c r="AE375" s="6" t="n">
        <v>-6.1</v>
      </c>
    </row>
    <row r="376" customFormat="false" ht="15" hidden="false" customHeight="true" outlineLevel="0" collapsed="false">
      <c r="A376" s="6" t="s">
        <v>1925</v>
      </c>
      <c r="B376" s="6" t="s">
        <v>502</v>
      </c>
      <c r="C376" s="9" t="s">
        <v>1926</v>
      </c>
      <c r="D376" s="9" t="s">
        <v>761</v>
      </c>
      <c r="E376" s="9" t="s">
        <v>762</v>
      </c>
      <c r="F376" s="9" t="s">
        <v>848</v>
      </c>
      <c r="H376" s="9" t="s">
        <v>882</v>
      </c>
      <c r="J376" s="37"/>
      <c r="K376" s="39" t="n">
        <v>4006</v>
      </c>
      <c r="L376" s="39" t="n">
        <v>28575.8</v>
      </c>
      <c r="M376" s="39" t="n">
        <v>4088.44</v>
      </c>
      <c r="N376" s="6" t="n">
        <v>17</v>
      </c>
      <c r="O376" s="6" t="n">
        <v>2</v>
      </c>
      <c r="P376" s="50" t="n">
        <v>37043</v>
      </c>
      <c r="Q376" s="41" t="n">
        <f aca="false">IF(OR($A206="",P206=""),"",ROUND(YEARFRAC(P206,README!$C$5),1))</f>
        <v>18.4</v>
      </c>
      <c r="R376" s="40"/>
      <c r="S376" s="42" t="n">
        <v>3500</v>
      </c>
      <c r="T376" s="48" t="n">
        <v>3277</v>
      </c>
      <c r="U376" s="42" t="n">
        <v>4050</v>
      </c>
      <c r="V376" s="43" t="n">
        <f aca="false">IF($A206="","",IF(OR(T206="",U206=""),"",U206-T206))</f>
        <v>1486</v>
      </c>
      <c r="W376" s="44" t="n">
        <v>1</v>
      </c>
      <c r="X376" s="6" t="n">
        <v>1</v>
      </c>
      <c r="Y376" s="45"/>
      <c r="Z376" s="6" t="s">
        <v>1907</v>
      </c>
      <c r="AA376" s="9" t="s">
        <v>774</v>
      </c>
      <c r="AB376" s="6" t="s">
        <v>1927</v>
      </c>
      <c r="AC376" s="27" t="n">
        <f aca="false">COUNTIF(環境認証!$A$2:$A$849,A206)</f>
        <v>1</v>
      </c>
      <c r="AD376" s="1" t="n">
        <v>2.2</v>
      </c>
      <c r="AE376" s="6" t="n">
        <v>15.7</v>
      </c>
    </row>
    <row r="377" customFormat="false" ht="15" hidden="false" customHeight="true" outlineLevel="0" collapsed="false">
      <c r="A377" s="6" t="s">
        <v>1928</v>
      </c>
      <c r="B377" s="6" t="s">
        <v>502</v>
      </c>
      <c r="C377" s="9" t="s">
        <v>1929</v>
      </c>
      <c r="D377" s="9" t="s">
        <v>761</v>
      </c>
      <c r="E377" s="9" t="s">
        <v>762</v>
      </c>
      <c r="F377" s="9" t="s">
        <v>771</v>
      </c>
      <c r="H377" s="9" t="s">
        <v>772</v>
      </c>
      <c r="J377" s="37"/>
      <c r="K377" s="39" t="n">
        <v>8409.52</v>
      </c>
      <c r="L377" s="39" t="n">
        <v>78796</v>
      </c>
      <c r="M377" s="39" t="n">
        <v>19266.47</v>
      </c>
      <c r="N377" s="6" t="n">
        <v>30</v>
      </c>
      <c r="O377" s="6" t="n">
        <v>4</v>
      </c>
      <c r="P377" s="50" t="n">
        <v>34608</v>
      </c>
      <c r="Q377" s="41" t="n">
        <f aca="false">IF(OR($A207="",P207=""),"",ROUND(YEARFRAC(P207,README!$C$5),1))</f>
        <v>25.4</v>
      </c>
      <c r="R377" s="40"/>
      <c r="S377" s="42" t="n">
        <v>14966</v>
      </c>
      <c r="T377" s="48" t="n">
        <v>3052</v>
      </c>
      <c r="U377" s="42" t="n">
        <v>16200</v>
      </c>
      <c r="V377" s="43" t="n">
        <f aca="false">IF($A207="","",IF(OR(T207="",U207=""),"",U207-T207))</f>
        <v>1193</v>
      </c>
      <c r="W377" s="44" t="n">
        <v>1</v>
      </c>
      <c r="X377" s="6" t="n">
        <v>28</v>
      </c>
      <c r="Y377" s="45"/>
      <c r="Z377" s="6" t="s">
        <v>1907</v>
      </c>
      <c r="AA377" s="9" t="s">
        <v>774</v>
      </c>
      <c r="AB377" s="6" t="s">
        <v>1930</v>
      </c>
      <c r="AC377" s="27" t="n">
        <f aca="false">COUNTIF(環境認証!$A$2:$A$849,A207)</f>
        <v>1</v>
      </c>
      <c r="AD377" s="1" t="n">
        <v>20.6</v>
      </c>
      <c r="AE377" s="6" t="n">
        <v>8.2</v>
      </c>
    </row>
    <row r="378" customFormat="false" ht="15" hidden="false" customHeight="true" outlineLevel="0" collapsed="false">
      <c r="A378" s="6" t="s">
        <v>1931</v>
      </c>
      <c r="B378" s="6" t="s">
        <v>502</v>
      </c>
      <c r="C378" s="9" t="s">
        <v>1932</v>
      </c>
      <c r="D378" s="9" t="s">
        <v>761</v>
      </c>
      <c r="E378" s="9" t="s">
        <v>762</v>
      </c>
      <c r="F378" s="9" t="s">
        <v>771</v>
      </c>
      <c r="H378" s="9" t="s">
        <v>772</v>
      </c>
      <c r="J378" s="37"/>
      <c r="K378" s="39" t="n">
        <v>3522.46</v>
      </c>
      <c r="L378" s="39" t="n">
        <v>25733.1</v>
      </c>
      <c r="M378" s="39" t="n">
        <v>15222.72</v>
      </c>
      <c r="N378" s="6" t="n">
        <v>14</v>
      </c>
      <c r="O378" s="6" t="n">
        <v>2</v>
      </c>
      <c r="P378" s="50" t="n">
        <v>31138</v>
      </c>
      <c r="Q378" s="41" t="n">
        <f aca="false">IF(OR($A208="",P208=""),"",ROUND(YEARFRAC(P208,README!$C$5),1))</f>
        <v>37.4</v>
      </c>
      <c r="R378" s="40"/>
      <c r="S378" s="42" t="n">
        <v>15121</v>
      </c>
      <c r="T378" s="48" t="n">
        <v>1692</v>
      </c>
      <c r="U378" s="42" t="n">
        <v>18900</v>
      </c>
      <c r="V378" s="43" t="n">
        <f aca="false">IF($A208="","",IF(OR(T208="",U208=""),"",U208-T208))</f>
        <v>328</v>
      </c>
      <c r="W378" s="44" t="n">
        <v>0.985</v>
      </c>
      <c r="X378" s="6" t="n">
        <v>22</v>
      </c>
      <c r="Y378" s="45"/>
      <c r="Z378" s="6" t="s">
        <v>1907</v>
      </c>
      <c r="AA378" s="9" t="s">
        <v>774</v>
      </c>
      <c r="AB378" s="6" t="s">
        <v>1933</v>
      </c>
      <c r="AC378" s="27" t="n">
        <f aca="false">COUNTIF(環境認証!$A$2:$A$849,A208)</f>
        <v>0</v>
      </c>
      <c r="AD378" s="1" t="n">
        <v>1.7</v>
      </c>
      <c r="AE378" s="6" t="n">
        <v>25</v>
      </c>
    </row>
    <row r="379" customFormat="false" ht="15" hidden="false" customHeight="true" outlineLevel="0" collapsed="false">
      <c r="A379" s="6" t="s">
        <v>1934</v>
      </c>
      <c r="B379" s="6" t="s">
        <v>502</v>
      </c>
      <c r="C379" s="9" t="s">
        <v>1935</v>
      </c>
      <c r="D379" s="9" t="s">
        <v>761</v>
      </c>
      <c r="E379" s="9" t="s">
        <v>762</v>
      </c>
      <c r="F379" s="9" t="s">
        <v>820</v>
      </c>
      <c r="H379" s="9" t="s">
        <v>772</v>
      </c>
      <c r="J379" s="37"/>
      <c r="K379" s="39" t="n">
        <v>858.48</v>
      </c>
      <c r="L379" s="39" t="n">
        <v>5535.9</v>
      </c>
      <c r="M379" s="39" t="n">
        <v>1264.51</v>
      </c>
      <c r="N379" s="6" t="n">
        <v>10</v>
      </c>
      <c r="O379" s="6" t="n">
        <v>2</v>
      </c>
      <c r="P379" s="50" t="n">
        <v>34486</v>
      </c>
      <c r="Q379" s="41" t="n">
        <f aca="false">IF(OR($A209="",P209=""),"",ROUND(YEARFRAC(P209,README!$C$5),1))</f>
        <v>35.6</v>
      </c>
      <c r="R379" s="40"/>
      <c r="S379" s="42" t="n">
        <v>710</v>
      </c>
      <c r="T379" s="48" t="n">
        <v>1621</v>
      </c>
      <c r="U379" s="42" t="n">
        <v>811</v>
      </c>
      <c r="V379" s="43" t="n">
        <f aca="false">IF($A209="","",IF(OR(T209="",U209=""),"",U209-T209))</f>
        <v>381</v>
      </c>
      <c r="W379" s="44" t="n">
        <v>1</v>
      </c>
      <c r="X379" s="6" t="n">
        <v>4</v>
      </c>
      <c r="Y379" s="45"/>
      <c r="Z379" s="6" t="s">
        <v>1907</v>
      </c>
      <c r="AA379" s="9" t="s">
        <v>774</v>
      </c>
      <c r="AB379" s="6" t="s">
        <v>1914</v>
      </c>
      <c r="AC379" s="27" t="n">
        <f aca="false">COUNTIF(環境認証!$A$2:$A$849,A209)</f>
        <v>1</v>
      </c>
      <c r="AD379" s="1" t="n">
        <v>-1.3</v>
      </c>
      <c r="AE379" s="6" t="n">
        <v>14.2</v>
      </c>
    </row>
    <row r="380" customFormat="false" ht="15" hidden="false" customHeight="true" outlineLevel="0" collapsed="false">
      <c r="A380" s="6" t="s">
        <v>1936</v>
      </c>
      <c r="B380" s="6" t="s">
        <v>502</v>
      </c>
      <c r="C380" s="9" t="s">
        <v>1937</v>
      </c>
      <c r="D380" s="9" t="s">
        <v>761</v>
      </c>
      <c r="E380" s="9" t="s">
        <v>762</v>
      </c>
      <c r="F380" s="9" t="s">
        <v>771</v>
      </c>
      <c r="H380" s="9" t="s">
        <v>772</v>
      </c>
      <c r="J380" s="37"/>
      <c r="K380" s="39" t="n">
        <v>14917.11</v>
      </c>
      <c r="L380" s="39" t="n">
        <v>176607.89</v>
      </c>
      <c r="M380" s="39" t="n">
        <v>10436.17</v>
      </c>
      <c r="N380" s="6" t="n">
        <v>54</v>
      </c>
      <c r="O380" s="6" t="n">
        <v>5</v>
      </c>
      <c r="P380" s="50" t="n">
        <v>29129</v>
      </c>
      <c r="Q380" s="41" t="n">
        <f aca="false">IF(OR($A210="",P210=""),"",ROUND(YEARFRAC(P210,README!$C$5),1))</f>
        <v>21.5</v>
      </c>
      <c r="R380" s="40"/>
      <c r="S380" s="42" t="n">
        <v>24320</v>
      </c>
      <c r="T380" s="48" t="n">
        <v>3997</v>
      </c>
      <c r="U380" s="42" t="n">
        <v>20900</v>
      </c>
      <c r="V380" s="43" t="n">
        <f aca="false">IF($A210="","",IF(OR(T210="",U210=""),"",U210-T210))</f>
        <v>1770</v>
      </c>
      <c r="W380" s="44" t="n">
        <v>0.99</v>
      </c>
      <c r="X380" s="6" t="n">
        <v>26</v>
      </c>
      <c r="Y380" s="45"/>
      <c r="Z380" s="6" t="s">
        <v>1907</v>
      </c>
      <c r="AA380" s="9" t="s">
        <v>774</v>
      </c>
      <c r="AB380" s="6" t="s">
        <v>1938</v>
      </c>
      <c r="AC380" s="27" t="n">
        <f aca="false">COUNTIF(環境認証!$A$2:$A$849,A210)</f>
        <v>0</v>
      </c>
      <c r="AD380" s="1" t="n">
        <v>2.3</v>
      </c>
      <c r="AE380" s="6" t="n">
        <v>-14.1</v>
      </c>
    </row>
    <row r="381" customFormat="false" ht="15" hidden="false" customHeight="true" outlineLevel="0" collapsed="false">
      <c r="A381" s="6" t="s">
        <v>1939</v>
      </c>
      <c r="B381" s="6" t="s">
        <v>502</v>
      </c>
      <c r="C381" s="9" t="s">
        <v>1940</v>
      </c>
      <c r="D381" s="9" t="s">
        <v>761</v>
      </c>
      <c r="E381" s="9" t="s">
        <v>762</v>
      </c>
      <c r="F381" s="9" t="s">
        <v>782</v>
      </c>
      <c r="H381" s="9" t="s">
        <v>772</v>
      </c>
      <c r="J381" s="37"/>
      <c r="K381" s="39" t="n">
        <v>778.09</v>
      </c>
      <c r="L381" s="39" t="n">
        <v>4570.63</v>
      </c>
      <c r="M381" s="39" t="n">
        <v>3405.73</v>
      </c>
      <c r="N381" s="6" t="n">
        <v>9</v>
      </c>
      <c r="O381" s="6" t="n">
        <v>0</v>
      </c>
      <c r="P381" s="50" t="n">
        <v>33756</v>
      </c>
      <c r="Q381" s="41" t="n">
        <f aca="false">IF(OR($A211="",P211=""),"",ROUND(YEARFRAC(P211,README!$C$5),1))</f>
        <v>36</v>
      </c>
      <c r="R381" s="40"/>
      <c r="S381" s="42" t="n">
        <v>3760</v>
      </c>
      <c r="T381" s="48" t="n">
        <v>2029</v>
      </c>
      <c r="U381" s="42" t="n">
        <v>3420</v>
      </c>
      <c r="V381" s="43" t="n">
        <f aca="false">IF($A211="","",IF(OR(T211="",U211=""),"",U211-T211))</f>
        <v>825</v>
      </c>
      <c r="W381" s="44" t="n">
        <v>1</v>
      </c>
      <c r="X381" s="6" t="n">
        <v>1</v>
      </c>
      <c r="Y381" s="45"/>
      <c r="Z381" s="6" t="s">
        <v>1907</v>
      </c>
      <c r="AA381" s="9" t="s">
        <v>774</v>
      </c>
      <c r="AB381" s="6" t="s">
        <v>1941</v>
      </c>
      <c r="AC381" s="27" t="n">
        <f aca="false">COUNTIF(環境認証!$A$2:$A$849,A211)</f>
        <v>0</v>
      </c>
      <c r="AD381" s="1" t="n">
        <v>3.5</v>
      </c>
      <c r="AE381" s="6" t="n">
        <v>-9</v>
      </c>
    </row>
    <row r="382" customFormat="false" ht="15" hidden="false" customHeight="true" outlineLevel="0" collapsed="false">
      <c r="A382" s="6" t="s">
        <v>1942</v>
      </c>
      <c r="B382" s="6" t="s">
        <v>502</v>
      </c>
      <c r="C382" s="9" t="s">
        <v>1943</v>
      </c>
      <c r="D382" s="9" t="s">
        <v>761</v>
      </c>
      <c r="E382" s="9" t="s">
        <v>762</v>
      </c>
      <c r="F382" s="9" t="s">
        <v>782</v>
      </c>
      <c r="H382" s="9" t="s">
        <v>772</v>
      </c>
      <c r="J382" s="37"/>
      <c r="K382" s="39" t="n">
        <v>828.82</v>
      </c>
      <c r="L382" s="39" t="n">
        <v>5216.21</v>
      </c>
      <c r="M382" s="39" t="n">
        <v>1870.5</v>
      </c>
      <c r="N382" s="6" t="n">
        <v>8</v>
      </c>
      <c r="O382" s="6" t="n">
        <v>1</v>
      </c>
      <c r="P382" s="50" t="n">
        <v>39630</v>
      </c>
      <c r="Q382" s="41" t="n">
        <f aca="false">IF(OR($A212="",P212=""),"",ROUND(YEARFRAC(P212,README!$C$5),1))</f>
        <v>33.5</v>
      </c>
      <c r="R382" s="40"/>
      <c r="S382" s="42" t="n">
        <v>2041</v>
      </c>
      <c r="T382" s="48" t="n">
        <v>1949</v>
      </c>
      <c r="U382" s="42" t="n">
        <v>2110</v>
      </c>
      <c r="V382" s="43" t="n">
        <f aca="false">IF($A212="","",IF(OR(T212="",U212=""),"",U212-T212))</f>
        <v>-753</v>
      </c>
      <c r="W382" s="44" t="n">
        <v>1</v>
      </c>
      <c r="X382" s="6" t="n">
        <v>6</v>
      </c>
      <c r="Y382" s="45"/>
      <c r="Z382" s="6" t="s">
        <v>1907</v>
      </c>
      <c r="AA382" s="9" t="s">
        <v>774</v>
      </c>
      <c r="AB382" s="6" t="s">
        <v>1944</v>
      </c>
      <c r="AC382" s="27" t="n">
        <f aca="false">COUNTIF(環境認証!$A$2:$A$849,A212)</f>
        <v>0</v>
      </c>
      <c r="AD382" s="1" t="n">
        <v>0.6</v>
      </c>
      <c r="AE382" s="6" t="n">
        <v>3.4</v>
      </c>
    </row>
    <row r="383" customFormat="false" ht="15" hidden="false" customHeight="true" outlineLevel="0" collapsed="false">
      <c r="A383" s="6" t="s">
        <v>1945</v>
      </c>
      <c r="B383" s="6" t="s">
        <v>502</v>
      </c>
      <c r="C383" s="9" t="s">
        <v>1946</v>
      </c>
      <c r="D383" s="9" t="s">
        <v>761</v>
      </c>
      <c r="E383" s="9" t="s">
        <v>762</v>
      </c>
      <c r="F383" s="9" t="s">
        <v>763</v>
      </c>
      <c r="H383" s="9" t="s">
        <v>772</v>
      </c>
      <c r="J383" s="37"/>
      <c r="K383" s="39" t="n">
        <v>716.95</v>
      </c>
      <c r="L383" s="39" t="n">
        <v>4205.09</v>
      </c>
      <c r="M383" s="39" t="n">
        <v>2501.16</v>
      </c>
      <c r="N383" s="6" t="n">
        <v>7</v>
      </c>
      <c r="O383" s="6" t="n">
        <v>3</v>
      </c>
      <c r="P383" s="50" t="n">
        <v>33512</v>
      </c>
      <c r="Q383" s="41" t="n">
        <f aca="false">IF(OR($A213="",P213=""),"",ROUND(YEARFRAC(P213,README!$C$5),1))</f>
        <v>34.7</v>
      </c>
      <c r="R383" s="40"/>
      <c r="S383" s="42" t="n">
        <v>2800</v>
      </c>
      <c r="T383" s="48" t="n">
        <v>3661</v>
      </c>
      <c r="U383" s="42" t="n">
        <v>3610</v>
      </c>
      <c r="V383" s="43" t="n">
        <f aca="false">IF($A213="","",IF(OR(T213="",U213=""),"",U213-T213))</f>
        <v>315</v>
      </c>
      <c r="W383" s="44" t="n">
        <v>1</v>
      </c>
      <c r="X383" s="6" t="n">
        <v>1</v>
      </c>
      <c r="Y383" s="45"/>
      <c r="Z383" s="6" t="s">
        <v>1907</v>
      </c>
      <c r="AA383" s="9" t="s">
        <v>774</v>
      </c>
      <c r="AB383" s="6" t="s">
        <v>1914</v>
      </c>
      <c r="AC383" s="27" t="n">
        <f aca="false">COUNTIF(環境認証!$A$2:$A$849,A213)</f>
        <v>0</v>
      </c>
      <c r="AD383" s="1" t="n">
        <v>8.2</v>
      </c>
      <c r="AE383" s="6" t="n">
        <v>28.9</v>
      </c>
    </row>
    <row r="384" customFormat="false" ht="15" hidden="false" customHeight="true" outlineLevel="0" collapsed="false">
      <c r="A384" s="6" t="s">
        <v>1947</v>
      </c>
      <c r="B384" s="6" t="s">
        <v>502</v>
      </c>
      <c r="C384" s="9" t="s">
        <v>1948</v>
      </c>
      <c r="D384" s="9" t="s">
        <v>761</v>
      </c>
      <c r="E384" s="9" t="s">
        <v>762</v>
      </c>
      <c r="F384" s="9" t="s">
        <v>815</v>
      </c>
      <c r="H384" s="9" t="s">
        <v>772</v>
      </c>
      <c r="J384" s="37"/>
      <c r="K384" s="39" t="n">
        <v>1205.07</v>
      </c>
      <c r="L384" s="39" t="n">
        <v>6466.94</v>
      </c>
      <c r="M384" s="39" t="n">
        <v>4759.8</v>
      </c>
      <c r="N384" s="6" t="n">
        <v>9</v>
      </c>
      <c r="O384" s="6" t="n">
        <v>1</v>
      </c>
      <c r="P384" s="50" t="n">
        <v>32568</v>
      </c>
      <c r="Q384" s="41" t="n">
        <f aca="false">IF(OR($A214="",P214=""),"",ROUND(YEARFRAC(P214,README!$C$5),1))</f>
        <v>18.6</v>
      </c>
      <c r="R384" s="40"/>
      <c r="S384" s="42" t="n">
        <v>8400</v>
      </c>
      <c r="T384" s="48" t="n">
        <v>2433</v>
      </c>
      <c r="U384" s="42" t="n">
        <v>10100</v>
      </c>
      <c r="V384" s="43" t="n">
        <f aca="false">IF($A214="","",IF(OR(T214="",U214=""),"",U214-T214))</f>
        <v>981</v>
      </c>
      <c r="W384" s="44" t="n">
        <v>1</v>
      </c>
      <c r="X384" s="6" t="n">
        <v>12</v>
      </c>
      <c r="Y384" s="45"/>
      <c r="Z384" s="6" t="s">
        <v>1907</v>
      </c>
      <c r="AA384" s="9" t="s">
        <v>774</v>
      </c>
      <c r="AB384" s="6" t="s">
        <v>1914</v>
      </c>
      <c r="AC384" s="27" t="n">
        <f aca="false">COUNTIF(環境認証!$A$2:$A$849,A214)</f>
        <v>1</v>
      </c>
      <c r="AD384" s="1" t="n">
        <v>19.6</v>
      </c>
      <c r="AE384" s="6" t="n">
        <v>20.2</v>
      </c>
    </row>
    <row r="385" customFormat="false" ht="15" hidden="false" customHeight="true" outlineLevel="0" collapsed="false">
      <c r="A385" s="6" t="s">
        <v>1949</v>
      </c>
      <c r="B385" s="6" t="s">
        <v>502</v>
      </c>
      <c r="C385" s="9" t="s">
        <v>1950</v>
      </c>
      <c r="D385" s="9" t="s">
        <v>761</v>
      </c>
      <c r="E385" s="9" t="s">
        <v>762</v>
      </c>
      <c r="F385" s="9" t="s">
        <v>820</v>
      </c>
      <c r="H385" s="9" t="s">
        <v>772</v>
      </c>
      <c r="J385" s="37"/>
      <c r="K385" s="39" t="n">
        <v>937.59</v>
      </c>
      <c r="L385" s="39" t="n">
        <v>7190.82</v>
      </c>
      <c r="M385" s="39" t="n">
        <v>5299.88</v>
      </c>
      <c r="N385" s="6" t="n">
        <v>9</v>
      </c>
      <c r="O385" s="6" t="n">
        <v>1</v>
      </c>
      <c r="P385" s="50" t="n">
        <v>37408</v>
      </c>
      <c r="Q385" s="41" t="n">
        <f aca="false">IF(OR($A215="",P215=""),"",ROUND(YEARFRAC(P215,README!$C$5),1))</f>
        <v>9.4</v>
      </c>
      <c r="R385" s="40"/>
      <c r="S385" s="42" t="n">
        <v>5100</v>
      </c>
      <c r="T385" s="48" t="n">
        <v>1429</v>
      </c>
      <c r="U385" s="42" t="n">
        <v>6840</v>
      </c>
      <c r="V385" s="43" t="n">
        <f aca="false">IF($A215="","",IF(OR(T215="",U215=""),"",U215-T215))</f>
        <v>2743</v>
      </c>
      <c r="W385" s="44" t="n">
        <v>1</v>
      </c>
      <c r="X385" s="6" t="n">
        <v>5</v>
      </c>
      <c r="Y385" s="45"/>
      <c r="Z385" s="6" t="s">
        <v>1907</v>
      </c>
      <c r="AA385" s="9" t="s">
        <v>774</v>
      </c>
      <c r="AB385" s="6" t="s">
        <v>1914</v>
      </c>
      <c r="AC385" s="27" t="n">
        <f aca="false">COUNTIF(環境認証!$A$2:$A$849,A215)</f>
        <v>1</v>
      </c>
      <c r="AD385" s="1" t="n">
        <v>-8.3</v>
      </c>
      <c r="AE385" s="6" t="n">
        <v>34.1</v>
      </c>
    </row>
    <row r="386" customFormat="false" ht="15" hidden="false" customHeight="true" outlineLevel="0" collapsed="false">
      <c r="A386" s="6" t="s">
        <v>1951</v>
      </c>
      <c r="B386" s="6" t="s">
        <v>502</v>
      </c>
      <c r="C386" s="9" t="s">
        <v>1061</v>
      </c>
      <c r="D386" s="9" t="s">
        <v>761</v>
      </c>
      <c r="E386" s="9" t="s">
        <v>762</v>
      </c>
      <c r="F386" s="9" t="s">
        <v>820</v>
      </c>
      <c r="H386" s="9" t="s">
        <v>772</v>
      </c>
      <c r="I386" s="1" t="s">
        <v>1952</v>
      </c>
      <c r="J386" s="37"/>
      <c r="K386" s="39" t="n">
        <v>1119.27</v>
      </c>
      <c r="L386" s="39" t="n">
        <v>8851</v>
      </c>
      <c r="M386" s="39" t="n">
        <v>1896.7</v>
      </c>
      <c r="N386" s="6" t="n">
        <v>9</v>
      </c>
      <c r="O386" s="6" t="n">
        <v>2</v>
      </c>
      <c r="P386" s="50" t="n">
        <v>30225</v>
      </c>
      <c r="Q386" s="41" t="n">
        <f aca="false">IF(OR($A216="",P216=""),"",ROUND(YEARFRAC(P216,README!$C$5),1))</f>
        <v>16.6</v>
      </c>
      <c r="R386" s="40"/>
      <c r="S386" s="42" t="n">
        <v>3400</v>
      </c>
      <c r="T386" s="48" t="n">
        <v>221060.926</v>
      </c>
      <c r="U386" s="42" t="n">
        <v>4110</v>
      </c>
      <c r="V386" s="43" t="n">
        <f aca="false">IF($A216="","",IF(OR(T216="",U216=""),"",U216-T216))</f>
        <v>446</v>
      </c>
      <c r="W386" s="44" t="n">
        <v>1</v>
      </c>
      <c r="X386" s="6" t="n">
        <v>9</v>
      </c>
      <c r="Y386" s="45"/>
      <c r="Z386" s="6" t="s">
        <v>1907</v>
      </c>
      <c r="AA386" s="49" t="s">
        <v>774</v>
      </c>
      <c r="AB386" s="6" t="s">
        <v>1914</v>
      </c>
      <c r="AC386" s="27" t="n">
        <f aca="false">COUNTIF(環境認証!$A$2:$A$849,A216)</f>
        <v>1</v>
      </c>
      <c r="AE386" s="6" t="n">
        <v>20.9</v>
      </c>
    </row>
    <row r="387" customFormat="false" ht="15" hidden="false" customHeight="true" outlineLevel="0" collapsed="false">
      <c r="A387" s="6" t="s">
        <v>1953</v>
      </c>
      <c r="B387" s="6" t="s">
        <v>502</v>
      </c>
      <c r="C387" s="9" t="s">
        <v>1954</v>
      </c>
      <c r="D387" s="9" t="s">
        <v>761</v>
      </c>
      <c r="E387" s="9" t="s">
        <v>762</v>
      </c>
      <c r="F387" s="9" t="s">
        <v>763</v>
      </c>
      <c r="H387" s="9" t="s">
        <v>772</v>
      </c>
      <c r="I387" s="9" t="s">
        <v>1431</v>
      </c>
      <c r="J387" s="37"/>
      <c r="K387" s="39" t="n">
        <v>11034.78</v>
      </c>
      <c r="L387" s="38" t="n">
        <v>6914.84</v>
      </c>
      <c r="M387" s="39" t="n">
        <v>11034.78</v>
      </c>
      <c r="P387" s="40"/>
      <c r="Q387" s="41" t="n">
        <f aca="false">IF(OR($A217="",P217=""),"",ROUND(YEARFRAC(P217,README!$C$5),1))</f>
        <v>3.8</v>
      </c>
      <c r="R387" s="40"/>
      <c r="S387" s="42" t="n">
        <v>36000</v>
      </c>
      <c r="T387" s="48" t="n">
        <v>5693</v>
      </c>
      <c r="U387" s="42" t="n">
        <v>59800</v>
      </c>
      <c r="V387" s="43" t="n">
        <f aca="false">IF($A217="","",IF(OR(T217="",U217=""),"",U217-T217))</f>
        <v>1454</v>
      </c>
      <c r="W387" s="44" t="n">
        <v>1</v>
      </c>
      <c r="X387" s="6" t="n">
        <v>2</v>
      </c>
      <c r="Y387" s="45" t="n">
        <v>10.6</v>
      </c>
      <c r="Z387" s="6" t="s">
        <v>1907</v>
      </c>
      <c r="AA387" s="9" t="s">
        <v>774</v>
      </c>
      <c r="AB387" s="6" t="s">
        <v>1955</v>
      </c>
      <c r="AC387" s="27" t="n">
        <f aca="false">COUNTIF(環境認証!$A$2:$A$849,A217)</f>
        <v>1</v>
      </c>
      <c r="AD387" s="1" t="n">
        <v>40.3</v>
      </c>
      <c r="AE387" s="6" t="n">
        <v>66.1</v>
      </c>
    </row>
    <row r="388" customFormat="false" ht="15" hidden="false" customHeight="true" outlineLevel="0" collapsed="false">
      <c r="A388" s="6" t="s">
        <v>1956</v>
      </c>
      <c r="B388" s="6" t="s">
        <v>502</v>
      </c>
      <c r="C388" s="9" t="s">
        <v>1957</v>
      </c>
      <c r="D388" s="9" t="s">
        <v>761</v>
      </c>
      <c r="E388" s="9" t="s">
        <v>762</v>
      </c>
      <c r="F388" s="9" t="s">
        <v>763</v>
      </c>
      <c r="H388" s="9" t="s">
        <v>772</v>
      </c>
      <c r="J388" s="37"/>
      <c r="K388" s="39" t="n">
        <v>5289.01</v>
      </c>
      <c r="L388" s="39" t="n">
        <v>24560.36</v>
      </c>
      <c r="M388" s="39" t="n">
        <v>3325.29</v>
      </c>
      <c r="N388" s="6" t="n">
        <v>12</v>
      </c>
      <c r="O388" s="6" t="n">
        <v>2</v>
      </c>
      <c r="P388" s="50" t="n">
        <v>34731</v>
      </c>
      <c r="Q388" s="41" t="n">
        <f aca="false">IF(OR($A218="",P218=""),"",ROUND(YEARFRAC(P218,README!$C$5),1))</f>
        <v>17</v>
      </c>
      <c r="R388" s="40"/>
      <c r="S388" s="42" t="n">
        <v>2660</v>
      </c>
      <c r="T388" s="48"/>
      <c r="U388" s="42" t="n">
        <v>3620</v>
      </c>
      <c r="V388" s="43" t="n">
        <f aca="false">IF($A218="","",IF(OR(T218="",U218=""),"",U218-T218))</f>
        <v>144</v>
      </c>
      <c r="W388" s="44" t="n">
        <v>0.975</v>
      </c>
      <c r="X388" s="6" t="n">
        <v>24</v>
      </c>
      <c r="Y388" s="45"/>
      <c r="Z388" s="6" t="s">
        <v>1907</v>
      </c>
      <c r="AA388" s="9" t="s">
        <v>774</v>
      </c>
      <c r="AB388" s="6" t="s">
        <v>1958</v>
      </c>
      <c r="AC388" s="27" t="n">
        <f aca="false">COUNTIF(環境認証!$A$2:$A$849,A218)</f>
        <v>0</v>
      </c>
      <c r="AE388" s="6" t="n">
        <v>36.1</v>
      </c>
    </row>
    <row r="389" customFormat="false" ht="15" hidden="false" customHeight="true" outlineLevel="0" collapsed="false">
      <c r="A389" s="6" t="s">
        <v>1959</v>
      </c>
      <c r="B389" s="6" t="s">
        <v>502</v>
      </c>
      <c r="C389" s="9" t="s">
        <v>1960</v>
      </c>
      <c r="D389" s="9" t="s">
        <v>761</v>
      </c>
      <c r="E389" s="9" t="s">
        <v>762</v>
      </c>
      <c r="F389" s="9" t="s">
        <v>782</v>
      </c>
      <c r="H389" s="9" t="s">
        <v>772</v>
      </c>
      <c r="J389" s="37"/>
      <c r="K389" s="39" t="n">
        <v>1915.5</v>
      </c>
      <c r="L389" s="39" t="n">
        <v>11419.93</v>
      </c>
      <c r="M389" s="39" t="n">
        <v>5401.48</v>
      </c>
      <c r="N389" s="6" t="n">
        <v>10</v>
      </c>
      <c r="O389" s="6" t="n">
        <v>1</v>
      </c>
      <c r="P389" s="50" t="n">
        <v>34151</v>
      </c>
      <c r="Q389" s="41" t="n">
        <f aca="false">IF(OR($A219="",P219=""),"",ROUND(YEARFRAC(P219,README!$C$5),1))</f>
        <v>2.2</v>
      </c>
      <c r="R389" s="40"/>
      <c r="S389" s="42" t="n">
        <v>4213</v>
      </c>
      <c r="T389" s="48" t="n">
        <v>1437</v>
      </c>
      <c r="U389" s="42" t="n">
        <v>7610</v>
      </c>
      <c r="V389" s="43" t="n">
        <f aca="false">IF($A219="","",IF(OR(T219="",U219=""),"",U219-T219))</f>
        <v>4869</v>
      </c>
      <c r="W389" s="44" t="n">
        <v>1</v>
      </c>
      <c r="X389" s="6" t="n">
        <v>8</v>
      </c>
      <c r="Y389" s="45" t="n">
        <v>5.5</v>
      </c>
      <c r="Z389" s="6" t="s">
        <v>1907</v>
      </c>
      <c r="AA389" s="9" t="s">
        <v>774</v>
      </c>
      <c r="AB389" s="6" t="s">
        <v>1961</v>
      </c>
      <c r="AC389" s="27" t="n">
        <f aca="false">COUNTIF(環境認証!$A$2:$A$849,A219)</f>
        <v>1</v>
      </c>
      <c r="AD389" s="1" t="n">
        <v>162.4</v>
      </c>
      <c r="AE389" s="6" t="n">
        <v>80.6</v>
      </c>
    </row>
    <row r="390" customFormat="false" ht="15" hidden="false" customHeight="true" outlineLevel="0" collapsed="false">
      <c r="A390" s="6" t="s">
        <v>1962</v>
      </c>
      <c r="B390" s="6" t="s">
        <v>502</v>
      </c>
      <c r="C390" s="9" t="s">
        <v>1963</v>
      </c>
      <c r="D390" s="9" t="s">
        <v>761</v>
      </c>
      <c r="E390" s="9" t="s">
        <v>762</v>
      </c>
      <c r="F390" s="9" t="s">
        <v>820</v>
      </c>
      <c r="H390" s="9" t="s">
        <v>772</v>
      </c>
      <c r="J390" s="37"/>
      <c r="K390" s="39" t="n">
        <v>8124.72</v>
      </c>
      <c r="L390" s="39" t="n">
        <v>112645.83</v>
      </c>
      <c r="M390" s="39" t="n">
        <v>5971.69</v>
      </c>
      <c r="N390" s="6" t="n">
        <v>24</v>
      </c>
      <c r="O390" s="6" t="n">
        <v>4</v>
      </c>
      <c r="P390" s="50" t="n">
        <v>41306</v>
      </c>
      <c r="Q390" s="41" t="n">
        <f aca="false">IF(OR($A220="",P220=""),"",ROUND(YEARFRAC(P220,README!$C$5),1))</f>
        <v>3.4</v>
      </c>
      <c r="R390" s="40"/>
      <c r="S390" s="42" t="n">
        <v>18400</v>
      </c>
      <c r="T390" s="48" t="n">
        <v>4799</v>
      </c>
      <c r="U390" s="42" t="n">
        <v>22100</v>
      </c>
      <c r="V390" s="43" t="n">
        <f aca="false">IF($A220="","",IF(OR(T220="",U220=""),"",U220-T220))</f>
        <v>407</v>
      </c>
      <c r="W390" s="44" t="n">
        <v>0.979</v>
      </c>
      <c r="X390" s="6" t="n">
        <v>49</v>
      </c>
      <c r="Y390" s="45" t="n">
        <v>10.6</v>
      </c>
      <c r="Z390" s="6" t="s">
        <v>1907</v>
      </c>
      <c r="AA390" s="9" t="s">
        <v>774</v>
      </c>
      <c r="AB390" s="6" t="s">
        <v>1964</v>
      </c>
      <c r="AC390" s="27" t="n">
        <f aca="false">COUNTIF(環境認証!$A$2:$A$849,A220)</f>
        <v>1</v>
      </c>
      <c r="AD390" s="1" t="n">
        <v>152.1</v>
      </c>
      <c r="AE390" s="6" t="n">
        <v>20.1</v>
      </c>
    </row>
    <row r="391" customFormat="false" ht="15" hidden="false" customHeight="true" outlineLevel="0" collapsed="false">
      <c r="A391" s="6" t="s">
        <v>1965</v>
      </c>
      <c r="B391" s="6" t="s">
        <v>502</v>
      </c>
      <c r="C391" s="9" t="s">
        <v>1966</v>
      </c>
      <c r="D391" s="9" t="s">
        <v>761</v>
      </c>
      <c r="E391" s="9" t="s">
        <v>762</v>
      </c>
      <c r="F391" s="9" t="s">
        <v>763</v>
      </c>
      <c r="H391" s="9" t="s">
        <v>772</v>
      </c>
      <c r="J391" s="37"/>
      <c r="K391" s="39" t="n">
        <v>643.13</v>
      </c>
      <c r="L391" s="39" t="n">
        <v>4438.46</v>
      </c>
      <c r="M391" s="39" t="n">
        <v>3493.67</v>
      </c>
      <c r="N391" s="6" t="n">
        <v>9</v>
      </c>
      <c r="O391" s="6" t="n">
        <v>1</v>
      </c>
      <c r="P391" s="50" t="n">
        <v>36192</v>
      </c>
      <c r="Q391" s="41" t="n">
        <f aca="false">IF(OR($A221="",P221=""),"",ROUND(YEARFRAC(P221,README!$C$5),1))</f>
        <v>3.6</v>
      </c>
      <c r="R391" s="40"/>
      <c r="S391" s="42" t="n">
        <v>5750</v>
      </c>
      <c r="T391" s="48" t="n">
        <v>4150</v>
      </c>
      <c r="U391" s="42" t="n">
        <v>5880</v>
      </c>
      <c r="V391" s="43" t="n">
        <f aca="false">IF($A221="","",IF(OR(T221="",U221=""),"",U221-T221))</f>
        <v>-132</v>
      </c>
      <c r="W391" s="44" t="n">
        <v>1</v>
      </c>
      <c r="X391" s="6" t="n">
        <v>9</v>
      </c>
      <c r="Y391" s="45" t="n">
        <v>2</v>
      </c>
      <c r="Z391" s="6" t="s">
        <v>1907</v>
      </c>
      <c r="AA391" s="9" t="s">
        <v>774</v>
      </c>
      <c r="AB391" s="6" t="s">
        <v>1914</v>
      </c>
      <c r="AC391" s="27" t="n">
        <f aca="false">COUNTIF(環境認証!$A$2:$A$849,A221)</f>
        <v>0</v>
      </c>
      <c r="AD391" s="1" t="n">
        <v>79.3</v>
      </c>
      <c r="AE391" s="6" t="n">
        <v>2.3</v>
      </c>
    </row>
    <row r="392" customFormat="false" ht="15" hidden="false" customHeight="true" outlineLevel="0" collapsed="false">
      <c r="A392" s="6" t="s">
        <v>1967</v>
      </c>
      <c r="B392" s="6" t="s">
        <v>502</v>
      </c>
      <c r="C392" s="9" t="s">
        <v>1968</v>
      </c>
      <c r="D392" s="9" t="s">
        <v>761</v>
      </c>
      <c r="E392" s="9" t="s">
        <v>762</v>
      </c>
      <c r="F392" s="9" t="s">
        <v>763</v>
      </c>
      <c r="H392" s="9" t="s">
        <v>772</v>
      </c>
      <c r="J392" s="37"/>
      <c r="K392" s="39" t="n">
        <v>15838.93</v>
      </c>
      <c r="L392" s="39" t="n">
        <v>239769.07</v>
      </c>
      <c r="M392" s="39" t="n">
        <v>4191.96</v>
      </c>
      <c r="N392" s="6" t="n">
        <v>35</v>
      </c>
      <c r="O392" s="6" t="n">
        <v>4</v>
      </c>
      <c r="P392" s="50" t="n">
        <v>41183</v>
      </c>
      <c r="Q392" s="41" t="n">
        <f aca="false">IF(OR($A222="",P222=""),"",ROUND(YEARFRAC(P222,README!$C$5),1))</f>
        <v>17.3</v>
      </c>
      <c r="R392" s="40"/>
      <c r="S392" s="42" t="n">
        <v>11400</v>
      </c>
      <c r="T392" s="48" t="n">
        <v>10188</v>
      </c>
      <c r="U392" s="42" t="n">
        <v>12900</v>
      </c>
      <c r="V392" s="43" t="n">
        <f aca="false">IF($A222="","",IF(OR(T222="",U222=""),"",U222-T222))</f>
        <v>451</v>
      </c>
      <c r="W392" s="44" t="n">
        <v>0.996</v>
      </c>
      <c r="X392" s="6" t="n">
        <v>9</v>
      </c>
      <c r="Y392" s="45" t="n">
        <v>7.2</v>
      </c>
      <c r="Z392" s="6" t="s">
        <v>1907</v>
      </c>
      <c r="AA392" s="9" t="s">
        <v>774</v>
      </c>
      <c r="AB392" s="6" t="s">
        <v>1969</v>
      </c>
      <c r="AC392" s="27" t="n">
        <f aca="false">COUNTIF(環境認証!$A$2:$A$849,A222)</f>
        <v>1</v>
      </c>
      <c r="AD392" s="1" t="n">
        <v>11.9</v>
      </c>
      <c r="AE392" s="6" t="n">
        <v>13.2</v>
      </c>
    </row>
    <row r="393" customFormat="false" ht="15" hidden="false" customHeight="true" outlineLevel="0" collapsed="false">
      <c r="A393" s="6" t="s">
        <v>1970</v>
      </c>
      <c r="B393" s="6" t="s">
        <v>502</v>
      </c>
      <c r="C393" s="9" t="s">
        <v>1971</v>
      </c>
      <c r="D393" s="9" t="s">
        <v>761</v>
      </c>
      <c r="E393" s="9" t="s">
        <v>762</v>
      </c>
      <c r="F393" s="9" t="s">
        <v>815</v>
      </c>
      <c r="H393" s="9" t="s">
        <v>772</v>
      </c>
      <c r="J393" s="37"/>
      <c r="K393" s="39" t="n">
        <v>2643.15</v>
      </c>
      <c r="L393" s="39" t="n">
        <v>15662.2</v>
      </c>
      <c r="M393" s="39" t="n">
        <v>7822.77</v>
      </c>
      <c r="N393" s="6" t="n">
        <v>14</v>
      </c>
      <c r="O393" s="6" t="n">
        <v>3</v>
      </c>
      <c r="P393" s="50" t="n">
        <v>34090</v>
      </c>
      <c r="Q393" s="41" t="n">
        <f aca="false">IF(OR($A223="",P223=""),"",ROUND(YEARFRAC(P223,README!$C$5),1))</f>
        <v>33.2</v>
      </c>
      <c r="R393" s="40"/>
      <c r="S393" s="42" t="n">
        <v>11300</v>
      </c>
      <c r="T393" s="48" t="n">
        <v>4943</v>
      </c>
      <c r="U393" s="42" t="n">
        <v>12200</v>
      </c>
      <c r="V393" s="43" t="n">
        <f aca="false">IF($A223="","",IF(OR(T223="",U223=""),"",U223-T223))</f>
        <v>1736</v>
      </c>
      <c r="W393" s="44" t="n">
        <v>0.99</v>
      </c>
      <c r="X393" s="6" t="n">
        <v>15</v>
      </c>
      <c r="Y393" s="45" t="n">
        <v>10.5</v>
      </c>
      <c r="Z393" s="6" t="s">
        <v>1907</v>
      </c>
      <c r="AA393" s="9" t="s">
        <v>774</v>
      </c>
      <c r="AB393" s="6" t="s">
        <v>1972</v>
      </c>
      <c r="AC393" s="27" t="n">
        <f aca="false">COUNTIF(環境認証!$A$2:$A$849,A223)</f>
        <v>1</v>
      </c>
      <c r="AD393" s="1" t="n">
        <v>9</v>
      </c>
      <c r="AE393" s="6" t="n">
        <v>8</v>
      </c>
    </row>
    <row r="394" customFormat="false" ht="15" hidden="false" customHeight="true" outlineLevel="0" collapsed="false">
      <c r="A394" s="6" t="s">
        <v>1973</v>
      </c>
      <c r="B394" s="6" t="s">
        <v>502</v>
      </c>
      <c r="C394" s="9" t="s">
        <v>1974</v>
      </c>
      <c r="D394" s="9" t="s">
        <v>761</v>
      </c>
      <c r="E394" s="9" t="s">
        <v>762</v>
      </c>
      <c r="F394" s="9" t="s">
        <v>763</v>
      </c>
      <c r="H394" s="9" t="s">
        <v>772</v>
      </c>
      <c r="J394" s="37"/>
      <c r="K394" s="39" t="n">
        <v>9681.02</v>
      </c>
      <c r="L394" s="39" t="n">
        <v>96897.25</v>
      </c>
      <c r="M394" s="39" t="n">
        <v>2234.95</v>
      </c>
      <c r="N394" s="6" t="n">
        <v>23</v>
      </c>
      <c r="O394" s="6" t="n">
        <v>2</v>
      </c>
      <c r="P394" s="50" t="n">
        <v>41306</v>
      </c>
      <c r="Q394" s="41" t="n">
        <f aca="false">IF(OR($A224="",P224=""),"",ROUND(YEARFRAC(P224,README!$C$5),1))</f>
        <v>35.1</v>
      </c>
      <c r="R394" s="40"/>
      <c r="S394" s="42" t="n">
        <v>6490</v>
      </c>
      <c r="T394" s="48" t="n">
        <v>26137</v>
      </c>
      <c r="U394" s="42" t="n">
        <v>7040</v>
      </c>
      <c r="V394" s="43" t="n">
        <f aca="false">IF($A224="","",IF(OR(T224="",U224=""),"",U224-T224))</f>
        <v>-69</v>
      </c>
      <c r="W394" s="44" t="n">
        <v>0.999</v>
      </c>
      <c r="X394" s="6" t="n">
        <v>29</v>
      </c>
      <c r="Y394" s="45" t="n">
        <v>12</v>
      </c>
      <c r="Z394" s="6" t="s">
        <v>1907</v>
      </c>
      <c r="AA394" s="9" t="s">
        <v>774</v>
      </c>
      <c r="AB394" s="6" t="s">
        <v>1975</v>
      </c>
      <c r="AC394" s="27" t="n">
        <f aca="false">COUNTIF(環境認証!$A$2:$A$849,A224)</f>
        <v>1</v>
      </c>
      <c r="AD394" s="1" t="n">
        <v>13.6</v>
      </c>
      <c r="AE394" s="6" t="n">
        <v>8.5</v>
      </c>
    </row>
    <row r="395" customFormat="false" ht="15" hidden="false" customHeight="true" outlineLevel="0" collapsed="false">
      <c r="A395" s="6" t="s">
        <v>1976</v>
      </c>
      <c r="B395" s="6" t="s">
        <v>502</v>
      </c>
      <c r="C395" s="9" t="s">
        <v>1977</v>
      </c>
      <c r="D395" s="9" t="s">
        <v>1749</v>
      </c>
      <c r="E395" s="9" t="s">
        <v>762</v>
      </c>
      <c r="F395" s="9" t="s">
        <v>815</v>
      </c>
      <c r="H395" s="9" t="s">
        <v>772</v>
      </c>
      <c r="J395" s="37"/>
      <c r="K395" s="39" t="n">
        <v>1010.47</v>
      </c>
      <c r="L395" s="39" t="n">
        <v>8449.56</v>
      </c>
      <c r="M395" s="39" t="n">
        <v>8076.85</v>
      </c>
      <c r="N395" s="6" t="n">
        <v>8</v>
      </c>
      <c r="O395" s="6" t="n">
        <v>3</v>
      </c>
      <c r="P395" s="50" t="n">
        <v>33635</v>
      </c>
      <c r="Q395" s="41" t="n">
        <f aca="false">IF(OR($A225="",P225=""),"",ROUND(YEARFRAC(P225,README!$C$5),1))</f>
        <v>15.3</v>
      </c>
      <c r="R395" s="40"/>
      <c r="S395" s="42" t="n">
        <v>12000</v>
      </c>
      <c r="T395" s="48" t="n">
        <v>4606</v>
      </c>
      <c r="U395" s="42" t="n">
        <v>16000</v>
      </c>
      <c r="V395" s="43" t="n">
        <f aca="false">IF($A225="","",IF(OR(T225="",U225=""),"",U225-T225))</f>
        <v>1291</v>
      </c>
      <c r="W395" s="44" t="n">
        <v>1</v>
      </c>
      <c r="X395" s="6" t="n">
        <v>1</v>
      </c>
      <c r="Y395" s="45" t="n">
        <v>8.6</v>
      </c>
      <c r="Z395" s="6" t="s">
        <v>1907</v>
      </c>
      <c r="AA395" s="9" t="s">
        <v>774</v>
      </c>
      <c r="AB395" s="6" t="s">
        <v>1978</v>
      </c>
      <c r="AC395" s="27" t="n">
        <f aca="false">COUNTIF(環境認証!$A$2:$A$849,A225)</f>
        <v>0</v>
      </c>
      <c r="AD395" s="1" t="n">
        <v>25.3</v>
      </c>
      <c r="AE395" s="6" t="n">
        <v>33.3</v>
      </c>
    </row>
    <row r="396" customFormat="false" ht="15" hidden="false" customHeight="true" outlineLevel="0" collapsed="false">
      <c r="A396" s="6" t="s">
        <v>1979</v>
      </c>
      <c r="B396" s="6" t="s">
        <v>502</v>
      </c>
      <c r="C396" s="9" t="s">
        <v>1980</v>
      </c>
      <c r="D396" s="9" t="s">
        <v>1749</v>
      </c>
      <c r="E396" s="9" t="s">
        <v>762</v>
      </c>
      <c r="F396" s="9" t="s">
        <v>815</v>
      </c>
      <c r="H396" s="9" t="s">
        <v>772</v>
      </c>
      <c r="J396" s="37"/>
      <c r="K396" s="39" t="n">
        <v>198.1</v>
      </c>
      <c r="L396" s="39" t="n">
        <v>1066.81</v>
      </c>
      <c r="M396" s="39" t="n">
        <v>1027.33</v>
      </c>
      <c r="N396" s="6" t="n">
        <v>7</v>
      </c>
      <c r="O396" s="6" t="n">
        <v>1</v>
      </c>
      <c r="P396" s="50" t="n">
        <v>38749</v>
      </c>
      <c r="Q396" s="41" t="n">
        <f aca="false">IF(OR($A226="",P226=""),"",ROUND(YEARFRAC(P226,README!$C$5),1))</f>
        <v>33.2</v>
      </c>
      <c r="R396" s="40"/>
      <c r="S396" s="42" t="n">
        <v>4275</v>
      </c>
      <c r="T396" s="48" t="n">
        <v>18066</v>
      </c>
      <c r="U396" s="42" t="n">
        <v>4360</v>
      </c>
      <c r="V396" s="43" t="n">
        <f aca="false">IF($A226="","",IF(OR(T226="",U226=""),"",U226-T226))</f>
        <v>7747</v>
      </c>
      <c r="W396" s="44" t="n">
        <v>1</v>
      </c>
      <c r="X396" s="6" t="n">
        <v>7</v>
      </c>
      <c r="Y396" s="45" t="n">
        <v>4.7</v>
      </c>
      <c r="Z396" s="6" t="s">
        <v>1907</v>
      </c>
      <c r="AA396" s="9" t="s">
        <v>774</v>
      </c>
      <c r="AB396" s="6" t="s">
        <v>1914</v>
      </c>
      <c r="AC396" s="27" t="n">
        <f aca="false">COUNTIF(環境認証!$A$2:$A$849,A226)</f>
        <v>0</v>
      </c>
      <c r="AD396" s="1" t="n">
        <v>0.2</v>
      </c>
      <c r="AE396" s="6" t="n">
        <v>2</v>
      </c>
    </row>
    <row r="397" customFormat="false" ht="15" hidden="false" customHeight="true" outlineLevel="0" collapsed="false">
      <c r="A397" s="6" t="s">
        <v>1981</v>
      </c>
      <c r="B397" s="6" t="s">
        <v>502</v>
      </c>
      <c r="C397" s="9" t="s">
        <v>1982</v>
      </c>
      <c r="D397" s="9" t="s">
        <v>1749</v>
      </c>
      <c r="E397" s="9" t="s">
        <v>762</v>
      </c>
      <c r="F397" s="9" t="s">
        <v>771</v>
      </c>
      <c r="H397" s="9" t="s">
        <v>772</v>
      </c>
      <c r="J397" s="37"/>
      <c r="K397" s="39" t="n">
        <v>2578.69</v>
      </c>
      <c r="L397" s="39" t="n">
        <v>24617.65</v>
      </c>
      <c r="M397" s="39" t="n">
        <v>2347.81</v>
      </c>
      <c r="N397" s="6" t="n">
        <v>14</v>
      </c>
      <c r="O397" s="6" t="n">
        <v>3</v>
      </c>
      <c r="P397" s="50" t="n">
        <v>39083</v>
      </c>
      <c r="Q397" s="41" t="n">
        <f aca="false">IF(OR($A227="",P227=""),"",ROUND(YEARFRAC(P227,README!$C$5),1))</f>
        <v>17.1</v>
      </c>
      <c r="R397" s="40"/>
      <c r="S397" s="42" t="n">
        <v>2740</v>
      </c>
      <c r="T397" s="48" t="n">
        <v>23439</v>
      </c>
      <c r="U397" s="42" t="n">
        <v>2250</v>
      </c>
      <c r="V397" s="43" t="n">
        <f aca="false">IF($A227="","",IF(OR(T227="",U227=""),"",U227-T227))</f>
        <v>2158</v>
      </c>
      <c r="W397" s="44" t="n">
        <v>1</v>
      </c>
      <c r="X397" s="6" t="n">
        <v>1</v>
      </c>
      <c r="Y397" s="45" t="n">
        <v>9</v>
      </c>
      <c r="Z397" s="6" t="s">
        <v>1907</v>
      </c>
      <c r="AA397" s="9" t="s">
        <v>774</v>
      </c>
      <c r="AB397" s="6" t="s">
        <v>1983</v>
      </c>
      <c r="AC397" s="27" t="n">
        <f aca="false">COUNTIF(環境認証!$A$2:$A$849,A227)</f>
        <v>0</v>
      </c>
      <c r="AD397" s="1" t="n">
        <v>-4.9</v>
      </c>
      <c r="AE397" s="6" t="n">
        <v>-17.9</v>
      </c>
    </row>
    <row r="398" customFormat="false" ht="15" hidden="false" customHeight="true" outlineLevel="0" collapsed="false">
      <c r="A398" s="6" t="s">
        <v>1984</v>
      </c>
      <c r="B398" s="6" t="s">
        <v>502</v>
      </c>
      <c r="C398" s="9" t="s">
        <v>1985</v>
      </c>
      <c r="D398" s="9" t="s">
        <v>1749</v>
      </c>
      <c r="E398" s="9" t="s">
        <v>762</v>
      </c>
      <c r="F398" s="9" t="s">
        <v>763</v>
      </c>
      <c r="H398" s="9" t="s">
        <v>772</v>
      </c>
      <c r="J398" s="37"/>
      <c r="K398" s="39" t="n">
        <v>6808.12</v>
      </c>
      <c r="L398" s="39" t="n">
        <v>71957.65</v>
      </c>
      <c r="M398" s="39" t="n">
        <v>1101.92</v>
      </c>
      <c r="N398" s="6" t="n">
        <v>20</v>
      </c>
      <c r="O398" s="6" t="n">
        <v>4</v>
      </c>
      <c r="P398" s="50" t="n">
        <v>39356</v>
      </c>
      <c r="Q398" s="41" t="n">
        <f aca="false">IF(OR($A228="",P228=""),"",ROUND(YEARFRAC(P228,README!$C$5),1))</f>
        <v>35.8</v>
      </c>
      <c r="R398" s="40"/>
      <c r="S398" s="42" t="n">
        <v>3400</v>
      </c>
      <c r="T398" s="48" t="n">
        <v>5581</v>
      </c>
      <c r="U398" s="42" t="n">
        <v>3630</v>
      </c>
      <c r="V398" s="43" t="n">
        <f aca="false">IF($A228="","",IF(OR(T228="",U228=""),"",U228-T228))</f>
        <v>1239</v>
      </c>
      <c r="W398" s="44" t="n">
        <v>1</v>
      </c>
      <c r="X398" s="6" t="n">
        <v>1</v>
      </c>
      <c r="Y398" s="45" t="n">
        <v>8.5</v>
      </c>
      <c r="Z398" s="6" t="s">
        <v>1907</v>
      </c>
      <c r="AA398" s="9" t="s">
        <v>774</v>
      </c>
      <c r="AB398" s="6" t="s">
        <v>1986</v>
      </c>
      <c r="AC398" s="27" t="n">
        <f aca="false">COUNTIF(環境認証!$A$2:$A$849,A228)</f>
        <v>1</v>
      </c>
      <c r="AD398" s="1" t="n">
        <v>9.4</v>
      </c>
      <c r="AE398" s="6" t="n">
        <v>6.8</v>
      </c>
    </row>
    <row r="399" customFormat="false" ht="15" hidden="false" customHeight="true" outlineLevel="0" collapsed="false">
      <c r="A399" s="6" t="s">
        <v>1987</v>
      </c>
      <c r="B399" s="6" t="s">
        <v>502</v>
      </c>
      <c r="C399" s="9" t="s">
        <v>1988</v>
      </c>
      <c r="D399" s="9" t="s">
        <v>1749</v>
      </c>
      <c r="E399" s="9" t="s">
        <v>762</v>
      </c>
      <c r="F399" s="9" t="s">
        <v>820</v>
      </c>
      <c r="H399" s="9" t="s">
        <v>772</v>
      </c>
      <c r="J399" s="37"/>
      <c r="K399" s="39" t="n">
        <v>230.11</v>
      </c>
      <c r="L399" s="39" t="n">
        <v>1821.67</v>
      </c>
      <c r="M399" s="39" t="n">
        <v>1667.92</v>
      </c>
      <c r="N399" s="6" t="n">
        <v>11</v>
      </c>
      <c r="O399" s="6" t="n">
        <v>0</v>
      </c>
      <c r="P399" s="50" t="n">
        <v>39600</v>
      </c>
      <c r="Q399" s="41" t="n">
        <f aca="false">IF(OR($A229="",P229=""),"",ROUND(YEARFRAC(P229,README!$C$5),1))</f>
        <v>18.5</v>
      </c>
      <c r="R399" s="40"/>
      <c r="S399" s="42" t="n">
        <v>10100</v>
      </c>
      <c r="T399" s="48" t="n">
        <v>3358</v>
      </c>
      <c r="U399" s="42" t="n">
        <v>11000</v>
      </c>
      <c r="V399" s="43" t="n">
        <f aca="false">IF($A229="","",IF(OR(T229="",U229=""),"",U229-T229))</f>
        <v>5102</v>
      </c>
      <c r="W399" s="44" t="n">
        <v>1</v>
      </c>
      <c r="X399" s="6" t="n">
        <v>8</v>
      </c>
      <c r="Y399" s="45" t="n">
        <v>16.2</v>
      </c>
      <c r="Z399" s="6" t="s">
        <v>1907</v>
      </c>
      <c r="AA399" s="9" t="s">
        <v>774</v>
      </c>
      <c r="AB399" s="6" t="s">
        <v>1914</v>
      </c>
      <c r="AC399" s="27" t="n">
        <f aca="false">COUNTIF(環境認証!$A$2:$A$849,A229)</f>
        <v>2</v>
      </c>
      <c r="AD399" s="1" t="n">
        <v>-9.5</v>
      </c>
      <c r="AE399" s="6" t="n">
        <v>8.9</v>
      </c>
    </row>
    <row r="400" customFormat="false" ht="15" hidden="false" customHeight="true" outlineLevel="0" collapsed="false">
      <c r="A400" s="6" t="s">
        <v>1989</v>
      </c>
      <c r="B400" s="6" t="s">
        <v>502</v>
      </c>
      <c r="C400" s="9" t="s">
        <v>1990</v>
      </c>
      <c r="D400" s="9" t="s">
        <v>1749</v>
      </c>
      <c r="E400" s="9" t="s">
        <v>762</v>
      </c>
      <c r="F400" s="9" t="s">
        <v>763</v>
      </c>
      <c r="H400" s="9" t="s">
        <v>772</v>
      </c>
      <c r="J400" s="37"/>
      <c r="K400" s="39" t="n">
        <v>281.59</v>
      </c>
      <c r="L400" s="39" t="n">
        <v>1477.91</v>
      </c>
      <c r="M400" s="39" t="n">
        <v>1367.56</v>
      </c>
      <c r="N400" s="6" t="n">
        <v>9</v>
      </c>
      <c r="O400" s="6" t="n">
        <v>0</v>
      </c>
      <c r="P400" s="50" t="n">
        <v>42186</v>
      </c>
      <c r="Q400" s="41" t="n">
        <f aca="false">IF(OR($A230="",P230=""),"",ROUND(YEARFRAC(P230,README!$C$5),1))</f>
        <v>34.1</v>
      </c>
      <c r="R400" s="40"/>
      <c r="S400" s="42" t="n">
        <v>3250</v>
      </c>
      <c r="T400" s="48" t="n">
        <v>4413</v>
      </c>
      <c r="U400" s="42" t="n">
        <v>3460</v>
      </c>
      <c r="V400" s="43" t="n">
        <f aca="false">IF($A230="","",IF(OR(T230="",U230=""),"",U230-T230))</f>
        <v>261</v>
      </c>
      <c r="W400" s="44" t="n">
        <v>1</v>
      </c>
      <c r="X400" s="6" t="n">
        <v>6</v>
      </c>
      <c r="Y400" s="45" t="n">
        <v>12.8</v>
      </c>
      <c r="Z400" s="6" t="s">
        <v>1907</v>
      </c>
      <c r="AA400" s="9" t="s">
        <v>774</v>
      </c>
      <c r="AB400" s="6" t="s">
        <v>1914</v>
      </c>
      <c r="AC400" s="27" t="n">
        <f aca="false">COUNTIF(環境認証!$A$2:$A$849,A230)</f>
        <v>1</v>
      </c>
      <c r="AD400" s="1" t="n">
        <v>-17.7</v>
      </c>
      <c r="AE400" s="6" t="n">
        <v>6.5</v>
      </c>
    </row>
    <row r="401" customFormat="false" ht="15" hidden="false" customHeight="true" outlineLevel="0" collapsed="false">
      <c r="A401" s="6" t="s">
        <v>1991</v>
      </c>
      <c r="B401" s="6" t="s">
        <v>502</v>
      </c>
      <c r="C401" s="9" t="s">
        <v>1992</v>
      </c>
      <c r="D401" s="9" t="s">
        <v>761</v>
      </c>
      <c r="E401" s="9" t="s">
        <v>762</v>
      </c>
      <c r="F401" s="9" t="s">
        <v>1316</v>
      </c>
      <c r="H401" s="9" t="s">
        <v>882</v>
      </c>
      <c r="J401" s="37"/>
      <c r="K401" s="39" t="n">
        <v>3755.01</v>
      </c>
      <c r="L401" s="39" t="n">
        <v>34281.86</v>
      </c>
      <c r="M401" s="39" t="n">
        <v>7022.76</v>
      </c>
      <c r="N401" s="6" t="n">
        <v>19</v>
      </c>
      <c r="O401" s="6" t="n">
        <v>3</v>
      </c>
      <c r="P401" s="50" t="n">
        <v>35490</v>
      </c>
      <c r="Q401" s="41" t="n">
        <f aca="false">IF(OR($A231="",P231=""),"",ROUND(YEARFRAC(P231,README!$C$5),1))</f>
        <v>31.6</v>
      </c>
      <c r="R401" s="40"/>
      <c r="S401" s="42" t="n">
        <v>5880</v>
      </c>
      <c r="T401" s="48" t="n">
        <v>3965</v>
      </c>
      <c r="U401" s="42" t="n">
        <v>6640</v>
      </c>
      <c r="V401" s="43" t="n">
        <f aca="false">IF($A231="","",IF(OR(T231="",U231=""),"",U231-T231))</f>
        <v>-590</v>
      </c>
      <c r="W401" s="44" t="n">
        <v>1</v>
      </c>
      <c r="X401" s="6" t="n">
        <v>7</v>
      </c>
      <c r="Y401" s="45" t="n">
        <v>14.3</v>
      </c>
      <c r="Z401" s="6" t="s">
        <v>1907</v>
      </c>
      <c r="AA401" s="9" t="s">
        <v>774</v>
      </c>
      <c r="AB401" s="6" t="s">
        <v>1993</v>
      </c>
      <c r="AC401" s="27" t="n">
        <f aca="false">COUNTIF(環境認証!$A$2:$A$849,A231)</f>
        <v>0</v>
      </c>
      <c r="AD401" s="1" t="n">
        <v>-13.2</v>
      </c>
      <c r="AE401" s="6" t="n">
        <v>12.9</v>
      </c>
    </row>
    <row r="402" customFormat="false" ht="15" hidden="false" customHeight="true" outlineLevel="0" collapsed="false">
      <c r="A402" s="6" t="s">
        <v>1994</v>
      </c>
      <c r="B402" s="6" t="s">
        <v>502</v>
      </c>
      <c r="C402" s="9" t="s">
        <v>1995</v>
      </c>
      <c r="D402" s="9" t="s">
        <v>761</v>
      </c>
      <c r="E402" s="9" t="s">
        <v>946</v>
      </c>
      <c r="F402" s="9" t="s">
        <v>1996</v>
      </c>
      <c r="H402" s="9" t="s">
        <v>921</v>
      </c>
      <c r="J402" s="37"/>
      <c r="K402" s="39" t="n">
        <v>1382.35</v>
      </c>
      <c r="L402" s="39" t="n">
        <v>9072.57</v>
      </c>
      <c r="M402" s="39" t="n">
        <v>5542.93</v>
      </c>
      <c r="N402" s="6" t="n">
        <v>13</v>
      </c>
      <c r="O402" s="6" t="n">
        <v>1</v>
      </c>
      <c r="P402" s="50" t="n">
        <v>33239</v>
      </c>
      <c r="Q402" s="41" t="n">
        <f aca="false">IF(OR($A232="",P232=""),"",ROUND(YEARFRAC(P232,README!$C$5),1))</f>
        <v>18.5</v>
      </c>
      <c r="R402" s="40"/>
      <c r="S402" s="42" t="n">
        <v>2350</v>
      </c>
      <c r="T402" s="48" t="n">
        <v>4883</v>
      </c>
      <c r="U402" s="42" t="n">
        <v>1930</v>
      </c>
      <c r="V402" s="43" t="n">
        <f aca="false">IF($A232="","",IF(OR(T232="",U232=""),"",U232-T232))</f>
        <v>6163</v>
      </c>
      <c r="W402" s="44" t="n">
        <v>0.984</v>
      </c>
      <c r="X402" s="6" t="n">
        <v>42</v>
      </c>
      <c r="Y402" s="45" t="n">
        <v>10.7</v>
      </c>
      <c r="Z402" s="6" t="s">
        <v>1907</v>
      </c>
      <c r="AA402" s="9" t="s">
        <v>774</v>
      </c>
      <c r="AB402" s="6" t="s">
        <v>1997</v>
      </c>
      <c r="AC402" s="27" t="n">
        <f aca="false">COUNTIF(環境認証!$A$2:$A$849,A232)</f>
        <v>1</v>
      </c>
      <c r="AD402" s="1" t="n">
        <v>65.3</v>
      </c>
      <c r="AE402" s="6" t="n">
        <v>-17.9</v>
      </c>
    </row>
    <row r="403" customFormat="false" ht="15" hidden="false" customHeight="true" outlineLevel="0" collapsed="false">
      <c r="A403" s="6" t="s">
        <v>1998</v>
      </c>
      <c r="B403" s="6" t="s">
        <v>502</v>
      </c>
      <c r="C403" s="9" t="s">
        <v>1999</v>
      </c>
      <c r="D403" s="9" t="s">
        <v>761</v>
      </c>
      <c r="E403" s="9" t="s">
        <v>925</v>
      </c>
      <c r="F403" s="9" t="s">
        <v>926</v>
      </c>
      <c r="H403" s="9" t="s">
        <v>921</v>
      </c>
      <c r="I403" s="9" t="s">
        <v>2000</v>
      </c>
      <c r="J403" s="37"/>
      <c r="K403" s="39" t="n">
        <v>1100.59</v>
      </c>
      <c r="L403" s="39" t="n">
        <v>9146.52</v>
      </c>
      <c r="M403" s="39" t="n">
        <v>2127.87</v>
      </c>
      <c r="N403" s="6" t="n">
        <v>11</v>
      </c>
      <c r="O403" s="6" t="n">
        <v>1</v>
      </c>
      <c r="P403" s="50" t="n">
        <v>32782</v>
      </c>
      <c r="Q403" s="41" t="n">
        <f aca="false">IF(OR($A233="",P233=""),"",ROUND(YEARFRAC(P233,README!$C$5),1))</f>
        <v>36.9</v>
      </c>
      <c r="R403" s="40"/>
      <c r="S403" s="42" t="n">
        <v>1024</v>
      </c>
      <c r="T403" s="48" t="n">
        <v>13646</v>
      </c>
      <c r="U403" s="42" t="n">
        <v>883</v>
      </c>
      <c r="V403" s="43" t="n">
        <f aca="false">IF($A233="","",IF(OR(T233="",U233=""),"",U233-T233))</f>
        <v>67729.074</v>
      </c>
      <c r="W403" s="44" t="n">
        <v>0.998</v>
      </c>
      <c r="X403" s="6" t="n">
        <v>20</v>
      </c>
      <c r="Y403" s="45" t="n">
        <v>13</v>
      </c>
      <c r="Z403" s="6" t="s">
        <v>1907</v>
      </c>
      <c r="AA403" s="9" t="s">
        <v>774</v>
      </c>
      <c r="AB403" s="6" t="s">
        <v>2001</v>
      </c>
      <c r="AC403" s="27" t="n">
        <f aca="false">COUNTIF(環境認証!$A$2:$A$849,A233)</f>
        <v>0</v>
      </c>
      <c r="AD403" s="1" t="n">
        <v>70.7</v>
      </c>
      <c r="AE403" s="6" t="n">
        <v>-13.8</v>
      </c>
    </row>
    <row r="404" customFormat="false" ht="15" hidden="false" customHeight="true" outlineLevel="0" collapsed="false">
      <c r="A404" s="6" t="s">
        <v>2002</v>
      </c>
      <c r="B404" s="6" t="s">
        <v>502</v>
      </c>
      <c r="C404" s="9" t="s">
        <v>2003</v>
      </c>
      <c r="D404" s="9" t="s">
        <v>761</v>
      </c>
      <c r="E404" s="9" t="s">
        <v>925</v>
      </c>
      <c r="F404" s="9" t="s">
        <v>926</v>
      </c>
      <c r="H404" s="9" t="s">
        <v>921</v>
      </c>
      <c r="J404" s="37"/>
      <c r="K404" s="39" t="n">
        <v>841.71</v>
      </c>
      <c r="L404" s="39" t="n">
        <v>7781.93</v>
      </c>
      <c r="M404" s="39" t="n">
        <v>5287.41</v>
      </c>
      <c r="N404" s="6" t="n">
        <v>12</v>
      </c>
      <c r="O404" s="6" t="n">
        <v>2</v>
      </c>
      <c r="P404" s="50" t="n">
        <v>33451</v>
      </c>
      <c r="Q404" s="41" t="n">
        <f aca="false">IF(OR($A234="",P234=""),"",ROUND(YEARFRAC(P234,README!$C$5),1))</f>
        <v>35</v>
      </c>
      <c r="R404" s="40"/>
      <c r="S404" s="42" t="n">
        <v>1490</v>
      </c>
      <c r="T404" s="48" t="n">
        <v>4218</v>
      </c>
      <c r="U404" s="42" t="n">
        <v>2930</v>
      </c>
      <c r="V404" s="43" t="n">
        <f aca="false">IF($A234="","",IF(OR(T234="",U234=""),"",U234-T234))</f>
        <v>776</v>
      </c>
      <c r="W404" s="44" t="n">
        <v>0.969</v>
      </c>
      <c r="X404" s="6" t="n">
        <v>23</v>
      </c>
      <c r="Y404" s="45" t="n">
        <v>6.8</v>
      </c>
      <c r="Z404" s="6" t="s">
        <v>1907</v>
      </c>
      <c r="AA404" s="9" t="s">
        <v>774</v>
      </c>
      <c r="AB404" s="6" t="s">
        <v>2004</v>
      </c>
      <c r="AC404" s="27" t="n">
        <f aca="false">COUNTIF(環境認証!$A$2:$A$849,A234)</f>
        <v>1</v>
      </c>
      <c r="AD404" s="1" t="n">
        <v>61.2</v>
      </c>
      <c r="AE404" s="6" t="n">
        <v>96.6</v>
      </c>
    </row>
    <row r="405" customFormat="false" ht="15" hidden="false" customHeight="true" outlineLevel="0" collapsed="false">
      <c r="A405" s="6" t="s">
        <v>2005</v>
      </c>
      <c r="B405" s="6" t="s">
        <v>502</v>
      </c>
      <c r="C405" s="9" t="s">
        <v>2006</v>
      </c>
      <c r="D405" s="9" t="s">
        <v>761</v>
      </c>
      <c r="E405" s="9" t="s">
        <v>939</v>
      </c>
      <c r="F405" s="9" t="s">
        <v>2007</v>
      </c>
      <c r="H405" s="9" t="s">
        <v>921</v>
      </c>
      <c r="J405" s="37"/>
      <c r="K405" s="39" t="n">
        <v>4524.61</v>
      </c>
      <c r="L405" s="39" t="n">
        <v>28420.85</v>
      </c>
      <c r="M405" s="39" t="n">
        <v>15587.96</v>
      </c>
      <c r="N405" s="6" t="n">
        <v>15</v>
      </c>
      <c r="O405" s="6" t="n">
        <v>2</v>
      </c>
      <c r="P405" s="50" t="n">
        <v>34366</v>
      </c>
      <c r="Q405" s="41" t="n">
        <f aca="false">IF(OR($A235="",P235=""),"",ROUND(YEARFRAC(P235,README!$C$5),1))</f>
        <v>32.5</v>
      </c>
      <c r="R405" s="40"/>
      <c r="S405" s="42" t="n">
        <v>8100</v>
      </c>
      <c r="T405" s="48" t="n">
        <v>5612</v>
      </c>
      <c r="U405" s="42" t="n">
        <v>13800</v>
      </c>
      <c r="V405" s="43" t="n">
        <f aca="false">IF($A235="","",IF(OR(T235="",U235=""),"",U235-T235))</f>
        <v>1322</v>
      </c>
      <c r="W405" s="44" t="n">
        <v>1</v>
      </c>
      <c r="X405" s="6" t="n">
        <v>42</v>
      </c>
      <c r="Y405" s="45" t="n">
        <v>9.7</v>
      </c>
      <c r="Z405" s="6" t="s">
        <v>1907</v>
      </c>
      <c r="AA405" s="9" t="s">
        <v>774</v>
      </c>
      <c r="AB405" s="6" t="s">
        <v>1993</v>
      </c>
      <c r="AC405" s="27" t="n">
        <f aca="false">COUNTIF(環境認証!$A$2:$A$849,A235)</f>
        <v>0</v>
      </c>
      <c r="AD405" s="1" t="n">
        <v>18.9</v>
      </c>
      <c r="AE405" s="6" t="n">
        <v>70.4</v>
      </c>
    </row>
    <row r="406" customFormat="false" ht="15" hidden="false" customHeight="true" outlineLevel="0" collapsed="false">
      <c r="A406" s="6" t="s">
        <v>2008</v>
      </c>
      <c r="B406" s="6" t="s">
        <v>502</v>
      </c>
      <c r="C406" s="9" t="s">
        <v>2009</v>
      </c>
      <c r="D406" s="9" t="s">
        <v>761</v>
      </c>
      <c r="E406" s="9" t="s">
        <v>762</v>
      </c>
      <c r="F406" s="9" t="s">
        <v>1705</v>
      </c>
      <c r="H406" s="9" t="s">
        <v>921</v>
      </c>
      <c r="J406" s="37"/>
      <c r="K406" s="39" t="n">
        <v>2047.22</v>
      </c>
      <c r="L406" s="39" t="n">
        <v>14706.36</v>
      </c>
      <c r="M406" s="39" t="n">
        <v>4587.93</v>
      </c>
      <c r="N406" s="6" t="n">
        <v>12</v>
      </c>
      <c r="O406" s="6" t="n">
        <v>1</v>
      </c>
      <c r="P406" s="50" t="n">
        <v>34669</v>
      </c>
      <c r="Q406" s="41" t="n">
        <f aca="false">IF(OR($A236="",P236=""),"",ROUND(YEARFRAC(P236,README!$C$5),1))</f>
        <v>31.7</v>
      </c>
      <c r="R406" s="40"/>
      <c r="S406" s="42" t="n">
        <v>3188</v>
      </c>
      <c r="T406" s="48" t="n">
        <v>6471</v>
      </c>
      <c r="U406" s="42" t="n">
        <v>4680</v>
      </c>
      <c r="V406" s="43" t="n">
        <f aca="false">IF($A236="","",IF(OR(T236="",U236=""),"",U236-T236))</f>
        <v>1203</v>
      </c>
      <c r="W406" s="44" t="n">
        <v>1</v>
      </c>
      <c r="X406" s="6" t="n">
        <v>23</v>
      </c>
      <c r="Y406" s="45" t="n">
        <v>10.1</v>
      </c>
      <c r="Z406" s="6" t="s">
        <v>1907</v>
      </c>
      <c r="AA406" s="9" t="s">
        <v>774</v>
      </c>
      <c r="AB406" s="6" t="s">
        <v>2010</v>
      </c>
      <c r="AC406" s="27" t="n">
        <f aca="false">COUNTIF(環境認証!$A$2:$A$849,A236)</f>
        <v>0</v>
      </c>
      <c r="AD406" s="1" t="n">
        <v>7.6</v>
      </c>
      <c r="AE406" s="6" t="n">
        <v>46.8</v>
      </c>
    </row>
    <row r="407" customFormat="false" ht="15" hidden="false" customHeight="true" outlineLevel="0" collapsed="false">
      <c r="A407" s="6" t="s">
        <v>2011</v>
      </c>
      <c r="B407" s="6" t="s">
        <v>502</v>
      </c>
      <c r="C407" s="9" t="s">
        <v>2012</v>
      </c>
      <c r="D407" s="9" t="s">
        <v>761</v>
      </c>
      <c r="E407" s="9" t="s">
        <v>762</v>
      </c>
      <c r="F407" s="9" t="s">
        <v>911</v>
      </c>
      <c r="H407" s="9" t="s">
        <v>882</v>
      </c>
      <c r="J407" s="37"/>
      <c r="K407" s="39" t="n">
        <v>9377.28</v>
      </c>
      <c r="L407" s="39" t="n">
        <v>91280.94</v>
      </c>
      <c r="M407" s="39" t="n">
        <v>10531.13</v>
      </c>
      <c r="N407" s="6" t="n">
        <v>42</v>
      </c>
      <c r="O407" s="6" t="n">
        <v>3</v>
      </c>
      <c r="P407" s="50" t="n">
        <v>39083</v>
      </c>
      <c r="Q407" s="41" t="n">
        <f aca="false">IF(OR($A237="",P237=""),"",ROUND(YEARFRAC(P237,README!$C$5),1))</f>
        <v>19.6</v>
      </c>
      <c r="R407" s="40"/>
      <c r="S407" s="42" t="n">
        <v>13131</v>
      </c>
      <c r="T407" s="48" t="n">
        <v>3084</v>
      </c>
      <c r="U407" s="42" t="n">
        <v>19400</v>
      </c>
      <c r="V407" s="43" t="n">
        <f aca="false">IF($A237="","",IF(OR(T237="",U237=""),"",U237-T237))</f>
        <v>773</v>
      </c>
      <c r="W407" s="44" t="n">
        <v>1</v>
      </c>
      <c r="X407" s="6" t="n">
        <v>8</v>
      </c>
      <c r="Y407" s="45" t="n">
        <v>10.2</v>
      </c>
      <c r="Z407" s="6" t="s">
        <v>1907</v>
      </c>
      <c r="AA407" s="9" t="s">
        <v>774</v>
      </c>
      <c r="AB407" s="6" t="s">
        <v>2013</v>
      </c>
      <c r="AC407" s="27" t="n">
        <f aca="false">COUNTIF(環境認証!$A$2:$A$849,A237)</f>
        <v>0</v>
      </c>
      <c r="AD407" s="1" t="n">
        <v>63.4</v>
      </c>
      <c r="AE407" s="6" t="n">
        <v>47.7</v>
      </c>
    </row>
    <row r="408" customFormat="false" ht="15" hidden="false" customHeight="true" outlineLevel="0" collapsed="false">
      <c r="A408" s="6" t="s">
        <v>2014</v>
      </c>
      <c r="B408" s="6" t="s">
        <v>502</v>
      </c>
      <c r="C408" s="9" t="s">
        <v>2015</v>
      </c>
      <c r="D408" s="9" t="s">
        <v>761</v>
      </c>
      <c r="E408" s="9" t="s">
        <v>925</v>
      </c>
      <c r="F408" s="9" t="s">
        <v>926</v>
      </c>
      <c r="H408" s="9" t="s">
        <v>921</v>
      </c>
      <c r="J408" s="37"/>
      <c r="K408" s="39" t="n">
        <v>12011</v>
      </c>
      <c r="L408" s="39" t="n">
        <v>185974.87</v>
      </c>
      <c r="M408" s="39" t="n">
        <v>12000.67</v>
      </c>
      <c r="N408" s="6" t="n">
        <v>27</v>
      </c>
      <c r="O408" s="6" t="n">
        <v>3</v>
      </c>
      <c r="P408" s="50" t="n">
        <v>35490</v>
      </c>
      <c r="Q408" s="41" t="n">
        <f aca="false">IF(OR($A238="",P238=""),"",ROUND(YEARFRAC(P238,README!$C$5),1))</f>
        <v>29.4</v>
      </c>
      <c r="R408" s="40"/>
      <c r="S408" s="42" t="n">
        <v>6510</v>
      </c>
      <c r="T408" s="48" t="n">
        <v>1487</v>
      </c>
      <c r="U408" s="42" t="n">
        <v>6210</v>
      </c>
      <c r="V408" s="43" t="n">
        <f aca="false">IF($A238="","",IF(OR(T238="",U238=""),"",U238-T238))</f>
        <v>655</v>
      </c>
      <c r="W408" s="44" t="n">
        <v>0.991</v>
      </c>
      <c r="X408" s="6" t="n">
        <v>43</v>
      </c>
      <c r="Y408" s="45" t="n">
        <v>9</v>
      </c>
      <c r="Z408" s="6" t="s">
        <v>1907</v>
      </c>
      <c r="AA408" s="9" t="s">
        <v>774</v>
      </c>
      <c r="AB408" s="6" t="s">
        <v>1997</v>
      </c>
      <c r="AC408" s="27" t="n">
        <f aca="false">COUNTIF(環境認証!$A$2:$A$849,A238)</f>
        <v>0</v>
      </c>
      <c r="AD408" s="1" t="n">
        <v>20.5</v>
      </c>
      <c r="AE408" s="6" t="n">
        <v>-4.6</v>
      </c>
    </row>
    <row r="409" customFormat="false" ht="15" hidden="false" customHeight="true" outlineLevel="0" collapsed="false">
      <c r="A409" s="6" t="s">
        <v>2016</v>
      </c>
      <c r="B409" s="6" t="s">
        <v>502</v>
      </c>
      <c r="C409" s="9" t="s">
        <v>2017</v>
      </c>
      <c r="D409" s="9" t="s">
        <v>761</v>
      </c>
      <c r="E409" s="9" t="s">
        <v>762</v>
      </c>
      <c r="F409" s="9" t="s">
        <v>1316</v>
      </c>
      <c r="H409" s="9" t="s">
        <v>882</v>
      </c>
      <c r="J409" s="37"/>
      <c r="K409" s="39" t="n">
        <v>27335.29</v>
      </c>
      <c r="L409" s="39" t="n">
        <v>257842.41</v>
      </c>
      <c r="M409" s="39" t="n">
        <v>23987.4</v>
      </c>
      <c r="N409" s="6" t="n">
        <v>45</v>
      </c>
      <c r="O409" s="6" t="n">
        <v>2</v>
      </c>
      <c r="P409" s="50" t="n">
        <v>38749</v>
      </c>
      <c r="Q409" s="41" t="n">
        <f aca="false">IF(OR($A239="",P239=""),"",ROUND(YEARFRAC(P239,README!$C$5),1))</f>
        <v>20.5</v>
      </c>
      <c r="R409" s="40"/>
      <c r="S409" s="42" t="n">
        <v>31300</v>
      </c>
      <c r="T409" s="48" t="n">
        <v>1045</v>
      </c>
      <c r="U409" s="42" t="n">
        <v>40400</v>
      </c>
      <c r="V409" s="43" t="n">
        <f aca="false">IF($A239="","",IF(OR(T239="",U239=""),"",U239-T239))</f>
        <v>734</v>
      </c>
      <c r="W409" s="44" t="n">
        <v>0.984</v>
      </c>
      <c r="X409" s="6" t="n">
        <v>23</v>
      </c>
      <c r="Y409" s="45" t="n">
        <v>9</v>
      </c>
      <c r="Z409" s="6" t="s">
        <v>1907</v>
      </c>
      <c r="AA409" s="9" t="s">
        <v>774</v>
      </c>
      <c r="AB409" s="6" t="s">
        <v>2018</v>
      </c>
      <c r="AC409" s="27" t="n">
        <f aca="false">COUNTIF(環境認証!$A$2:$A$849,A239)</f>
        <v>0</v>
      </c>
      <c r="AD409" s="1" t="n">
        <v>17.5</v>
      </c>
      <c r="AE409" s="6" t="n">
        <v>29.1</v>
      </c>
    </row>
    <row r="410" customFormat="false" ht="15" hidden="false" customHeight="true" outlineLevel="0" collapsed="false">
      <c r="A410" s="6" t="s">
        <v>2019</v>
      </c>
      <c r="B410" s="6" t="s">
        <v>502</v>
      </c>
      <c r="C410" s="9" t="s">
        <v>2020</v>
      </c>
      <c r="D410" s="9" t="s">
        <v>761</v>
      </c>
      <c r="E410" s="9" t="s">
        <v>925</v>
      </c>
      <c r="F410" s="9" t="s">
        <v>926</v>
      </c>
      <c r="H410" s="9" t="s">
        <v>921</v>
      </c>
      <c r="J410" s="37"/>
      <c r="K410" s="39" t="n">
        <v>1110.28</v>
      </c>
      <c r="L410" s="39" t="n">
        <v>8772.51</v>
      </c>
      <c r="M410" s="39" t="n">
        <v>6494.67</v>
      </c>
      <c r="N410" s="6" t="n">
        <v>9</v>
      </c>
      <c r="O410" s="6" t="n">
        <v>1</v>
      </c>
      <c r="P410" s="50" t="n">
        <v>29707</v>
      </c>
      <c r="Q410" s="41" t="n">
        <f aca="false">IF(OR($A240="",P240=""),"",ROUND(YEARFRAC(P240,README!$C$5),1))</f>
        <v>45.3</v>
      </c>
      <c r="R410" s="40"/>
      <c r="S410" s="42" t="n">
        <v>7000</v>
      </c>
      <c r="T410" s="48" t="n">
        <v>5016</v>
      </c>
      <c r="U410" s="42" t="n">
        <v>10600</v>
      </c>
      <c r="V410" s="43" t="n">
        <f aca="false">IF($A240="","",IF(OR(T240="",U240=""),"",U240-T240))</f>
        <v>176</v>
      </c>
      <c r="W410" s="44" t="n">
        <v>1</v>
      </c>
      <c r="X410" s="6" t="n">
        <v>20</v>
      </c>
      <c r="Y410" s="45" t="n">
        <v>6.3</v>
      </c>
      <c r="Z410" s="6" t="s">
        <v>1907</v>
      </c>
      <c r="AA410" s="9" t="s">
        <v>774</v>
      </c>
      <c r="AB410" s="6" t="s">
        <v>1993</v>
      </c>
      <c r="AC410" s="27" t="n">
        <f aca="false">COUNTIF(環境認証!$A$2:$A$849,A240)</f>
        <v>0</v>
      </c>
      <c r="AD410" s="1" t="n">
        <v>26.8</v>
      </c>
      <c r="AE410" s="6" t="n">
        <v>51.4</v>
      </c>
    </row>
    <row r="411" customFormat="false" ht="15" hidden="false" customHeight="true" outlineLevel="0" collapsed="false">
      <c r="A411" s="6" t="s">
        <v>2021</v>
      </c>
      <c r="B411" s="6" t="s">
        <v>502</v>
      </c>
      <c r="C411" s="9" t="s">
        <v>2022</v>
      </c>
      <c r="D411" s="9" t="s">
        <v>761</v>
      </c>
      <c r="E411" s="9" t="s">
        <v>939</v>
      </c>
      <c r="F411" s="9" t="s">
        <v>940</v>
      </c>
      <c r="H411" s="9" t="s">
        <v>921</v>
      </c>
      <c r="J411" s="37"/>
      <c r="K411" s="39" t="n">
        <v>2268.09</v>
      </c>
      <c r="L411" s="39" t="n">
        <v>9203.98</v>
      </c>
      <c r="M411" s="39" t="n">
        <v>6755.32</v>
      </c>
      <c r="N411" s="6" t="n">
        <v>9</v>
      </c>
      <c r="O411" s="6" t="n">
        <v>0</v>
      </c>
      <c r="P411" s="50" t="n">
        <v>39845</v>
      </c>
      <c r="Q411" s="41" t="n">
        <f aca="false">IF(OR($A241="",P241=""),"",ROUND(YEARFRAC(P241,README!$C$5),1))</f>
        <v>17.5</v>
      </c>
      <c r="R411" s="40"/>
      <c r="S411" s="42" t="n">
        <v>6090</v>
      </c>
      <c r="T411" s="48" t="n">
        <v>9738</v>
      </c>
      <c r="U411" s="42" t="n">
        <v>11400</v>
      </c>
      <c r="V411" s="43" t="n">
        <f aca="false">IF($A241="","",IF(OR(T241="",U241=""),"",U241-T241))</f>
        <v>1023</v>
      </c>
      <c r="W411" s="44" t="n">
        <v>1</v>
      </c>
      <c r="X411" s="6" t="n">
        <v>11</v>
      </c>
      <c r="Y411" s="45" t="n">
        <v>2.5</v>
      </c>
      <c r="Z411" s="6" t="s">
        <v>1907</v>
      </c>
      <c r="AA411" s="9" t="s">
        <v>774</v>
      </c>
      <c r="AB411" s="6" t="s">
        <v>1993</v>
      </c>
      <c r="AC411" s="27" t="n">
        <f aca="false">COUNTIF(環境認証!$A$2:$A$849,A241)</f>
        <v>0</v>
      </c>
      <c r="AD411" s="1" t="n">
        <v>14</v>
      </c>
      <c r="AE411" s="6" t="n">
        <v>87.2</v>
      </c>
    </row>
    <row r="412" customFormat="false" ht="15" hidden="false" customHeight="true" outlineLevel="0" collapsed="false">
      <c r="A412" s="6" t="s">
        <v>2023</v>
      </c>
      <c r="B412" s="6" t="s">
        <v>502</v>
      </c>
      <c r="C412" s="9" t="s">
        <v>2024</v>
      </c>
      <c r="D412" s="9" t="s">
        <v>761</v>
      </c>
      <c r="E412" s="9" t="s">
        <v>946</v>
      </c>
      <c r="F412" s="9" t="s">
        <v>1996</v>
      </c>
      <c r="H412" s="9" t="s">
        <v>921</v>
      </c>
      <c r="J412" s="37"/>
      <c r="K412" s="39" t="n">
        <v>20054.15</v>
      </c>
      <c r="L412" s="39" t="n">
        <v>158663.55</v>
      </c>
      <c r="M412" s="39" t="n">
        <v>13271.26</v>
      </c>
      <c r="N412" s="6" t="n">
        <v>23</v>
      </c>
      <c r="O412" s="6" t="n">
        <v>2</v>
      </c>
      <c r="P412" s="50" t="n">
        <v>34060</v>
      </c>
      <c r="Q412" s="41" t="n">
        <f aca="false">IF(OR($A242="",P242=""),"",ROUND(YEARFRAC(P242,README!$C$5),1))</f>
        <v>33.4</v>
      </c>
      <c r="R412" s="40"/>
      <c r="S412" s="42" t="n">
        <v>13870</v>
      </c>
      <c r="T412" s="48" t="n">
        <v>8727</v>
      </c>
      <c r="U412" s="42" t="n">
        <v>13400</v>
      </c>
      <c r="V412" s="43" t="n">
        <f aca="false">IF($A242="","",IF(OR(T242="",U242=""),"",U242-T242))</f>
        <v>751</v>
      </c>
      <c r="W412" s="44" t="n">
        <v>0.887</v>
      </c>
      <c r="X412" s="6" t="n">
        <v>73</v>
      </c>
      <c r="Y412" s="45" t="n">
        <v>12.9</v>
      </c>
      <c r="Z412" s="6" t="s">
        <v>1907</v>
      </c>
      <c r="AA412" s="9" t="s">
        <v>774</v>
      </c>
      <c r="AB412" s="6" t="s">
        <v>2025</v>
      </c>
      <c r="AC412" s="27" t="n">
        <f aca="false">COUNTIF(環境認証!$A$2:$A$849,A242)</f>
        <v>0</v>
      </c>
      <c r="AD412" s="1" t="n">
        <v>12.4</v>
      </c>
      <c r="AE412" s="6" t="n">
        <v>-3.4</v>
      </c>
    </row>
    <row r="413" customFormat="false" ht="15" hidden="false" customHeight="true" outlineLevel="0" collapsed="false">
      <c r="A413" s="6" t="s">
        <v>2026</v>
      </c>
      <c r="B413" s="6" t="s">
        <v>502</v>
      </c>
      <c r="C413" s="9" t="s">
        <v>2027</v>
      </c>
      <c r="D413" s="9" t="s">
        <v>761</v>
      </c>
      <c r="E413" s="9" t="s">
        <v>762</v>
      </c>
      <c r="F413" s="9" t="s">
        <v>1152</v>
      </c>
      <c r="H413" s="9" t="s">
        <v>882</v>
      </c>
      <c r="J413" s="37"/>
      <c r="K413" s="39" t="n">
        <v>6045.05</v>
      </c>
      <c r="L413" s="39" t="n">
        <v>37870.65</v>
      </c>
      <c r="M413" s="39" t="n">
        <v>25516.37</v>
      </c>
      <c r="N413" s="6" t="n">
        <v>10</v>
      </c>
      <c r="O413" s="6" t="n">
        <v>2</v>
      </c>
      <c r="P413" s="50" t="n">
        <v>40969</v>
      </c>
      <c r="Q413" s="41" t="n">
        <f aca="false">IF(OR($A243="",P243=""),"",ROUND(YEARFRAC(P243,README!$C$5),1))</f>
        <v>14.4</v>
      </c>
      <c r="R413" s="40"/>
      <c r="S413" s="42" t="n">
        <v>52907</v>
      </c>
      <c r="T413" s="48" t="n">
        <v>3985</v>
      </c>
      <c r="U413" s="42" t="n">
        <v>58600</v>
      </c>
      <c r="V413" s="43" t="n">
        <f aca="false">IF($A243="","",IF(OR(T243="",U243=""),"",U243-T243))</f>
        <v>411</v>
      </c>
      <c r="W413" s="44" t="n">
        <v>1</v>
      </c>
      <c r="X413" s="6" t="n">
        <v>15</v>
      </c>
      <c r="Y413" s="45" t="n">
        <v>7.4</v>
      </c>
      <c r="Z413" s="6" t="s">
        <v>1907</v>
      </c>
      <c r="AA413" s="9" t="s">
        <v>774</v>
      </c>
      <c r="AB413" s="6" t="s">
        <v>2028</v>
      </c>
      <c r="AC413" s="27" t="n">
        <f aca="false">COUNTIF(環境認証!$A$2:$A$849,A243)</f>
        <v>0</v>
      </c>
      <c r="AD413" s="1" t="n">
        <v>81.7</v>
      </c>
      <c r="AE413" s="6" t="n">
        <v>10.8</v>
      </c>
    </row>
    <row r="414" customFormat="false" ht="15" hidden="false" customHeight="true" outlineLevel="0" collapsed="false">
      <c r="A414" s="6" t="s">
        <v>2029</v>
      </c>
      <c r="B414" s="6" t="s">
        <v>502</v>
      </c>
      <c r="C414" s="9" t="s">
        <v>2030</v>
      </c>
      <c r="D414" s="9" t="s">
        <v>1749</v>
      </c>
      <c r="E414" s="9" t="s">
        <v>762</v>
      </c>
      <c r="F414" s="9" t="s">
        <v>2031</v>
      </c>
      <c r="H414" s="9" t="s">
        <v>921</v>
      </c>
      <c r="J414" s="37"/>
      <c r="K414" s="39" t="n">
        <v>12326.3</v>
      </c>
      <c r="L414" s="39" t="n">
        <v>80675.27</v>
      </c>
      <c r="M414" s="39" t="n">
        <v>31121.71</v>
      </c>
      <c r="N414" s="6" t="n">
        <v>17</v>
      </c>
      <c r="O414" s="6" t="n">
        <v>2</v>
      </c>
      <c r="P414" s="50" t="n">
        <v>34731</v>
      </c>
      <c r="Q414" s="41" t="n">
        <f aca="false">IF(OR($A244="",P244=""),"",ROUND(YEARFRAC(P244,README!$C$5),1))</f>
        <v>31.5</v>
      </c>
      <c r="R414" s="40"/>
      <c r="S414" s="42" t="n">
        <v>10200</v>
      </c>
      <c r="T414" s="48" t="n">
        <v>2385</v>
      </c>
      <c r="U414" s="42" t="n">
        <v>11200</v>
      </c>
      <c r="V414" s="43" t="n">
        <f aca="false">IF($A244="","",IF(OR(T244="",U244=""),"",U244-T244))</f>
        <v>969</v>
      </c>
      <c r="W414" s="44" t="n">
        <v>1</v>
      </c>
      <c r="X414" s="6" t="n">
        <v>1</v>
      </c>
      <c r="Y414" s="45" t="n">
        <v>9.9</v>
      </c>
      <c r="Z414" s="6" t="s">
        <v>1907</v>
      </c>
      <c r="AA414" s="9" t="s">
        <v>774</v>
      </c>
      <c r="AB414" s="6" t="s">
        <v>2032</v>
      </c>
      <c r="AC414" s="27" t="n">
        <f aca="false">COUNTIF(環境認証!$A$2:$A$849,A244)</f>
        <v>0</v>
      </c>
      <c r="AD414" s="1" t="n">
        <v>11.9</v>
      </c>
      <c r="AE414" s="6" t="n">
        <v>9.8</v>
      </c>
    </row>
    <row r="415" customFormat="false" ht="15" hidden="false" customHeight="true" outlineLevel="0" collapsed="false">
      <c r="A415" s="6" t="s">
        <v>2033</v>
      </c>
      <c r="B415" s="6" t="s">
        <v>502</v>
      </c>
      <c r="C415" s="9" t="s">
        <v>2034</v>
      </c>
      <c r="D415" s="9" t="s">
        <v>1749</v>
      </c>
      <c r="E415" s="9" t="s">
        <v>939</v>
      </c>
      <c r="F415" s="9" t="s">
        <v>2007</v>
      </c>
      <c r="H415" s="9" t="s">
        <v>921</v>
      </c>
      <c r="J415" s="37"/>
      <c r="K415" s="39" t="n">
        <v>15008.28</v>
      </c>
      <c r="L415" s="39" t="n">
        <v>48321.96</v>
      </c>
      <c r="M415" s="39" t="n">
        <v>5963</v>
      </c>
      <c r="N415" s="6" t="n">
        <v>10</v>
      </c>
      <c r="O415" s="6" t="n">
        <v>2</v>
      </c>
      <c r="P415" s="50" t="n">
        <v>38718</v>
      </c>
      <c r="Q415" s="41" t="n">
        <f aca="false">IF(OR($A245="",P245=""),"",ROUND(YEARFRAC(P245,README!$C$5),1))</f>
        <v>20.6</v>
      </c>
      <c r="R415" s="40"/>
      <c r="S415" s="42" t="n">
        <v>2100</v>
      </c>
      <c r="T415" s="48" t="n">
        <v>1109</v>
      </c>
      <c r="U415" s="42" t="n">
        <v>3530</v>
      </c>
      <c r="V415" s="43" t="n">
        <f aca="false">IF($A245="","",IF(OR(T245="",U245=""),"",U245-T245))</f>
        <v>681</v>
      </c>
      <c r="W415" s="44" t="n">
        <v>1</v>
      </c>
      <c r="X415" s="6" t="n">
        <v>1</v>
      </c>
      <c r="Y415" s="45" t="n">
        <v>10.1</v>
      </c>
      <c r="Z415" s="6" t="s">
        <v>1907</v>
      </c>
      <c r="AA415" s="9" t="s">
        <v>774</v>
      </c>
      <c r="AB415" s="6" t="s">
        <v>2035</v>
      </c>
      <c r="AC415" s="27" t="n">
        <f aca="false">COUNTIF(環境認証!$A$2:$A$849,A245)</f>
        <v>0</v>
      </c>
      <c r="AD415" s="1" t="n">
        <v>50.6</v>
      </c>
      <c r="AE415" s="6" t="n">
        <v>68.1</v>
      </c>
    </row>
    <row r="416" customFormat="false" ht="15" hidden="false" customHeight="true" outlineLevel="0" collapsed="false">
      <c r="A416" s="6" t="s">
        <v>2036</v>
      </c>
      <c r="B416" s="6" t="s">
        <v>502</v>
      </c>
      <c r="C416" s="9" t="s">
        <v>2037</v>
      </c>
      <c r="D416" s="9" t="s">
        <v>1749</v>
      </c>
      <c r="E416" s="9" t="s">
        <v>925</v>
      </c>
      <c r="F416" s="9" t="s">
        <v>930</v>
      </c>
      <c r="H416" s="9" t="s">
        <v>921</v>
      </c>
      <c r="J416" s="37"/>
      <c r="K416" s="39" t="n">
        <v>4757.09</v>
      </c>
      <c r="L416" s="39" t="n">
        <v>18394.32</v>
      </c>
      <c r="M416" s="39" t="n">
        <v>19740.95</v>
      </c>
      <c r="N416" s="6" t="n">
        <v>6</v>
      </c>
      <c r="O416" s="6" t="n">
        <v>1</v>
      </c>
      <c r="P416" s="50" t="n">
        <v>30376</v>
      </c>
      <c r="Q416" s="41" t="n">
        <f aca="false">IF(OR($A246="",P246=""),"",ROUND(YEARFRAC(P246,README!$C$5),1))</f>
        <v>43.4</v>
      </c>
      <c r="R416" s="40"/>
      <c r="S416" s="42" t="n">
        <v>7254</v>
      </c>
      <c r="T416" s="48" t="n">
        <v>844</v>
      </c>
      <c r="U416" s="42" t="n">
        <v>5350</v>
      </c>
      <c r="V416" s="43" t="n">
        <f aca="false">IF($A246="","",IF(OR(T246="",U246=""),"",U246-T246))</f>
        <v>2230</v>
      </c>
      <c r="W416" s="44" t="n">
        <v>1</v>
      </c>
      <c r="X416" s="6" t="n">
        <v>1</v>
      </c>
      <c r="Y416" s="45" t="n">
        <v>11.2</v>
      </c>
      <c r="Z416" s="6" t="s">
        <v>1907</v>
      </c>
      <c r="AA416" s="9" t="s">
        <v>774</v>
      </c>
      <c r="AB416" s="6" t="s">
        <v>2038</v>
      </c>
      <c r="AC416" s="27" t="n">
        <f aca="false">COUNTIF(環境認証!$A$2:$A$849,A246)</f>
        <v>0</v>
      </c>
      <c r="AD416" s="1" t="n">
        <v>63.5</v>
      </c>
      <c r="AE416" s="6" t="n">
        <v>-26.2</v>
      </c>
    </row>
    <row r="417" customFormat="false" ht="15" hidden="false" customHeight="true" outlineLevel="0" collapsed="false">
      <c r="A417" s="6" t="s">
        <v>2039</v>
      </c>
      <c r="B417" s="6" t="s">
        <v>502</v>
      </c>
      <c r="C417" s="9" t="s">
        <v>2040</v>
      </c>
      <c r="D417" s="9" t="s">
        <v>1749</v>
      </c>
      <c r="E417" s="9" t="s">
        <v>939</v>
      </c>
      <c r="F417" s="9" t="s">
        <v>940</v>
      </c>
      <c r="H417" s="9" t="s">
        <v>921</v>
      </c>
      <c r="J417" s="37"/>
      <c r="K417" s="39" t="n">
        <v>8317.99</v>
      </c>
      <c r="L417" s="39" t="n">
        <v>28930.36</v>
      </c>
      <c r="M417" s="39" t="n">
        <v>14960.7</v>
      </c>
      <c r="N417" s="6" t="n">
        <v>4</v>
      </c>
      <c r="O417" s="6" t="n">
        <v>1</v>
      </c>
      <c r="P417" s="50" t="n">
        <v>38626</v>
      </c>
      <c r="Q417" s="41" t="n">
        <f aca="false">IF(OR($A247="",P247=""),"",ROUND(YEARFRAC(P247,README!$C$5),1))</f>
        <v>20.9</v>
      </c>
      <c r="R417" s="40"/>
      <c r="S417" s="42" t="n">
        <v>4335</v>
      </c>
      <c r="T417" s="48" t="n">
        <v>3830</v>
      </c>
      <c r="U417" s="42" t="n">
        <v>4350</v>
      </c>
      <c r="V417" s="43" t="n">
        <f aca="false">IF($A247="","",IF(OR(T247="",U247=""),"",U247-T247))</f>
        <v>240</v>
      </c>
      <c r="W417" s="44" t="n">
        <v>1</v>
      </c>
      <c r="X417" s="6" t="n">
        <v>3</v>
      </c>
      <c r="Y417" s="45" t="n">
        <v>10.3</v>
      </c>
      <c r="Z417" s="6" t="s">
        <v>1907</v>
      </c>
      <c r="AA417" s="9" t="s">
        <v>774</v>
      </c>
      <c r="AB417" s="6" t="s">
        <v>1993</v>
      </c>
      <c r="AC417" s="27" t="n">
        <f aca="false">COUNTIF(環境認証!$A$2:$A$849,A247)</f>
        <v>0</v>
      </c>
      <c r="AD417" s="1" t="n">
        <v>88.8</v>
      </c>
      <c r="AE417" s="6" t="n">
        <v>0.3</v>
      </c>
    </row>
    <row r="418" customFormat="false" ht="15" hidden="false" customHeight="true" outlineLevel="0" collapsed="false">
      <c r="A418" s="6" t="s">
        <v>2041</v>
      </c>
      <c r="B418" s="6" t="s">
        <v>502</v>
      </c>
      <c r="C418" s="9" t="s">
        <v>2042</v>
      </c>
      <c r="D418" s="9" t="s">
        <v>1749</v>
      </c>
      <c r="E418" s="9" t="s">
        <v>925</v>
      </c>
      <c r="F418" s="9" t="s">
        <v>930</v>
      </c>
      <c r="H418" s="9" t="s">
        <v>921</v>
      </c>
      <c r="J418" s="37"/>
      <c r="K418" s="39" t="n">
        <v>4475.45</v>
      </c>
      <c r="L418" s="39" t="n">
        <v>36902.01</v>
      </c>
      <c r="M418" s="39" t="n">
        <v>12113.1</v>
      </c>
      <c r="N418" s="6" t="n">
        <v>11</v>
      </c>
      <c r="O418" s="6" t="n">
        <v>2</v>
      </c>
      <c r="P418" s="50" t="n">
        <v>37834</v>
      </c>
      <c r="Q418" s="41" t="n">
        <f aca="false">IF(OR($A248="",P248=""),"",ROUND(YEARFRAC(P248,README!$C$5),1))</f>
        <v>23</v>
      </c>
      <c r="R418" s="40"/>
      <c r="S418" s="42" t="n">
        <v>15080</v>
      </c>
      <c r="T418" s="48" t="n">
        <v>1675</v>
      </c>
      <c r="U418" s="42" t="n">
        <v>11900</v>
      </c>
      <c r="V418" s="43" t="n">
        <f aca="false">IF($A248="","",IF(OR(T248="",U248=""),"",U248-T248))</f>
        <v>1031</v>
      </c>
      <c r="W418" s="44" t="n">
        <v>1</v>
      </c>
      <c r="X418" s="6" t="n">
        <v>31</v>
      </c>
      <c r="Y418" s="45" t="n">
        <v>11.5</v>
      </c>
      <c r="Z418" s="6" t="s">
        <v>1907</v>
      </c>
      <c r="AA418" s="9" t="s">
        <v>774</v>
      </c>
      <c r="AB418" s="6" t="s">
        <v>2043</v>
      </c>
      <c r="AC418" s="27" t="n">
        <f aca="false">COUNTIF(環境認証!$A$2:$A$849,A248)</f>
        <v>0</v>
      </c>
      <c r="AD418" s="1" t="n">
        <v>33.7</v>
      </c>
      <c r="AE418" s="6" t="n">
        <v>-21.1</v>
      </c>
    </row>
    <row r="419" customFormat="false" ht="15" hidden="false" customHeight="true" outlineLevel="0" collapsed="false">
      <c r="A419" s="6" t="s">
        <v>2044</v>
      </c>
      <c r="B419" s="6" t="s">
        <v>502</v>
      </c>
      <c r="C419" s="9" t="s">
        <v>2045</v>
      </c>
      <c r="D419" s="9" t="s">
        <v>1749</v>
      </c>
      <c r="E419" s="9" t="s">
        <v>762</v>
      </c>
      <c r="F419" s="9" t="s">
        <v>895</v>
      </c>
      <c r="H419" s="9" t="s">
        <v>882</v>
      </c>
      <c r="J419" s="37"/>
      <c r="K419" s="39" t="n">
        <v>383.74</v>
      </c>
      <c r="L419" s="39" t="n">
        <v>2235.6</v>
      </c>
      <c r="M419" s="39" t="n">
        <v>1989.66</v>
      </c>
      <c r="N419" s="6" t="n">
        <v>10</v>
      </c>
      <c r="O419" s="6" t="n">
        <v>1</v>
      </c>
      <c r="P419" s="50" t="n">
        <v>42917</v>
      </c>
      <c r="Q419" s="41" t="n">
        <f aca="false">IF(OR($A249="",P249=""),"",ROUND(YEARFRAC(P249,README!$C$5),1))</f>
        <v>9.1</v>
      </c>
      <c r="R419" s="40"/>
      <c r="S419" s="42" t="n">
        <v>3800</v>
      </c>
      <c r="T419" s="48" t="n">
        <v>736</v>
      </c>
      <c r="U419" s="42" t="n">
        <v>4320</v>
      </c>
      <c r="V419" s="43" t="n">
        <f aca="false">IF($A249="","",IF(OR(T249="",U249=""),"",U249-T249))</f>
        <v>380</v>
      </c>
      <c r="W419" s="44" t="n">
        <v>1</v>
      </c>
      <c r="X419" s="6" t="n">
        <v>10</v>
      </c>
      <c r="Y419" s="45" t="n">
        <v>12.5</v>
      </c>
      <c r="Z419" s="6" t="s">
        <v>1907</v>
      </c>
      <c r="AA419" s="9" t="s">
        <v>774</v>
      </c>
      <c r="AB419" s="6" t="s">
        <v>1993</v>
      </c>
      <c r="AC419" s="27" t="n">
        <f aca="false">COUNTIF(環境認証!$A$2:$A$849,A249)</f>
        <v>0</v>
      </c>
      <c r="AD419" s="1" t="n">
        <v>99.7</v>
      </c>
      <c r="AE419" s="6" t="n">
        <v>13.7</v>
      </c>
    </row>
    <row r="420" customFormat="false" ht="15" hidden="false" customHeight="true" outlineLevel="0" collapsed="false">
      <c r="A420" s="6" t="s">
        <v>2046</v>
      </c>
      <c r="B420" s="6" t="s">
        <v>502</v>
      </c>
      <c r="C420" s="9" t="s">
        <v>2047</v>
      </c>
      <c r="D420" s="9" t="s">
        <v>1749</v>
      </c>
      <c r="E420" s="9" t="s">
        <v>762</v>
      </c>
      <c r="F420" s="9" t="s">
        <v>1148</v>
      </c>
      <c r="H420" s="9" t="s">
        <v>882</v>
      </c>
      <c r="J420" s="37"/>
      <c r="K420" s="39" t="n">
        <v>508.24</v>
      </c>
      <c r="L420" s="39" t="n">
        <v>3738.15</v>
      </c>
      <c r="M420" s="39" t="n">
        <v>3320.26</v>
      </c>
      <c r="N420" s="6" t="n">
        <v>10</v>
      </c>
      <c r="O420" s="6" t="n">
        <v>0</v>
      </c>
      <c r="P420" s="50" t="n">
        <v>45323</v>
      </c>
      <c r="Q420" s="41" t="n">
        <f aca="false">IF(OR($A250="",P250=""),"",ROUND(YEARFRAC(P250,README!$C$5),1))</f>
        <v>2.5</v>
      </c>
      <c r="R420" s="40"/>
      <c r="S420" s="42" t="n">
        <v>8010</v>
      </c>
      <c r="T420" s="48" t="n">
        <v>1337</v>
      </c>
      <c r="U420" s="42" t="n">
        <v>8580</v>
      </c>
      <c r="V420" s="43" t="n">
        <f aca="false">IF($A250="","",IF(OR(T250="",U250=""),"",U250-T250))</f>
        <v>450</v>
      </c>
      <c r="W420" s="44" t="n">
        <v>1</v>
      </c>
      <c r="X420" s="6" t="n">
        <v>12</v>
      </c>
      <c r="Y420" s="45" t="n">
        <v>14.3</v>
      </c>
      <c r="Z420" s="6" t="s">
        <v>1907</v>
      </c>
      <c r="AA420" s="9" t="s">
        <v>774</v>
      </c>
      <c r="AB420" s="6" t="s">
        <v>2048</v>
      </c>
      <c r="AC420" s="27" t="n">
        <f aca="false">COUNTIF(環境認証!$A$2:$A$849,A250)</f>
        <v>0</v>
      </c>
      <c r="AD420" s="1" t="n">
        <v>71.3</v>
      </c>
      <c r="AE420" s="6" t="n">
        <v>7.1</v>
      </c>
    </row>
    <row r="421" customFormat="false" ht="15" hidden="false" customHeight="true" outlineLevel="0" collapsed="false">
      <c r="A421" s="6" t="s">
        <v>2049</v>
      </c>
      <c r="B421" s="6" t="s">
        <v>502</v>
      </c>
      <c r="C421" s="9" t="s">
        <v>2050</v>
      </c>
      <c r="D421" s="9" t="s">
        <v>2051</v>
      </c>
      <c r="E421" s="9" t="s">
        <v>762</v>
      </c>
      <c r="F421" s="9" t="s">
        <v>895</v>
      </c>
      <c r="H421" s="9" t="s">
        <v>882</v>
      </c>
      <c r="J421" s="37"/>
      <c r="K421" s="39" t="n">
        <v>694.1</v>
      </c>
      <c r="L421" s="39" t="n">
        <v>3668.1</v>
      </c>
      <c r="M421" s="39" t="n">
        <v>3663.23</v>
      </c>
      <c r="N421" s="6" t="n">
        <v>14</v>
      </c>
      <c r="O421" s="6" t="n">
        <v>0</v>
      </c>
      <c r="P421" s="50" t="n">
        <v>43313</v>
      </c>
      <c r="Q421" s="41" t="n">
        <f aca="false">IF(OR($A251="",P251=""),"",ROUND(YEARFRAC(P251,README!$C$5),1))</f>
        <v>8</v>
      </c>
      <c r="R421" s="40"/>
      <c r="S421" s="42" t="n">
        <v>6700</v>
      </c>
      <c r="T421" s="48" t="n">
        <v>1380</v>
      </c>
      <c r="U421" s="42" t="n">
        <v>7390</v>
      </c>
      <c r="V421" s="43" t="n">
        <f aca="false">IF($A251="","",IF(OR(T251="",U251=""),"",U251-T251))</f>
        <v>758</v>
      </c>
      <c r="W421" s="44" t="n">
        <v>1</v>
      </c>
      <c r="X421" s="6" t="n">
        <v>1</v>
      </c>
      <c r="Y421" s="45" t="n">
        <v>14</v>
      </c>
      <c r="Z421" s="6" t="s">
        <v>1907</v>
      </c>
      <c r="AA421" s="9" t="s">
        <v>774</v>
      </c>
      <c r="AB421" s="6" t="s">
        <v>2052</v>
      </c>
      <c r="AC421" s="27" t="n">
        <f aca="false">COUNTIF(環境認証!$A$2:$A$849,A251)</f>
        <v>0</v>
      </c>
      <c r="AD421" s="1" t="n">
        <v>65.9</v>
      </c>
      <c r="AE421" s="6" t="n">
        <v>10.3</v>
      </c>
    </row>
    <row r="422" customFormat="false" ht="15" hidden="false" customHeight="true" outlineLevel="0" collapsed="false">
      <c r="A422" s="6" t="s">
        <v>2053</v>
      </c>
      <c r="B422" s="6" t="s">
        <v>502</v>
      </c>
      <c r="C422" s="9" t="s">
        <v>2054</v>
      </c>
      <c r="D422" s="9" t="s">
        <v>761</v>
      </c>
      <c r="E422" s="9" t="s">
        <v>1207</v>
      </c>
      <c r="F422" s="9" t="s">
        <v>1208</v>
      </c>
      <c r="H422" s="6" t="s">
        <v>952</v>
      </c>
      <c r="J422" s="37"/>
      <c r="K422" s="39" t="n">
        <v>2706.99</v>
      </c>
      <c r="L422" s="39" t="n">
        <v>19950.42</v>
      </c>
      <c r="M422" s="39" t="n">
        <v>5327.48</v>
      </c>
      <c r="N422" s="6" t="n">
        <v>10</v>
      </c>
      <c r="O422" s="6" t="n">
        <v>1</v>
      </c>
      <c r="P422" s="50" t="n">
        <v>35125</v>
      </c>
      <c r="Q422" s="41" t="n">
        <f aca="false">IF(OR($A252="",P252=""),"",ROUND(YEARFRAC(P252,README!$C$5),1))</f>
        <v>30.4</v>
      </c>
      <c r="R422" s="40"/>
      <c r="S422" s="42" t="n">
        <v>2140</v>
      </c>
      <c r="T422" s="48" t="n">
        <v>1837</v>
      </c>
      <c r="U422" s="42" t="n">
        <v>2090</v>
      </c>
      <c r="V422" s="43" t="n">
        <f aca="false">IF($A252="","",IF(OR(T252="",U252=""),"",U252-T252))</f>
        <v>511</v>
      </c>
      <c r="W422" s="44" t="n">
        <v>1</v>
      </c>
      <c r="X422" s="6" t="n">
        <v>12</v>
      </c>
      <c r="Y422" s="45" t="n">
        <v>13.1</v>
      </c>
      <c r="Z422" s="6" t="s">
        <v>1907</v>
      </c>
      <c r="AA422" s="9" t="s">
        <v>774</v>
      </c>
      <c r="AB422" s="6" t="s">
        <v>2055</v>
      </c>
      <c r="AC422" s="27" t="n">
        <f aca="false">COUNTIF(環境認証!$A$2:$A$849,A252)</f>
        <v>0</v>
      </c>
      <c r="AD422" s="1" t="n">
        <v>82.9</v>
      </c>
      <c r="AE422" s="6" t="n">
        <v>-2.3</v>
      </c>
    </row>
    <row r="423" customFormat="false" ht="15" hidden="false" customHeight="true" outlineLevel="0" collapsed="false">
      <c r="A423" s="6" t="s">
        <v>2056</v>
      </c>
      <c r="B423" s="6" t="s">
        <v>502</v>
      </c>
      <c r="C423" s="9" t="s">
        <v>2057</v>
      </c>
      <c r="D423" s="9" t="s">
        <v>761</v>
      </c>
      <c r="E423" s="9" t="s">
        <v>1849</v>
      </c>
      <c r="F423" s="9" t="s">
        <v>1850</v>
      </c>
      <c r="H423" s="9" t="s">
        <v>965</v>
      </c>
      <c r="J423" s="37"/>
      <c r="K423" s="39" t="n">
        <v>960.03</v>
      </c>
      <c r="L423" s="39" t="n">
        <v>5780.71</v>
      </c>
      <c r="M423" s="39" t="n">
        <v>3944.5</v>
      </c>
      <c r="N423" s="6" t="n">
        <v>12</v>
      </c>
      <c r="O423" s="6" t="n">
        <v>0</v>
      </c>
      <c r="P423" s="50" t="n">
        <v>33512</v>
      </c>
      <c r="Q423" s="41" t="n">
        <f aca="false">IF(OR($A253="",P253=""),"",ROUND(YEARFRAC(P253,README!$C$5),1))</f>
        <v>34.9</v>
      </c>
      <c r="R423" s="40"/>
      <c r="S423" s="42" t="n">
        <v>1560</v>
      </c>
      <c r="T423" s="48" t="n">
        <v>1370</v>
      </c>
      <c r="U423" s="42" t="n">
        <v>2460</v>
      </c>
      <c r="V423" s="43" t="n">
        <f aca="false">IF($A253="","",IF(OR(T253="",U253=""),"",U253-T253))</f>
        <v>276</v>
      </c>
      <c r="W423" s="44" t="n">
        <v>0.947</v>
      </c>
      <c r="X423" s="6" t="n">
        <v>23</v>
      </c>
      <c r="Y423" s="45" t="n">
        <v>13.8</v>
      </c>
      <c r="Z423" s="6" t="s">
        <v>1907</v>
      </c>
      <c r="AA423" s="9" t="s">
        <v>774</v>
      </c>
      <c r="AB423" s="6" t="s">
        <v>2058</v>
      </c>
      <c r="AC423" s="27" t="n">
        <f aca="false">COUNTIF(環境認証!$A$2:$A$849,A253)</f>
        <v>0</v>
      </c>
      <c r="AD423" s="1" t="n">
        <v>72.3</v>
      </c>
      <c r="AE423" s="6" t="n">
        <v>57.7</v>
      </c>
    </row>
    <row r="424" customFormat="false" ht="15" hidden="false" customHeight="true" outlineLevel="0" collapsed="false">
      <c r="A424" s="6" t="s">
        <v>2059</v>
      </c>
      <c r="B424" s="6" t="s">
        <v>502</v>
      </c>
      <c r="C424" s="9" t="s">
        <v>2060</v>
      </c>
      <c r="D424" s="9" t="s">
        <v>761</v>
      </c>
      <c r="E424" s="9" t="s">
        <v>1197</v>
      </c>
      <c r="F424" s="9" t="s">
        <v>1198</v>
      </c>
      <c r="H424" s="6" t="s">
        <v>952</v>
      </c>
      <c r="J424" s="37"/>
      <c r="K424" s="39" t="n">
        <v>1895.67</v>
      </c>
      <c r="L424" s="39" t="n">
        <v>10783.52</v>
      </c>
      <c r="M424" s="39" t="n">
        <v>7107.9</v>
      </c>
      <c r="N424" s="6" t="n">
        <v>12</v>
      </c>
      <c r="O424" s="6" t="n">
        <v>1</v>
      </c>
      <c r="P424" s="50" t="n">
        <v>35765</v>
      </c>
      <c r="Q424" s="41" t="n">
        <f aca="false">IF(OR($A254="",P254=""),"",ROUND(YEARFRAC(P254,README!$C$5),1))</f>
        <v>28.7</v>
      </c>
      <c r="R424" s="40"/>
      <c r="S424" s="42" t="n">
        <v>3150</v>
      </c>
      <c r="T424" s="48" t="n">
        <v>1211</v>
      </c>
      <c r="U424" s="42" t="n">
        <v>4160</v>
      </c>
      <c r="V424" s="43" t="n">
        <f aca="false">IF($A254="","",IF(OR(T254="",U254=""),"",U254-T254))</f>
        <v>1226</v>
      </c>
      <c r="W424" s="44" t="n">
        <v>0.965</v>
      </c>
      <c r="X424" s="6" t="n">
        <v>15</v>
      </c>
      <c r="Y424" s="45" t="n">
        <v>13.1</v>
      </c>
      <c r="Z424" s="6" t="s">
        <v>1907</v>
      </c>
      <c r="AA424" s="9" t="s">
        <v>774</v>
      </c>
      <c r="AB424" s="6" t="s">
        <v>2058</v>
      </c>
      <c r="AC424" s="27" t="n">
        <f aca="false">COUNTIF(環境認証!$A$2:$A$849,A254)</f>
        <v>0</v>
      </c>
      <c r="AD424" s="1" t="n">
        <v>82.5</v>
      </c>
      <c r="AE424" s="6" t="n">
        <v>32.1</v>
      </c>
    </row>
    <row r="425" customFormat="false" ht="15" hidden="false" customHeight="true" outlineLevel="0" collapsed="false">
      <c r="A425" s="6" t="s">
        <v>2061</v>
      </c>
      <c r="B425" s="6" t="s">
        <v>502</v>
      </c>
      <c r="C425" s="9" t="s">
        <v>2062</v>
      </c>
      <c r="D425" s="9" t="s">
        <v>761</v>
      </c>
      <c r="E425" s="9" t="s">
        <v>2063</v>
      </c>
      <c r="F425" s="9" t="s">
        <v>2064</v>
      </c>
      <c r="H425" s="9" t="s">
        <v>965</v>
      </c>
      <c r="J425" s="37"/>
      <c r="K425" s="39" t="n">
        <v>1128.45</v>
      </c>
      <c r="L425" s="39" t="n">
        <v>6715.07</v>
      </c>
      <c r="M425" s="39" t="n">
        <v>4866.34</v>
      </c>
      <c r="N425" s="6" t="n">
        <v>9</v>
      </c>
      <c r="O425" s="6" t="n">
        <v>0</v>
      </c>
      <c r="P425" s="50" t="n">
        <v>35247</v>
      </c>
      <c r="Q425" s="41" t="n">
        <f aca="false">IF(OR($A255="",P255=""),"",ROUND(YEARFRAC(P255,README!$C$5),1))</f>
        <v>30.1</v>
      </c>
      <c r="R425" s="40"/>
      <c r="S425" s="42" t="n">
        <v>1670</v>
      </c>
      <c r="T425" s="48" t="n">
        <v>1591</v>
      </c>
      <c r="U425" s="42" t="n">
        <v>1500</v>
      </c>
      <c r="V425" s="43" t="n">
        <f aca="false">IF($A255="","",IF(OR(T255="",U255=""),"",U255-T255))</f>
        <v>715</v>
      </c>
      <c r="W425" s="44" t="n">
        <v>0.983</v>
      </c>
      <c r="X425" s="6" t="n">
        <v>17</v>
      </c>
      <c r="Y425" s="45" t="n">
        <v>13.9</v>
      </c>
      <c r="Z425" s="6" t="s">
        <v>1907</v>
      </c>
      <c r="AA425" s="9" t="s">
        <v>774</v>
      </c>
      <c r="AB425" s="6" t="s">
        <v>2055</v>
      </c>
      <c r="AC425" s="27" t="n">
        <f aca="false">COUNTIF(環境認証!$A$2:$A$849,A255)</f>
        <v>0</v>
      </c>
      <c r="AD425" s="1" t="n">
        <v>28.8</v>
      </c>
      <c r="AE425" s="6" t="n">
        <v>-10.2</v>
      </c>
    </row>
    <row r="426" customFormat="false" ht="15" hidden="false" customHeight="true" outlineLevel="0" collapsed="false">
      <c r="A426" s="6" t="s">
        <v>2065</v>
      </c>
      <c r="B426" s="6" t="s">
        <v>502</v>
      </c>
      <c r="C426" s="9" t="s">
        <v>2066</v>
      </c>
      <c r="D426" s="9" t="s">
        <v>761</v>
      </c>
      <c r="E426" s="9" t="s">
        <v>1005</v>
      </c>
      <c r="F426" s="9" t="s">
        <v>1006</v>
      </c>
      <c r="H426" s="6" t="s">
        <v>952</v>
      </c>
      <c r="J426" s="37"/>
      <c r="K426" s="39" t="n">
        <v>1164.39</v>
      </c>
      <c r="L426" s="39" t="n">
        <v>8690.95</v>
      </c>
      <c r="M426" s="39" t="n">
        <v>3258.68</v>
      </c>
      <c r="N426" s="6" t="n">
        <v>13</v>
      </c>
      <c r="O426" s="6" t="n">
        <v>0</v>
      </c>
      <c r="P426" s="50" t="n">
        <v>36708</v>
      </c>
      <c r="Q426" s="41" t="n">
        <f aca="false">IF(OR($A256="",P256=""),"",ROUND(YEARFRAC(P256,README!$C$5),1))</f>
        <v>26.1</v>
      </c>
      <c r="R426" s="40"/>
      <c r="S426" s="42" t="n">
        <v>2810</v>
      </c>
      <c r="T426" s="48" t="n">
        <v>1413</v>
      </c>
      <c r="U426" s="42" t="n">
        <v>4040</v>
      </c>
      <c r="V426" s="43" t="n">
        <f aca="false">IF($A256="","",IF(OR(T256="",U256=""),"",U256-T256))</f>
        <v>2971</v>
      </c>
      <c r="W426" s="44" t="n">
        <v>1</v>
      </c>
      <c r="X426" s="6" t="n">
        <v>15</v>
      </c>
      <c r="Y426" s="45" t="n">
        <v>16.1</v>
      </c>
      <c r="Z426" s="6" t="s">
        <v>1907</v>
      </c>
      <c r="AA426" s="9" t="s">
        <v>774</v>
      </c>
      <c r="AB426" s="6" t="s">
        <v>2058</v>
      </c>
      <c r="AC426" s="27" t="n">
        <f aca="false">COUNTIF(環境認証!$A$2:$A$849,A256)</f>
        <v>1</v>
      </c>
      <c r="AD426" s="1" t="n">
        <v>36.6</v>
      </c>
      <c r="AE426" s="6" t="n">
        <v>43.8</v>
      </c>
    </row>
    <row r="427" customFormat="false" ht="15" hidden="false" customHeight="true" outlineLevel="0" collapsed="false">
      <c r="A427" s="6" t="s">
        <v>2067</v>
      </c>
      <c r="B427" s="6" t="s">
        <v>502</v>
      </c>
      <c r="C427" s="9" t="s">
        <v>2068</v>
      </c>
      <c r="D427" s="9" t="s">
        <v>761</v>
      </c>
      <c r="E427" s="9" t="s">
        <v>981</v>
      </c>
      <c r="F427" s="9" t="s">
        <v>982</v>
      </c>
      <c r="H427" s="9" t="s">
        <v>971</v>
      </c>
      <c r="J427" s="37"/>
      <c r="K427" s="39" t="n">
        <v>668.11</v>
      </c>
      <c r="L427" s="39" t="n">
        <v>5696.01</v>
      </c>
      <c r="M427" s="39" t="n">
        <v>3917.91</v>
      </c>
      <c r="N427" s="6" t="n">
        <v>9</v>
      </c>
      <c r="O427" s="6" t="n">
        <v>2</v>
      </c>
      <c r="P427" s="50" t="n">
        <v>34243</v>
      </c>
      <c r="Q427" s="41" t="n">
        <f aca="false">IF(OR($A257="",P257=""),"",ROUND(YEARFRAC(P257,README!$C$5),1))</f>
        <v>32.9</v>
      </c>
      <c r="R427" s="40"/>
      <c r="S427" s="42" t="n">
        <v>2140</v>
      </c>
      <c r="T427" s="48" t="n">
        <v>1209</v>
      </c>
      <c r="U427" s="42" t="n">
        <v>4200</v>
      </c>
      <c r="V427" s="43" t="str">
        <f aca="false">IF($A257="","",IF(OR(T257="",U257=""),"",U257-T257))</f>
        <v/>
      </c>
      <c r="W427" s="44" t="n">
        <v>1</v>
      </c>
      <c r="X427" s="6" t="n">
        <v>13</v>
      </c>
      <c r="Y427" s="45" t="n">
        <v>13.9</v>
      </c>
      <c r="Z427" s="6" t="s">
        <v>1907</v>
      </c>
      <c r="AA427" s="9" t="s">
        <v>774</v>
      </c>
      <c r="AB427" s="6" t="s">
        <v>2069</v>
      </c>
      <c r="AC427" s="27" t="n">
        <f aca="false">COUNTIF(環境認証!$A$2:$A$849,A257)</f>
        <v>0</v>
      </c>
      <c r="AD427" s="1" t="n">
        <v>34</v>
      </c>
      <c r="AE427" s="6" t="n">
        <v>96.3</v>
      </c>
    </row>
    <row r="428" customFormat="false" ht="15" hidden="false" customHeight="true" outlineLevel="0" collapsed="false">
      <c r="A428" s="6" t="s">
        <v>2070</v>
      </c>
      <c r="B428" s="6" t="s">
        <v>502</v>
      </c>
      <c r="C428" s="9" t="s">
        <v>2071</v>
      </c>
      <c r="D428" s="9" t="s">
        <v>761</v>
      </c>
      <c r="E428" s="9" t="s">
        <v>1005</v>
      </c>
      <c r="F428" s="9" t="s">
        <v>1006</v>
      </c>
      <c r="H428" s="6" t="s">
        <v>952</v>
      </c>
      <c r="J428" s="37"/>
      <c r="K428" s="39" t="n">
        <v>4486.44</v>
      </c>
      <c r="L428" s="39" t="n">
        <v>22286.35</v>
      </c>
      <c r="M428" s="39" t="n">
        <v>16654.33</v>
      </c>
      <c r="N428" s="6" t="n">
        <v>14</v>
      </c>
      <c r="O428" s="6" t="n">
        <v>0</v>
      </c>
      <c r="P428" s="50" t="n">
        <v>39814</v>
      </c>
      <c r="Q428" s="41" t="n">
        <f aca="false">IF(OR($A258="",P258=""),"",ROUND(YEARFRAC(P258,README!$C$5),1))</f>
        <v>17.6</v>
      </c>
      <c r="R428" s="40"/>
      <c r="S428" s="42" t="n">
        <v>10996</v>
      </c>
      <c r="T428" s="48" t="n">
        <v>4675</v>
      </c>
      <c r="U428" s="42" t="n">
        <v>24800</v>
      </c>
      <c r="V428" s="43" t="n">
        <f aca="false">IF($A258="","",IF(OR(T258="",U258=""),"",U258-T258))</f>
        <v>2141</v>
      </c>
      <c r="W428" s="44" t="n">
        <v>0.999</v>
      </c>
      <c r="X428" s="6" t="n">
        <v>16</v>
      </c>
      <c r="Y428" s="45" t="n">
        <v>11.2</v>
      </c>
      <c r="Z428" s="6" t="s">
        <v>1907</v>
      </c>
      <c r="AA428" s="9" t="s">
        <v>774</v>
      </c>
      <c r="AB428" s="6" t="s">
        <v>2072</v>
      </c>
      <c r="AC428" s="27" t="n">
        <f aca="false">COUNTIF(環境認証!$A$2:$A$849,A258)</f>
        <v>1</v>
      </c>
      <c r="AD428" s="1" t="n">
        <v>75.6</v>
      </c>
      <c r="AE428" s="6" t="n">
        <v>125.5</v>
      </c>
    </row>
    <row r="429" customFormat="false" ht="15" hidden="false" customHeight="true" outlineLevel="0" collapsed="false">
      <c r="A429" s="6" t="s">
        <v>2073</v>
      </c>
      <c r="B429" s="6" t="s">
        <v>502</v>
      </c>
      <c r="C429" s="9" t="s">
        <v>2074</v>
      </c>
      <c r="D429" s="9" t="s">
        <v>761</v>
      </c>
      <c r="E429" s="9" t="s">
        <v>981</v>
      </c>
      <c r="F429" s="9" t="s">
        <v>982</v>
      </c>
      <c r="H429" s="9" t="s">
        <v>971</v>
      </c>
      <c r="J429" s="37"/>
      <c r="K429" s="39" t="n">
        <v>609.31</v>
      </c>
      <c r="L429" s="39" t="n">
        <v>5303.98</v>
      </c>
      <c r="M429" s="39" t="n">
        <v>4021.63</v>
      </c>
      <c r="N429" s="6" t="n">
        <v>10</v>
      </c>
      <c r="O429" s="6" t="n">
        <v>2</v>
      </c>
      <c r="P429" s="50" t="n">
        <v>37653</v>
      </c>
      <c r="Q429" s="41" t="n">
        <f aca="false">IF(OR($A259="",P259=""),"",ROUND(YEARFRAC(P259,README!$C$5),1))</f>
        <v>23.5</v>
      </c>
      <c r="R429" s="40"/>
      <c r="S429" s="42" t="n">
        <v>5430</v>
      </c>
      <c r="T429" s="48" t="n">
        <v>3797</v>
      </c>
      <c r="U429" s="42" t="n">
        <v>4640</v>
      </c>
      <c r="V429" s="43" t="n">
        <f aca="false">IF($A259="","",IF(OR(T259="",U259=""),"",U259-T259))</f>
        <v>1297</v>
      </c>
      <c r="W429" s="44" t="n">
        <v>1</v>
      </c>
      <c r="X429" s="6" t="n">
        <v>9</v>
      </c>
      <c r="Y429" s="45" t="n">
        <v>11.7</v>
      </c>
      <c r="Z429" s="6" t="s">
        <v>1907</v>
      </c>
      <c r="AA429" s="9" t="s">
        <v>774</v>
      </c>
      <c r="AB429" s="6" t="s">
        <v>2075</v>
      </c>
      <c r="AC429" s="27" t="n">
        <f aca="false">COUNTIF(環境認証!$A$2:$A$849,A259)</f>
        <v>1</v>
      </c>
      <c r="AD429" s="1" t="n">
        <v>23.3</v>
      </c>
      <c r="AE429" s="6" t="n">
        <v>-14.5</v>
      </c>
    </row>
    <row r="430" customFormat="false" ht="15" hidden="false" customHeight="true" outlineLevel="0" collapsed="false">
      <c r="A430" s="6" t="s">
        <v>2076</v>
      </c>
      <c r="B430" s="6" t="s">
        <v>502</v>
      </c>
      <c r="C430" s="9" t="s">
        <v>2077</v>
      </c>
      <c r="D430" s="9" t="s">
        <v>761</v>
      </c>
      <c r="E430" s="9" t="s">
        <v>981</v>
      </c>
      <c r="F430" s="9" t="s">
        <v>982</v>
      </c>
      <c r="H430" s="9" t="s">
        <v>971</v>
      </c>
      <c r="J430" s="37"/>
      <c r="K430" s="39" t="n">
        <v>1495.99</v>
      </c>
      <c r="L430" s="39" t="n">
        <v>7738.47</v>
      </c>
      <c r="M430" s="39" t="n">
        <v>5695.71</v>
      </c>
      <c r="N430" s="6" t="n">
        <v>8</v>
      </c>
      <c r="O430" s="6" t="n">
        <v>1</v>
      </c>
      <c r="P430" s="50" t="n">
        <v>31656</v>
      </c>
      <c r="Q430" s="41" t="n">
        <f aca="false">IF(OR($A260="",P260=""),"",ROUND(YEARFRAC(P260,README!$C$5),1))</f>
        <v>39.9</v>
      </c>
      <c r="R430" s="40"/>
      <c r="S430" s="42" t="n">
        <v>3776</v>
      </c>
      <c r="T430" s="48" t="n">
        <v>5736</v>
      </c>
      <c r="U430" s="42" t="n">
        <v>5460</v>
      </c>
      <c r="V430" s="43" t="n">
        <f aca="false">IF($A260="","",IF(OR(T260="",U260=""),"",U260-T260))</f>
        <v>3351</v>
      </c>
      <c r="W430" s="44" t="n">
        <v>0.999</v>
      </c>
      <c r="X430" s="6" t="n">
        <v>13</v>
      </c>
      <c r="Y430" s="45" t="n">
        <v>7.2</v>
      </c>
      <c r="Z430" s="6" t="s">
        <v>1907</v>
      </c>
      <c r="AA430" s="9" t="s">
        <v>774</v>
      </c>
      <c r="AB430" s="6" t="s">
        <v>2078</v>
      </c>
      <c r="AC430" s="27" t="n">
        <f aca="false">COUNTIF(環境認証!$A$2:$A$849,A260)</f>
        <v>2</v>
      </c>
      <c r="AD430" s="1" t="n">
        <v>2.3</v>
      </c>
      <c r="AE430" s="6" t="n">
        <v>44.6</v>
      </c>
    </row>
    <row r="431" customFormat="false" ht="15" hidden="false" customHeight="true" outlineLevel="0" collapsed="false">
      <c r="A431" s="6" t="s">
        <v>2079</v>
      </c>
      <c r="B431" s="6" t="s">
        <v>502</v>
      </c>
      <c r="C431" s="9" t="s">
        <v>1231</v>
      </c>
      <c r="D431" s="9" t="s">
        <v>761</v>
      </c>
      <c r="E431" s="9" t="s">
        <v>981</v>
      </c>
      <c r="F431" s="9" t="s">
        <v>982</v>
      </c>
      <c r="H431" s="9" t="s">
        <v>971</v>
      </c>
      <c r="I431" s="9" t="s">
        <v>1556</v>
      </c>
      <c r="J431" s="37"/>
      <c r="K431" s="39" t="n">
        <v>20488.08</v>
      </c>
      <c r="L431" s="39" t="n">
        <v>191597.49</v>
      </c>
      <c r="M431" s="39" t="n">
        <v>10249.33</v>
      </c>
      <c r="N431" s="6" t="n">
        <v>38</v>
      </c>
      <c r="O431" s="6" t="n">
        <v>3</v>
      </c>
      <c r="P431" s="50" t="n">
        <v>41334</v>
      </c>
      <c r="Q431" s="41" t="n">
        <f aca="false">IF(OR($A261="",P261=""),"",ROUND(YEARFRAC(P261,README!$C$5),1))</f>
        <v>13.4</v>
      </c>
      <c r="R431" s="40"/>
      <c r="S431" s="42" t="n">
        <v>21000</v>
      </c>
      <c r="T431" s="48" t="n">
        <v>3824</v>
      </c>
      <c r="U431" s="42" t="n">
        <v>23400</v>
      </c>
      <c r="V431" s="43" t="n">
        <f aca="false">IF($A261="","",IF(OR(T261="",U261=""),"",U261-T261))</f>
        <v>1174</v>
      </c>
      <c r="W431" s="44" t="n">
        <v>0.986</v>
      </c>
      <c r="X431" s="6" t="n">
        <v>245</v>
      </c>
      <c r="Y431" s="45" t="n">
        <v>10</v>
      </c>
      <c r="Z431" s="6" t="s">
        <v>1907</v>
      </c>
      <c r="AA431" s="9" t="s">
        <v>774</v>
      </c>
      <c r="AB431" s="6" t="s">
        <v>2080</v>
      </c>
      <c r="AC431" s="27" t="n">
        <f aca="false">COUNTIF(環境認証!$A$2:$A$849,A261)</f>
        <v>1</v>
      </c>
      <c r="AD431" s="1" t="n">
        <v>87.5</v>
      </c>
      <c r="AE431" s="6" t="n">
        <v>11.4</v>
      </c>
    </row>
    <row r="432" customFormat="false" ht="15" hidden="false" customHeight="true" outlineLevel="0" collapsed="false">
      <c r="A432" s="6" t="s">
        <v>2081</v>
      </c>
      <c r="B432" s="6" t="s">
        <v>502</v>
      </c>
      <c r="C432" s="9" t="s">
        <v>1228</v>
      </c>
      <c r="D432" s="9" t="s">
        <v>761</v>
      </c>
      <c r="E432" s="9" t="s">
        <v>981</v>
      </c>
      <c r="F432" s="9" t="s">
        <v>982</v>
      </c>
      <c r="H432" s="9" t="s">
        <v>971</v>
      </c>
      <c r="I432" s="9" t="s">
        <v>1556</v>
      </c>
      <c r="J432" s="37"/>
      <c r="K432" s="39" t="n">
        <v>22680.03</v>
      </c>
      <c r="L432" s="39" t="n">
        <v>290030.59</v>
      </c>
      <c r="M432" s="39" t="n">
        <v>16465.93</v>
      </c>
      <c r="N432" s="6" t="n">
        <v>38</v>
      </c>
      <c r="O432" s="6" t="n">
        <v>3</v>
      </c>
      <c r="P432" s="50" t="n">
        <v>41306</v>
      </c>
      <c r="Q432" s="41" t="n">
        <f aca="false">IF(OR($A262="",P262=""),"",ROUND(YEARFRAC(P262,README!$C$5),1))</f>
        <v>13.5</v>
      </c>
      <c r="R432" s="40"/>
      <c r="S432" s="42" t="n">
        <v>17500</v>
      </c>
      <c r="T432" s="48" t="n">
        <v>4237</v>
      </c>
      <c r="U432" s="42" t="n">
        <v>19700</v>
      </c>
      <c r="V432" s="43" t="n">
        <f aca="false">IF($A262="","",IF(OR(T262="",U262=""),"",U262-T262))</f>
        <v>1106</v>
      </c>
      <c r="W432" s="44" t="n">
        <v>0.978</v>
      </c>
      <c r="X432" s="6" t="n">
        <v>111</v>
      </c>
      <c r="Y432" s="45" t="n">
        <v>12.7</v>
      </c>
      <c r="Z432" s="6" t="s">
        <v>1907</v>
      </c>
      <c r="AA432" s="9" t="s">
        <v>774</v>
      </c>
      <c r="AB432" s="6" t="s">
        <v>2082</v>
      </c>
      <c r="AC432" s="27" t="n">
        <f aca="false">COUNTIF(環境認証!$A$2:$A$849,A262)</f>
        <v>0</v>
      </c>
      <c r="AD432" s="1" t="n">
        <v>62.4</v>
      </c>
      <c r="AE432" s="6" t="n">
        <v>12.6</v>
      </c>
    </row>
    <row r="433" customFormat="false" ht="15" hidden="false" customHeight="true" outlineLevel="0" collapsed="false">
      <c r="A433" s="6" t="s">
        <v>2083</v>
      </c>
      <c r="B433" s="6" t="s">
        <v>502</v>
      </c>
      <c r="C433" s="9" t="s">
        <v>2084</v>
      </c>
      <c r="D433" s="9" t="s">
        <v>761</v>
      </c>
      <c r="E433" s="9" t="s">
        <v>981</v>
      </c>
      <c r="F433" s="9" t="s">
        <v>982</v>
      </c>
      <c r="H433" s="9" t="s">
        <v>971</v>
      </c>
      <c r="J433" s="37"/>
      <c r="K433" s="39" t="n">
        <v>938.01</v>
      </c>
      <c r="L433" s="39" t="n">
        <v>4977.52</v>
      </c>
      <c r="M433" s="39" t="n">
        <v>3074.3</v>
      </c>
      <c r="N433" s="6" t="n">
        <v>7</v>
      </c>
      <c r="O433" s="6" t="n">
        <v>1</v>
      </c>
      <c r="P433" s="50" t="n">
        <v>35247</v>
      </c>
      <c r="Q433" s="41" t="n">
        <f aca="false">IF(OR($A263="",P263=""),"",ROUND(YEARFRAC(P263,README!$C$5),1))</f>
        <v>30.1</v>
      </c>
      <c r="R433" s="40"/>
      <c r="S433" s="42" t="n">
        <v>2460</v>
      </c>
      <c r="T433" s="48" t="n">
        <v>1444</v>
      </c>
      <c r="U433" s="42" t="n">
        <v>2760</v>
      </c>
      <c r="V433" s="43" t="n">
        <f aca="false">IF($A263="","",IF(OR(T263="",U263=""),"",U263-T263))</f>
        <v>1547</v>
      </c>
      <c r="W433" s="44" t="n">
        <v>1</v>
      </c>
      <c r="X433" s="6" t="n">
        <v>11</v>
      </c>
      <c r="Y433" s="45" t="n">
        <v>12</v>
      </c>
      <c r="Z433" s="6" t="s">
        <v>1907</v>
      </c>
      <c r="AA433" s="9" t="s">
        <v>774</v>
      </c>
      <c r="AB433" s="6" t="s">
        <v>2058</v>
      </c>
      <c r="AC433" s="27" t="n">
        <f aca="false">COUNTIF(環境認証!$A$2:$A$849,A263)</f>
        <v>1</v>
      </c>
      <c r="AD433" s="1" t="n">
        <v>87</v>
      </c>
      <c r="AE433" s="6" t="n">
        <v>12.2</v>
      </c>
    </row>
    <row r="434" customFormat="false" ht="15" hidden="false" customHeight="true" outlineLevel="0" collapsed="false">
      <c r="A434" s="6" t="s">
        <v>2085</v>
      </c>
      <c r="B434" s="6" t="s">
        <v>502</v>
      </c>
      <c r="C434" s="9" t="s">
        <v>2086</v>
      </c>
      <c r="D434" s="9" t="s">
        <v>1749</v>
      </c>
      <c r="E434" s="9" t="s">
        <v>981</v>
      </c>
      <c r="F434" s="9" t="s">
        <v>982</v>
      </c>
      <c r="H434" s="9" t="s">
        <v>971</v>
      </c>
      <c r="J434" s="37"/>
      <c r="K434" s="39" t="n">
        <v>592.45</v>
      </c>
      <c r="L434" s="39" t="n">
        <v>3219.36</v>
      </c>
      <c r="M434" s="39" t="n">
        <v>2406.45</v>
      </c>
      <c r="N434" s="6" t="n">
        <v>9</v>
      </c>
      <c r="O434" s="6" t="n">
        <v>0</v>
      </c>
      <c r="P434" s="50" t="n">
        <v>34486</v>
      </c>
      <c r="Q434" s="41" t="n">
        <f aca="false">IF(OR($A264="",P264=""),"",ROUND(YEARFRAC(P264,README!$C$5),1))</f>
        <v>32.2</v>
      </c>
      <c r="R434" s="40"/>
      <c r="S434" s="42" t="n">
        <v>6000</v>
      </c>
      <c r="T434" s="48" t="n">
        <v>1417</v>
      </c>
      <c r="U434" s="42" t="n">
        <v>8710</v>
      </c>
      <c r="V434" s="43" t="n">
        <f aca="false">IF($A264="","",IF(OR(T264="",U264=""),"",U264-T264))</f>
        <v>2872</v>
      </c>
      <c r="W434" s="44" t="n">
        <v>1</v>
      </c>
      <c r="X434" s="6" t="n">
        <v>5</v>
      </c>
      <c r="Y434" s="45" t="n">
        <v>14.6</v>
      </c>
      <c r="Z434" s="6" t="s">
        <v>1907</v>
      </c>
      <c r="AA434" s="9" t="s">
        <v>774</v>
      </c>
      <c r="AB434" s="6" t="s">
        <v>2058</v>
      </c>
      <c r="AC434" s="27" t="n">
        <f aca="false">COUNTIF(環境認証!$A$2:$A$849,A264)</f>
        <v>1</v>
      </c>
      <c r="AD434" s="1" t="n">
        <v>27</v>
      </c>
      <c r="AE434" s="6" t="n">
        <v>45.2</v>
      </c>
    </row>
    <row r="435" customFormat="false" ht="15" hidden="false" customHeight="true" outlineLevel="0" collapsed="false">
      <c r="A435" s="6" t="s">
        <v>2087</v>
      </c>
      <c r="B435" s="6" t="s">
        <v>502</v>
      </c>
      <c r="C435" s="9" t="s">
        <v>2088</v>
      </c>
      <c r="D435" s="9" t="s">
        <v>1749</v>
      </c>
      <c r="E435" s="9" t="s">
        <v>1005</v>
      </c>
      <c r="F435" s="9" t="s">
        <v>1006</v>
      </c>
      <c r="H435" s="6" t="s">
        <v>952</v>
      </c>
      <c r="J435" s="37"/>
      <c r="K435" s="39" t="n">
        <v>219.26</v>
      </c>
      <c r="L435" s="39" t="n">
        <v>1135.67</v>
      </c>
      <c r="M435" s="39" t="n">
        <v>1054.3</v>
      </c>
      <c r="N435" s="6" t="n">
        <v>8</v>
      </c>
      <c r="O435" s="6" t="n">
        <v>0</v>
      </c>
      <c r="P435" s="50" t="n">
        <v>44621</v>
      </c>
      <c r="Q435" s="41" t="n">
        <f aca="false">IF(OR($A265="",P265=""),"",ROUND(YEARFRAC(P265,README!$C$5),1))</f>
        <v>4.4</v>
      </c>
      <c r="R435" s="40"/>
      <c r="S435" s="42" t="n">
        <v>3310</v>
      </c>
      <c r="T435" s="48" t="n">
        <v>1045</v>
      </c>
      <c r="U435" s="42" t="n">
        <v>3640</v>
      </c>
      <c r="V435" s="43" t="n">
        <f aca="false">IF($A265="","",IF(OR(T265="",U265=""),"",U265-T265))</f>
        <v>1095</v>
      </c>
      <c r="W435" s="44" t="n">
        <v>0.838</v>
      </c>
      <c r="X435" s="6" t="n">
        <v>5</v>
      </c>
      <c r="Y435" s="45" t="n">
        <v>10.5</v>
      </c>
      <c r="Z435" s="6" t="s">
        <v>1907</v>
      </c>
      <c r="AA435" s="9" t="s">
        <v>774</v>
      </c>
      <c r="AB435" s="6" t="s">
        <v>2089</v>
      </c>
      <c r="AC435" s="27" t="n">
        <f aca="false">COUNTIF(環境認証!$A$2:$A$849,A265)</f>
        <v>0</v>
      </c>
      <c r="AD435" s="1" t="n">
        <v>29.2</v>
      </c>
      <c r="AE435" s="6" t="n">
        <v>10</v>
      </c>
    </row>
    <row r="436" customFormat="false" ht="15" hidden="false" customHeight="true" outlineLevel="0" collapsed="false">
      <c r="A436" s="6" t="s">
        <v>2090</v>
      </c>
      <c r="B436" s="6" t="s">
        <v>502</v>
      </c>
      <c r="C436" s="9" t="s">
        <v>2091</v>
      </c>
      <c r="D436" s="9" t="s">
        <v>2051</v>
      </c>
      <c r="E436" s="9" t="s">
        <v>969</v>
      </c>
      <c r="F436" s="9" t="s">
        <v>970</v>
      </c>
      <c r="H436" s="9" t="s">
        <v>971</v>
      </c>
      <c r="J436" s="37"/>
      <c r="K436" s="39" t="n">
        <v>666.37</v>
      </c>
      <c r="L436" s="39" t="n">
        <v>5226.8</v>
      </c>
      <c r="M436" s="39" t="n">
        <v>5185.05</v>
      </c>
      <c r="N436" s="6" t="n">
        <v>12</v>
      </c>
      <c r="O436" s="6" t="n">
        <v>0</v>
      </c>
      <c r="P436" s="50" t="n">
        <v>41548</v>
      </c>
      <c r="Q436" s="41" t="n">
        <f aca="false">IF(OR($A266="",P266=""),"",ROUND(YEARFRAC(P266,README!$C$5),1))</f>
        <v>12.9</v>
      </c>
      <c r="R436" s="40"/>
      <c r="S436" s="42" t="n">
        <v>6500</v>
      </c>
      <c r="T436" s="48" t="n">
        <v>795</v>
      </c>
      <c r="U436" s="42" t="n">
        <v>6770</v>
      </c>
      <c r="V436" s="43" t="n">
        <f aca="false">IF($A266="","",IF(OR(T266="",U266=""),"",U266-T266))</f>
        <v>373</v>
      </c>
      <c r="W436" s="44" t="n">
        <v>1</v>
      </c>
      <c r="X436" s="6" t="n">
        <v>3</v>
      </c>
      <c r="Y436" s="45" t="n">
        <v>12.1</v>
      </c>
      <c r="Z436" s="6" t="s">
        <v>1907</v>
      </c>
      <c r="AA436" s="9" t="s">
        <v>774</v>
      </c>
      <c r="AB436" s="6" t="s">
        <v>2092</v>
      </c>
      <c r="AC436" s="27" t="n">
        <f aca="false">COUNTIF(環境認証!$A$2:$A$849,A266)</f>
        <v>0</v>
      </c>
      <c r="AD436" s="1" t="n">
        <v>59.7</v>
      </c>
      <c r="AE436" s="6" t="n">
        <v>4.2</v>
      </c>
    </row>
    <row r="437" customFormat="false" ht="15" hidden="false" customHeight="true" outlineLevel="0" collapsed="false">
      <c r="A437" s="6" t="s">
        <v>2093</v>
      </c>
      <c r="B437" s="6" t="s">
        <v>502</v>
      </c>
      <c r="C437" s="9" t="s">
        <v>2094</v>
      </c>
      <c r="D437" s="9" t="s">
        <v>1749</v>
      </c>
      <c r="E437" s="9" t="s">
        <v>1242</v>
      </c>
      <c r="F437" s="9" t="s">
        <v>2095</v>
      </c>
      <c r="H437" s="9" t="s">
        <v>837</v>
      </c>
      <c r="J437" s="37"/>
      <c r="K437" s="38"/>
      <c r="L437" s="38" t="n">
        <v>1583.61</v>
      </c>
      <c r="M437" s="38"/>
      <c r="P437" s="40"/>
      <c r="Q437" s="41" t="str">
        <f aca="false">IF(OR($A267="",P267=""),"",ROUND(YEARFRAC(P267,README!$C$5),1))</f>
        <v/>
      </c>
      <c r="R437" s="40"/>
      <c r="S437" s="48" t="n">
        <v>975</v>
      </c>
      <c r="T437" s="48" t="n">
        <v>1034</v>
      </c>
      <c r="U437" s="48" t="n">
        <v>1540</v>
      </c>
      <c r="V437" s="43" t="n">
        <f aca="false">IF($A267="","",IF(OR(T267="",U267=""),"",U267-T267))</f>
        <v>1359</v>
      </c>
      <c r="W437" s="37" t="n">
        <v>0.931</v>
      </c>
      <c r="Y437" s="45" t="n">
        <v>12.1</v>
      </c>
      <c r="Z437" s="6" t="s">
        <v>1907</v>
      </c>
      <c r="AA437" s="9" t="s">
        <v>774</v>
      </c>
      <c r="AB437" s="9" t="s">
        <v>2096</v>
      </c>
      <c r="AC437" s="27" t="n">
        <f aca="false">COUNTIF(環境認証!$A$2:$A$849,A267)</f>
        <v>2</v>
      </c>
      <c r="AD437" s="1" t="n">
        <v>48.9</v>
      </c>
      <c r="AE437" s="1" t="n">
        <v>57.9</v>
      </c>
    </row>
    <row r="438" customFormat="false" ht="15" hidden="false" customHeight="true" outlineLevel="0" collapsed="false">
      <c r="A438" s="6" t="s">
        <v>2097</v>
      </c>
      <c r="B438" s="6" t="s">
        <v>509</v>
      </c>
      <c r="C438" s="9" t="s">
        <v>2098</v>
      </c>
      <c r="D438" s="9" t="s">
        <v>1905</v>
      </c>
      <c r="E438" s="36" t="s">
        <v>762</v>
      </c>
      <c r="F438" s="36" t="s">
        <v>1148</v>
      </c>
      <c r="H438" s="6" t="s">
        <v>764</v>
      </c>
      <c r="I438" s="6" t="s">
        <v>2099</v>
      </c>
      <c r="J438" s="37"/>
      <c r="K438" s="38"/>
      <c r="L438" s="38" t="n">
        <v>2446.34</v>
      </c>
      <c r="M438" s="39" t="n">
        <v>158376.73</v>
      </c>
      <c r="P438" s="40"/>
      <c r="Q438" s="41" t="str">
        <f aca="false">IF(OR($A297="",P297=""),"",ROUND(YEARFRAC(P297,README!$C$5),1))</f>
        <v/>
      </c>
      <c r="R438" s="40"/>
      <c r="S438" s="42" t="n">
        <v>244261</v>
      </c>
      <c r="T438" s="42" t="n">
        <v>231242.144</v>
      </c>
      <c r="U438" s="42" t="n">
        <v>326920</v>
      </c>
      <c r="V438" s="43" t="n">
        <f aca="false">IF($A297="","",IF(OR(T297="",U297=""),"",U297-T297))</f>
        <v>617</v>
      </c>
      <c r="W438" s="44" t="n">
        <v>0.989</v>
      </c>
      <c r="X438" s="6" t="n">
        <v>396</v>
      </c>
      <c r="Y438" s="46" t="n">
        <v>3.4</v>
      </c>
      <c r="Z438" s="6" t="s">
        <v>2100</v>
      </c>
      <c r="AA438" s="9" t="s">
        <v>767</v>
      </c>
      <c r="AB438" s="9" t="s">
        <v>2101</v>
      </c>
      <c r="AC438" s="27" t="n">
        <f aca="false">COUNTIF(環境認証!$A$2:$A$849,A297)</f>
        <v>0</v>
      </c>
      <c r="AD438" s="1" t="n">
        <v>19.6</v>
      </c>
      <c r="AE438" s="1" t="n">
        <v>-6.4</v>
      </c>
    </row>
    <row r="439" customFormat="false" ht="15" hidden="false" customHeight="true" outlineLevel="0" collapsed="false">
      <c r="A439" s="6" t="s">
        <v>2102</v>
      </c>
      <c r="B439" s="6" t="s">
        <v>509</v>
      </c>
      <c r="C439" s="9" t="s">
        <v>2103</v>
      </c>
      <c r="D439" s="9" t="s">
        <v>1749</v>
      </c>
      <c r="E439" s="9" t="s">
        <v>762</v>
      </c>
      <c r="F439" s="9" t="s">
        <v>815</v>
      </c>
      <c r="H439" s="9" t="s">
        <v>772</v>
      </c>
      <c r="I439" s="9" t="s">
        <v>1583</v>
      </c>
      <c r="J439" s="37"/>
      <c r="K439" s="39" t="n">
        <v>784.26</v>
      </c>
      <c r="L439" s="39" t="n">
        <v>6675.52</v>
      </c>
      <c r="M439" s="39" t="n">
        <v>4493.54</v>
      </c>
      <c r="N439" s="6" t="n">
        <v>8</v>
      </c>
      <c r="O439" s="6" t="n">
        <v>3</v>
      </c>
      <c r="P439" s="50" t="n">
        <v>36434</v>
      </c>
      <c r="Q439" s="41" t="n">
        <f aca="false">IF(OR($A269="",P269=""),"",ROUND(YEARFRAC(P269,README!$C$5),1))</f>
        <v>26.9</v>
      </c>
      <c r="R439" s="40"/>
      <c r="S439" s="48" t="n">
        <v>1525</v>
      </c>
      <c r="T439" s="42" t="n">
        <v>14446.296</v>
      </c>
      <c r="U439" s="42" t="n">
        <v>40700</v>
      </c>
      <c r="V439" s="42" t="n">
        <v>26254</v>
      </c>
      <c r="W439" s="44" t="n">
        <v>1</v>
      </c>
      <c r="X439" s="6" t="n">
        <v>2</v>
      </c>
      <c r="Y439" s="46" t="n">
        <v>2</v>
      </c>
      <c r="Z439" s="6" t="s">
        <v>2100</v>
      </c>
      <c r="AA439" s="9" t="s">
        <v>774</v>
      </c>
      <c r="AB439" s="9" t="s">
        <v>2104</v>
      </c>
      <c r="AC439" s="27" t="n">
        <f aca="false">COUNTIF(環境認証!$A$2:$A$849,A269)</f>
        <v>1</v>
      </c>
      <c r="AD439" s="6" t="n">
        <v>181.7</v>
      </c>
      <c r="AE439" s="1" t="n">
        <v>29.8</v>
      </c>
    </row>
    <row r="440" customFormat="false" ht="15" hidden="false" customHeight="true" outlineLevel="0" collapsed="false">
      <c r="A440" s="6" t="s">
        <v>2105</v>
      </c>
      <c r="B440" s="6" t="s">
        <v>509</v>
      </c>
      <c r="C440" s="9" t="s">
        <v>2106</v>
      </c>
      <c r="D440" s="9" t="s">
        <v>1749</v>
      </c>
      <c r="E440" s="9" t="s">
        <v>762</v>
      </c>
      <c r="F440" s="9" t="s">
        <v>782</v>
      </c>
      <c r="H440" s="9" t="s">
        <v>772</v>
      </c>
      <c r="J440" s="37"/>
      <c r="K440" s="39" t="n">
        <v>776.59</v>
      </c>
      <c r="L440" s="39" t="n">
        <v>2342.21</v>
      </c>
      <c r="M440" s="39" t="n">
        <v>2094.96</v>
      </c>
      <c r="N440" s="6" t="n">
        <v>4</v>
      </c>
      <c r="O440" s="6" t="n">
        <v>1</v>
      </c>
      <c r="P440" s="50" t="n">
        <v>35796</v>
      </c>
      <c r="Q440" s="41" t="n">
        <f aca="false">IF(OR($A270="",P270=""),"",ROUND(YEARFRAC(P270,README!$C$5),1))</f>
        <v>28.6</v>
      </c>
      <c r="R440" s="40"/>
      <c r="S440" s="48" t="n">
        <v>1803</v>
      </c>
      <c r="T440" s="42" t="n">
        <v>4649.467</v>
      </c>
      <c r="U440" s="42" t="n">
        <v>6500</v>
      </c>
      <c r="V440" s="42" t="n">
        <v>1851</v>
      </c>
      <c r="W440" s="44" t="n">
        <v>1</v>
      </c>
      <c r="X440" s="6" t="n">
        <v>7</v>
      </c>
      <c r="Y440" s="46" t="n">
        <v>8</v>
      </c>
      <c r="Z440" s="6" t="s">
        <v>2100</v>
      </c>
      <c r="AA440" s="9" t="s">
        <v>774</v>
      </c>
      <c r="AB440" s="9" t="s">
        <v>2107</v>
      </c>
      <c r="AC440" s="27" t="n">
        <f aca="false">COUNTIF(環境認証!$A$2:$A$849,A270)</f>
        <v>1</v>
      </c>
      <c r="AD440" s="6" t="n">
        <v>39.8</v>
      </c>
      <c r="AE440" s="1" t="n">
        <v>24.2</v>
      </c>
    </row>
    <row r="441" customFormat="false" ht="15" hidden="false" customHeight="true" outlineLevel="0" collapsed="false">
      <c r="A441" s="6" t="s">
        <v>2108</v>
      </c>
      <c r="B441" s="6" t="s">
        <v>509</v>
      </c>
      <c r="C441" s="9" t="s">
        <v>2109</v>
      </c>
      <c r="D441" s="9" t="s">
        <v>1749</v>
      </c>
      <c r="E441" s="9" t="s">
        <v>762</v>
      </c>
      <c r="F441" s="9" t="s">
        <v>815</v>
      </c>
      <c r="H441" s="9" t="s">
        <v>772</v>
      </c>
      <c r="J441" s="37"/>
      <c r="K441" s="39" t="n">
        <v>1259.21</v>
      </c>
      <c r="L441" s="39" t="n">
        <v>3321.2</v>
      </c>
      <c r="M441" s="39" t="n">
        <v>2669.1</v>
      </c>
      <c r="N441" s="6" t="n">
        <v>4</v>
      </c>
      <c r="O441" s="6" t="n">
        <v>1</v>
      </c>
      <c r="P441" s="50" t="n">
        <v>31321</v>
      </c>
      <c r="Q441" s="41" t="n">
        <f aca="false">IF(OR($A271="",P271=""),"",ROUND(YEARFRAC(P271,README!$C$5),1))</f>
        <v>40.9</v>
      </c>
      <c r="R441" s="40"/>
      <c r="S441" s="48" t="n">
        <v>1830</v>
      </c>
      <c r="T441" s="42" t="n">
        <v>5613.88</v>
      </c>
      <c r="U441" s="42" t="n">
        <v>8510</v>
      </c>
      <c r="V441" s="42" t="n">
        <v>2896</v>
      </c>
      <c r="W441" s="44" t="n">
        <v>1</v>
      </c>
      <c r="X441" s="6" t="n">
        <v>4</v>
      </c>
      <c r="Y441" s="46" t="n">
        <v>9.9</v>
      </c>
      <c r="Z441" s="6" t="s">
        <v>2100</v>
      </c>
      <c r="AA441" s="9" t="s">
        <v>774</v>
      </c>
      <c r="AB441" s="9" t="s">
        <v>2110</v>
      </c>
      <c r="AC441" s="27" t="n">
        <f aca="false">COUNTIF(環境認証!$A$2:$A$849,A271)</f>
        <v>1</v>
      </c>
      <c r="AD441" s="6" t="n">
        <v>51.6</v>
      </c>
      <c r="AE441" s="1" t="n">
        <v>31.1</v>
      </c>
    </row>
    <row r="442" customFormat="false" ht="15" hidden="false" customHeight="true" outlineLevel="0" collapsed="false">
      <c r="A442" s="6" t="s">
        <v>2111</v>
      </c>
      <c r="B442" s="6" t="s">
        <v>509</v>
      </c>
      <c r="C442" s="9" t="s">
        <v>2112</v>
      </c>
      <c r="D442" s="9" t="s">
        <v>1749</v>
      </c>
      <c r="E442" s="9" t="s">
        <v>762</v>
      </c>
      <c r="F442" s="9" t="s">
        <v>815</v>
      </c>
      <c r="H442" s="9" t="s">
        <v>772</v>
      </c>
      <c r="J442" s="37"/>
      <c r="K442" s="39" t="n">
        <v>679.27</v>
      </c>
      <c r="L442" s="39" t="n">
        <v>1529.49</v>
      </c>
      <c r="M442" s="39" t="n">
        <v>1547.13</v>
      </c>
      <c r="N442" s="6" t="n">
        <v>3</v>
      </c>
      <c r="O442" s="6" t="n">
        <v>0</v>
      </c>
      <c r="P442" s="50" t="n">
        <v>35977</v>
      </c>
      <c r="Q442" s="41" t="n">
        <f aca="false">IF(OR($A272="",P272=""),"",ROUND(YEARFRAC(P272,README!$C$5),1))</f>
        <v>28.1</v>
      </c>
      <c r="R442" s="40"/>
      <c r="S442" s="48" t="n">
        <v>1310</v>
      </c>
      <c r="T442" s="42" t="n">
        <v>6536.073</v>
      </c>
      <c r="U442" s="42" t="n">
        <v>15300</v>
      </c>
      <c r="V442" s="42" t="n">
        <v>8764</v>
      </c>
      <c r="W442" s="44" t="n">
        <v>1</v>
      </c>
      <c r="X442" s="6" t="n">
        <v>2</v>
      </c>
      <c r="Y442" s="46" t="n">
        <v>8.5</v>
      </c>
      <c r="Z442" s="6" t="s">
        <v>2100</v>
      </c>
      <c r="AA442" s="9" t="s">
        <v>774</v>
      </c>
      <c r="AB442" s="9" t="s">
        <v>2113</v>
      </c>
      <c r="AC442" s="27" t="n">
        <f aca="false">COUNTIF(環境認証!$A$2:$A$849,A272)</f>
        <v>0</v>
      </c>
      <c r="AD442" s="6" t="n">
        <v>134.1</v>
      </c>
      <c r="AE442" s="1" t="n">
        <v>30.5</v>
      </c>
    </row>
    <row r="443" customFormat="false" ht="15" hidden="false" customHeight="true" outlineLevel="0" collapsed="false">
      <c r="A443" s="6" t="s">
        <v>2114</v>
      </c>
      <c r="B443" s="6" t="s">
        <v>509</v>
      </c>
      <c r="C443" s="9" t="s">
        <v>2115</v>
      </c>
      <c r="D443" s="9" t="s">
        <v>1749</v>
      </c>
      <c r="E443" s="9" t="s">
        <v>762</v>
      </c>
      <c r="F443" s="9" t="s">
        <v>815</v>
      </c>
      <c r="H443" s="9" t="s">
        <v>772</v>
      </c>
      <c r="J443" s="37"/>
      <c r="K443" s="39" t="n">
        <v>1705.35</v>
      </c>
      <c r="L443" s="39" t="n">
        <v>11847.87</v>
      </c>
      <c r="M443" s="39" t="n">
        <v>8295.62</v>
      </c>
      <c r="N443" s="6" t="n">
        <v>12</v>
      </c>
      <c r="O443" s="6" t="n">
        <v>2</v>
      </c>
      <c r="P443" s="50" t="n">
        <v>38231</v>
      </c>
      <c r="Q443" s="41" t="n">
        <f aca="false">IF(OR($A273="",P273=""),"",ROUND(YEARFRAC(P273,README!$C$5),1))</f>
        <v>21.9</v>
      </c>
      <c r="R443" s="40"/>
      <c r="S443" s="48" t="n">
        <v>2640</v>
      </c>
      <c r="T443" s="42" t="n">
        <v>20374.98</v>
      </c>
      <c r="U443" s="42" t="n">
        <v>23900</v>
      </c>
      <c r="V443" s="42" t="n">
        <v>3525</v>
      </c>
      <c r="W443" s="44" t="n">
        <v>1</v>
      </c>
      <c r="X443" s="6" t="n">
        <v>15</v>
      </c>
      <c r="Y443" s="46" t="n">
        <v>1.8</v>
      </c>
      <c r="Z443" s="6" t="s">
        <v>2100</v>
      </c>
      <c r="AA443" s="9" t="s">
        <v>774</v>
      </c>
      <c r="AB443" s="9" t="s">
        <v>2116</v>
      </c>
      <c r="AC443" s="27" t="n">
        <f aca="false">COUNTIF(環境認証!$A$2:$A$849,A273)</f>
        <v>0</v>
      </c>
      <c r="AD443" s="6" t="n">
        <v>17.3</v>
      </c>
      <c r="AE443" s="1" t="n">
        <v>43.2</v>
      </c>
    </row>
    <row r="444" customFormat="false" ht="15" hidden="false" customHeight="true" outlineLevel="0" collapsed="false">
      <c r="A444" s="6" t="s">
        <v>2117</v>
      </c>
      <c r="B444" s="6" t="s">
        <v>509</v>
      </c>
      <c r="C444" s="9" t="s">
        <v>2118</v>
      </c>
      <c r="D444" s="9" t="s">
        <v>1749</v>
      </c>
      <c r="E444" s="9" t="s">
        <v>762</v>
      </c>
      <c r="F444" s="9" t="s">
        <v>905</v>
      </c>
      <c r="H444" s="9" t="s">
        <v>882</v>
      </c>
      <c r="J444" s="37"/>
      <c r="K444" s="39" t="n">
        <v>575.54</v>
      </c>
      <c r="L444" s="39" t="n">
        <v>1272.6</v>
      </c>
      <c r="M444" s="39" t="n">
        <v>1231.8</v>
      </c>
      <c r="N444" s="6" t="n">
        <v>5</v>
      </c>
      <c r="O444" s="6" t="n">
        <v>0</v>
      </c>
      <c r="P444" s="50" t="n">
        <v>37226</v>
      </c>
      <c r="Q444" s="41" t="n">
        <f aca="false">IF(OR($A274="",P274=""),"",ROUND(YEARFRAC(P274,README!$C$5),1))</f>
        <v>24.7</v>
      </c>
      <c r="R444" s="40"/>
      <c r="S444" s="48" t="n">
        <v>1496</v>
      </c>
      <c r="T444" s="42" t="n">
        <v>3171.533</v>
      </c>
      <c r="U444" s="42" t="n">
        <v>3640</v>
      </c>
      <c r="V444" s="42" t="n">
        <v>468</v>
      </c>
      <c r="W444" s="44" t="n">
        <v>1</v>
      </c>
      <c r="X444" s="6" t="n">
        <v>5</v>
      </c>
      <c r="Y444" s="46" t="n">
        <v>5.8</v>
      </c>
      <c r="Z444" s="6" t="s">
        <v>2100</v>
      </c>
      <c r="AA444" s="9" t="s">
        <v>774</v>
      </c>
      <c r="AB444" s="9" t="s">
        <v>2119</v>
      </c>
      <c r="AC444" s="27" t="n">
        <f aca="false">COUNTIF(環境認証!$A$2:$A$849,A274)</f>
        <v>0</v>
      </c>
      <c r="AD444" s="6" t="n">
        <v>14.8</v>
      </c>
      <c r="AE444" s="1" t="n">
        <v>39</v>
      </c>
    </row>
    <row r="445" customFormat="false" ht="15" hidden="false" customHeight="true" outlineLevel="0" collapsed="false">
      <c r="A445" s="6" t="s">
        <v>2120</v>
      </c>
      <c r="B445" s="6" t="s">
        <v>509</v>
      </c>
      <c r="C445" s="9" t="s">
        <v>2121</v>
      </c>
      <c r="D445" s="9" t="s">
        <v>761</v>
      </c>
      <c r="E445" s="9" t="s">
        <v>762</v>
      </c>
      <c r="F445" s="9" t="s">
        <v>815</v>
      </c>
      <c r="H445" s="9" t="s">
        <v>772</v>
      </c>
      <c r="J445" s="37"/>
      <c r="K445" s="39" t="n">
        <v>2013.28</v>
      </c>
      <c r="L445" s="39" t="n">
        <v>7003.88</v>
      </c>
      <c r="M445" s="39" t="n">
        <v>7148.18</v>
      </c>
      <c r="N445" s="6" t="n">
        <v>5</v>
      </c>
      <c r="O445" s="6" t="n">
        <v>2</v>
      </c>
      <c r="P445" s="50" t="n">
        <v>33786</v>
      </c>
      <c r="Q445" s="41" t="n">
        <f aca="false">IF(OR($A275="",P275=""),"",ROUND(YEARFRAC(P275,README!$C$5),1))</f>
        <v>34.1</v>
      </c>
      <c r="R445" s="40"/>
      <c r="S445" s="48" t="n">
        <v>2820</v>
      </c>
      <c r="T445" s="42" t="n">
        <v>4182.607</v>
      </c>
      <c r="U445" s="42" t="n">
        <v>8270</v>
      </c>
      <c r="V445" s="42" t="n">
        <v>4087</v>
      </c>
      <c r="W445" s="44" t="n">
        <v>1</v>
      </c>
      <c r="X445" s="6" t="n">
        <v>1</v>
      </c>
      <c r="Y445" s="46" t="n">
        <v>6.4</v>
      </c>
      <c r="Z445" s="6" t="s">
        <v>2100</v>
      </c>
      <c r="AA445" s="9" t="s">
        <v>774</v>
      </c>
      <c r="AB445" s="9" t="s">
        <v>2122</v>
      </c>
      <c r="AC445" s="27" t="n">
        <f aca="false">COUNTIF(環境認証!$A$2:$A$849,A275)</f>
        <v>1</v>
      </c>
      <c r="AD445" s="6" t="n">
        <v>97.7</v>
      </c>
      <c r="AE445" s="1" t="n">
        <v>10.6</v>
      </c>
    </row>
    <row r="446" customFormat="false" ht="15" hidden="false" customHeight="true" outlineLevel="0" collapsed="false">
      <c r="A446" s="6" t="s">
        <v>2123</v>
      </c>
      <c r="B446" s="6" t="s">
        <v>509</v>
      </c>
      <c r="C446" s="9" t="s">
        <v>2124</v>
      </c>
      <c r="D446" s="9" t="s">
        <v>761</v>
      </c>
      <c r="E446" s="9" t="s">
        <v>762</v>
      </c>
      <c r="F446" s="9" t="s">
        <v>815</v>
      </c>
      <c r="H446" s="9" t="s">
        <v>772</v>
      </c>
      <c r="I446" s="9" t="s">
        <v>1605</v>
      </c>
      <c r="J446" s="37"/>
      <c r="K446" s="39" t="n">
        <v>1013.03</v>
      </c>
      <c r="L446" s="39" t="n">
        <v>6505.39</v>
      </c>
      <c r="M446" s="39" t="n">
        <v>4737.19</v>
      </c>
      <c r="N446" s="6" t="n">
        <v>9</v>
      </c>
      <c r="O446" s="6" t="n">
        <v>3</v>
      </c>
      <c r="P446" s="50" t="n">
        <v>31929</v>
      </c>
      <c r="Q446" s="41" t="n">
        <f aca="false">IF(OR($A276="",P276=""),"",ROUND(YEARFRAC(P276,README!$C$5),1))</f>
        <v>39.2</v>
      </c>
      <c r="R446" s="40"/>
      <c r="S446" s="48" t="n">
        <v>2235</v>
      </c>
      <c r="T446" s="42" t="n">
        <v>6200.049</v>
      </c>
      <c r="U446" s="42" t="n">
        <v>12800</v>
      </c>
      <c r="V446" s="42" t="n">
        <v>6600</v>
      </c>
      <c r="W446" s="44" t="n">
        <v>1</v>
      </c>
      <c r="X446" s="6" t="n">
        <v>2</v>
      </c>
      <c r="Y446" s="46" t="n">
        <v>3.8</v>
      </c>
      <c r="Z446" s="6" t="s">
        <v>2100</v>
      </c>
      <c r="AA446" s="9" t="s">
        <v>774</v>
      </c>
      <c r="AB446" s="9" t="s">
        <v>2125</v>
      </c>
      <c r="AC446" s="27" t="n">
        <f aca="false">COUNTIF(環境認証!$A$2:$A$849,A276)</f>
        <v>0</v>
      </c>
      <c r="AD446" s="6" t="n">
        <v>106.4</v>
      </c>
      <c r="AE446" s="1" t="n">
        <v>16.3</v>
      </c>
    </row>
    <row r="447" customFormat="false" ht="15" hidden="false" customHeight="true" outlineLevel="0" collapsed="false">
      <c r="A447" s="6" t="s">
        <v>2126</v>
      </c>
      <c r="B447" s="6" t="s">
        <v>509</v>
      </c>
      <c r="C447" s="9" t="s">
        <v>2127</v>
      </c>
      <c r="D447" s="9" t="s">
        <v>761</v>
      </c>
      <c r="E447" s="9" t="s">
        <v>762</v>
      </c>
      <c r="F447" s="9" t="s">
        <v>1148</v>
      </c>
      <c r="H447" s="9" t="s">
        <v>882</v>
      </c>
      <c r="J447" s="37"/>
      <c r="K447" s="39" t="n">
        <v>1642.86</v>
      </c>
      <c r="L447" s="39" t="n">
        <v>10244.51</v>
      </c>
      <c r="M447" s="39" t="n">
        <v>7337.82</v>
      </c>
      <c r="N447" s="6" t="n">
        <v>9</v>
      </c>
      <c r="O447" s="6" t="n">
        <v>1</v>
      </c>
      <c r="P447" s="50" t="n">
        <v>33635</v>
      </c>
      <c r="Q447" s="41" t="n">
        <f aca="false">IF(OR($A277="",P277=""),"",ROUND(YEARFRAC(P277,README!$C$5),1))</f>
        <v>34.5</v>
      </c>
      <c r="R447" s="40"/>
      <c r="S447" s="48" t="n">
        <v>1800</v>
      </c>
      <c r="T447" s="42" t="n">
        <v>3718.04</v>
      </c>
      <c r="U447" s="42" t="n">
        <v>6220</v>
      </c>
      <c r="V447" s="42" t="n">
        <v>2502</v>
      </c>
      <c r="W447" s="44" t="n">
        <v>1</v>
      </c>
      <c r="X447" s="6" t="n">
        <v>5</v>
      </c>
      <c r="Y447" s="46" t="n">
        <v>4.9</v>
      </c>
      <c r="Z447" s="6" t="s">
        <v>2100</v>
      </c>
      <c r="AA447" s="9" t="s">
        <v>774</v>
      </c>
      <c r="AB447" s="9" t="s">
        <v>2128</v>
      </c>
      <c r="AC447" s="27" t="n">
        <f aca="false">COUNTIF(環境認証!$A$2:$A$849,A277)</f>
        <v>0</v>
      </c>
      <c r="AD447" s="6" t="n">
        <v>67.3</v>
      </c>
      <c r="AE447" s="1" t="n">
        <v>7.2</v>
      </c>
    </row>
    <row r="448" customFormat="false" ht="15" hidden="false" customHeight="true" outlineLevel="0" collapsed="false">
      <c r="A448" s="6" t="s">
        <v>2129</v>
      </c>
      <c r="B448" s="6" t="s">
        <v>509</v>
      </c>
      <c r="C448" s="9" t="s">
        <v>2130</v>
      </c>
      <c r="D448" s="9" t="s">
        <v>761</v>
      </c>
      <c r="E448" s="9" t="s">
        <v>762</v>
      </c>
      <c r="F448" s="9" t="s">
        <v>782</v>
      </c>
      <c r="H448" s="9" t="s">
        <v>772</v>
      </c>
      <c r="I448" s="9" t="s">
        <v>1612</v>
      </c>
      <c r="J448" s="37"/>
      <c r="K448" s="39" t="n">
        <v>1730.1</v>
      </c>
      <c r="L448" s="39" t="n">
        <v>15343.73</v>
      </c>
      <c r="M448" s="39" t="n">
        <v>4095.22</v>
      </c>
      <c r="N448" s="6" t="n">
        <v>9</v>
      </c>
      <c r="O448" s="6" t="n">
        <v>2</v>
      </c>
      <c r="P448" s="50" t="n">
        <v>32234</v>
      </c>
      <c r="Q448" s="41" t="n">
        <f aca="false">IF(OR($A278="",P278=""),"",ROUND(YEARFRAC(P278,README!$C$5),1))</f>
        <v>38.4</v>
      </c>
      <c r="R448" s="40"/>
      <c r="S448" s="48" t="n">
        <v>1140</v>
      </c>
      <c r="T448" s="42" t="n">
        <v>3841.831</v>
      </c>
      <c r="U448" s="42" t="n">
        <v>5770</v>
      </c>
      <c r="V448" s="42" t="n">
        <v>1928</v>
      </c>
      <c r="W448" s="44" t="n">
        <v>1</v>
      </c>
      <c r="X448" s="6" t="n">
        <v>10</v>
      </c>
      <c r="Y448" s="46" t="n">
        <v>3.2</v>
      </c>
      <c r="Z448" s="6" t="s">
        <v>2100</v>
      </c>
      <c r="AA448" s="9" t="s">
        <v>774</v>
      </c>
      <c r="AB448" s="9" t="s">
        <v>2131</v>
      </c>
      <c r="AC448" s="27" t="n">
        <f aca="false">COUNTIF(環境認証!$A$2:$A$849,A278)</f>
        <v>0</v>
      </c>
      <c r="AD448" s="6" t="n">
        <v>50.2</v>
      </c>
      <c r="AE448" s="1" t="n">
        <v>7</v>
      </c>
    </row>
    <row r="449" customFormat="false" ht="15" hidden="false" customHeight="true" outlineLevel="0" collapsed="false">
      <c r="A449" s="6" t="s">
        <v>2132</v>
      </c>
      <c r="B449" s="6" t="s">
        <v>509</v>
      </c>
      <c r="C449" s="9" t="s">
        <v>2133</v>
      </c>
      <c r="D449" s="9" t="s">
        <v>761</v>
      </c>
      <c r="E449" s="9" t="s">
        <v>762</v>
      </c>
      <c r="F449" s="9" t="s">
        <v>905</v>
      </c>
      <c r="H449" s="9" t="s">
        <v>882</v>
      </c>
      <c r="J449" s="37"/>
      <c r="K449" s="39" t="n">
        <v>2382.67</v>
      </c>
      <c r="L449" s="39" t="n">
        <v>7619.56</v>
      </c>
      <c r="M449" s="39" t="n">
        <v>5710.32</v>
      </c>
      <c r="N449" s="6" t="n">
        <v>7</v>
      </c>
      <c r="O449" s="6" t="n">
        <v>0</v>
      </c>
      <c r="P449" s="50" t="n">
        <v>32782</v>
      </c>
      <c r="Q449" s="41" t="n">
        <f aca="false">IF(OR($A279="",P279=""),"",ROUND(YEARFRAC(P279,README!$C$5),1))</f>
        <v>36.9</v>
      </c>
      <c r="R449" s="40"/>
      <c r="S449" s="48" t="n">
        <v>19940</v>
      </c>
      <c r="T449" s="42" t="n">
        <v>5244.136</v>
      </c>
      <c r="U449" s="42" t="n">
        <v>6680</v>
      </c>
      <c r="V449" s="42" t="n">
        <v>1436</v>
      </c>
      <c r="W449" s="44" t="n">
        <v>1</v>
      </c>
      <c r="X449" s="6" t="n">
        <v>6</v>
      </c>
      <c r="Y449" s="46" t="n">
        <v>3.8</v>
      </c>
      <c r="Z449" s="6" t="s">
        <v>2100</v>
      </c>
      <c r="AA449" s="9" t="s">
        <v>774</v>
      </c>
      <c r="AB449" s="9" t="s">
        <v>2134</v>
      </c>
      <c r="AC449" s="27" t="n">
        <f aca="false">COUNTIF(環境認証!$A$2:$A$849,A279)</f>
        <v>1</v>
      </c>
      <c r="AD449" s="6" t="n">
        <v>27.4</v>
      </c>
    </row>
    <row r="450" customFormat="false" ht="15" hidden="false" customHeight="true" outlineLevel="0" collapsed="false">
      <c r="A450" s="6" t="s">
        <v>2135</v>
      </c>
      <c r="B450" s="6" t="s">
        <v>509</v>
      </c>
      <c r="C450" s="9" t="s">
        <v>2136</v>
      </c>
      <c r="D450" s="9" t="s">
        <v>761</v>
      </c>
      <c r="E450" s="9" t="s">
        <v>762</v>
      </c>
      <c r="F450" s="9" t="s">
        <v>763</v>
      </c>
      <c r="H450" s="9" t="s">
        <v>772</v>
      </c>
      <c r="I450" s="1" t="s">
        <v>2137</v>
      </c>
      <c r="J450" s="37"/>
      <c r="K450" s="39" t="n">
        <v>1269.24</v>
      </c>
      <c r="L450" s="39" t="n">
        <v>6803.47</v>
      </c>
      <c r="M450" s="39" t="n">
        <v>5409.07</v>
      </c>
      <c r="N450" s="6" t="n">
        <v>7</v>
      </c>
      <c r="O450" s="6" t="n">
        <v>1</v>
      </c>
      <c r="P450" s="50" t="n">
        <v>37622</v>
      </c>
      <c r="Q450" s="41" t="n">
        <f aca="false">IF(OR($A280="",P280=""),"",ROUND(YEARFRAC(P280,README!$C$5),1))</f>
        <v>23.6</v>
      </c>
      <c r="R450" s="40"/>
      <c r="S450" s="48" t="n">
        <v>295266</v>
      </c>
      <c r="T450" s="42" t="n">
        <v>8173.016</v>
      </c>
      <c r="U450" s="42" t="n">
        <v>10600</v>
      </c>
      <c r="V450" s="42" t="n">
        <v>2427</v>
      </c>
      <c r="W450" s="44" t="n">
        <v>1</v>
      </c>
      <c r="X450" s="6" t="n">
        <v>9</v>
      </c>
      <c r="Y450" s="46" t="n">
        <v>3.3</v>
      </c>
      <c r="Z450" s="6" t="s">
        <v>2100</v>
      </c>
      <c r="AA450" s="49" t="s">
        <v>774</v>
      </c>
      <c r="AB450" s="9" t="s">
        <v>2138</v>
      </c>
      <c r="AC450" s="27" t="n">
        <f aca="false">COUNTIF(環境認証!$A$2:$A$849,A280)</f>
        <v>0</v>
      </c>
      <c r="AD450" s="6" t="n">
        <v>29.7</v>
      </c>
    </row>
    <row r="451" customFormat="false" ht="15" hidden="false" customHeight="true" outlineLevel="0" collapsed="false">
      <c r="A451" s="6" t="s">
        <v>2139</v>
      </c>
      <c r="B451" s="6" t="s">
        <v>509</v>
      </c>
      <c r="C451" s="9" t="s">
        <v>2140</v>
      </c>
      <c r="D451" s="9" t="s">
        <v>761</v>
      </c>
      <c r="E451" s="9" t="s">
        <v>762</v>
      </c>
      <c r="F451" s="9" t="s">
        <v>771</v>
      </c>
      <c r="H451" s="9" t="s">
        <v>772</v>
      </c>
      <c r="J451" s="37"/>
      <c r="K451" s="39" t="n">
        <v>1113.87</v>
      </c>
      <c r="L451" s="39" t="n">
        <v>8720.09</v>
      </c>
      <c r="M451" s="39" t="n">
        <v>6273.51</v>
      </c>
      <c r="N451" s="6" t="n">
        <v>10</v>
      </c>
      <c r="O451" s="6" t="n">
        <v>0</v>
      </c>
      <c r="P451" s="50" t="n">
        <v>37742</v>
      </c>
      <c r="Q451" s="41" t="n">
        <f aca="false">IF(OR($A281="",P281=""),"",ROUND(YEARFRAC(P281,README!$C$5),1))</f>
        <v>23.3</v>
      </c>
      <c r="R451" s="40"/>
      <c r="S451" s="48" t="n">
        <v>6540</v>
      </c>
      <c r="T451" s="42" t="n">
        <v>8952.155</v>
      </c>
      <c r="U451" s="42" t="n">
        <v>13600</v>
      </c>
      <c r="V451" s="42" t="n">
        <v>4648</v>
      </c>
      <c r="W451" s="44" t="n">
        <v>1</v>
      </c>
      <c r="X451" s="6" t="n">
        <v>7</v>
      </c>
      <c r="Y451" s="46" t="n">
        <v>3.9</v>
      </c>
      <c r="Z451" s="6" t="s">
        <v>2100</v>
      </c>
      <c r="AA451" s="9" t="s">
        <v>774</v>
      </c>
      <c r="AB451" s="9" t="s">
        <v>2141</v>
      </c>
      <c r="AC451" s="27" t="n">
        <f aca="false">COUNTIF(環境認証!$A$2:$A$849,A281)</f>
        <v>0</v>
      </c>
      <c r="AD451" s="6" t="n">
        <v>51.9</v>
      </c>
      <c r="AE451" s="1" t="n">
        <v>28.1</v>
      </c>
    </row>
    <row r="452" customFormat="false" ht="15" hidden="false" customHeight="true" outlineLevel="0" collapsed="false">
      <c r="A452" s="6" t="s">
        <v>2142</v>
      </c>
      <c r="B452" s="6" t="s">
        <v>509</v>
      </c>
      <c r="C452" s="9" t="s">
        <v>2143</v>
      </c>
      <c r="D452" s="9" t="s">
        <v>761</v>
      </c>
      <c r="E452" s="9" t="s">
        <v>762</v>
      </c>
      <c r="F452" s="9" t="s">
        <v>763</v>
      </c>
      <c r="H452" s="9" t="s">
        <v>772</v>
      </c>
      <c r="I452" s="9" t="s">
        <v>1605</v>
      </c>
      <c r="J452" s="37"/>
      <c r="K452" s="39" t="n">
        <v>795.33</v>
      </c>
      <c r="L452" s="39" t="n">
        <v>5704.69</v>
      </c>
      <c r="M452" s="39" t="n">
        <v>4426.65</v>
      </c>
      <c r="N452" s="6" t="n">
        <v>8</v>
      </c>
      <c r="O452" s="6" t="n">
        <v>1</v>
      </c>
      <c r="P452" s="50" t="n">
        <v>31291</v>
      </c>
      <c r="Q452" s="41" t="n">
        <f aca="false">IF(OR($A282="",P282=""),"",ROUND(YEARFRAC(P282,README!$C$5),1))</f>
        <v>40.9</v>
      </c>
      <c r="R452" s="40"/>
      <c r="S452" s="48" t="n">
        <v>1790</v>
      </c>
      <c r="T452" s="42" t="n">
        <v>4731.715</v>
      </c>
      <c r="U452" s="42" t="n">
        <v>7300</v>
      </c>
      <c r="V452" s="42" t="n">
        <v>2568</v>
      </c>
      <c r="W452" s="44" t="n">
        <v>1</v>
      </c>
      <c r="X452" s="6" t="n">
        <v>7</v>
      </c>
      <c r="Y452" s="46" t="n">
        <v>6.2</v>
      </c>
      <c r="Z452" s="6" t="s">
        <v>2100</v>
      </c>
      <c r="AA452" s="9" t="s">
        <v>774</v>
      </c>
      <c r="AB452" s="9" t="s">
        <v>2144</v>
      </c>
      <c r="AC452" s="27" t="n">
        <f aca="false">COUNTIF(環境認証!$A$2:$A$849,A282)</f>
        <v>0</v>
      </c>
      <c r="AD452" s="6" t="n">
        <v>54.3</v>
      </c>
      <c r="AE452" s="1" t="n">
        <v>12.3</v>
      </c>
    </row>
    <row r="453" customFormat="false" ht="15" hidden="false" customHeight="true" outlineLevel="0" collapsed="false">
      <c r="A453" s="6" t="s">
        <v>2145</v>
      </c>
      <c r="B453" s="6" t="s">
        <v>509</v>
      </c>
      <c r="C453" s="9" t="s">
        <v>2146</v>
      </c>
      <c r="D453" s="9" t="s">
        <v>761</v>
      </c>
      <c r="E453" s="9" t="s">
        <v>762</v>
      </c>
      <c r="F453" s="9" t="s">
        <v>815</v>
      </c>
      <c r="H453" s="9" t="s">
        <v>772</v>
      </c>
      <c r="I453" s="9" t="s">
        <v>1630</v>
      </c>
      <c r="J453" s="37"/>
      <c r="K453" s="39" t="n">
        <v>1077.45</v>
      </c>
      <c r="L453" s="39" t="n">
        <v>7289.38</v>
      </c>
      <c r="M453" s="39" t="n">
        <v>5246.68</v>
      </c>
      <c r="N453" s="6" t="n">
        <v>9</v>
      </c>
      <c r="O453" s="6" t="n">
        <v>1</v>
      </c>
      <c r="P453" s="50" t="n">
        <v>32933</v>
      </c>
      <c r="Q453" s="41" t="n">
        <f aca="false">IF(OR($A283="",P283=""),"",ROUND(YEARFRAC(P283,README!$C$5),1))</f>
        <v>36.4</v>
      </c>
      <c r="R453" s="40"/>
      <c r="S453" s="48" t="n">
        <v>2040</v>
      </c>
      <c r="T453" s="42" t="n">
        <v>5267.504</v>
      </c>
      <c r="U453" s="42" t="n">
        <v>10400</v>
      </c>
      <c r="V453" s="42" t="n">
        <v>5132</v>
      </c>
      <c r="W453" s="44" t="n">
        <v>0.877</v>
      </c>
      <c r="X453" s="6" t="n">
        <v>11</v>
      </c>
      <c r="Y453" s="46" t="n">
        <v>3.1</v>
      </c>
      <c r="Z453" s="6" t="s">
        <v>2100</v>
      </c>
      <c r="AA453" s="9" t="s">
        <v>774</v>
      </c>
      <c r="AB453" s="9" t="s">
        <v>2147</v>
      </c>
      <c r="AC453" s="27" t="n">
        <f aca="false">COUNTIF(環境認証!$A$2:$A$849,A283)</f>
        <v>0</v>
      </c>
      <c r="AD453" s="6" t="n">
        <v>97.4</v>
      </c>
      <c r="AE453" s="1" t="n">
        <v>28.9</v>
      </c>
    </row>
    <row r="454" customFormat="false" ht="15" hidden="false" customHeight="true" outlineLevel="0" collapsed="false">
      <c r="A454" s="6" t="s">
        <v>2148</v>
      </c>
      <c r="B454" s="6" t="s">
        <v>509</v>
      </c>
      <c r="C454" s="9" t="s">
        <v>2149</v>
      </c>
      <c r="D454" s="9" t="s">
        <v>761</v>
      </c>
      <c r="E454" s="9" t="s">
        <v>762</v>
      </c>
      <c r="F454" s="9" t="s">
        <v>782</v>
      </c>
      <c r="H454" s="9" t="s">
        <v>772</v>
      </c>
      <c r="J454" s="37"/>
      <c r="K454" s="39" t="n">
        <v>2021.77</v>
      </c>
      <c r="L454" s="39" t="n">
        <v>14033.73</v>
      </c>
      <c r="M454" s="39" t="n">
        <v>11029.27</v>
      </c>
      <c r="N454" s="6" t="n">
        <v>10</v>
      </c>
      <c r="O454" s="6" t="n">
        <v>0</v>
      </c>
      <c r="P454" s="50" t="n">
        <v>40269</v>
      </c>
      <c r="Q454" s="41" t="n">
        <f aca="false">IF(OR($A284="",P284=""),"",ROUND(YEARFRAC(P284,README!$C$5),1))</f>
        <v>16.4</v>
      </c>
      <c r="R454" s="40"/>
      <c r="S454" s="48"/>
      <c r="T454" s="42" t="n">
        <v>16716.112</v>
      </c>
      <c r="U454" s="42" t="n">
        <v>26100</v>
      </c>
      <c r="V454" s="42" t="n">
        <v>9384</v>
      </c>
      <c r="W454" s="44" t="n">
        <v>1</v>
      </c>
      <c r="X454" s="6" t="n">
        <v>13</v>
      </c>
      <c r="Y454" s="46" t="n">
        <v>2.4</v>
      </c>
      <c r="Z454" s="6" t="s">
        <v>2100</v>
      </c>
      <c r="AA454" s="9" t="s">
        <v>774</v>
      </c>
      <c r="AB454" s="9" t="s">
        <v>2150</v>
      </c>
      <c r="AC454" s="27" t="n">
        <f aca="false">COUNTIF(環境認証!$A$2:$A$849,A284)</f>
        <v>0</v>
      </c>
      <c r="AD454" s="6" t="n">
        <v>56.1</v>
      </c>
    </row>
    <row r="455" customFormat="false" ht="15" hidden="false" customHeight="true" outlineLevel="0" collapsed="false">
      <c r="A455" s="6" t="s">
        <v>2151</v>
      </c>
      <c r="B455" s="6" t="s">
        <v>509</v>
      </c>
      <c r="C455" s="9" t="s">
        <v>2152</v>
      </c>
      <c r="D455" s="9" t="s">
        <v>761</v>
      </c>
      <c r="E455" s="9" t="s">
        <v>762</v>
      </c>
      <c r="F455" s="9" t="s">
        <v>771</v>
      </c>
      <c r="H455" s="9" t="s">
        <v>772</v>
      </c>
      <c r="J455" s="37"/>
      <c r="K455" s="39" t="n">
        <v>270.05</v>
      </c>
      <c r="L455" s="39" t="n">
        <v>2006.13</v>
      </c>
      <c r="M455" s="39" t="n">
        <v>1790.46</v>
      </c>
      <c r="N455" s="6" t="n">
        <v>10</v>
      </c>
      <c r="O455" s="6" t="n">
        <v>0</v>
      </c>
      <c r="P455" s="50" t="n">
        <v>33573</v>
      </c>
      <c r="Q455" s="41" t="n">
        <f aca="false">IF(OR($A285="",P285=""),"",ROUND(YEARFRAC(P285,README!$C$5),1))</f>
        <v>34.7</v>
      </c>
      <c r="R455" s="40"/>
      <c r="S455" s="48" t="n">
        <v>1610</v>
      </c>
      <c r="T455" s="42" t="n">
        <v>2917.735</v>
      </c>
      <c r="U455" s="42" t="n">
        <v>3400</v>
      </c>
      <c r="V455" s="42" t="n">
        <v>482</v>
      </c>
      <c r="W455" s="44" t="n">
        <v>1</v>
      </c>
      <c r="X455" s="6" t="n">
        <v>2</v>
      </c>
      <c r="Y455" s="46" t="n">
        <v>3.6</v>
      </c>
      <c r="Z455" s="6" t="s">
        <v>2100</v>
      </c>
      <c r="AA455" s="9" t="s">
        <v>774</v>
      </c>
      <c r="AB455" s="9" t="s">
        <v>2153</v>
      </c>
      <c r="AC455" s="27" t="n">
        <f aca="false">COUNTIF(環境認証!$A$2:$A$849,A285)</f>
        <v>0</v>
      </c>
      <c r="AD455" s="6" t="n">
        <v>16.5</v>
      </c>
      <c r="AE455" s="1" t="n">
        <v>28</v>
      </c>
    </row>
    <row r="456" customFormat="false" ht="15" hidden="false" customHeight="true" outlineLevel="0" collapsed="false">
      <c r="A456" s="6" t="s">
        <v>2154</v>
      </c>
      <c r="B456" s="6" t="s">
        <v>509</v>
      </c>
      <c r="C456" s="9" t="s">
        <v>2155</v>
      </c>
      <c r="D456" s="9" t="s">
        <v>761</v>
      </c>
      <c r="E456" s="9" t="s">
        <v>762</v>
      </c>
      <c r="F456" s="9" t="s">
        <v>763</v>
      </c>
      <c r="H456" s="9" t="s">
        <v>772</v>
      </c>
      <c r="I456" s="9" t="s">
        <v>1640</v>
      </c>
      <c r="J456" s="37"/>
      <c r="K456" s="39" t="n">
        <v>2756.41</v>
      </c>
      <c r="L456" s="39" t="n">
        <v>15834.55</v>
      </c>
      <c r="M456" s="39" t="n">
        <v>11668.25</v>
      </c>
      <c r="N456" s="6" t="n">
        <v>11</v>
      </c>
      <c r="O456" s="6" t="n">
        <v>0</v>
      </c>
      <c r="P456" s="50" t="n">
        <v>40787</v>
      </c>
      <c r="Q456" s="41" t="n">
        <f aca="false">IF(OR($A286="",P286=""),"",ROUND(YEARFRAC(P286,README!$C$5),1))</f>
        <v>14.9</v>
      </c>
      <c r="R456" s="40"/>
      <c r="S456" s="48" t="n">
        <v>1590</v>
      </c>
      <c r="T456" s="42" t="n">
        <v>26993.433</v>
      </c>
      <c r="U456" s="42" t="n">
        <v>31000</v>
      </c>
      <c r="V456" s="42" t="n">
        <v>4007</v>
      </c>
      <c r="W456" s="44" t="n">
        <v>1</v>
      </c>
      <c r="X456" s="6" t="n">
        <v>6</v>
      </c>
      <c r="Y456" s="46" t="n">
        <v>2</v>
      </c>
      <c r="Z456" s="6" t="s">
        <v>2100</v>
      </c>
      <c r="AA456" s="9" t="s">
        <v>774</v>
      </c>
      <c r="AB456" s="9" t="s">
        <v>2156</v>
      </c>
      <c r="AC456" s="27" t="n">
        <f aca="false">COUNTIF(環境認証!$A$2:$A$849,A286)</f>
        <v>0</v>
      </c>
      <c r="AD456" s="6" t="n">
        <v>14.8</v>
      </c>
      <c r="AE456" s="1" t="n">
        <v>28.3</v>
      </c>
    </row>
    <row r="457" customFormat="false" ht="15" hidden="false" customHeight="true" outlineLevel="0" collapsed="false">
      <c r="A457" s="6" t="s">
        <v>2157</v>
      </c>
      <c r="B457" s="6" t="s">
        <v>509</v>
      </c>
      <c r="C457" s="9" t="s">
        <v>2158</v>
      </c>
      <c r="D457" s="9" t="s">
        <v>761</v>
      </c>
      <c r="E457" s="9" t="s">
        <v>762</v>
      </c>
      <c r="F457" s="9" t="s">
        <v>815</v>
      </c>
      <c r="H457" s="9" t="s">
        <v>772</v>
      </c>
      <c r="J457" s="37"/>
      <c r="K457" s="39" t="n">
        <v>478.4</v>
      </c>
      <c r="L457" s="39" t="n">
        <v>2603.3</v>
      </c>
      <c r="M457" s="39" t="n">
        <v>1872.8</v>
      </c>
      <c r="N457" s="6" t="n">
        <v>7</v>
      </c>
      <c r="O457" s="6" t="n">
        <v>1</v>
      </c>
      <c r="P457" s="50" t="n">
        <v>33695</v>
      </c>
      <c r="Q457" s="41" t="n">
        <f aca="false">IF(OR($A287="",P287=""),"",ROUND(YEARFRAC(P287,README!$C$5),1))</f>
        <v>34.4</v>
      </c>
      <c r="R457" s="40"/>
      <c r="S457" s="48" t="n">
        <v>2190</v>
      </c>
      <c r="T457" s="42" t="n">
        <v>4629.189</v>
      </c>
      <c r="U457" s="42" t="n">
        <v>4820</v>
      </c>
      <c r="V457" s="42" t="n">
        <v>191</v>
      </c>
      <c r="W457" s="44" t="n">
        <v>1</v>
      </c>
      <c r="X457" s="6" t="n">
        <v>6</v>
      </c>
      <c r="Y457" s="46" t="n">
        <v>2.8</v>
      </c>
      <c r="Z457" s="6" t="s">
        <v>2100</v>
      </c>
      <c r="AA457" s="9" t="s">
        <v>774</v>
      </c>
      <c r="AB457" s="9" t="s">
        <v>2159</v>
      </c>
      <c r="AC457" s="27" t="n">
        <f aca="false">COUNTIF(環境認証!$A$2:$A$849,A287)</f>
        <v>0</v>
      </c>
      <c r="AD457" s="6" t="n">
        <v>4.1</v>
      </c>
      <c r="AE457" s="1" t="n">
        <v>24.7</v>
      </c>
    </row>
    <row r="458" customFormat="false" ht="15" hidden="false" customHeight="true" outlineLevel="0" collapsed="false">
      <c r="A458" s="6" t="s">
        <v>2160</v>
      </c>
      <c r="B458" s="6" t="s">
        <v>509</v>
      </c>
      <c r="C458" s="9" t="s">
        <v>2161</v>
      </c>
      <c r="D458" s="9" t="s">
        <v>761</v>
      </c>
      <c r="E458" s="9" t="s">
        <v>762</v>
      </c>
      <c r="F458" s="9" t="s">
        <v>815</v>
      </c>
      <c r="H458" s="9" t="s">
        <v>772</v>
      </c>
      <c r="J458" s="37"/>
      <c r="K458" s="39" t="n">
        <v>721.34</v>
      </c>
      <c r="L458" s="39" t="n">
        <v>5644.91</v>
      </c>
      <c r="M458" s="39" t="n">
        <v>4136.05</v>
      </c>
      <c r="N458" s="6" t="n">
        <v>11</v>
      </c>
      <c r="O458" s="6" t="n">
        <v>1</v>
      </c>
      <c r="P458" s="50" t="n">
        <v>32203</v>
      </c>
      <c r="Q458" s="41" t="n">
        <f aca="false">IF(OR($A288="",P288=""),"",ROUND(YEARFRAC(P288,README!$C$5),1))</f>
        <v>38.4</v>
      </c>
      <c r="R458" s="40"/>
      <c r="S458" s="48"/>
      <c r="T458" s="42" t="n">
        <v>5906.688</v>
      </c>
      <c r="U458" s="42" t="n">
        <v>8940</v>
      </c>
      <c r="V458" s="42" t="n">
        <v>3033</v>
      </c>
      <c r="W458" s="44" t="n">
        <v>1</v>
      </c>
      <c r="X458" s="6" t="n">
        <v>8</v>
      </c>
      <c r="Y458" s="46" t="n">
        <v>4.9</v>
      </c>
      <c r="Z458" s="6" t="s">
        <v>2100</v>
      </c>
      <c r="AA458" s="9" t="s">
        <v>774</v>
      </c>
      <c r="AB458" s="9" t="s">
        <v>2162</v>
      </c>
      <c r="AC458" s="27" t="n">
        <f aca="false">COUNTIF(環境認証!$A$2:$A$849,A288)</f>
        <v>0</v>
      </c>
      <c r="AD458" s="6" t="n">
        <v>51.4</v>
      </c>
    </row>
    <row r="459" customFormat="false" ht="15" hidden="false" customHeight="true" outlineLevel="0" collapsed="false">
      <c r="A459" s="6" t="s">
        <v>2163</v>
      </c>
      <c r="B459" s="6" t="s">
        <v>509</v>
      </c>
      <c r="C459" s="9" t="s">
        <v>2164</v>
      </c>
      <c r="D459" s="9" t="s">
        <v>761</v>
      </c>
      <c r="E459" s="9" t="s">
        <v>762</v>
      </c>
      <c r="F459" s="9" t="s">
        <v>782</v>
      </c>
      <c r="H459" s="9" t="s">
        <v>772</v>
      </c>
      <c r="J459" s="37"/>
      <c r="K459" s="39" t="n">
        <v>4646.65</v>
      </c>
      <c r="L459" s="39" t="n">
        <v>18102.32</v>
      </c>
      <c r="M459" s="39" t="n">
        <v>18102.32</v>
      </c>
      <c r="N459" s="6" t="n">
        <v>12</v>
      </c>
      <c r="O459" s="6" t="n">
        <v>2</v>
      </c>
      <c r="P459" s="50" t="n">
        <v>30103</v>
      </c>
      <c r="Q459" s="41" t="n">
        <f aca="false">IF(OR($A289="",P289=""),"",ROUND(YEARFRAC(P289,README!$C$5),1))</f>
        <v>44.2</v>
      </c>
      <c r="R459" s="40"/>
      <c r="S459" s="48" t="n">
        <v>1580</v>
      </c>
      <c r="T459" s="42" t="n">
        <v>12109.193</v>
      </c>
      <c r="U459" s="42" t="n">
        <v>14000</v>
      </c>
      <c r="V459" s="42" t="n">
        <v>1891</v>
      </c>
      <c r="W459" s="44" t="n">
        <v>1</v>
      </c>
      <c r="X459" s="6" t="n">
        <v>1</v>
      </c>
      <c r="Y459" s="46" t="n">
        <v>3.4</v>
      </c>
      <c r="Z459" s="6" t="s">
        <v>2100</v>
      </c>
      <c r="AA459" s="9" t="s">
        <v>774</v>
      </c>
      <c r="AB459" s="9" t="s">
        <v>2165</v>
      </c>
      <c r="AC459" s="27" t="n">
        <f aca="false">COUNTIF(環境認証!$A$2:$A$849,A289)</f>
        <v>0</v>
      </c>
      <c r="AD459" s="6" t="n">
        <v>15.6</v>
      </c>
      <c r="AE459" s="1" t="n">
        <v>22.8</v>
      </c>
    </row>
    <row r="460" customFormat="false" ht="15" hidden="false" customHeight="true" outlineLevel="0" collapsed="false">
      <c r="A460" s="6" t="s">
        <v>2166</v>
      </c>
      <c r="B460" s="6" t="s">
        <v>509</v>
      </c>
      <c r="C460" s="9" t="s">
        <v>2167</v>
      </c>
      <c r="D460" s="9" t="s">
        <v>761</v>
      </c>
      <c r="E460" s="9" t="s">
        <v>762</v>
      </c>
      <c r="F460" s="9" t="s">
        <v>815</v>
      </c>
      <c r="H460" s="9" t="s">
        <v>772</v>
      </c>
      <c r="J460" s="37"/>
      <c r="K460" s="39" t="n">
        <v>364.74</v>
      </c>
      <c r="L460" s="39" t="n">
        <v>2568.3</v>
      </c>
      <c r="M460" s="39" t="n">
        <v>2299.68</v>
      </c>
      <c r="N460" s="6" t="n">
        <v>12</v>
      </c>
      <c r="O460" s="6" t="n">
        <v>0</v>
      </c>
      <c r="P460" s="50" t="n">
        <v>39539</v>
      </c>
      <c r="Q460" s="41" t="n">
        <f aca="false">IF(OR($A290="",P290=""),"",ROUND(YEARFRAC(P290,README!$C$5),1))</f>
        <v>18.4</v>
      </c>
      <c r="R460" s="40"/>
      <c r="S460" s="48" t="n">
        <v>1060</v>
      </c>
      <c r="T460" s="42" t="n">
        <v>5934.307</v>
      </c>
      <c r="U460" s="42" t="n">
        <v>6270</v>
      </c>
      <c r="V460" s="42" t="n">
        <v>336</v>
      </c>
      <c r="W460" s="44" t="n">
        <v>0.917</v>
      </c>
      <c r="X460" s="6" t="n">
        <v>8</v>
      </c>
      <c r="Y460" s="46" t="n">
        <v>2.8</v>
      </c>
      <c r="Z460" s="6" t="s">
        <v>2100</v>
      </c>
      <c r="AA460" s="9" t="s">
        <v>774</v>
      </c>
      <c r="AB460" s="9" t="s">
        <v>2168</v>
      </c>
      <c r="AC460" s="27" t="n">
        <f aca="false">COUNTIF(環境認証!$A$2:$A$849,A290)</f>
        <v>0</v>
      </c>
      <c r="AD460" s="6" t="n">
        <v>5.7</v>
      </c>
      <c r="AE460" s="1" t="n">
        <v>38.7</v>
      </c>
    </row>
    <row r="461" customFormat="false" ht="15" hidden="false" customHeight="true" outlineLevel="0" collapsed="false">
      <c r="A461" s="6" t="s">
        <v>2169</v>
      </c>
      <c r="B461" s="6" t="s">
        <v>509</v>
      </c>
      <c r="C461" s="9" t="s">
        <v>2170</v>
      </c>
      <c r="D461" s="9" t="s">
        <v>761</v>
      </c>
      <c r="E461" s="9" t="s">
        <v>762</v>
      </c>
      <c r="F461" s="9" t="s">
        <v>815</v>
      </c>
      <c r="H461" s="9" t="s">
        <v>772</v>
      </c>
      <c r="I461" s="9" t="s">
        <v>1656</v>
      </c>
      <c r="J461" s="37"/>
      <c r="K461" s="39" t="n">
        <v>4702.82</v>
      </c>
      <c r="L461" s="39" t="n">
        <v>28629.19</v>
      </c>
      <c r="M461" s="39" t="n">
        <v>8105.04</v>
      </c>
      <c r="N461" s="6" t="n">
        <v>16</v>
      </c>
      <c r="O461" s="6" t="n">
        <v>2</v>
      </c>
      <c r="P461" s="50" t="n">
        <v>32417</v>
      </c>
      <c r="Q461" s="41" t="n">
        <f aca="false">IF(OR($A291="",P291=""),"",ROUND(YEARFRAC(P291,README!$C$5),1))</f>
        <v>37.9</v>
      </c>
      <c r="R461" s="40"/>
      <c r="S461" s="48" t="n">
        <v>1630</v>
      </c>
      <c r="T461" s="42" t="n">
        <v>19096.655</v>
      </c>
      <c r="U461" s="42" t="n">
        <v>19000</v>
      </c>
      <c r="V461" s="42" t="n">
        <v>-97</v>
      </c>
      <c r="W461" s="44" t="n">
        <v>0.887</v>
      </c>
      <c r="X461" s="6" t="n">
        <v>35</v>
      </c>
      <c r="Y461" s="46" t="n">
        <v>2.3</v>
      </c>
      <c r="Z461" s="6" t="s">
        <v>2100</v>
      </c>
      <c r="AA461" s="9" t="s">
        <v>774</v>
      </c>
      <c r="AB461" s="9" t="s">
        <v>2171</v>
      </c>
      <c r="AC461" s="27" t="n">
        <f aca="false">COUNTIF(環境認証!$A$2:$A$849,A291)</f>
        <v>0</v>
      </c>
      <c r="AD461" s="6" t="n">
        <v>-0.5</v>
      </c>
      <c r="AE461" s="1" t="n">
        <v>35</v>
      </c>
    </row>
    <row r="462" customFormat="false" ht="15" hidden="false" customHeight="true" outlineLevel="0" collapsed="false">
      <c r="A462" s="6" t="s">
        <v>2172</v>
      </c>
      <c r="B462" s="6" t="s">
        <v>509</v>
      </c>
      <c r="C462" s="9" t="s">
        <v>2173</v>
      </c>
      <c r="D462" s="9" t="s">
        <v>761</v>
      </c>
      <c r="E462" s="9" t="s">
        <v>762</v>
      </c>
      <c r="F462" s="9" t="s">
        <v>905</v>
      </c>
      <c r="H462" s="9" t="s">
        <v>882</v>
      </c>
      <c r="I462" s="9" t="s">
        <v>1605</v>
      </c>
      <c r="J462" s="37"/>
      <c r="K462" s="39" t="n">
        <v>1572.38</v>
      </c>
      <c r="L462" s="39" t="n">
        <v>8540.29</v>
      </c>
      <c r="M462" s="39" t="n">
        <v>6152.42</v>
      </c>
      <c r="N462" s="6" t="n">
        <v>8</v>
      </c>
      <c r="O462" s="6" t="n">
        <v>0</v>
      </c>
      <c r="P462" s="50" t="n">
        <v>34759</v>
      </c>
      <c r="Q462" s="41" t="n">
        <f aca="false">IF(OR($A292="",P292=""),"",ROUND(YEARFRAC(P292,README!$C$5),1))</f>
        <v>31.4</v>
      </c>
      <c r="R462" s="40"/>
      <c r="S462" s="48"/>
      <c r="T462" s="42" t="n">
        <v>8435.634</v>
      </c>
      <c r="U462" s="42" t="n">
        <v>8500</v>
      </c>
      <c r="V462" s="42" t="n">
        <v>64</v>
      </c>
      <c r="W462" s="44" t="n">
        <v>1</v>
      </c>
      <c r="X462" s="6" t="n">
        <v>13</v>
      </c>
      <c r="Y462" s="46" t="n">
        <v>3.6</v>
      </c>
      <c r="Z462" s="6" t="s">
        <v>2100</v>
      </c>
      <c r="AA462" s="9" t="s">
        <v>774</v>
      </c>
      <c r="AB462" s="9" t="s">
        <v>2174</v>
      </c>
      <c r="AC462" s="27" t="n">
        <f aca="false">COUNTIF(環境認証!$A$2:$A$849,A292)</f>
        <v>1</v>
      </c>
      <c r="AD462" s="6" t="n">
        <v>0.8</v>
      </c>
    </row>
    <row r="463" customFormat="false" ht="15" hidden="false" customHeight="true" outlineLevel="0" collapsed="false">
      <c r="A463" s="6" t="s">
        <v>2175</v>
      </c>
      <c r="B463" s="6" t="s">
        <v>509</v>
      </c>
      <c r="C463" s="9" t="s">
        <v>2176</v>
      </c>
      <c r="D463" s="9" t="s">
        <v>1894</v>
      </c>
      <c r="E463" s="9" t="s">
        <v>762</v>
      </c>
      <c r="F463" s="9" t="s">
        <v>905</v>
      </c>
      <c r="H463" s="9" t="s">
        <v>882</v>
      </c>
      <c r="J463" s="37"/>
      <c r="K463" s="39" t="n">
        <v>245.61</v>
      </c>
      <c r="L463" s="39" t="n">
        <v>950.36</v>
      </c>
      <c r="M463" s="39" t="n">
        <v>852.16</v>
      </c>
      <c r="N463" s="6" t="n">
        <v>10</v>
      </c>
      <c r="O463" s="6" t="n">
        <v>0</v>
      </c>
      <c r="P463" s="50" t="n">
        <v>41852</v>
      </c>
      <c r="Q463" s="41" t="n">
        <f aca="false">IF(OR($A293="",P293=""),"",ROUND(YEARFRAC(P293,README!$C$5),1))</f>
        <v>12</v>
      </c>
      <c r="R463" s="40"/>
      <c r="S463" s="48" t="n">
        <v>931</v>
      </c>
      <c r="T463" s="42" t="n">
        <v>1158.787</v>
      </c>
      <c r="U463" s="42" t="n">
        <v>1420</v>
      </c>
      <c r="V463" s="42" t="n">
        <v>261</v>
      </c>
      <c r="W463" s="44" t="n">
        <v>0.969</v>
      </c>
      <c r="X463" s="6" t="n">
        <v>25</v>
      </c>
      <c r="Y463" s="46" t="n">
        <v>2.9</v>
      </c>
      <c r="Z463" s="6" t="s">
        <v>2100</v>
      </c>
      <c r="AA463" s="9" t="s">
        <v>774</v>
      </c>
      <c r="AB463" s="9" t="s">
        <v>2177</v>
      </c>
      <c r="AC463" s="27" t="n">
        <f aca="false">COUNTIF(環境認証!$A$2:$A$849,A293)</f>
        <v>0</v>
      </c>
      <c r="AD463" s="6" t="n">
        <v>22.5</v>
      </c>
      <c r="AE463" s="1" t="n">
        <v>10.6</v>
      </c>
    </row>
    <row r="464" customFormat="false" ht="15" hidden="false" customHeight="true" outlineLevel="0" collapsed="false">
      <c r="A464" s="6" t="s">
        <v>2178</v>
      </c>
      <c r="B464" s="6" t="s">
        <v>509</v>
      </c>
      <c r="C464" s="9" t="s">
        <v>2179</v>
      </c>
      <c r="D464" s="9" t="s">
        <v>1894</v>
      </c>
      <c r="E464" s="9" t="s">
        <v>925</v>
      </c>
      <c r="F464" s="9" t="s">
        <v>930</v>
      </c>
      <c r="H464" s="9" t="s">
        <v>921</v>
      </c>
      <c r="J464" s="37"/>
      <c r="K464" s="39" t="n">
        <v>676.26</v>
      </c>
      <c r="L464" s="39" t="n">
        <v>2320.12</v>
      </c>
      <c r="M464" s="39" t="n">
        <v>1830</v>
      </c>
      <c r="N464" s="6" t="n">
        <v>7</v>
      </c>
      <c r="O464" s="6" t="n">
        <v>0</v>
      </c>
      <c r="P464" s="50" t="n">
        <v>43922</v>
      </c>
      <c r="Q464" s="41" t="n">
        <f aca="false">IF(OR($A294="",P294=""),"",ROUND(YEARFRAC(P294,README!$C$5),1))</f>
        <v>6.4</v>
      </c>
      <c r="R464" s="40"/>
      <c r="S464" s="48" t="n">
        <v>1060</v>
      </c>
      <c r="T464" s="42" t="n">
        <v>1390.643</v>
      </c>
      <c r="U464" s="42" t="n">
        <v>1690</v>
      </c>
      <c r="V464" s="42" t="n">
        <v>299</v>
      </c>
      <c r="W464" s="44" t="n">
        <v>1</v>
      </c>
      <c r="X464" s="6" t="n">
        <v>1</v>
      </c>
      <c r="Y464" s="46" t="n">
        <v>6.3</v>
      </c>
      <c r="Z464" s="6" t="s">
        <v>2100</v>
      </c>
      <c r="AA464" s="9" t="s">
        <v>774</v>
      </c>
      <c r="AB464" s="9" t="s">
        <v>2180</v>
      </c>
      <c r="AC464" s="27" t="n">
        <f aca="false">COUNTIF(環境認証!$A$2:$A$849,A294)</f>
        <v>0</v>
      </c>
      <c r="AD464" s="6" t="n">
        <v>21.5</v>
      </c>
      <c r="AE464" s="1" t="n">
        <v>17.9</v>
      </c>
    </row>
    <row r="465" customFormat="false" ht="15" hidden="false" customHeight="true" outlineLevel="0" collapsed="false">
      <c r="A465" s="6" t="s">
        <v>2181</v>
      </c>
      <c r="B465" s="6" t="s">
        <v>509</v>
      </c>
      <c r="C465" s="9" t="s">
        <v>2182</v>
      </c>
      <c r="D465" s="9" t="s">
        <v>1894</v>
      </c>
      <c r="E465" s="9" t="s">
        <v>925</v>
      </c>
      <c r="F465" s="9" t="s">
        <v>926</v>
      </c>
      <c r="H465" s="9" t="s">
        <v>921</v>
      </c>
      <c r="J465" s="37"/>
      <c r="K465" s="39" t="n">
        <v>633.89</v>
      </c>
      <c r="L465" s="39" t="n">
        <v>1112.71</v>
      </c>
      <c r="M465" s="39" t="n">
        <v>901.76</v>
      </c>
      <c r="N465" s="6" t="n">
        <v>5</v>
      </c>
      <c r="O465" s="6" t="n">
        <v>0</v>
      </c>
      <c r="P465" s="50" t="n">
        <v>36192</v>
      </c>
      <c r="Q465" s="41" t="n">
        <f aca="false">IF(OR($A295="",P295=""),"",ROUND(YEARFRAC(P295,README!$C$5),1))</f>
        <v>27.5</v>
      </c>
      <c r="R465" s="40"/>
      <c r="S465" s="48" t="n">
        <v>3110</v>
      </c>
      <c r="T465" s="42" t="n">
        <v>1032.498</v>
      </c>
      <c r="U465" s="42" t="n">
        <v>1190</v>
      </c>
      <c r="V465" s="42" t="n">
        <v>158</v>
      </c>
      <c r="W465" s="44" t="n">
        <v>0.96</v>
      </c>
      <c r="X465" s="6" t="n">
        <v>43</v>
      </c>
      <c r="Y465" s="46" t="n">
        <v>10.2</v>
      </c>
      <c r="Z465" s="6" t="s">
        <v>2100</v>
      </c>
      <c r="AA465" s="9" t="s">
        <v>774</v>
      </c>
      <c r="AB465" s="9" t="s">
        <v>2183</v>
      </c>
      <c r="AC465" s="27" t="n">
        <f aca="false">COUNTIF(環境認証!$A$2:$A$849,A295)</f>
        <v>0</v>
      </c>
      <c r="AD465" s="6" t="n">
        <v>15.3</v>
      </c>
      <c r="AE465" s="1" t="n">
        <v>28.3</v>
      </c>
    </row>
    <row r="466" customFormat="false" ht="15" hidden="false" customHeight="true" outlineLevel="0" collapsed="false">
      <c r="A466" s="6" t="s">
        <v>2184</v>
      </c>
      <c r="B466" s="6" t="s">
        <v>509</v>
      </c>
      <c r="C466" s="9" t="s">
        <v>2185</v>
      </c>
      <c r="D466" s="9" t="s">
        <v>2186</v>
      </c>
      <c r="E466" s="9" t="s">
        <v>762</v>
      </c>
      <c r="F466" s="9" t="s">
        <v>2187</v>
      </c>
      <c r="H466" s="9" t="s">
        <v>882</v>
      </c>
      <c r="I466" s="9" t="s">
        <v>1672</v>
      </c>
      <c r="J466" s="37"/>
      <c r="K466" s="39" t="n">
        <v>45268.03</v>
      </c>
      <c r="L466" s="39" t="n">
        <v>262257.33</v>
      </c>
      <c r="M466" s="39" t="n">
        <v>18919.73</v>
      </c>
      <c r="N466" s="6" t="n">
        <v>30</v>
      </c>
      <c r="O466" s="6" t="n">
        <v>3</v>
      </c>
      <c r="P466" s="40" t="n">
        <v>38930</v>
      </c>
      <c r="Q466" s="41" t="str">
        <f aca="false">IF(OR($A296="",P296=""),"",ROUND(YEARFRAC(P296,README!$C$5),1))</f>
        <v/>
      </c>
      <c r="R466" s="40"/>
      <c r="S466" s="48" t="n">
        <v>2720</v>
      </c>
      <c r="T466" s="42" t="n">
        <v>19817.975</v>
      </c>
      <c r="U466" s="42" t="n">
        <v>20400</v>
      </c>
      <c r="V466" s="42" t="n">
        <v>582</v>
      </c>
      <c r="W466" s="44" t="n">
        <v>1</v>
      </c>
      <c r="X466" s="6" t="n">
        <v>142</v>
      </c>
      <c r="Y466" s="45"/>
      <c r="Z466" s="6" t="s">
        <v>2100</v>
      </c>
      <c r="AA466" s="9" t="s">
        <v>774</v>
      </c>
      <c r="AB466" s="9" t="s">
        <v>2188</v>
      </c>
      <c r="AC466" s="27" t="n">
        <f aca="false">COUNTIF(環境認証!$A$2:$A$849,A296)</f>
        <v>1</v>
      </c>
      <c r="AD466" s="6" t="n">
        <v>2.9</v>
      </c>
      <c r="AE466" s="1" t="n">
        <v>16.2</v>
      </c>
    </row>
    <row r="467" customFormat="false" ht="15" hidden="false" customHeight="true" outlineLevel="0" collapsed="false">
      <c r="A467" s="6" t="s">
        <v>2189</v>
      </c>
      <c r="B467" s="6" t="s">
        <v>515</v>
      </c>
      <c r="C467" s="9" t="s">
        <v>2190</v>
      </c>
      <c r="D467" s="9" t="s">
        <v>2191</v>
      </c>
      <c r="H467" s="9" t="s">
        <v>1013</v>
      </c>
      <c r="Q467" s="1" t="str">
        <f aca="false">IF(OR($A1156="",P1156=""),"",ROUND(YEARFRAC(P1156,README!$C$5),1))</f>
        <v/>
      </c>
      <c r="S467" s="6" t="n">
        <v>421530</v>
      </c>
      <c r="T467" s="6" t="n">
        <v>401693</v>
      </c>
      <c r="U467" s="6" t="n">
        <v>486369</v>
      </c>
      <c r="V467" s="1" t="n">
        <f aca="false">IF($A1156="","",IF(OR(T1156="",U1156=""),"",U1156-T1156))</f>
        <v>111</v>
      </c>
      <c r="W467" s="6" t="n">
        <v>0.998</v>
      </c>
      <c r="Z467" s="6" t="s">
        <v>2192</v>
      </c>
      <c r="AA467" s="9" t="s">
        <v>767</v>
      </c>
      <c r="AB467" s="6" t="s">
        <v>2193</v>
      </c>
      <c r="AC467" s="27" t="n">
        <f aca="false">COUNTIF(環境認証!$A$2:$A$849,A1156)</f>
        <v>1</v>
      </c>
    </row>
    <row r="468" customFormat="false" ht="15" hidden="false" customHeight="true" outlineLevel="0" collapsed="false">
      <c r="A468" s="6" t="s">
        <v>2194</v>
      </c>
      <c r="B468" s="6" t="s">
        <v>515</v>
      </c>
      <c r="C468" s="9" t="s">
        <v>2195</v>
      </c>
      <c r="D468" s="9" t="s">
        <v>761</v>
      </c>
      <c r="E468" s="9" t="s">
        <v>762</v>
      </c>
      <c r="F468" s="9" t="s">
        <v>782</v>
      </c>
      <c r="H468" s="9" t="s">
        <v>772</v>
      </c>
      <c r="M468" s="6" t="n">
        <v>2923.86</v>
      </c>
      <c r="P468" s="51" t="n">
        <v>31138</v>
      </c>
      <c r="Q468" s="1" t="n">
        <f aca="false">IF(OR($A1087="",P1087=""),"",ROUND(YEARFRAC(P1087,README!$C$5),1))</f>
        <v>41.4</v>
      </c>
      <c r="S468" s="6" t="n">
        <v>4973</v>
      </c>
      <c r="T468" s="6" t="n">
        <v>4967</v>
      </c>
      <c r="U468" s="6" t="n">
        <v>5780</v>
      </c>
      <c r="V468" s="6" t="n">
        <v>813</v>
      </c>
      <c r="W468" s="6" t="n">
        <v>1</v>
      </c>
      <c r="X468" s="1" t="n">
        <v>1</v>
      </c>
      <c r="Z468" s="6" t="s">
        <v>2192</v>
      </c>
      <c r="AA468" s="9" t="s">
        <v>774</v>
      </c>
      <c r="AB468" s="9" t="s">
        <v>2196</v>
      </c>
      <c r="AC468" s="27" t="n">
        <f aca="false">COUNTIF(環境認証!$A$2:$A$849,A1087)</f>
        <v>1</v>
      </c>
      <c r="AD468" s="6" t="n">
        <v>16.4</v>
      </c>
      <c r="AE468" s="6" t="n">
        <v>16.2</v>
      </c>
    </row>
    <row r="469" customFormat="false" ht="15" hidden="false" customHeight="true" outlineLevel="0" collapsed="false">
      <c r="A469" s="6" t="s">
        <v>2197</v>
      </c>
      <c r="B469" s="6" t="s">
        <v>515</v>
      </c>
      <c r="C469" s="9" t="s">
        <v>2198</v>
      </c>
      <c r="D469" s="9" t="s">
        <v>761</v>
      </c>
      <c r="E469" s="9" t="s">
        <v>762</v>
      </c>
      <c r="F469" s="9" t="s">
        <v>763</v>
      </c>
      <c r="H469" s="9" t="s">
        <v>772</v>
      </c>
      <c r="M469" s="6" t="n">
        <v>3351.07</v>
      </c>
      <c r="P469" s="1" t="n">
        <v>39114</v>
      </c>
      <c r="Q469" s="1" t="str">
        <f aca="false">IF(OR($A1088="",P1088=""),"",ROUND(YEARFRAC(P1088,README!$C$5),1))</f>
        <v/>
      </c>
      <c r="S469" s="6" t="n">
        <v>11100</v>
      </c>
      <c r="T469" s="6" t="n">
        <v>11191</v>
      </c>
      <c r="U469" s="6" t="n">
        <v>14100</v>
      </c>
      <c r="V469" s="6" t="n">
        <v>2909</v>
      </c>
      <c r="W469" s="6" t="n">
        <v>1</v>
      </c>
      <c r="X469" s="1" t="n">
        <v>1</v>
      </c>
      <c r="Z469" s="6" t="s">
        <v>2192</v>
      </c>
      <c r="AA469" s="9" t="s">
        <v>774</v>
      </c>
      <c r="AB469" s="9" t="s">
        <v>2199</v>
      </c>
      <c r="AC469" s="27" t="n">
        <f aca="false">COUNTIF(環境認証!$A$2:$A$849,A1088)</f>
        <v>1</v>
      </c>
      <c r="AD469" s="6" t="n">
        <v>26</v>
      </c>
      <c r="AE469" s="6" t="n">
        <v>27</v>
      </c>
    </row>
    <row r="470" customFormat="false" ht="15" hidden="false" customHeight="true" outlineLevel="0" collapsed="false">
      <c r="A470" s="6" t="s">
        <v>2200</v>
      </c>
      <c r="B470" s="6" t="s">
        <v>515</v>
      </c>
      <c r="C470" s="9" t="s">
        <v>2201</v>
      </c>
      <c r="D470" s="9" t="s">
        <v>761</v>
      </c>
      <c r="E470" s="9" t="s">
        <v>762</v>
      </c>
      <c r="F470" s="9" t="s">
        <v>782</v>
      </c>
      <c r="H470" s="9" t="s">
        <v>772</v>
      </c>
      <c r="M470" s="6" t="n">
        <v>5689.97</v>
      </c>
      <c r="P470" s="51" t="n">
        <v>40391</v>
      </c>
      <c r="Q470" s="1" t="n">
        <f aca="false">IF(OR($A1089="",P1089=""),"",ROUND(YEARFRAC(P1089,README!$C$5),1))</f>
        <v>16</v>
      </c>
      <c r="S470" s="6" t="n">
        <v>8623</v>
      </c>
      <c r="T470" s="6" t="n">
        <v>7743</v>
      </c>
      <c r="U470" s="6" t="n">
        <v>12300</v>
      </c>
      <c r="V470" s="6" t="n">
        <v>4557</v>
      </c>
      <c r="W470" s="6" t="n">
        <v>1</v>
      </c>
      <c r="X470" s="1" t="n">
        <v>1</v>
      </c>
      <c r="Z470" s="6" t="s">
        <v>2192</v>
      </c>
      <c r="AA470" s="9" t="s">
        <v>774</v>
      </c>
      <c r="AB470" s="1" t="s">
        <v>2202</v>
      </c>
      <c r="AC470" s="27" t="n">
        <f aca="false">COUNTIF(環境認証!$A$2:$A$849,A1089)</f>
        <v>1</v>
      </c>
      <c r="AD470" s="6" t="n">
        <v>58.9</v>
      </c>
      <c r="AE470" s="6" t="n">
        <v>42.6</v>
      </c>
    </row>
    <row r="471" customFormat="false" ht="15" hidden="false" customHeight="true" outlineLevel="0" collapsed="false">
      <c r="A471" s="6" t="s">
        <v>2203</v>
      </c>
      <c r="B471" s="6" t="s">
        <v>515</v>
      </c>
      <c r="C471" s="9" t="s">
        <v>2204</v>
      </c>
      <c r="D471" s="9" t="s">
        <v>761</v>
      </c>
      <c r="E471" s="9" t="s">
        <v>762</v>
      </c>
      <c r="F471" s="9" t="s">
        <v>782</v>
      </c>
      <c r="H471" s="9" t="s">
        <v>772</v>
      </c>
      <c r="M471" s="6" t="n">
        <v>6730.52</v>
      </c>
      <c r="P471" s="51" t="n">
        <v>35643</v>
      </c>
      <c r="Q471" s="1" t="n">
        <f aca="false">IF(OR($A1090="",P1090=""),"",ROUND(YEARFRAC(P1090,README!$C$5),1))</f>
        <v>29</v>
      </c>
      <c r="S471" s="6" t="n">
        <v>6210</v>
      </c>
      <c r="T471" s="6" t="n">
        <v>6653</v>
      </c>
      <c r="U471" s="6" t="n">
        <v>10300</v>
      </c>
      <c r="V471" s="6" t="n">
        <v>3647</v>
      </c>
      <c r="W471" s="6" t="n">
        <v>1</v>
      </c>
      <c r="Z471" s="6" t="s">
        <v>2192</v>
      </c>
      <c r="AA471" s="9" t="s">
        <v>774</v>
      </c>
      <c r="AB471" s="1" t="s">
        <v>2205</v>
      </c>
      <c r="AC471" s="27" t="n">
        <f aca="false">COUNTIF(環境認証!$A$2:$A$849,A1090)</f>
        <v>0</v>
      </c>
      <c r="AD471" s="6" t="n">
        <v>54.8</v>
      </c>
      <c r="AE471" s="6" t="n">
        <v>65.9</v>
      </c>
    </row>
    <row r="472" customFormat="false" ht="15" hidden="false" customHeight="true" outlineLevel="0" collapsed="false">
      <c r="A472" s="6" t="s">
        <v>2206</v>
      </c>
      <c r="B472" s="6" t="s">
        <v>515</v>
      </c>
      <c r="C472" s="9" t="s">
        <v>2207</v>
      </c>
      <c r="D472" s="9" t="s">
        <v>761</v>
      </c>
      <c r="E472" s="9" t="s">
        <v>762</v>
      </c>
      <c r="F472" s="9" t="s">
        <v>771</v>
      </c>
      <c r="H472" s="9" t="s">
        <v>772</v>
      </c>
      <c r="M472" s="6" t="n">
        <v>5369.71</v>
      </c>
      <c r="P472" s="51" t="n">
        <v>34274</v>
      </c>
      <c r="Q472" s="1" t="n">
        <f aca="false">IF(OR($A1091="",P1091=""),"",ROUND(YEARFRAC(P1091,README!$C$5),1))</f>
        <v>32.8</v>
      </c>
      <c r="S472" s="6" t="n">
        <v>3900</v>
      </c>
      <c r="T472" s="6" t="n">
        <v>3628</v>
      </c>
      <c r="U472" s="6" t="n">
        <v>5460</v>
      </c>
      <c r="V472" s="6" t="n">
        <v>1832</v>
      </c>
      <c r="W472" s="6" t="n">
        <v>1</v>
      </c>
      <c r="X472" s="1" t="n">
        <v>1</v>
      </c>
      <c r="Z472" s="6" t="s">
        <v>2192</v>
      </c>
      <c r="AA472" s="9" t="s">
        <v>774</v>
      </c>
      <c r="AB472" s="1" t="s">
        <v>2208</v>
      </c>
      <c r="AC472" s="27" t="n">
        <f aca="false">COUNTIF(環境認証!$A$2:$A$849,A1091)</f>
        <v>0</v>
      </c>
      <c r="AD472" s="6" t="n">
        <v>50.5</v>
      </c>
      <c r="AE472" s="6" t="n">
        <v>40</v>
      </c>
    </row>
    <row r="473" customFormat="false" ht="15" hidden="false" customHeight="true" outlineLevel="0" collapsed="false">
      <c r="A473" s="6" t="s">
        <v>2209</v>
      </c>
      <c r="B473" s="6" t="s">
        <v>515</v>
      </c>
      <c r="C473" s="9" t="s">
        <v>2210</v>
      </c>
      <c r="D473" s="9" t="s">
        <v>761</v>
      </c>
      <c r="E473" s="9" t="s">
        <v>762</v>
      </c>
      <c r="F473" s="9" t="s">
        <v>763</v>
      </c>
      <c r="H473" s="9" t="s">
        <v>772</v>
      </c>
      <c r="M473" s="6" t="n">
        <v>3728.36</v>
      </c>
      <c r="P473" s="51" t="n">
        <v>39692</v>
      </c>
      <c r="Q473" s="1" t="n">
        <f aca="false">IF(OR($A1092="",P1092=""),"",ROUND(YEARFRAC(P1092,README!$C$5),1))</f>
        <v>17.9</v>
      </c>
      <c r="S473" s="6" t="n">
        <v>3780</v>
      </c>
      <c r="T473" s="6" t="n">
        <v>3498</v>
      </c>
      <c r="U473" s="6" t="n">
        <v>3820</v>
      </c>
      <c r="V473" s="6" t="n">
        <v>322</v>
      </c>
      <c r="W473" s="6" t="n">
        <v>1</v>
      </c>
      <c r="X473" s="1" t="n">
        <v>1</v>
      </c>
      <c r="Z473" s="6" t="s">
        <v>2192</v>
      </c>
      <c r="AA473" s="9" t="s">
        <v>774</v>
      </c>
      <c r="AB473" s="1" t="s">
        <v>2211</v>
      </c>
      <c r="AC473" s="27" t="n">
        <f aca="false">COUNTIF(環境認証!$A$2:$A$849,A1092)</f>
        <v>0</v>
      </c>
      <c r="AD473" s="6" t="n">
        <v>9.2</v>
      </c>
      <c r="AE473" s="6" t="n">
        <v>1.1</v>
      </c>
    </row>
    <row r="474" customFormat="false" ht="15" hidden="false" customHeight="true" outlineLevel="0" collapsed="false">
      <c r="A474" s="6" t="s">
        <v>2212</v>
      </c>
      <c r="B474" s="6" t="s">
        <v>515</v>
      </c>
      <c r="C474" s="9" t="s">
        <v>2213</v>
      </c>
      <c r="D474" s="9" t="s">
        <v>761</v>
      </c>
      <c r="E474" s="9" t="s">
        <v>762</v>
      </c>
      <c r="F474" s="9" t="s">
        <v>763</v>
      </c>
      <c r="H474" s="9" t="s">
        <v>772</v>
      </c>
      <c r="M474" s="6" t="n">
        <v>2566.95</v>
      </c>
      <c r="P474" s="51" t="n">
        <v>37043</v>
      </c>
      <c r="Q474" s="1" t="n">
        <f aca="false">IF(OR($A1093="",P1093=""),"",ROUND(YEARFRAC(P1093,README!$C$5),1))</f>
        <v>25.2</v>
      </c>
      <c r="S474" s="6" t="n">
        <v>2500</v>
      </c>
      <c r="T474" s="6" t="n">
        <v>2391</v>
      </c>
      <c r="U474" s="6" t="n">
        <v>2970</v>
      </c>
      <c r="V474" s="6" t="n">
        <v>579</v>
      </c>
      <c r="W474" s="6" t="n">
        <v>1</v>
      </c>
      <c r="X474" s="1" t="n">
        <v>1</v>
      </c>
      <c r="Z474" s="6" t="s">
        <v>2192</v>
      </c>
      <c r="AA474" s="9" t="s">
        <v>774</v>
      </c>
      <c r="AB474" s="1" t="s">
        <v>2214</v>
      </c>
      <c r="AC474" s="27" t="n">
        <f aca="false">COUNTIF(環境認証!$A$2:$A$849,A1093)</f>
        <v>0</v>
      </c>
      <c r="AD474" s="6" t="n">
        <v>24.2</v>
      </c>
      <c r="AE474" s="6" t="n">
        <v>18.8</v>
      </c>
    </row>
    <row r="475" customFormat="false" ht="15" hidden="false" customHeight="true" outlineLevel="0" collapsed="false">
      <c r="A475" s="6" t="s">
        <v>2215</v>
      </c>
      <c r="B475" s="6" t="s">
        <v>515</v>
      </c>
      <c r="C475" s="9" t="s">
        <v>2216</v>
      </c>
      <c r="D475" s="9" t="s">
        <v>761</v>
      </c>
      <c r="E475" s="9" t="s">
        <v>762</v>
      </c>
      <c r="F475" s="9" t="s">
        <v>820</v>
      </c>
      <c r="H475" s="9" t="s">
        <v>772</v>
      </c>
      <c r="M475" s="6" t="n">
        <v>2858.48</v>
      </c>
      <c r="P475" s="51" t="n">
        <v>34029</v>
      </c>
      <c r="Q475" s="1" t="n">
        <f aca="false">IF(OR($A1094="",P1094=""),"",ROUND(YEARFRAC(P1094,README!$C$5),1))</f>
        <v>33.4</v>
      </c>
      <c r="S475" s="6" t="n">
        <v>2210</v>
      </c>
      <c r="T475" s="6" t="n">
        <v>2151</v>
      </c>
      <c r="U475" s="6" t="n">
        <v>2760</v>
      </c>
      <c r="V475" s="6" t="n">
        <v>609</v>
      </c>
      <c r="W475" s="6" t="n">
        <v>1</v>
      </c>
      <c r="X475" s="1" t="n">
        <v>1</v>
      </c>
      <c r="Z475" s="6" t="s">
        <v>2192</v>
      </c>
      <c r="AA475" s="9" t="s">
        <v>774</v>
      </c>
      <c r="AB475" s="1" t="s">
        <v>2217</v>
      </c>
      <c r="AC475" s="27" t="n">
        <f aca="false">COUNTIF(環境認証!$A$2:$A$849,A1094)</f>
        <v>1</v>
      </c>
      <c r="AD475" s="6" t="n">
        <v>28.3</v>
      </c>
      <c r="AE475" s="6" t="n">
        <v>24.9</v>
      </c>
    </row>
    <row r="476" customFormat="false" ht="15" hidden="false" customHeight="true" outlineLevel="0" collapsed="false">
      <c r="A476" s="6" t="s">
        <v>2218</v>
      </c>
      <c r="B476" s="6" t="s">
        <v>515</v>
      </c>
      <c r="C476" s="9" t="s">
        <v>1974</v>
      </c>
      <c r="D476" s="9" t="s">
        <v>761</v>
      </c>
      <c r="E476" s="9" t="s">
        <v>762</v>
      </c>
      <c r="F476" s="9" t="s">
        <v>763</v>
      </c>
      <c r="H476" s="9" t="s">
        <v>772</v>
      </c>
      <c r="M476" s="6" t="n">
        <v>13923.42</v>
      </c>
      <c r="P476" s="51" t="n">
        <v>41306</v>
      </c>
      <c r="Q476" s="1" t="n">
        <f aca="false">IF(OR($A1095="",P1095=""),"",ROUND(YEARFRAC(P1095,README!$C$5),1))</f>
        <v>13.5</v>
      </c>
      <c r="S476" s="6" t="n">
        <v>38149</v>
      </c>
      <c r="T476" s="6" t="n">
        <v>35302</v>
      </c>
      <c r="U476" s="6" t="n">
        <v>46221</v>
      </c>
      <c r="V476" s="6" t="n">
        <v>10919</v>
      </c>
      <c r="W476" s="6" t="n">
        <v>1</v>
      </c>
      <c r="Z476" s="6" t="s">
        <v>2192</v>
      </c>
      <c r="AA476" s="9" t="s">
        <v>774</v>
      </c>
      <c r="AB476" s="9" t="s">
        <v>2219</v>
      </c>
      <c r="AC476" s="27" t="n">
        <f aca="false">COUNTIF(環境認証!$A$2:$A$849,A1095)</f>
        <v>1</v>
      </c>
      <c r="AD476" s="6" t="n">
        <v>30.9</v>
      </c>
      <c r="AE476" s="6" t="n">
        <v>21.2</v>
      </c>
    </row>
    <row r="477" customFormat="false" ht="15" hidden="false" customHeight="true" outlineLevel="0" collapsed="false">
      <c r="A477" s="6" t="s">
        <v>2220</v>
      </c>
      <c r="B477" s="6" t="s">
        <v>515</v>
      </c>
      <c r="C477" s="9" t="s">
        <v>2221</v>
      </c>
      <c r="D477" s="9" t="s">
        <v>761</v>
      </c>
      <c r="E477" s="9" t="s">
        <v>762</v>
      </c>
      <c r="F477" s="9" t="s">
        <v>895</v>
      </c>
      <c r="H477" s="9" t="s">
        <v>882</v>
      </c>
      <c r="M477" s="6" t="n">
        <v>3137.09</v>
      </c>
      <c r="P477" s="51" t="n">
        <v>32325</v>
      </c>
      <c r="Q477" s="1" t="n">
        <f aca="false">IF(OR($A1096="",P1096=""),"",ROUND(YEARFRAC(P1096,README!$C$5),1))</f>
        <v>38.1</v>
      </c>
      <c r="S477" s="6" t="n">
        <v>2678</v>
      </c>
      <c r="T477" s="6" t="n">
        <v>2691</v>
      </c>
      <c r="U477" s="6" t="n">
        <v>3160</v>
      </c>
      <c r="V477" s="6" t="n">
        <v>469</v>
      </c>
      <c r="W477" s="6" t="n">
        <v>1</v>
      </c>
      <c r="X477" s="1" t="n">
        <v>1</v>
      </c>
      <c r="Z477" s="6" t="s">
        <v>2192</v>
      </c>
      <c r="AA477" s="9" t="s">
        <v>774</v>
      </c>
      <c r="AB477" s="1" t="s">
        <v>2222</v>
      </c>
      <c r="AC477" s="27" t="n">
        <f aca="false">COUNTIF(環境認証!$A$2:$A$849,A1096)</f>
        <v>1</v>
      </c>
      <c r="AD477" s="6" t="n">
        <v>17.4</v>
      </c>
      <c r="AE477" s="6" t="n">
        <v>18</v>
      </c>
    </row>
    <row r="478" customFormat="false" ht="15" hidden="false" customHeight="true" outlineLevel="0" collapsed="false">
      <c r="A478" s="6" t="s">
        <v>2223</v>
      </c>
      <c r="B478" s="6" t="s">
        <v>515</v>
      </c>
      <c r="C478" s="9" t="s">
        <v>2224</v>
      </c>
      <c r="D478" s="9" t="s">
        <v>761</v>
      </c>
      <c r="E478" s="9" t="s">
        <v>762</v>
      </c>
      <c r="F478" s="9" t="s">
        <v>911</v>
      </c>
      <c r="H478" s="9" t="s">
        <v>882</v>
      </c>
      <c r="M478" s="6" t="n">
        <v>1429.74</v>
      </c>
      <c r="P478" s="51" t="n">
        <v>33147</v>
      </c>
      <c r="Q478" s="1" t="n">
        <f aca="false">IF(OR($A1097="",P1097=""),"",ROUND(YEARFRAC(P1097,README!$C$5),1))</f>
        <v>35.9</v>
      </c>
      <c r="S478" s="6" t="n">
        <v>1580</v>
      </c>
      <c r="T478" s="6" t="n">
        <v>1544</v>
      </c>
      <c r="U478" s="6" t="n">
        <v>2120</v>
      </c>
      <c r="V478" s="6" t="n">
        <v>576</v>
      </c>
      <c r="W478" s="6" t="n">
        <v>1</v>
      </c>
      <c r="X478" s="1" t="n">
        <v>1</v>
      </c>
      <c r="Z478" s="6" t="s">
        <v>2192</v>
      </c>
      <c r="AA478" s="9" t="s">
        <v>774</v>
      </c>
      <c r="AB478" s="1" t="s">
        <v>2225</v>
      </c>
      <c r="AC478" s="27" t="n">
        <f aca="false">COUNTIF(環境認証!$A$2:$A$849,A1097)</f>
        <v>0</v>
      </c>
      <c r="AD478" s="6" t="n">
        <v>37.3</v>
      </c>
      <c r="AE478" s="6" t="n">
        <v>34.2</v>
      </c>
    </row>
    <row r="479" customFormat="false" ht="15" hidden="false" customHeight="true" outlineLevel="0" collapsed="false">
      <c r="A479" s="6" t="s">
        <v>2226</v>
      </c>
      <c r="B479" s="6" t="s">
        <v>515</v>
      </c>
      <c r="C479" s="9" t="s">
        <v>2227</v>
      </c>
      <c r="D479" s="9" t="s">
        <v>761</v>
      </c>
      <c r="E479" s="9" t="s">
        <v>762</v>
      </c>
      <c r="F479" s="9" t="s">
        <v>782</v>
      </c>
      <c r="H479" s="9" t="s">
        <v>772</v>
      </c>
      <c r="M479" s="6" t="n">
        <v>8574.65</v>
      </c>
      <c r="P479" s="51" t="n">
        <v>42125</v>
      </c>
      <c r="Q479" s="1" t="n">
        <f aca="false">IF(OR($A1098="",P1098=""),"",ROUND(YEARFRAC(P1098,README!$C$5),1))</f>
        <v>11.3</v>
      </c>
      <c r="S479" s="6" t="n">
        <v>18310</v>
      </c>
      <c r="T479" s="6" t="n">
        <v>17400</v>
      </c>
      <c r="U479" s="6" t="n">
        <v>21800</v>
      </c>
      <c r="V479" s="6" t="n">
        <v>4400</v>
      </c>
      <c r="W479" s="6" t="n">
        <v>1</v>
      </c>
      <c r="X479" s="1" t="n">
        <v>1</v>
      </c>
      <c r="Z479" s="6" t="s">
        <v>2192</v>
      </c>
      <c r="AA479" s="9" t="s">
        <v>774</v>
      </c>
      <c r="AB479" s="1" t="s">
        <v>2228</v>
      </c>
      <c r="AC479" s="27" t="n">
        <f aca="false">COUNTIF(環境認証!$A$2:$A$849,A1098)</f>
        <v>0</v>
      </c>
      <c r="AD479" s="6" t="n">
        <v>25.3</v>
      </c>
      <c r="AE479" s="6" t="n">
        <v>19.1</v>
      </c>
    </row>
    <row r="480" customFormat="false" ht="15" hidden="false" customHeight="true" outlineLevel="0" collapsed="false">
      <c r="A480" s="6" t="s">
        <v>2229</v>
      </c>
      <c r="B480" s="6" t="s">
        <v>515</v>
      </c>
      <c r="C480" s="9" t="s">
        <v>2230</v>
      </c>
      <c r="D480" s="9" t="s">
        <v>761</v>
      </c>
      <c r="E480" s="9" t="s">
        <v>762</v>
      </c>
      <c r="F480" s="9" t="s">
        <v>815</v>
      </c>
      <c r="H480" s="9" t="s">
        <v>772</v>
      </c>
      <c r="M480" s="6" t="n">
        <v>2817.65</v>
      </c>
      <c r="P480" s="51" t="n">
        <v>34182</v>
      </c>
      <c r="Q480" s="1" t="n">
        <f aca="false">IF(OR($A1099="",P1099=""),"",ROUND(YEARFRAC(P1099,README!$C$5),1))</f>
        <v>33</v>
      </c>
      <c r="S480" s="6" t="n">
        <v>5100</v>
      </c>
      <c r="T480" s="6" t="n">
        <v>5029</v>
      </c>
      <c r="U480" s="6" t="n">
        <v>5890</v>
      </c>
      <c r="V480" s="6" t="n">
        <v>861</v>
      </c>
      <c r="W480" s="6" t="n">
        <v>1</v>
      </c>
      <c r="X480" s="1" t="n">
        <v>1</v>
      </c>
      <c r="Z480" s="6" t="s">
        <v>2192</v>
      </c>
      <c r="AA480" s="9" t="s">
        <v>774</v>
      </c>
      <c r="AB480" s="1" t="s">
        <v>2231</v>
      </c>
      <c r="AC480" s="27" t="n">
        <f aca="false">COUNTIF(環境認証!$A$2:$A$849,A1099)</f>
        <v>1</v>
      </c>
      <c r="AD480" s="6" t="n">
        <v>17.1</v>
      </c>
      <c r="AE480" s="6" t="n">
        <v>15.5</v>
      </c>
    </row>
    <row r="481" customFormat="false" ht="15" hidden="false" customHeight="true" outlineLevel="0" collapsed="false">
      <c r="A481" s="6" t="s">
        <v>2232</v>
      </c>
      <c r="B481" s="6" t="s">
        <v>515</v>
      </c>
      <c r="C481" s="9" t="s">
        <v>2233</v>
      </c>
      <c r="D481" s="9" t="s">
        <v>761</v>
      </c>
      <c r="E481" s="9" t="s">
        <v>762</v>
      </c>
      <c r="F481" s="9" t="s">
        <v>763</v>
      </c>
      <c r="H481" s="9" t="s">
        <v>772</v>
      </c>
      <c r="M481" s="6" t="n">
        <v>1561.38</v>
      </c>
      <c r="P481" s="51" t="n">
        <v>32752</v>
      </c>
      <c r="Q481" s="1" t="n">
        <f aca="false">IF(OR($A1100="",P1100=""),"",ROUND(YEARFRAC(P1100,README!$C$5),1))</f>
        <v>36.9</v>
      </c>
      <c r="S481" s="6" t="n">
        <v>1460</v>
      </c>
      <c r="T481" s="6" t="n">
        <v>1527</v>
      </c>
      <c r="U481" s="6" t="n">
        <v>1760</v>
      </c>
      <c r="V481" s="6" t="n">
        <v>233</v>
      </c>
      <c r="W481" s="6" t="n">
        <v>1</v>
      </c>
      <c r="Z481" s="6" t="s">
        <v>2192</v>
      </c>
      <c r="AA481" s="9" t="s">
        <v>774</v>
      </c>
      <c r="AB481" s="1" t="s">
        <v>2234</v>
      </c>
      <c r="AC481" s="27" t="n">
        <f aca="false">COUNTIF(環境認証!$A$2:$A$849,A1100)</f>
        <v>1</v>
      </c>
      <c r="AD481" s="6" t="n">
        <v>15.3</v>
      </c>
      <c r="AE481" s="6" t="n">
        <v>20.5</v>
      </c>
    </row>
    <row r="482" customFormat="false" ht="15" hidden="false" customHeight="true" outlineLevel="0" collapsed="false">
      <c r="A482" s="6" t="s">
        <v>2235</v>
      </c>
      <c r="B482" s="6" t="s">
        <v>515</v>
      </c>
      <c r="C482" s="9" t="s">
        <v>2236</v>
      </c>
      <c r="D482" s="9" t="s">
        <v>761</v>
      </c>
      <c r="E482" s="9" t="s">
        <v>762</v>
      </c>
      <c r="F482" s="9" t="s">
        <v>848</v>
      </c>
      <c r="H482" s="9" t="s">
        <v>882</v>
      </c>
      <c r="M482" s="6" t="n">
        <v>3276.05</v>
      </c>
      <c r="P482" s="51" t="n">
        <v>35125</v>
      </c>
      <c r="Q482" s="1" t="n">
        <f aca="false">IF(OR($A1101="",P1101=""),"",ROUND(YEARFRAC(P1101,README!$C$5),1))</f>
        <v>30.4</v>
      </c>
      <c r="S482" s="6" t="n">
        <v>3450</v>
      </c>
      <c r="T482" s="6" t="n">
        <v>3576</v>
      </c>
      <c r="U482" s="6" t="n">
        <v>3420</v>
      </c>
      <c r="V482" s="6" t="n">
        <v>-156</v>
      </c>
      <c r="W482" s="6" t="n">
        <v>1</v>
      </c>
      <c r="X482" s="1" t="n">
        <v>1</v>
      </c>
      <c r="Z482" s="6" t="s">
        <v>2192</v>
      </c>
      <c r="AA482" s="9" t="s">
        <v>774</v>
      </c>
      <c r="AB482" s="6" t="s">
        <v>2237</v>
      </c>
      <c r="AC482" s="27" t="n">
        <f aca="false">COUNTIF(環境認証!$A$2:$A$849,A1101)</f>
        <v>0</v>
      </c>
      <c r="AD482" s="6" t="n">
        <v>-4.4</v>
      </c>
      <c r="AE482" s="6" t="n">
        <v>-0.9</v>
      </c>
    </row>
    <row r="483" customFormat="false" ht="15" hidden="false" customHeight="true" outlineLevel="0" collapsed="false">
      <c r="A483" s="6" t="s">
        <v>2238</v>
      </c>
      <c r="B483" s="6" t="s">
        <v>515</v>
      </c>
      <c r="C483" s="9" t="s">
        <v>2239</v>
      </c>
      <c r="D483" s="9" t="s">
        <v>761</v>
      </c>
      <c r="E483" s="9" t="s">
        <v>762</v>
      </c>
      <c r="F483" s="9" t="s">
        <v>763</v>
      </c>
      <c r="H483" s="9" t="s">
        <v>772</v>
      </c>
      <c r="M483" s="6" t="n">
        <v>1981.83</v>
      </c>
      <c r="P483" s="51" t="n">
        <v>32721</v>
      </c>
      <c r="Q483" s="1" t="n">
        <f aca="false">IF(OR($A1102="",P1102=""),"",ROUND(YEARFRAC(P1102,README!$C$5),1))</f>
        <v>37</v>
      </c>
      <c r="S483" s="6" t="n">
        <v>2750</v>
      </c>
      <c r="T483" s="6" t="n">
        <v>2767</v>
      </c>
      <c r="U483" s="6" t="n">
        <v>3610</v>
      </c>
      <c r="V483" s="6" t="n">
        <v>843</v>
      </c>
      <c r="W483" s="6" t="n">
        <v>1</v>
      </c>
      <c r="X483" s="1" t="n">
        <v>1</v>
      </c>
      <c r="Z483" s="6" t="s">
        <v>2192</v>
      </c>
      <c r="AA483" s="9" t="s">
        <v>774</v>
      </c>
      <c r="AB483" s="1" t="s">
        <v>2240</v>
      </c>
      <c r="AC483" s="27" t="n">
        <f aca="false">COUNTIF(環境認証!$A$2:$A$849,A1102)</f>
        <v>1</v>
      </c>
      <c r="AD483" s="6" t="n">
        <v>30.5</v>
      </c>
      <c r="AE483" s="6" t="n">
        <v>31.3</v>
      </c>
    </row>
    <row r="484" customFormat="false" ht="15" hidden="false" customHeight="true" outlineLevel="0" collapsed="false">
      <c r="A484" s="6" t="s">
        <v>2241</v>
      </c>
      <c r="B484" s="6" t="s">
        <v>515</v>
      </c>
      <c r="C484" s="9" t="s">
        <v>2242</v>
      </c>
      <c r="D484" s="9" t="s">
        <v>761</v>
      </c>
      <c r="E484" s="9" t="s">
        <v>762</v>
      </c>
      <c r="F484" s="9" t="s">
        <v>815</v>
      </c>
      <c r="H484" s="9" t="s">
        <v>772</v>
      </c>
      <c r="M484" s="6" t="n">
        <v>1629.09</v>
      </c>
      <c r="P484" s="51" t="n">
        <v>33848</v>
      </c>
      <c r="Q484" s="1" t="n">
        <f aca="false">IF(OR($A1103="",P1103=""),"",ROUND(YEARFRAC(P1103,README!$C$5),1))</f>
        <v>33.9</v>
      </c>
      <c r="S484" s="6" t="n">
        <v>2420</v>
      </c>
      <c r="T484" s="6" t="n">
        <v>2412</v>
      </c>
      <c r="U484" s="6" t="n">
        <v>2610</v>
      </c>
      <c r="V484" s="6" t="n">
        <v>198</v>
      </c>
      <c r="W484" s="6" t="n">
        <v>1</v>
      </c>
      <c r="X484" s="1" t="n">
        <v>1</v>
      </c>
      <c r="Z484" s="6" t="s">
        <v>2192</v>
      </c>
      <c r="AA484" s="9" t="s">
        <v>774</v>
      </c>
      <c r="AB484" s="1" t="s">
        <v>2243</v>
      </c>
      <c r="AC484" s="27" t="n">
        <f aca="false">COUNTIF(環境認証!$A$2:$A$849,A1103)</f>
        <v>1</v>
      </c>
      <c r="AD484" s="6" t="n">
        <v>8.2</v>
      </c>
      <c r="AE484" s="6" t="n">
        <v>7.9</v>
      </c>
    </row>
    <row r="485" customFormat="false" ht="15" hidden="false" customHeight="true" outlineLevel="0" collapsed="false">
      <c r="A485" s="6" t="s">
        <v>2244</v>
      </c>
      <c r="B485" s="6" t="s">
        <v>515</v>
      </c>
      <c r="C485" s="9" t="s">
        <v>2245</v>
      </c>
      <c r="D485" s="9" t="s">
        <v>761</v>
      </c>
      <c r="E485" s="9" t="s">
        <v>762</v>
      </c>
      <c r="F485" s="36" t="s">
        <v>982</v>
      </c>
      <c r="H485" s="9" t="s">
        <v>772</v>
      </c>
      <c r="M485" s="6" t="n">
        <v>1431.94</v>
      </c>
      <c r="P485" s="51" t="n">
        <v>33270</v>
      </c>
      <c r="Q485" s="1" t="n">
        <f aca="false">IF(OR($A1104="",P1104=""),"",ROUND(YEARFRAC(P1104,README!$C$5),1))</f>
        <v>35.5</v>
      </c>
      <c r="S485" s="6" t="n">
        <v>1450</v>
      </c>
      <c r="T485" s="6" t="n">
        <v>1556</v>
      </c>
      <c r="U485" s="6" t="n">
        <v>1390</v>
      </c>
      <c r="V485" s="6" t="n">
        <v>-166</v>
      </c>
      <c r="W485" s="6" t="n">
        <v>0.885</v>
      </c>
      <c r="X485" s="1" t="n">
        <v>1</v>
      </c>
      <c r="Z485" s="6" t="s">
        <v>2192</v>
      </c>
      <c r="AA485" s="9" t="s">
        <v>774</v>
      </c>
      <c r="AB485" s="1" t="s">
        <v>2246</v>
      </c>
      <c r="AC485" s="27" t="n">
        <f aca="false">COUNTIF(環境認証!$A$2:$A$849,A1104)</f>
        <v>0</v>
      </c>
      <c r="AD485" s="6" t="n">
        <v>-10.7</v>
      </c>
      <c r="AE485" s="6" t="n">
        <v>-4.1</v>
      </c>
    </row>
    <row r="486" customFormat="false" ht="15" hidden="false" customHeight="true" outlineLevel="0" collapsed="false">
      <c r="A486" s="6" t="s">
        <v>2247</v>
      </c>
      <c r="B486" s="6" t="s">
        <v>515</v>
      </c>
      <c r="C486" s="9" t="s">
        <v>2248</v>
      </c>
      <c r="D486" s="9" t="s">
        <v>761</v>
      </c>
      <c r="E486" s="9" t="s">
        <v>762</v>
      </c>
      <c r="F486" s="9" t="s">
        <v>895</v>
      </c>
      <c r="H486" s="9" t="s">
        <v>882</v>
      </c>
      <c r="M486" s="6" t="n">
        <v>5280.72</v>
      </c>
      <c r="P486" s="51" t="n">
        <v>41306</v>
      </c>
      <c r="Q486" s="1" t="n">
        <f aca="false">IF(OR($A1105="",P1105=""),"",ROUND(YEARFRAC(P1105,README!$C$5),1))</f>
        <v>13.5</v>
      </c>
      <c r="S486" s="6" t="n">
        <v>4750</v>
      </c>
      <c r="T486" s="6" t="n">
        <v>4010</v>
      </c>
      <c r="U486" s="6" t="n">
        <v>4810</v>
      </c>
      <c r="V486" s="6" t="n">
        <v>800</v>
      </c>
      <c r="W486" s="6" t="n">
        <v>1</v>
      </c>
      <c r="X486" s="1" t="n">
        <v>1</v>
      </c>
      <c r="Z486" s="6" t="s">
        <v>2192</v>
      </c>
      <c r="AA486" s="9" t="s">
        <v>774</v>
      </c>
      <c r="AB486" s="1" t="s">
        <v>2249</v>
      </c>
      <c r="AC486" s="27" t="n">
        <f aca="false">COUNTIF(環境認証!$A$2:$A$849,A1105)</f>
        <v>0</v>
      </c>
      <c r="AD486" s="6" t="n">
        <v>20</v>
      </c>
      <c r="AE486" s="6" t="n">
        <v>1.3</v>
      </c>
    </row>
    <row r="487" customFormat="false" ht="15" hidden="false" customHeight="true" outlineLevel="0" collapsed="false">
      <c r="A487" s="6" t="s">
        <v>2250</v>
      </c>
      <c r="B487" s="6" t="s">
        <v>515</v>
      </c>
      <c r="C487" s="9" t="s">
        <v>2251</v>
      </c>
      <c r="D487" s="9" t="s">
        <v>761</v>
      </c>
      <c r="E487" s="9" t="s">
        <v>762</v>
      </c>
      <c r="F487" s="9" t="s">
        <v>815</v>
      </c>
      <c r="H487" s="9" t="s">
        <v>772</v>
      </c>
      <c r="M487" s="6" t="n">
        <v>1059.22</v>
      </c>
      <c r="P487" s="51" t="n">
        <v>33635</v>
      </c>
      <c r="Q487" s="1" t="n">
        <f aca="false">IF(OR($A1106="",P1106=""),"",ROUND(YEARFRAC(P1106,README!$C$5),1))</f>
        <v>34.5</v>
      </c>
      <c r="S487" s="6" t="n">
        <v>1275</v>
      </c>
      <c r="T487" s="6" t="n">
        <v>1281</v>
      </c>
      <c r="U487" s="6" t="n">
        <v>1550</v>
      </c>
      <c r="V487" s="6" t="n">
        <v>269</v>
      </c>
      <c r="W487" s="6" t="n">
        <v>1</v>
      </c>
      <c r="X487" s="1" t="n">
        <v>1</v>
      </c>
      <c r="Z487" s="6" t="s">
        <v>2192</v>
      </c>
      <c r="AA487" s="9" t="s">
        <v>774</v>
      </c>
      <c r="AB487" s="1" t="s">
        <v>2252</v>
      </c>
      <c r="AC487" s="27" t="n">
        <f aca="false">COUNTIF(環境認証!$A$2:$A$849,A1106)</f>
        <v>0</v>
      </c>
      <c r="AD487" s="6" t="n">
        <v>21</v>
      </c>
      <c r="AE487" s="6" t="n">
        <v>21.6</v>
      </c>
    </row>
    <row r="488" customFormat="false" ht="15" hidden="false" customHeight="true" outlineLevel="0" collapsed="false">
      <c r="A488" s="6" t="s">
        <v>2253</v>
      </c>
      <c r="B488" s="6" t="s">
        <v>515</v>
      </c>
      <c r="C488" s="9" t="s">
        <v>2254</v>
      </c>
      <c r="D488" s="9" t="s">
        <v>761</v>
      </c>
      <c r="E488" s="9" t="s">
        <v>762</v>
      </c>
      <c r="F488" s="9" t="s">
        <v>1316</v>
      </c>
      <c r="H488" s="9" t="s">
        <v>882</v>
      </c>
      <c r="M488" s="6" t="n">
        <v>4569.34</v>
      </c>
      <c r="P488" s="51" t="n">
        <v>40179</v>
      </c>
      <c r="Q488" s="1" t="n">
        <f aca="false">IF(OR($A1107="",P1107=""),"",ROUND(YEARFRAC(P1107,README!$C$5),1))</f>
        <v>16.6</v>
      </c>
      <c r="S488" s="6" t="n">
        <v>5610</v>
      </c>
      <c r="T488" s="6" t="n">
        <v>5281</v>
      </c>
      <c r="U488" s="6" t="n">
        <v>6102</v>
      </c>
      <c r="V488" s="6" t="n">
        <v>821</v>
      </c>
      <c r="W488" s="6" t="n">
        <v>0.891</v>
      </c>
      <c r="X488" s="1" t="n">
        <v>1</v>
      </c>
      <c r="Z488" s="6" t="s">
        <v>2192</v>
      </c>
      <c r="AA488" s="9" t="s">
        <v>774</v>
      </c>
      <c r="AB488" s="1" t="s">
        <v>2255</v>
      </c>
      <c r="AC488" s="27" t="n">
        <f aca="false">COUNTIF(環境認証!$A$2:$A$849,A1107)</f>
        <v>1</v>
      </c>
      <c r="AD488" s="6" t="n">
        <v>15.5</v>
      </c>
      <c r="AE488" s="6" t="n">
        <v>8.8</v>
      </c>
    </row>
    <row r="489" customFormat="false" ht="15" hidden="false" customHeight="true" outlineLevel="0" collapsed="false">
      <c r="A489" s="6" t="s">
        <v>2256</v>
      </c>
      <c r="B489" s="6" t="s">
        <v>515</v>
      </c>
      <c r="C489" s="9" t="s">
        <v>2257</v>
      </c>
      <c r="D489" s="9" t="s">
        <v>761</v>
      </c>
      <c r="E489" s="9" t="s">
        <v>762</v>
      </c>
      <c r="F489" s="9" t="s">
        <v>895</v>
      </c>
      <c r="H489" s="9" t="s">
        <v>882</v>
      </c>
      <c r="M489" s="6" t="n">
        <v>3956.73</v>
      </c>
      <c r="P489" s="51" t="n">
        <v>42248</v>
      </c>
      <c r="Q489" s="1" t="n">
        <f aca="false">IF(OR($A1108="",P1108=""),"",ROUND(YEARFRAC(P1108,README!$C$5),1))</f>
        <v>10.9</v>
      </c>
      <c r="S489" s="6" t="n">
        <v>5420</v>
      </c>
      <c r="T489" s="6" t="n">
        <v>5201</v>
      </c>
      <c r="U489" s="6" t="n">
        <v>5895</v>
      </c>
      <c r="V489" s="6" t="n">
        <v>694</v>
      </c>
      <c r="W489" s="6" t="n">
        <v>0.983</v>
      </c>
      <c r="X489" s="1" t="n">
        <v>1</v>
      </c>
      <c r="Z489" s="6" t="s">
        <v>2192</v>
      </c>
      <c r="AA489" s="9" t="s">
        <v>774</v>
      </c>
      <c r="AB489" s="1" t="s">
        <v>2258</v>
      </c>
      <c r="AC489" s="27" t="n">
        <f aca="false">COUNTIF(環境認証!$A$2:$A$849,A1108)</f>
        <v>0</v>
      </c>
      <c r="AD489" s="6" t="n">
        <v>13.3</v>
      </c>
      <c r="AE489" s="6" t="n">
        <v>8.8</v>
      </c>
    </row>
    <row r="490" customFormat="false" ht="15" hidden="false" customHeight="true" outlineLevel="0" collapsed="false">
      <c r="A490" s="6" t="s">
        <v>2259</v>
      </c>
      <c r="B490" s="6" t="s">
        <v>515</v>
      </c>
      <c r="C490" s="9" t="s">
        <v>2260</v>
      </c>
      <c r="D490" s="9" t="s">
        <v>761</v>
      </c>
      <c r="E490" s="9" t="s">
        <v>762</v>
      </c>
      <c r="F490" s="9" t="s">
        <v>1152</v>
      </c>
      <c r="H490" s="9" t="s">
        <v>882</v>
      </c>
      <c r="M490" s="6" t="n">
        <v>2616.83</v>
      </c>
      <c r="P490" s="51" t="n">
        <v>34608</v>
      </c>
      <c r="Q490" s="1" t="n">
        <f aca="false">IF(OR($A1109="",P1109=""),"",ROUND(YEARFRAC(P1109,README!$C$5),1))</f>
        <v>31.9</v>
      </c>
      <c r="S490" s="6" t="n">
        <v>3200</v>
      </c>
      <c r="T490" s="6" t="n">
        <v>3192</v>
      </c>
      <c r="U490" s="6" t="n">
        <v>3492</v>
      </c>
      <c r="V490" s="6" t="n">
        <v>300</v>
      </c>
      <c r="W490" s="6" t="n">
        <v>1</v>
      </c>
      <c r="X490" s="1" t="n">
        <v>1</v>
      </c>
      <c r="Z490" s="6" t="s">
        <v>2192</v>
      </c>
      <c r="AA490" s="9" t="s">
        <v>774</v>
      </c>
      <c r="AB490" s="1" t="s">
        <v>2261</v>
      </c>
      <c r="AC490" s="27" t="n">
        <f aca="false">COUNTIF(環境認証!$A$2:$A$849,A1109)</f>
        <v>1</v>
      </c>
      <c r="AD490" s="6" t="n">
        <v>9.4</v>
      </c>
      <c r="AE490" s="6" t="n">
        <v>9.1</v>
      </c>
    </row>
    <row r="491" customFormat="false" ht="15" hidden="false" customHeight="true" outlineLevel="0" collapsed="false">
      <c r="A491" s="6" t="s">
        <v>2262</v>
      </c>
      <c r="B491" s="6" t="s">
        <v>515</v>
      </c>
      <c r="C491" s="9" t="s">
        <v>2263</v>
      </c>
      <c r="D491" s="9" t="s">
        <v>761</v>
      </c>
      <c r="E491" s="9" t="s">
        <v>762</v>
      </c>
      <c r="F491" s="9" t="s">
        <v>895</v>
      </c>
      <c r="H491" s="9" t="s">
        <v>882</v>
      </c>
      <c r="M491" s="6" t="n">
        <v>3031.85</v>
      </c>
      <c r="P491" s="51" t="n">
        <v>31503</v>
      </c>
      <c r="Q491" s="1" t="n">
        <f aca="false">IF(OR($A1110="",P1110=""),"",ROUND(YEARFRAC(P1110,README!$C$5),1))</f>
        <v>40.4</v>
      </c>
      <c r="S491" s="6" t="n">
        <v>4100</v>
      </c>
      <c r="T491" s="6" t="n">
        <v>4100</v>
      </c>
      <c r="U491" s="6" t="n">
        <v>4140</v>
      </c>
      <c r="V491" s="6" t="n">
        <v>40</v>
      </c>
      <c r="W491" s="6" t="n">
        <v>1</v>
      </c>
      <c r="X491" s="1" t="n">
        <v>1</v>
      </c>
      <c r="Z491" s="6" t="s">
        <v>2192</v>
      </c>
      <c r="AA491" s="9" t="s">
        <v>774</v>
      </c>
      <c r="AB491" s="1" t="s">
        <v>2264</v>
      </c>
      <c r="AC491" s="27" t="n">
        <f aca="false">COUNTIF(環境認証!$A$2:$A$849,A1110)</f>
        <v>1</v>
      </c>
      <c r="AD491" s="6" t="n">
        <v>1</v>
      </c>
      <c r="AE491" s="6" t="n">
        <v>1</v>
      </c>
    </row>
    <row r="492" customFormat="false" ht="15" hidden="false" customHeight="true" outlineLevel="0" collapsed="false">
      <c r="A492" s="6" t="s">
        <v>2265</v>
      </c>
      <c r="B492" s="6" t="s">
        <v>515</v>
      </c>
      <c r="C492" s="9" t="s">
        <v>2266</v>
      </c>
      <c r="D492" s="9" t="s">
        <v>761</v>
      </c>
      <c r="E492" s="9" t="s">
        <v>762</v>
      </c>
      <c r="F492" s="9" t="s">
        <v>763</v>
      </c>
      <c r="H492" s="9" t="s">
        <v>772</v>
      </c>
      <c r="M492" s="6" t="n">
        <v>5380.17</v>
      </c>
      <c r="P492" s="51" t="n">
        <v>40452</v>
      </c>
      <c r="Q492" s="1" t="n">
        <f aca="false">IF(OR($A1111="",P1111=""),"",ROUND(YEARFRAC(P1111,README!$C$5),1))</f>
        <v>15.9</v>
      </c>
      <c r="S492" s="6" t="n">
        <v>12600</v>
      </c>
      <c r="T492" s="6" t="n">
        <v>12449</v>
      </c>
      <c r="U492" s="6" t="n">
        <v>12900</v>
      </c>
      <c r="V492" s="6" t="n">
        <v>451</v>
      </c>
      <c r="W492" s="6" t="n">
        <v>1</v>
      </c>
      <c r="X492" s="1" t="n">
        <v>1</v>
      </c>
      <c r="Z492" s="6" t="s">
        <v>2192</v>
      </c>
      <c r="AA492" s="9" t="s">
        <v>774</v>
      </c>
      <c r="AB492" s="1" t="s">
        <v>2267</v>
      </c>
      <c r="AC492" s="27" t="n">
        <f aca="false">COUNTIF(環境認証!$A$2:$A$849,A1111)</f>
        <v>1</v>
      </c>
      <c r="AD492" s="6" t="n">
        <v>3.6</v>
      </c>
      <c r="AE492" s="6" t="n">
        <v>2.4</v>
      </c>
    </row>
    <row r="493" customFormat="false" ht="15" hidden="false" customHeight="true" outlineLevel="0" collapsed="false">
      <c r="A493" s="6" t="s">
        <v>2268</v>
      </c>
      <c r="B493" s="6" t="s">
        <v>515</v>
      </c>
      <c r="C493" s="9" t="s">
        <v>2269</v>
      </c>
      <c r="D493" s="9" t="s">
        <v>761</v>
      </c>
      <c r="E493" s="9" t="s">
        <v>762</v>
      </c>
      <c r="F493" s="9" t="s">
        <v>1532</v>
      </c>
      <c r="H493" s="9" t="s">
        <v>921</v>
      </c>
      <c r="M493" s="6" t="n">
        <v>3958.37</v>
      </c>
      <c r="P493" s="51" t="n">
        <v>29495</v>
      </c>
      <c r="Q493" s="1" t="n">
        <f aca="false">IF(OR($A1112="",P1112=""),"",ROUND(YEARFRAC(P1112,README!$C$5),1))</f>
        <v>45.9</v>
      </c>
      <c r="S493" s="6" t="n">
        <v>5150</v>
      </c>
      <c r="T493" s="6" t="n">
        <v>5132</v>
      </c>
      <c r="U493" s="6" t="n">
        <v>6310</v>
      </c>
      <c r="V493" s="6" t="n">
        <v>1178</v>
      </c>
      <c r="W493" s="6" t="n">
        <v>1</v>
      </c>
      <c r="Z493" s="6" t="s">
        <v>2192</v>
      </c>
      <c r="AA493" s="9" t="s">
        <v>774</v>
      </c>
      <c r="AB493" s="1" t="s">
        <v>2270</v>
      </c>
      <c r="AC493" s="27" t="n">
        <f aca="false">COUNTIF(環境認証!$A$2:$A$849,A1112)</f>
        <v>0</v>
      </c>
      <c r="AD493" s="6" t="n">
        <v>23</v>
      </c>
      <c r="AE493" s="6" t="n">
        <v>22.5</v>
      </c>
    </row>
    <row r="494" customFormat="false" ht="15" hidden="false" customHeight="true" outlineLevel="0" collapsed="false">
      <c r="A494" s="6" t="s">
        <v>2271</v>
      </c>
      <c r="B494" s="6" t="s">
        <v>515</v>
      </c>
      <c r="C494" s="9" t="s">
        <v>2272</v>
      </c>
      <c r="D494" s="9" t="s">
        <v>761</v>
      </c>
      <c r="E494" s="9" t="s">
        <v>762</v>
      </c>
      <c r="F494" s="9" t="s">
        <v>1165</v>
      </c>
      <c r="H494" s="9" t="s">
        <v>921</v>
      </c>
      <c r="M494" s="6" t="n">
        <v>3768</v>
      </c>
      <c r="P494" s="51" t="n">
        <v>39845</v>
      </c>
      <c r="Q494" s="1" t="n">
        <f aca="false">IF(OR($A1113="",P1113=""),"",ROUND(YEARFRAC(P1113,README!$C$5),1))</f>
        <v>17.5</v>
      </c>
      <c r="S494" s="6" t="n">
        <v>4900</v>
      </c>
      <c r="T494" s="6" t="n">
        <v>4712</v>
      </c>
      <c r="U494" s="6" t="n">
        <v>5220</v>
      </c>
      <c r="V494" s="6" t="n">
        <v>508</v>
      </c>
      <c r="W494" s="6" t="n">
        <v>1</v>
      </c>
      <c r="X494" s="1" t="n">
        <v>1</v>
      </c>
      <c r="Z494" s="6" t="s">
        <v>2192</v>
      </c>
      <c r="AA494" s="9" t="s">
        <v>774</v>
      </c>
      <c r="AB494" s="1" t="s">
        <v>2273</v>
      </c>
      <c r="AC494" s="27" t="n">
        <f aca="false">COUNTIF(環境認証!$A$2:$A$849,A1113)</f>
        <v>1</v>
      </c>
      <c r="AD494" s="6" t="n">
        <v>10.8</v>
      </c>
      <c r="AE494" s="6" t="n">
        <v>6.5</v>
      </c>
    </row>
    <row r="495" customFormat="false" ht="15" hidden="false" customHeight="true" outlineLevel="0" collapsed="false">
      <c r="A495" s="6" t="s">
        <v>2274</v>
      </c>
      <c r="B495" s="6" t="s">
        <v>515</v>
      </c>
      <c r="C495" s="9" t="s">
        <v>2275</v>
      </c>
      <c r="D495" s="9" t="s">
        <v>761</v>
      </c>
      <c r="E495" s="9" t="s">
        <v>1242</v>
      </c>
      <c r="F495" s="9" t="s">
        <v>2095</v>
      </c>
      <c r="H495" s="9" t="s">
        <v>971</v>
      </c>
      <c r="M495" s="6" t="n">
        <v>5126.08</v>
      </c>
      <c r="P495" s="51" t="n">
        <v>33147</v>
      </c>
      <c r="Q495" s="1" t="n">
        <f aca="false">IF(OR($A1114="",P1114=""),"",ROUND(YEARFRAC(P1114,README!$C$5),1))</f>
        <v>35.9</v>
      </c>
      <c r="S495" s="6" t="n">
        <v>6710</v>
      </c>
      <c r="T495" s="6" t="n">
        <v>6828</v>
      </c>
      <c r="U495" s="6" t="n">
        <v>6980</v>
      </c>
      <c r="V495" s="6" t="n">
        <v>152</v>
      </c>
      <c r="W495" s="6" t="n">
        <v>1</v>
      </c>
      <c r="X495" s="1" t="n">
        <v>1</v>
      </c>
      <c r="Z495" s="6" t="s">
        <v>2192</v>
      </c>
      <c r="AA495" s="9" t="s">
        <v>774</v>
      </c>
      <c r="AB495" s="1" t="s">
        <v>2276</v>
      </c>
      <c r="AC495" s="27" t="n">
        <f aca="false">COUNTIF(環境認証!$A$2:$A$849,A1114)</f>
        <v>1</v>
      </c>
      <c r="AD495" s="6" t="n">
        <v>2.2</v>
      </c>
      <c r="AE495" s="6" t="n">
        <v>4</v>
      </c>
    </row>
    <row r="496" customFormat="false" ht="15" hidden="false" customHeight="true" outlineLevel="0" collapsed="false">
      <c r="A496" s="6" t="s">
        <v>2277</v>
      </c>
      <c r="B496" s="6" t="s">
        <v>515</v>
      </c>
      <c r="C496" s="9" t="s">
        <v>2278</v>
      </c>
      <c r="D496" s="9" t="s">
        <v>761</v>
      </c>
      <c r="E496" s="9" t="s">
        <v>762</v>
      </c>
      <c r="F496" s="9" t="s">
        <v>848</v>
      </c>
      <c r="H496" s="9" t="s">
        <v>882</v>
      </c>
      <c r="M496" s="6" t="n">
        <v>4246.19</v>
      </c>
      <c r="P496" s="51" t="n">
        <v>31533</v>
      </c>
      <c r="Q496" s="1" t="n">
        <f aca="false">IF(OR($A1115="",P1115=""),"",ROUND(YEARFRAC(P1115,README!$C$5),1))</f>
        <v>40.3</v>
      </c>
      <c r="S496" s="6" t="n">
        <v>6162</v>
      </c>
      <c r="T496" s="6" t="n">
        <v>6229</v>
      </c>
      <c r="U496" s="6" t="n">
        <v>6360</v>
      </c>
      <c r="V496" s="6" t="n">
        <v>131</v>
      </c>
      <c r="W496" s="6" t="n">
        <v>1</v>
      </c>
      <c r="X496" s="1" t="n">
        <v>1</v>
      </c>
      <c r="Z496" s="6" t="s">
        <v>2192</v>
      </c>
      <c r="AA496" s="9" t="s">
        <v>774</v>
      </c>
      <c r="AB496" s="1" t="s">
        <v>2279</v>
      </c>
      <c r="AC496" s="27" t="n">
        <f aca="false">COUNTIF(環境認証!$A$2:$A$849,A1115)</f>
        <v>0</v>
      </c>
      <c r="AD496" s="6" t="n">
        <v>2.1</v>
      </c>
      <c r="AE496" s="6" t="n">
        <v>3.2</v>
      </c>
    </row>
    <row r="497" customFormat="false" ht="15" hidden="false" customHeight="true" outlineLevel="0" collapsed="false">
      <c r="A497" s="6" t="s">
        <v>2280</v>
      </c>
      <c r="B497" s="6" t="s">
        <v>515</v>
      </c>
      <c r="C497" s="9" t="s">
        <v>2281</v>
      </c>
      <c r="D497" s="9" t="s">
        <v>761</v>
      </c>
      <c r="E497" s="9" t="s">
        <v>762</v>
      </c>
      <c r="F497" s="9" t="s">
        <v>2282</v>
      </c>
      <c r="H497" s="9" t="s">
        <v>882</v>
      </c>
      <c r="M497" s="6" t="n">
        <v>3695.59</v>
      </c>
      <c r="P497" s="51" t="n">
        <v>43831</v>
      </c>
      <c r="Q497" s="1" t="n">
        <f aca="false">IF(OR($A1116="",P1116=""),"",ROUND(YEARFRAC(P1116,README!$C$5),1))</f>
        <v>6.6</v>
      </c>
      <c r="S497" s="6" t="n">
        <v>5300</v>
      </c>
      <c r="T497" s="6" t="n">
        <v>5217</v>
      </c>
      <c r="U497" s="6" t="n">
        <v>5450</v>
      </c>
      <c r="V497" s="6" t="n">
        <v>233</v>
      </c>
      <c r="W497" s="6" t="n">
        <v>1</v>
      </c>
      <c r="X497" s="1" t="n">
        <v>1</v>
      </c>
      <c r="Z497" s="6" t="s">
        <v>2192</v>
      </c>
      <c r="AA497" s="9" t="s">
        <v>774</v>
      </c>
      <c r="AB497" s="1" t="s">
        <v>2283</v>
      </c>
      <c r="AC497" s="27" t="n">
        <f aca="false">COUNTIF(環境認証!$A$2:$A$849,A1116)</f>
        <v>1</v>
      </c>
      <c r="AD497" s="6" t="n">
        <v>4.5</v>
      </c>
      <c r="AE497" s="6" t="n">
        <v>2.8</v>
      </c>
    </row>
    <row r="498" customFormat="false" ht="15" hidden="false" customHeight="true" outlineLevel="0" collapsed="false">
      <c r="A498" s="6" t="s">
        <v>2284</v>
      </c>
      <c r="B498" s="6" t="s">
        <v>515</v>
      </c>
      <c r="C498" s="9" t="s">
        <v>2285</v>
      </c>
      <c r="D498" s="9" t="s">
        <v>761</v>
      </c>
      <c r="E498" s="9" t="s">
        <v>762</v>
      </c>
      <c r="F498" s="9" t="s">
        <v>820</v>
      </c>
      <c r="H498" s="9" t="s">
        <v>772</v>
      </c>
      <c r="M498" s="6" t="n">
        <v>7781.3</v>
      </c>
      <c r="P498" s="51" t="n">
        <v>34455</v>
      </c>
      <c r="Q498" s="1" t="n">
        <f aca="false">IF(OR($A1117="",P1117=""),"",ROUND(YEARFRAC(P1117,README!$C$5),1))</f>
        <v>32.3</v>
      </c>
      <c r="S498" s="6" t="n">
        <v>10970</v>
      </c>
      <c r="T498" s="6" t="n">
        <v>10969</v>
      </c>
      <c r="U498" s="6" t="n">
        <v>11800</v>
      </c>
      <c r="V498" s="6" t="n">
        <v>831</v>
      </c>
      <c r="W498" s="6" t="n">
        <v>1</v>
      </c>
      <c r="X498" s="1" t="n">
        <v>1</v>
      </c>
      <c r="Z498" s="6" t="s">
        <v>2192</v>
      </c>
      <c r="AA498" s="9" t="s">
        <v>774</v>
      </c>
      <c r="AB498" s="1" t="s">
        <v>2286</v>
      </c>
      <c r="AC498" s="27" t="n">
        <f aca="false">COUNTIF(環境認証!$A$2:$A$849,A1117)</f>
        <v>0</v>
      </c>
      <c r="AD498" s="6" t="n">
        <v>7.6</v>
      </c>
      <c r="AE498" s="6" t="n">
        <v>7.6</v>
      </c>
    </row>
    <row r="499" customFormat="false" ht="15" hidden="false" customHeight="true" outlineLevel="0" collapsed="false">
      <c r="A499" s="6" t="s">
        <v>2287</v>
      </c>
      <c r="B499" s="6" t="s">
        <v>515</v>
      </c>
      <c r="C499" s="9" t="s">
        <v>2288</v>
      </c>
      <c r="D499" s="9" t="s">
        <v>761</v>
      </c>
      <c r="E499" s="9" t="s">
        <v>762</v>
      </c>
      <c r="F499" s="36" t="s">
        <v>771</v>
      </c>
      <c r="H499" s="9" t="s">
        <v>882</v>
      </c>
      <c r="M499" s="6" t="n">
        <v>1310.4</v>
      </c>
      <c r="P499" s="51" t="n">
        <v>40909</v>
      </c>
      <c r="Q499" s="1" t="n">
        <f aca="false">IF(OR($A1118="",P1118=""),"",ROUND(YEARFRAC(P1118,README!$C$5),1))</f>
        <v>14.6</v>
      </c>
      <c r="S499" s="6" t="n">
        <v>1930</v>
      </c>
      <c r="T499" s="6" t="n">
        <v>1928</v>
      </c>
      <c r="U499" s="6" t="n">
        <v>1989</v>
      </c>
      <c r="V499" s="6" t="n">
        <v>61</v>
      </c>
      <c r="W499" s="6" t="n">
        <v>1</v>
      </c>
      <c r="X499" s="1" t="n">
        <v>1</v>
      </c>
      <c r="Z499" s="6" t="s">
        <v>2192</v>
      </c>
      <c r="AA499" s="9" t="s">
        <v>774</v>
      </c>
      <c r="AB499" s="1" t="s">
        <v>2289</v>
      </c>
      <c r="AC499" s="27" t="n">
        <f aca="false">COUNTIF(環境認証!$A$2:$A$849,A1118)</f>
        <v>1</v>
      </c>
      <c r="AD499" s="6" t="n">
        <v>3.2</v>
      </c>
      <c r="AE499" s="6" t="n">
        <v>3.1</v>
      </c>
    </row>
    <row r="500" customFormat="false" ht="15" hidden="false" customHeight="true" outlineLevel="0" collapsed="false">
      <c r="A500" s="6" t="s">
        <v>2290</v>
      </c>
      <c r="B500" s="6" t="s">
        <v>515</v>
      </c>
      <c r="C500" s="9" t="s">
        <v>2291</v>
      </c>
      <c r="D500" s="9" t="s">
        <v>761</v>
      </c>
      <c r="E500" s="9" t="s">
        <v>762</v>
      </c>
      <c r="F500" s="9" t="s">
        <v>881</v>
      </c>
      <c r="H500" s="9" t="s">
        <v>882</v>
      </c>
      <c r="M500" s="6" t="n">
        <v>2376.29</v>
      </c>
      <c r="P500" s="51" t="n">
        <v>29068</v>
      </c>
      <c r="Q500" s="1" t="n">
        <f aca="false">IF(OR($A1119="",P1119=""),"",ROUND(YEARFRAC(P1119,README!$C$5),1))</f>
        <v>47</v>
      </c>
      <c r="S500" s="6" t="n">
        <v>3000</v>
      </c>
      <c r="T500" s="6" t="n">
        <v>3018</v>
      </c>
      <c r="U500" s="6" t="n">
        <v>3375</v>
      </c>
      <c r="V500" s="6" t="n">
        <v>357</v>
      </c>
      <c r="W500" s="6" t="n">
        <v>1</v>
      </c>
      <c r="X500" s="1" t="n">
        <v>1</v>
      </c>
      <c r="Z500" s="6" t="s">
        <v>2192</v>
      </c>
      <c r="AA500" s="9" t="s">
        <v>774</v>
      </c>
      <c r="AB500" s="1" t="s">
        <v>2292</v>
      </c>
      <c r="AC500" s="27" t="n">
        <f aca="false">COUNTIF(環境認証!$A$2:$A$849,A1119)</f>
        <v>0</v>
      </c>
      <c r="AD500" s="6" t="n">
        <v>11.8</v>
      </c>
      <c r="AE500" s="6" t="n">
        <v>12.5</v>
      </c>
    </row>
    <row r="501" customFormat="false" ht="15" hidden="false" customHeight="true" outlineLevel="0" collapsed="false">
      <c r="A501" s="6" t="s">
        <v>2293</v>
      </c>
      <c r="B501" s="6" t="s">
        <v>515</v>
      </c>
      <c r="C501" s="9" t="s">
        <v>2294</v>
      </c>
      <c r="D501" s="9" t="s">
        <v>761</v>
      </c>
      <c r="E501" s="9" t="s">
        <v>762</v>
      </c>
      <c r="F501" s="9" t="s">
        <v>771</v>
      </c>
      <c r="H501" s="9" t="s">
        <v>772</v>
      </c>
      <c r="M501" s="6" t="n">
        <v>2723.84</v>
      </c>
      <c r="P501" s="51" t="n">
        <v>41913</v>
      </c>
      <c r="Q501" s="1" t="n">
        <f aca="false">IF(OR($A1120="",P1120=""),"",ROUND(YEARFRAC(P1120,README!$C$5),1))</f>
        <v>11.9</v>
      </c>
      <c r="S501" s="6" t="n">
        <v>26350</v>
      </c>
      <c r="T501" s="6" t="n">
        <v>22455</v>
      </c>
      <c r="U501" s="6" t="n">
        <v>28290</v>
      </c>
      <c r="V501" s="6" t="n">
        <v>5835</v>
      </c>
      <c r="W501" s="6" t="n">
        <v>1</v>
      </c>
      <c r="X501" s="1" t="n">
        <v>1</v>
      </c>
      <c r="Z501" s="6" t="s">
        <v>2192</v>
      </c>
      <c r="AA501" s="9" t="s">
        <v>774</v>
      </c>
      <c r="AB501" s="6" t="s">
        <v>2295</v>
      </c>
      <c r="AC501" s="27" t="n">
        <f aca="false">COUNTIF(環境認証!$A$2:$A$849,A1120)</f>
        <v>0</v>
      </c>
      <c r="AD501" s="6" t="n">
        <v>26</v>
      </c>
      <c r="AE501" s="6" t="n">
        <v>7.4</v>
      </c>
    </row>
    <row r="502" customFormat="false" ht="15" hidden="false" customHeight="true" outlineLevel="0" collapsed="false">
      <c r="A502" s="6" t="s">
        <v>2296</v>
      </c>
      <c r="B502" s="6" t="s">
        <v>515</v>
      </c>
      <c r="C502" s="9" t="s">
        <v>2297</v>
      </c>
      <c r="D502" s="9" t="s">
        <v>2298</v>
      </c>
      <c r="E502" s="9" t="s">
        <v>762</v>
      </c>
      <c r="F502" s="9" t="s">
        <v>848</v>
      </c>
      <c r="H502" s="9" t="s">
        <v>882</v>
      </c>
      <c r="M502" s="6" t="n">
        <v>14485.66</v>
      </c>
      <c r="P502" s="51" t="n">
        <v>32752</v>
      </c>
      <c r="Q502" s="1" t="n">
        <f aca="false">IF(OR($A1121="",P1121=""),"",ROUND(YEARFRAC(P1121,README!$C$5),1))</f>
        <v>36.9</v>
      </c>
      <c r="S502" s="6" t="n">
        <v>9456</v>
      </c>
      <c r="T502" s="6" t="n">
        <v>9438</v>
      </c>
      <c r="U502" s="6" t="n">
        <v>12100</v>
      </c>
      <c r="V502" s="6" t="n">
        <v>2662</v>
      </c>
      <c r="W502" s="6" t="n">
        <v>1</v>
      </c>
      <c r="X502" s="1" t="n">
        <v>1</v>
      </c>
      <c r="Z502" s="6" t="s">
        <v>2192</v>
      </c>
      <c r="AA502" s="9" t="s">
        <v>774</v>
      </c>
      <c r="AB502" s="1" t="s">
        <v>2299</v>
      </c>
      <c r="AC502" s="27" t="n">
        <f aca="false">COUNTIF(環境認証!$A$2:$A$849,A1121)</f>
        <v>2</v>
      </c>
      <c r="AD502" s="6" t="n">
        <v>28.2</v>
      </c>
      <c r="AE502" s="6" t="n">
        <v>28</v>
      </c>
    </row>
    <row r="503" customFormat="false" ht="15" hidden="false" customHeight="true" outlineLevel="0" collapsed="false">
      <c r="A503" s="6" t="s">
        <v>2300</v>
      </c>
      <c r="B503" s="6" t="s">
        <v>515</v>
      </c>
      <c r="C503" s="9" t="s">
        <v>2301</v>
      </c>
      <c r="D503" s="9" t="s">
        <v>2298</v>
      </c>
      <c r="E503" s="9" t="s">
        <v>762</v>
      </c>
      <c r="F503" s="9" t="s">
        <v>848</v>
      </c>
      <c r="H503" s="9" t="s">
        <v>882</v>
      </c>
      <c r="M503" s="6" t="n">
        <v>10612.67</v>
      </c>
      <c r="P503" s="51" t="n">
        <v>32752</v>
      </c>
      <c r="Q503" s="1" t="n">
        <f aca="false">IF(OR($A1122="",P1122=""),"",ROUND(YEARFRAC(P1122,README!$C$5),1))</f>
        <v>36.9</v>
      </c>
      <c r="S503" s="6" t="n">
        <v>6166</v>
      </c>
      <c r="T503" s="6" t="n">
        <v>6338</v>
      </c>
      <c r="U503" s="6" t="n">
        <v>7240</v>
      </c>
      <c r="V503" s="6" t="n">
        <v>902</v>
      </c>
      <c r="W503" s="6" t="n">
        <v>1</v>
      </c>
      <c r="X503" s="1" t="n">
        <v>1</v>
      </c>
      <c r="Z503" s="6" t="s">
        <v>2192</v>
      </c>
      <c r="AA503" s="9" t="s">
        <v>774</v>
      </c>
      <c r="AB503" s="1" t="s">
        <v>2302</v>
      </c>
      <c r="AC503" s="27" t="n">
        <f aca="false">COUNTIF(環境認証!$A$2:$A$849,A1122)</f>
        <v>1</v>
      </c>
      <c r="AD503" s="6" t="n">
        <v>14.2</v>
      </c>
      <c r="AE503" s="6" t="n">
        <v>17.4</v>
      </c>
    </row>
    <row r="504" customFormat="false" ht="15" hidden="false" customHeight="true" outlineLevel="0" collapsed="false">
      <c r="A504" s="6" t="s">
        <v>2303</v>
      </c>
      <c r="B504" s="6" t="s">
        <v>515</v>
      </c>
      <c r="C504" s="9" t="s">
        <v>2304</v>
      </c>
      <c r="D504" s="9" t="s">
        <v>2298</v>
      </c>
      <c r="E504" s="9" t="s">
        <v>762</v>
      </c>
      <c r="F504" s="9" t="s">
        <v>815</v>
      </c>
      <c r="H504" s="9" t="s">
        <v>772</v>
      </c>
      <c r="M504" s="6" t="n">
        <v>1660.6</v>
      </c>
      <c r="P504" s="51" t="n">
        <v>36770</v>
      </c>
      <c r="Q504" s="1" t="n">
        <f aca="false">IF(OR($A1123="",P1123=""),"",ROUND(YEARFRAC(P1123,README!$C$5),1))</f>
        <v>25.9</v>
      </c>
      <c r="S504" s="6" t="n">
        <v>2660</v>
      </c>
      <c r="T504" s="6" t="n">
        <v>2692</v>
      </c>
      <c r="U504" s="6" t="n">
        <v>3600</v>
      </c>
      <c r="V504" s="6" t="n">
        <v>908</v>
      </c>
      <c r="W504" s="6" t="n">
        <v>1</v>
      </c>
      <c r="X504" s="1" t="n">
        <v>1</v>
      </c>
      <c r="Z504" s="6" t="s">
        <v>2192</v>
      </c>
      <c r="AA504" s="9" t="s">
        <v>774</v>
      </c>
      <c r="AB504" s="1" t="s">
        <v>2305</v>
      </c>
      <c r="AC504" s="27" t="n">
        <f aca="false">COUNTIF(環境認証!$A$2:$A$849,A1123)</f>
        <v>1</v>
      </c>
      <c r="AD504" s="6" t="n">
        <v>33.7</v>
      </c>
      <c r="AE504" s="6" t="n">
        <v>35.3</v>
      </c>
    </row>
    <row r="505" customFormat="false" ht="15" hidden="false" customHeight="true" outlineLevel="0" collapsed="false">
      <c r="A505" s="6" t="s">
        <v>2306</v>
      </c>
      <c r="B505" s="6" t="s">
        <v>515</v>
      </c>
      <c r="C505" s="9" t="s">
        <v>2307</v>
      </c>
      <c r="D505" s="9" t="s">
        <v>2298</v>
      </c>
      <c r="E505" s="9" t="s">
        <v>762</v>
      </c>
      <c r="F505" s="9" t="s">
        <v>2187</v>
      </c>
      <c r="H505" s="9" t="s">
        <v>882</v>
      </c>
      <c r="M505" s="6" t="n">
        <v>1676.02</v>
      </c>
      <c r="P505" s="51" t="n">
        <v>33086</v>
      </c>
      <c r="Q505" s="1" t="n">
        <f aca="false">IF(OR($A1124="",P1124=""),"",ROUND(YEARFRAC(P1124,README!$C$5),1))</f>
        <v>36</v>
      </c>
      <c r="S505" s="6" t="n">
        <v>1200</v>
      </c>
      <c r="T505" s="6" t="n">
        <v>1181</v>
      </c>
      <c r="U505" s="6" t="n">
        <v>1460</v>
      </c>
      <c r="V505" s="6" t="n">
        <v>279</v>
      </c>
      <c r="W505" s="6" t="n">
        <v>1</v>
      </c>
      <c r="X505" s="1" t="n">
        <v>1</v>
      </c>
      <c r="Z505" s="6" t="s">
        <v>2192</v>
      </c>
      <c r="AA505" s="9" t="s">
        <v>774</v>
      </c>
      <c r="AB505" s="1" t="s">
        <v>2308</v>
      </c>
      <c r="AC505" s="27" t="n">
        <f aca="false">COUNTIF(環境認証!$A$2:$A$849,A1124)</f>
        <v>1</v>
      </c>
      <c r="AD505" s="6" t="n">
        <v>23.6</v>
      </c>
      <c r="AE505" s="6" t="n">
        <v>21.7</v>
      </c>
    </row>
    <row r="506" customFormat="false" ht="15" hidden="false" customHeight="true" outlineLevel="0" collapsed="false">
      <c r="A506" s="6" t="s">
        <v>2309</v>
      </c>
      <c r="B506" s="6" t="s">
        <v>515</v>
      </c>
      <c r="C506" s="6" t="s">
        <v>2310</v>
      </c>
      <c r="D506" s="9" t="s">
        <v>2298</v>
      </c>
      <c r="E506" s="9" t="s">
        <v>762</v>
      </c>
      <c r="F506" s="9" t="s">
        <v>815</v>
      </c>
      <c r="H506" s="9" t="s">
        <v>772</v>
      </c>
      <c r="M506" s="6" t="n">
        <v>898.62</v>
      </c>
      <c r="P506" s="51" t="n">
        <v>42826</v>
      </c>
      <c r="Q506" s="1" t="n">
        <f aca="false">IF(OR($A1125="",P1125=""),"",ROUND(YEARFRAC(P1125,README!$C$5),1))</f>
        <v>9.4</v>
      </c>
      <c r="S506" s="6" t="n">
        <v>3150</v>
      </c>
      <c r="T506" s="6" t="n">
        <v>3018</v>
      </c>
      <c r="U506" s="6" t="n">
        <v>3655</v>
      </c>
      <c r="V506" s="6" t="n">
        <v>637</v>
      </c>
      <c r="W506" s="6" t="n">
        <v>1</v>
      </c>
      <c r="X506" s="1" t="n">
        <v>1</v>
      </c>
      <c r="Z506" s="6" t="s">
        <v>2192</v>
      </c>
      <c r="AA506" s="9" t="s">
        <v>774</v>
      </c>
      <c r="AB506" s="1" t="s">
        <v>2311</v>
      </c>
      <c r="AC506" s="27" t="n">
        <f aca="false">COUNTIF(環境認証!$A$2:$A$849,A1125)</f>
        <v>1</v>
      </c>
      <c r="AD506" s="6" t="n">
        <v>21.1</v>
      </c>
      <c r="AE506" s="6" t="n">
        <v>16</v>
      </c>
    </row>
    <row r="507" customFormat="false" ht="15" hidden="false" customHeight="true" outlineLevel="0" collapsed="false">
      <c r="A507" s="6" t="s">
        <v>2312</v>
      </c>
      <c r="B507" s="6" t="s">
        <v>515</v>
      </c>
      <c r="C507" s="6" t="s">
        <v>2313</v>
      </c>
      <c r="D507" s="9" t="s">
        <v>2298</v>
      </c>
      <c r="E507" s="9" t="s">
        <v>762</v>
      </c>
      <c r="F507" s="9" t="s">
        <v>782</v>
      </c>
      <c r="H507" s="9" t="s">
        <v>772</v>
      </c>
      <c r="M507" s="6" t="n">
        <v>1725.35</v>
      </c>
      <c r="P507" s="51" t="n">
        <v>42826</v>
      </c>
      <c r="Q507" s="1" t="n">
        <f aca="false">IF(OR($A1126="",P1126=""),"",ROUND(YEARFRAC(P1126,README!$C$5),1))</f>
        <v>9.4</v>
      </c>
      <c r="S507" s="6" t="n">
        <v>3100</v>
      </c>
      <c r="T507" s="6" t="n">
        <v>2904</v>
      </c>
      <c r="U507" s="6" t="n">
        <v>3440</v>
      </c>
      <c r="V507" s="6" t="n">
        <v>536</v>
      </c>
      <c r="W507" s="6" t="n">
        <v>1</v>
      </c>
      <c r="X507" s="1" t="n">
        <v>1</v>
      </c>
      <c r="Z507" s="6" t="s">
        <v>2192</v>
      </c>
      <c r="AA507" s="9" t="s">
        <v>774</v>
      </c>
      <c r="AB507" s="1" t="s">
        <v>2314</v>
      </c>
      <c r="AC507" s="27" t="n">
        <f aca="false">COUNTIF(環境認証!$A$2:$A$849,A1126)</f>
        <v>1</v>
      </c>
      <c r="AD507" s="6" t="n">
        <v>18.5</v>
      </c>
      <c r="AE507" s="6" t="n">
        <v>11</v>
      </c>
    </row>
    <row r="508" customFormat="false" ht="15" hidden="false" customHeight="true" outlineLevel="0" collapsed="false">
      <c r="A508" s="6" t="s">
        <v>2315</v>
      </c>
      <c r="B508" s="6" t="s">
        <v>515</v>
      </c>
      <c r="C508" s="9" t="s">
        <v>2316</v>
      </c>
      <c r="D508" s="9" t="s">
        <v>2298</v>
      </c>
      <c r="E508" s="9" t="s">
        <v>762</v>
      </c>
      <c r="F508" s="9" t="s">
        <v>2317</v>
      </c>
      <c r="H508" s="9" t="s">
        <v>882</v>
      </c>
      <c r="M508" s="6" t="n">
        <v>11528.34</v>
      </c>
      <c r="P508" s="51" t="n">
        <v>42309</v>
      </c>
      <c r="Q508" s="1" t="n">
        <f aca="false">IF(OR($A1127="",P1127=""),"",ROUND(YEARFRAC(P1127,README!$C$5),1))</f>
        <v>10.8</v>
      </c>
      <c r="S508" s="6" t="n">
        <v>7556</v>
      </c>
      <c r="T508" s="6" t="n">
        <v>6926</v>
      </c>
      <c r="U508" s="6" t="n">
        <v>7690</v>
      </c>
      <c r="V508" s="6" t="n">
        <v>764</v>
      </c>
      <c r="W508" s="6" t="n">
        <v>1</v>
      </c>
      <c r="X508" s="1" t="n">
        <v>1</v>
      </c>
      <c r="Z508" s="6" t="s">
        <v>2192</v>
      </c>
      <c r="AA508" s="9" t="s">
        <v>774</v>
      </c>
      <c r="AB508" s="1" t="s">
        <v>2318</v>
      </c>
      <c r="AC508" s="27" t="n">
        <f aca="false">COUNTIF(環境認証!$A$2:$A$849,A1127)</f>
        <v>2</v>
      </c>
      <c r="AD508" s="6" t="n">
        <v>11</v>
      </c>
      <c r="AE508" s="6" t="n">
        <v>1.8</v>
      </c>
    </row>
    <row r="509" customFormat="false" ht="15" hidden="false" customHeight="true" outlineLevel="0" collapsed="false">
      <c r="A509" s="6" t="s">
        <v>2319</v>
      </c>
      <c r="B509" s="6" t="s">
        <v>515</v>
      </c>
      <c r="C509" s="9" t="s">
        <v>2320</v>
      </c>
      <c r="D509" s="9" t="s">
        <v>2298</v>
      </c>
      <c r="E509" s="9" t="s">
        <v>762</v>
      </c>
      <c r="F509" s="36" t="s">
        <v>2282</v>
      </c>
      <c r="H509" s="9" t="s">
        <v>882</v>
      </c>
      <c r="M509" s="6" t="n">
        <v>3805.72</v>
      </c>
      <c r="P509" s="51" t="n">
        <v>43374</v>
      </c>
      <c r="Q509" s="1" t="n">
        <f aca="false">IF(OR($A1128="",P1128=""),"",ROUND(YEARFRAC(P1128,README!$C$5),1))</f>
        <v>7.9</v>
      </c>
      <c r="S509" s="6" t="n">
        <v>5670</v>
      </c>
      <c r="T509" s="6" t="n">
        <v>5485</v>
      </c>
      <c r="U509" s="6" t="n">
        <v>6610</v>
      </c>
      <c r="V509" s="6" t="n">
        <v>1125</v>
      </c>
      <c r="W509" s="6" t="n">
        <v>1</v>
      </c>
      <c r="X509" s="1" t="n">
        <v>1</v>
      </c>
      <c r="Z509" s="6" t="s">
        <v>2192</v>
      </c>
      <c r="AA509" s="9" t="s">
        <v>774</v>
      </c>
      <c r="AB509" s="1" t="s">
        <v>2321</v>
      </c>
      <c r="AC509" s="27" t="n">
        <f aca="false">COUNTIF(環境認証!$A$2:$A$849,A1128)</f>
        <v>2</v>
      </c>
      <c r="AD509" s="6" t="n">
        <v>20.5</v>
      </c>
      <c r="AE509" s="6" t="n">
        <v>16.6</v>
      </c>
    </row>
    <row r="510" customFormat="false" ht="15" hidden="false" customHeight="true" outlineLevel="0" collapsed="false">
      <c r="A510" s="6" t="s">
        <v>2322</v>
      </c>
      <c r="B510" s="6" t="s">
        <v>515</v>
      </c>
      <c r="C510" s="9" t="s">
        <v>2323</v>
      </c>
      <c r="D510" s="9" t="s">
        <v>2051</v>
      </c>
      <c r="E510" s="9" t="s">
        <v>762</v>
      </c>
      <c r="F510" s="9" t="s">
        <v>820</v>
      </c>
      <c r="H510" s="9" t="s">
        <v>772</v>
      </c>
      <c r="M510" s="6" t="n">
        <v>6984.32</v>
      </c>
      <c r="P510" s="51" t="n">
        <v>42583</v>
      </c>
      <c r="Q510" s="1" t="n">
        <f aca="false">IF(OR($A1129="",P1129=""),"",ROUND(YEARFRAC(P1129,README!$C$5),1))</f>
        <v>10</v>
      </c>
      <c r="S510" s="6" t="n">
        <v>11520</v>
      </c>
      <c r="T510" s="6" t="n">
        <v>11142</v>
      </c>
      <c r="U510" s="6" t="n">
        <v>15600</v>
      </c>
      <c r="V510" s="6" t="n">
        <v>4458</v>
      </c>
      <c r="W510" s="6" t="n">
        <v>1</v>
      </c>
      <c r="X510" s="1" t="n">
        <v>1</v>
      </c>
      <c r="Z510" s="6" t="s">
        <v>2192</v>
      </c>
      <c r="AA510" s="9" t="s">
        <v>774</v>
      </c>
      <c r="AB510" s="1" t="s">
        <v>2324</v>
      </c>
      <c r="AC510" s="27" t="n">
        <f aca="false">COUNTIF(環境認証!$A$2:$A$849,A1129)</f>
        <v>1</v>
      </c>
      <c r="AD510" s="6" t="n">
        <v>40</v>
      </c>
      <c r="AE510" s="6" t="n">
        <v>35.4</v>
      </c>
    </row>
    <row r="511" customFormat="false" ht="15" hidden="false" customHeight="true" outlineLevel="0" collapsed="false">
      <c r="A511" s="6" t="s">
        <v>2325</v>
      </c>
      <c r="B511" s="6" t="s">
        <v>515</v>
      </c>
      <c r="C511" s="9" t="s">
        <v>2326</v>
      </c>
      <c r="D511" s="9" t="s">
        <v>2051</v>
      </c>
      <c r="E511" s="9" t="s">
        <v>762</v>
      </c>
      <c r="F511" s="9" t="s">
        <v>782</v>
      </c>
      <c r="H511" s="9" t="s">
        <v>772</v>
      </c>
      <c r="M511" s="6" t="n">
        <v>4816.89</v>
      </c>
      <c r="P511" s="51" t="n">
        <v>42948</v>
      </c>
      <c r="Q511" s="1" t="n">
        <f aca="false">IF(OR($A1130="",P1130=""),"",ROUND(YEARFRAC(P1130,README!$C$5),1))</f>
        <v>9</v>
      </c>
      <c r="S511" s="6" t="n">
        <v>9950</v>
      </c>
      <c r="T511" s="6" t="n">
        <v>9576</v>
      </c>
      <c r="U511" s="6" t="n">
        <v>11100</v>
      </c>
      <c r="V511" s="6" t="n">
        <v>1524</v>
      </c>
      <c r="W511" s="6" t="n">
        <v>1</v>
      </c>
      <c r="X511" s="1" t="n">
        <v>1</v>
      </c>
      <c r="Z511" s="6" t="s">
        <v>2192</v>
      </c>
      <c r="AA511" s="9" t="s">
        <v>774</v>
      </c>
      <c r="AB511" s="1" t="s">
        <v>2327</v>
      </c>
      <c r="AC511" s="27" t="n">
        <f aca="false">COUNTIF(環境認証!$A$2:$A$849,A1130)</f>
        <v>1</v>
      </c>
      <c r="AD511" s="6" t="n">
        <v>15.9</v>
      </c>
      <c r="AE511" s="6" t="n">
        <v>11.6</v>
      </c>
    </row>
    <row r="512" customFormat="false" ht="15" hidden="false" customHeight="true" outlineLevel="0" collapsed="false">
      <c r="A512" s="6" t="s">
        <v>2328</v>
      </c>
      <c r="B512" s="6" t="s">
        <v>515</v>
      </c>
      <c r="C512" s="9" t="s">
        <v>2329</v>
      </c>
      <c r="D512" s="9" t="s">
        <v>2051</v>
      </c>
      <c r="E512" s="9" t="s">
        <v>762</v>
      </c>
      <c r="F512" s="9" t="s">
        <v>820</v>
      </c>
      <c r="H512" s="9" t="s">
        <v>772</v>
      </c>
      <c r="M512" s="6" t="n">
        <v>4740.31</v>
      </c>
      <c r="P512" s="51" t="n">
        <v>43405</v>
      </c>
      <c r="Q512" s="1" t="n">
        <f aca="false">IF(OR($A1131="",P1131=""),"",ROUND(YEARFRAC(P1131,README!$C$5),1))</f>
        <v>7.8</v>
      </c>
      <c r="S512" s="6" t="n">
        <v>6972</v>
      </c>
      <c r="T512" s="6" t="n">
        <v>6664</v>
      </c>
      <c r="U512" s="6" t="n">
        <v>7350</v>
      </c>
      <c r="V512" s="6" t="n">
        <v>686</v>
      </c>
      <c r="W512" s="6" t="n">
        <v>1</v>
      </c>
      <c r="X512" s="1" t="n">
        <v>1</v>
      </c>
      <c r="Z512" s="6" t="s">
        <v>2192</v>
      </c>
      <c r="AA512" s="9" t="s">
        <v>774</v>
      </c>
      <c r="AB512" s="1" t="s">
        <v>2330</v>
      </c>
      <c r="AC512" s="27" t="n">
        <f aca="false">COUNTIF(環境認証!$A$2:$A$849,A1131)</f>
        <v>1</v>
      </c>
      <c r="AD512" s="6" t="n">
        <v>10.3</v>
      </c>
      <c r="AE512" s="6" t="n">
        <v>5.4</v>
      </c>
    </row>
    <row r="513" customFormat="false" ht="15" hidden="false" customHeight="true" outlineLevel="0" collapsed="false">
      <c r="A513" s="6" t="s">
        <v>2331</v>
      </c>
      <c r="B513" s="6" t="s">
        <v>515</v>
      </c>
      <c r="C513" s="9" t="s">
        <v>2332</v>
      </c>
      <c r="D513" s="9" t="s">
        <v>2051</v>
      </c>
      <c r="E513" s="9" t="s">
        <v>762</v>
      </c>
      <c r="F513" s="9" t="s">
        <v>895</v>
      </c>
      <c r="H513" s="9" t="s">
        <v>882</v>
      </c>
      <c r="M513" s="6" t="n">
        <v>6493.82</v>
      </c>
      <c r="P513" s="51" t="n">
        <v>41091</v>
      </c>
      <c r="Q513" s="1" t="n">
        <f aca="false">IF(OR($A1132="",P1132=""),"",ROUND(YEARFRAC(P1132,README!$C$5),1))</f>
        <v>14.1</v>
      </c>
      <c r="S513" s="6" t="n">
        <v>5900</v>
      </c>
      <c r="T513" s="6" t="n">
        <v>5852</v>
      </c>
      <c r="U513" s="6" t="n">
        <v>6340</v>
      </c>
      <c r="V513" s="6" t="n">
        <v>488</v>
      </c>
      <c r="W513" s="6" t="n">
        <v>1</v>
      </c>
      <c r="X513" s="1" t="n">
        <v>1</v>
      </c>
      <c r="Z513" s="6" t="s">
        <v>2192</v>
      </c>
      <c r="AA513" s="9" t="s">
        <v>774</v>
      </c>
      <c r="AB513" s="1" t="s">
        <v>2333</v>
      </c>
      <c r="AC513" s="27" t="n">
        <f aca="false">COUNTIF(環境認証!$A$2:$A$849,A1132)</f>
        <v>1</v>
      </c>
      <c r="AD513" s="6" t="n">
        <v>8.3</v>
      </c>
      <c r="AE513" s="6" t="n">
        <v>7.5</v>
      </c>
    </row>
    <row r="514" customFormat="false" ht="15" hidden="false" customHeight="true" outlineLevel="0" collapsed="false">
      <c r="A514" s="6" t="s">
        <v>2334</v>
      </c>
      <c r="B514" s="6" t="s">
        <v>515</v>
      </c>
      <c r="C514" s="9" t="s">
        <v>2335</v>
      </c>
      <c r="D514" s="9" t="s">
        <v>2051</v>
      </c>
      <c r="E514" s="9" t="s">
        <v>946</v>
      </c>
      <c r="F514" s="9" t="s">
        <v>2336</v>
      </c>
      <c r="H514" s="9" t="s">
        <v>921</v>
      </c>
      <c r="M514" s="6" t="n">
        <v>33744.31</v>
      </c>
      <c r="P514" s="51" t="n">
        <v>32933</v>
      </c>
      <c r="Q514" s="1" t="n">
        <f aca="false">IF(OR($A1133="",P1133=""),"",ROUND(YEARFRAC(P1133,README!$C$5),1))</f>
        <v>36.4</v>
      </c>
      <c r="S514" s="6" t="n">
        <v>27000</v>
      </c>
      <c r="T514" s="6" t="n">
        <v>27038</v>
      </c>
      <c r="U514" s="6" t="n">
        <v>30050</v>
      </c>
      <c r="V514" s="6" t="n">
        <v>3012</v>
      </c>
      <c r="W514" s="6" t="n">
        <v>1</v>
      </c>
      <c r="X514" s="1" t="n">
        <v>1</v>
      </c>
      <c r="Z514" s="6" t="s">
        <v>2192</v>
      </c>
      <c r="AA514" s="9" t="s">
        <v>774</v>
      </c>
      <c r="AB514" s="9" t="s">
        <v>2337</v>
      </c>
      <c r="AC514" s="27" t="n">
        <f aca="false">COUNTIF(環境認証!$A$2:$A$849,A1133)</f>
        <v>1</v>
      </c>
      <c r="AD514" s="6" t="n">
        <v>11.1</v>
      </c>
      <c r="AE514" s="6" t="n">
        <v>11.3</v>
      </c>
    </row>
    <row r="515" customFormat="false" ht="15" hidden="false" customHeight="true" outlineLevel="0" collapsed="false">
      <c r="A515" s="6" t="s">
        <v>2338</v>
      </c>
      <c r="B515" s="6" t="s">
        <v>515</v>
      </c>
      <c r="C515" s="9" t="s">
        <v>2339</v>
      </c>
      <c r="D515" s="9" t="s">
        <v>2051</v>
      </c>
      <c r="E515" s="9" t="s">
        <v>762</v>
      </c>
      <c r="F515" s="9" t="s">
        <v>895</v>
      </c>
      <c r="H515" s="9" t="s">
        <v>882</v>
      </c>
      <c r="M515" s="6" t="n">
        <v>49360.52</v>
      </c>
      <c r="P515" s="51" t="n">
        <v>31229</v>
      </c>
      <c r="Q515" s="1" t="n">
        <f aca="false">IF(OR($A1134="",P1134=""),"",ROUND(YEARFRAC(P1134,README!$C$5),1))</f>
        <v>41.1</v>
      </c>
      <c r="S515" s="6" t="n">
        <v>38000</v>
      </c>
      <c r="T515" s="6" t="n">
        <v>31977</v>
      </c>
      <c r="U515" s="6" t="n">
        <v>42000</v>
      </c>
      <c r="V515" s="6" t="n">
        <v>10023</v>
      </c>
      <c r="W515" s="6" t="n">
        <v>1</v>
      </c>
      <c r="X515" s="1" t="n">
        <v>1</v>
      </c>
      <c r="Z515" s="6" t="s">
        <v>2192</v>
      </c>
      <c r="AA515" s="9" t="s">
        <v>774</v>
      </c>
      <c r="AB515" s="6" t="s">
        <v>2340</v>
      </c>
      <c r="AC515" s="27" t="n">
        <f aca="false">COUNTIF(環境認証!$A$2:$A$849,A1134)</f>
        <v>1</v>
      </c>
      <c r="AD515" s="6" t="n">
        <v>31.3</v>
      </c>
      <c r="AE515" s="6" t="n">
        <v>10.5</v>
      </c>
    </row>
    <row r="516" customFormat="false" ht="15" hidden="false" customHeight="true" outlineLevel="0" collapsed="false">
      <c r="A516" s="6" t="s">
        <v>2341</v>
      </c>
      <c r="B516" s="6" t="s">
        <v>515</v>
      </c>
      <c r="C516" s="9" t="s">
        <v>2342</v>
      </c>
      <c r="D516" s="9" t="s">
        <v>2343</v>
      </c>
      <c r="E516" s="9" t="s">
        <v>762</v>
      </c>
      <c r="F516" s="9" t="s">
        <v>2187</v>
      </c>
      <c r="H516" s="9" t="s">
        <v>882</v>
      </c>
      <c r="M516" s="6" t="n">
        <v>5454.48</v>
      </c>
      <c r="P516" s="51" t="n">
        <v>38596</v>
      </c>
      <c r="Q516" s="1" t="n">
        <f aca="false">IF(OR($A1135="",P1135=""),"",ROUND(YEARFRAC(P1135,README!$C$5),1))</f>
        <v>20.9</v>
      </c>
      <c r="S516" s="6" t="n">
        <v>3244</v>
      </c>
      <c r="T516" s="6" t="n">
        <v>3085</v>
      </c>
      <c r="U516" s="6" t="n">
        <v>4560</v>
      </c>
      <c r="V516" s="6" t="n">
        <v>1475</v>
      </c>
      <c r="W516" s="6" t="n">
        <v>1</v>
      </c>
      <c r="Z516" s="6" t="s">
        <v>2192</v>
      </c>
      <c r="AA516" s="9" t="s">
        <v>774</v>
      </c>
      <c r="AB516" s="1" t="s">
        <v>2344</v>
      </c>
      <c r="AC516" s="27" t="n">
        <f aca="false">COUNTIF(環境認証!$A$2:$A$849,A1135)</f>
        <v>1</v>
      </c>
      <c r="AD516" s="6" t="n">
        <v>47.8</v>
      </c>
      <c r="AE516" s="6" t="n">
        <v>40.6</v>
      </c>
    </row>
    <row r="517" customFormat="false" ht="15" hidden="false" customHeight="true" outlineLevel="0" collapsed="false">
      <c r="A517" s="6" t="s">
        <v>2345</v>
      </c>
      <c r="B517" s="6" t="s">
        <v>515</v>
      </c>
      <c r="C517" s="9" t="s">
        <v>2346</v>
      </c>
      <c r="D517" s="9" t="s">
        <v>2343</v>
      </c>
      <c r="E517" s="9" t="s">
        <v>762</v>
      </c>
      <c r="F517" s="9" t="s">
        <v>2187</v>
      </c>
      <c r="H517" s="9" t="s">
        <v>882</v>
      </c>
      <c r="M517" s="6" t="n">
        <v>5977.75</v>
      </c>
      <c r="P517" s="51" t="n">
        <v>38596</v>
      </c>
      <c r="Q517" s="1" t="n">
        <f aca="false">IF(OR($A1136="",P1136=""),"",ROUND(YEARFRAC(P1136,README!$C$5),1))</f>
        <v>20.9</v>
      </c>
      <c r="S517" s="6" t="n">
        <v>5390</v>
      </c>
      <c r="T517" s="6" t="n">
        <v>5137</v>
      </c>
      <c r="U517" s="6" t="n">
        <v>7170</v>
      </c>
      <c r="V517" s="6" t="n">
        <v>2033</v>
      </c>
      <c r="W517" s="6" t="n">
        <v>1</v>
      </c>
      <c r="X517" s="1" t="n">
        <v>1</v>
      </c>
      <c r="Z517" s="6" t="s">
        <v>2192</v>
      </c>
      <c r="AA517" s="9" t="s">
        <v>774</v>
      </c>
      <c r="AB517" s="1" t="s">
        <v>2347</v>
      </c>
      <c r="AC517" s="27" t="n">
        <f aca="false">COUNTIF(環境認証!$A$2:$A$849,A1136)</f>
        <v>1</v>
      </c>
      <c r="AD517" s="6" t="n">
        <v>39.6</v>
      </c>
      <c r="AE517" s="6" t="n">
        <v>33</v>
      </c>
    </row>
    <row r="518" customFormat="false" ht="15" hidden="false" customHeight="true" outlineLevel="0" collapsed="false">
      <c r="A518" s="6" t="s">
        <v>2348</v>
      </c>
      <c r="B518" s="6" t="s">
        <v>515</v>
      </c>
      <c r="C518" s="9" t="s">
        <v>2349</v>
      </c>
      <c r="D518" s="9" t="s">
        <v>2343</v>
      </c>
      <c r="E518" s="9" t="s">
        <v>762</v>
      </c>
      <c r="F518" s="9" t="s">
        <v>2187</v>
      </c>
      <c r="H518" s="9" t="s">
        <v>882</v>
      </c>
      <c r="M518" s="6" t="n">
        <v>3700.26</v>
      </c>
      <c r="P518" s="51" t="n">
        <v>38565</v>
      </c>
      <c r="Q518" s="1" t="n">
        <f aca="false">IF(OR($A1137="",P1137=""),"",ROUND(YEARFRAC(P1137,README!$C$5),1))</f>
        <v>21</v>
      </c>
      <c r="S518" s="6" t="n">
        <v>2850</v>
      </c>
      <c r="T518" s="6" t="n">
        <v>2729</v>
      </c>
      <c r="U518" s="6" t="n">
        <v>3830</v>
      </c>
      <c r="V518" s="6" t="n">
        <v>1101</v>
      </c>
      <c r="W518" s="6" t="n">
        <v>1</v>
      </c>
      <c r="X518" s="1" t="n">
        <v>1</v>
      </c>
      <c r="Z518" s="6" t="s">
        <v>2192</v>
      </c>
      <c r="AA518" s="9" t="s">
        <v>774</v>
      </c>
      <c r="AB518" s="1" t="s">
        <v>2350</v>
      </c>
      <c r="AC518" s="27" t="n">
        <f aca="false">COUNTIF(環境認証!$A$2:$A$849,A1137)</f>
        <v>1</v>
      </c>
      <c r="AD518" s="6" t="n">
        <v>40.3</v>
      </c>
      <c r="AE518" s="6" t="n">
        <v>34.4</v>
      </c>
    </row>
    <row r="519" customFormat="false" ht="15" hidden="false" customHeight="true" outlineLevel="0" collapsed="false">
      <c r="A519" s="6" t="s">
        <v>2351</v>
      </c>
      <c r="B519" s="6" t="s">
        <v>515</v>
      </c>
      <c r="C519" s="9" t="s">
        <v>2352</v>
      </c>
      <c r="D519" s="9" t="s">
        <v>2343</v>
      </c>
      <c r="E519" s="9" t="s">
        <v>762</v>
      </c>
      <c r="F519" s="9" t="s">
        <v>1452</v>
      </c>
      <c r="H519" s="9" t="s">
        <v>882</v>
      </c>
      <c r="M519" s="6" t="n">
        <v>3975.99</v>
      </c>
      <c r="P519" s="51" t="n">
        <v>38443</v>
      </c>
      <c r="Q519" s="1" t="n">
        <f aca="false">IF(OR($A1138="",P1138=""),"",ROUND(YEARFRAC(P1138,README!$C$5),1))</f>
        <v>21.4</v>
      </c>
      <c r="S519" s="6" t="n">
        <v>2760</v>
      </c>
      <c r="T519" s="6" t="n">
        <v>2623</v>
      </c>
      <c r="U519" s="6" t="n">
        <v>3700</v>
      </c>
      <c r="V519" s="6" t="n">
        <v>1077</v>
      </c>
      <c r="W519" s="6" t="n">
        <v>1</v>
      </c>
      <c r="X519" s="1" t="n">
        <v>1</v>
      </c>
      <c r="Z519" s="6" t="s">
        <v>2192</v>
      </c>
      <c r="AA519" s="9" t="s">
        <v>774</v>
      </c>
      <c r="AB519" s="1" t="s">
        <v>2353</v>
      </c>
      <c r="AC519" s="27" t="n">
        <f aca="false">COUNTIF(環境認証!$A$2:$A$849,A1138)</f>
        <v>1</v>
      </c>
      <c r="AD519" s="6" t="n">
        <v>41.1</v>
      </c>
      <c r="AE519" s="6" t="n">
        <v>34.1</v>
      </c>
    </row>
    <row r="520" customFormat="false" ht="15" hidden="false" customHeight="true" outlineLevel="0" collapsed="false">
      <c r="A520" s="6" t="s">
        <v>2354</v>
      </c>
      <c r="B520" s="6" t="s">
        <v>515</v>
      </c>
      <c r="C520" s="9" t="s">
        <v>2355</v>
      </c>
      <c r="D520" s="9" t="s">
        <v>2343</v>
      </c>
      <c r="E520" s="9" t="s">
        <v>762</v>
      </c>
      <c r="F520" s="9" t="s">
        <v>815</v>
      </c>
      <c r="H520" s="9" t="s">
        <v>772</v>
      </c>
      <c r="M520" s="6" t="n">
        <v>2893.82</v>
      </c>
      <c r="P520" s="51" t="n">
        <v>42370</v>
      </c>
      <c r="Q520" s="1" t="n">
        <f aca="false">IF(OR($A1139="",P1139=""),"",ROUND(YEARFRAC(P1139,README!$C$5),1))</f>
        <v>10.6</v>
      </c>
      <c r="S520" s="6" t="n">
        <v>3030</v>
      </c>
      <c r="T520" s="6" t="n">
        <v>2793</v>
      </c>
      <c r="U520" s="6" t="n">
        <v>3570</v>
      </c>
      <c r="V520" s="6" t="n">
        <v>777</v>
      </c>
      <c r="W520" s="6" t="n">
        <v>1</v>
      </c>
      <c r="X520" s="1" t="n">
        <v>1</v>
      </c>
      <c r="Z520" s="6" t="s">
        <v>2192</v>
      </c>
      <c r="AA520" s="9" t="s">
        <v>774</v>
      </c>
      <c r="AB520" s="6" t="s">
        <v>2356</v>
      </c>
      <c r="AC520" s="27" t="n">
        <f aca="false">COUNTIF(環境認証!$A$2:$A$849,A1139)</f>
        <v>1</v>
      </c>
      <c r="AD520" s="6" t="n">
        <v>27.8</v>
      </c>
      <c r="AE520" s="6" t="n">
        <v>17.8</v>
      </c>
    </row>
    <row r="521" customFormat="false" ht="15" hidden="false" customHeight="true" outlineLevel="0" collapsed="false">
      <c r="A521" s="6" t="s">
        <v>2357</v>
      </c>
      <c r="B521" s="6" t="s">
        <v>515</v>
      </c>
      <c r="C521" s="6" t="s">
        <v>2358</v>
      </c>
      <c r="D521" s="9" t="s">
        <v>2343</v>
      </c>
      <c r="E521" s="9" t="s">
        <v>925</v>
      </c>
      <c r="F521" s="9" t="s">
        <v>2359</v>
      </c>
      <c r="H521" s="9" t="s">
        <v>921</v>
      </c>
      <c r="M521" s="6" t="n">
        <v>4912.57</v>
      </c>
      <c r="P521" s="51" t="n">
        <v>39873</v>
      </c>
      <c r="Q521" s="1" t="n">
        <f aca="false">IF(OR($A1140="",P1140=""),"",ROUND(YEARFRAC(P1140,README!$C$5),1))</f>
        <v>17.4</v>
      </c>
      <c r="S521" s="6" t="n">
        <v>1780</v>
      </c>
      <c r="T521" s="6" t="n">
        <v>1625</v>
      </c>
      <c r="U521" s="6" t="n">
        <v>1900</v>
      </c>
      <c r="V521" s="6" t="n">
        <v>275</v>
      </c>
      <c r="W521" s="6" t="n">
        <v>1</v>
      </c>
      <c r="X521" s="1" t="n">
        <v>1</v>
      </c>
      <c r="Z521" s="6" t="s">
        <v>2192</v>
      </c>
      <c r="AA521" s="9" t="s">
        <v>774</v>
      </c>
      <c r="AB521" s="1" t="s">
        <v>2360</v>
      </c>
      <c r="AC521" s="27" t="n">
        <f aca="false">COUNTIF(環境認証!$A$2:$A$849,A1140)</f>
        <v>0</v>
      </c>
      <c r="AD521" s="6" t="n">
        <v>16.9</v>
      </c>
      <c r="AE521" s="6" t="n">
        <v>6.7</v>
      </c>
    </row>
    <row r="522" customFormat="false" ht="15" hidden="false" customHeight="true" outlineLevel="0" collapsed="false">
      <c r="A522" s="6" t="s">
        <v>2361</v>
      </c>
      <c r="B522" s="6" t="s">
        <v>515</v>
      </c>
      <c r="C522" s="9" t="s">
        <v>2362</v>
      </c>
      <c r="D522" s="9" t="s">
        <v>2343</v>
      </c>
      <c r="E522" s="9" t="s">
        <v>762</v>
      </c>
      <c r="F522" s="9" t="s">
        <v>771</v>
      </c>
      <c r="H522" s="9" t="s">
        <v>772</v>
      </c>
      <c r="M522" s="6" t="n">
        <v>4065.62</v>
      </c>
      <c r="P522" s="51" t="n">
        <v>42156</v>
      </c>
      <c r="Q522" s="1" t="n">
        <f aca="false">IF(OR($A1141="",P1141=""),"",ROUND(YEARFRAC(P1141,README!$C$5),1))</f>
        <v>11.2</v>
      </c>
      <c r="S522" s="6" t="n">
        <v>3323</v>
      </c>
      <c r="T522" s="6" t="n">
        <v>3252</v>
      </c>
      <c r="U522" s="6" t="n">
        <v>3720</v>
      </c>
      <c r="V522" s="6" t="n">
        <v>468</v>
      </c>
      <c r="W522" s="6" t="n">
        <v>1</v>
      </c>
      <c r="X522" s="1" t="n">
        <v>1</v>
      </c>
      <c r="Z522" s="6" t="s">
        <v>2192</v>
      </c>
      <c r="AA522" s="9" t="s">
        <v>774</v>
      </c>
      <c r="AB522" s="1" t="s">
        <v>2363</v>
      </c>
      <c r="AC522" s="27" t="n">
        <f aca="false">COUNTIF(環境認証!$A$2:$A$849,A1141)</f>
        <v>1</v>
      </c>
      <c r="AD522" s="6" t="n">
        <v>14.4</v>
      </c>
      <c r="AE522" s="6" t="n">
        <v>11.9</v>
      </c>
    </row>
    <row r="523" customFormat="false" ht="15" hidden="false" customHeight="true" outlineLevel="0" collapsed="false">
      <c r="A523" s="6" t="s">
        <v>2364</v>
      </c>
      <c r="B523" s="6" t="s">
        <v>515</v>
      </c>
      <c r="C523" s="9" t="s">
        <v>2365</v>
      </c>
      <c r="D523" s="9" t="s">
        <v>2343</v>
      </c>
      <c r="E523" s="9" t="s">
        <v>762</v>
      </c>
      <c r="F523" s="9" t="s">
        <v>2366</v>
      </c>
      <c r="H523" s="9" t="s">
        <v>882</v>
      </c>
      <c r="M523" s="6" t="n">
        <v>4241.68</v>
      </c>
      <c r="P523" s="51" t="n">
        <v>41791</v>
      </c>
      <c r="Q523" s="1" t="n">
        <f aca="false">IF(OR($A1142="",P1142=""),"",ROUND(YEARFRAC(P1142,README!$C$5),1))</f>
        <v>12.2</v>
      </c>
      <c r="S523" s="6" t="n">
        <v>3200</v>
      </c>
      <c r="T523" s="6" t="n">
        <v>3064</v>
      </c>
      <c r="U523" s="6" t="n">
        <v>3440</v>
      </c>
      <c r="V523" s="6" t="n">
        <v>376</v>
      </c>
      <c r="W523" s="6" t="n">
        <v>1</v>
      </c>
      <c r="X523" s="1" t="n">
        <v>1</v>
      </c>
      <c r="Z523" s="6" t="s">
        <v>2192</v>
      </c>
      <c r="AA523" s="9" t="s">
        <v>774</v>
      </c>
      <c r="AB523" s="1" t="s">
        <v>2367</v>
      </c>
      <c r="AC523" s="27" t="n">
        <f aca="false">COUNTIF(環境認証!$A$2:$A$849,A1142)</f>
        <v>2</v>
      </c>
      <c r="AD523" s="6" t="n">
        <v>12.3</v>
      </c>
      <c r="AE523" s="6" t="n">
        <v>7.5</v>
      </c>
    </row>
    <row r="524" customFormat="false" ht="15" hidden="false" customHeight="true" outlineLevel="0" collapsed="false">
      <c r="A524" s="6" t="s">
        <v>2368</v>
      </c>
      <c r="B524" s="6" t="s">
        <v>515</v>
      </c>
      <c r="C524" s="9" t="s">
        <v>2369</v>
      </c>
      <c r="D524" s="9" t="s">
        <v>2343</v>
      </c>
      <c r="E524" s="9" t="s">
        <v>762</v>
      </c>
      <c r="F524" s="9" t="s">
        <v>920</v>
      </c>
      <c r="H524" s="9" t="s">
        <v>921</v>
      </c>
      <c r="M524" s="6" t="n">
        <v>4357.58</v>
      </c>
      <c r="P524" s="51" t="n">
        <v>42795</v>
      </c>
      <c r="Q524" s="1" t="n">
        <f aca="false">IF(OR($A1143="",P1143=""),"",ROUND(YEARFRAC(P1143,README!$C$5),1))</f>
        <v>9.4</v>
      </c>
      <c r="S524" s="6" t="n">
        <v>3340</v>
      </c>
      <c r="T524" s="6" t="n">
        <v>3259</v>
      </c>
      <c r="U524" s="6" t="n">
        <v>3630</v>
      </c>
      <c r="V524" s="6" t="n">
        <v>371</v>
      </c>
      <c r="W524" s="6" t="n">
        <v>1</v>
      </c>
      <c r="X524" s="1" t="n">
        <v>1</v>
      </c>
      <c r="Z524" s="6" t="s">
        <v>2192</v>
      </c>
      <c r="AA524" s="9" t="s">
        <v>774</v>
      </c>
      <c r="AB524" s="1" t="s">
        <v>2370</v>
      </c>
      <c r="AC524" s="27" t="n">
        <f aca="false">COUNTIF(環境認証!$A$2:$A$849,A1143)</f>
        <v>2</v>
      </c>
      <c r="AD524" s="6" t="n">
        <v>11.4</v>
      </c>
      <c r="AE524" s="6" t="n">
        <v>8.7</v>
      </c>
    </row>
    <row r="525" customFormat="false" ht="15" hidden="false" customHeight="true" outlineLevel="0" collapsed="false">
      <c r="A525" s="6" t="s">
        <v>2371</v>
      </c>
      <c r="B525" s="6" t="s">
        <v>515</v>
      </c>
      <c r="C525" s="9" t="s">
        <v>2372</v>
      </c>
      <c r="D525" s="9" t="s">
        <v>2343</v>
      </c>
      <c r="E525" s="9" t="s">
        <v>762</v>
      </c>
      <c r="F525" s="9" t="s">
        <v>2187</v>
      </c>
      <c r="H525" s="9" t="s">
        <v>882</v>
      </c>
      <c r="M525" s="6" t="n">
        <v>13279.12</v>
      </c>
      <c r="P525" s="51" t="n">
        <v>41030</v>
      </c>
      <c r="Q525" s="1" t="n">
        <f aca="false">IF(OR($A1144="",P1144=""),"",ROUND(YEARFRAC(P1144,README!$C$5),1))</f>
        <v>14.3</v>
      </c>
      <c r="S525" s="6" t="n">
        <v>9000</v>
      </c>
      <c r="T525" s="6" t="n">
        <v>8893</v>
      </c>
      <c r="U525" s="6" t="n">
        <v>10070</v>
      </c>
      <c r="V525" s="6" t="n">
        <v>1177</v>
      </c>
      <c r="W525" s="6" t="n">
        <v>1</v>
      </c>
      <c r="X525" s="1" t="n">
        <v>1</v>
      </c>
      <c r="Z525" s="6" t="s">
        <v>2192</v>
      </c>
      <c r="AA525" s="9" t="s">
        <v>774</v>
      </c>
      <c r="AB525" s="1" t="s">
        <v>2373</v>
      </c>
      <c r="AC525" s="27" t="n">
        <f aca="false">COUNTIF(環境認証!$A$2:$A$849,A1144)</f>
        <v>1</v>
      </c>
      <c r="AD525" s="6" t="n">
        <v>13.2</v>
      </c>
      <c r="AE525" s="6" t="n">
        <v>11.9</v>
      </c>
    </row>
    <row r="526" customFormat="false" ht="15" hidden="false" customHeight="true" outlineLevel="0" collapsed="false">
      <c r="A526" s="6" t="s">
        <v>2374</v>
      </c>
      <c r="B526" s="6" t="s">
        <v>515</v>
      </c>
      <c r="C526" s="9" t="s">
        <v>2375</v>
      </c>
      <c r="D526" s="9" t="s">
        <v>2343</v>
      </c>
      <c r="E526" s="9" t="s">
        <v>762</v>
      </c>
      <c r="F526" s="36" t="s">
        <v>951</v>
      </c>
      <c r="H526" s="9" t="s">
        <v>882</v>
      </c>
      <c r="M526" s="6" t="n">
        <v>2803.79</v>
      </c>
      <c r="P526" s="51" t="n">
        <v>41365</v>
      </c>
      <c r="Q526" s="1" t="n">
        <f aca="false">IF(OR($A1145="",P1145=""),"",ROUND(YEARFRAC(P1145,README!$C$5),1))</f>
        <v>13.4</v>
      </c>
      <c r="S526" s="6" t="n">
        <v>2200</v>
      </c>
      <c r="T526" s="6" t="n">
        <v>2196</v>
      </c>
      <c r="U526" s="6" t="n">
        <v>2430</v>
      </c>
      <c r="V526" s="6" t="n">
        <v>234</v>
      </c>
      <c r="W526" s="6" t="n">
        <v>1</v>
      </c>
      <c r="X526" s="1" t="n">
        <v>1</v>
      </c>
      <c r="Z526" s="6" t="s">
        <v>2192</v>
      </c>
      <c r="AA526" s="9" t="s">
        <v>774</v>
      </c>
      <c r="AB526" s="1" t="s">
        <v>2376</v>
      </c>
      <c r="AC526" s="27" t="n">
        <f aca="false">COUNTIF(環境認証!$A$2:$A$849,A1145)</f>
        <v>1</v>
      </c>
      <c r="AD526" s="6" t="n">
        <v>10.7</v>
      </c>
      <c r="AE526" s="6" t="n">
        <v>10.5</v>
      </c>
    </row>
    <row r="527" customFormat="false" ht="15" hidden="false" customHeight="true" outlineLevel="0" collapsed="false">
      <c r="A527" s="6" t="s">
        <v>2377</v>
      </c>
      <c r="B527" s="6" t="s">
        <v>515</v>
      </c>
      <c r="C527" s="9" t="s">
        <v>2378</v>
      </c>
      <c r="D527" s="9" t="s">
        <v>2343</v>
      </c>
      <c r="E527" s="9" t="s">
        <v>762</v>
      </c>
      <c r="F527" s="9" t="s">
        <v>1148</v>
      </c>
      <c r="H527" s="9" t="s">
        <v>882</v>
      </c>
      <c r="M527" s="6" t="n">
        <v>1983.71</v>
      </c>
      <c r="P527" s="51" t="n">
        <v>43132</v>
      </c>
      <c r="Q527" s="1" t="n">
        <f aca="false">IF(OR($A1146="",P1146=""),"",ROUND(YEARFRAC(P1146,README!$C$5),1))</f>
        <v>8.5</v>
      </c>
      <c r="S527" s="6" t="n">
        <v>2550</v>
      </c>
      <c r="T527" s="6" t="n">
        <v>2562</v>
      </c>
      <c r="U527" s="6" t="n">
        <v>2710</v>
      </c>
      <c r="V527" s="6" t="n">
        <v>148</v>
      </c>
      <c r="W527" s="6" t="n">
        <v>1</v>
      </c>
      <c r="X527" s="1" t="n">
        <v>1</v>
      </c>
      <c r="Z527" s="6" t="s">
        <v>2192</v>
      </c>
      <c r="AA527" s="9" t="s">
        <v>774</v>
      </c>
      <c r="AB527" s="1" t="s">
        <v>2379</v>
      </c>
      <c r="AC527" s="27" t="n">
        <f aca="false">COUNTIF(環境認証!$A$2:$A$849,A1146)</f>
        <v>0</v>
      </c>
      <c r="AD527" s="6" t="n">
        <v>5.8</v>
      </c>
      <c r="AE527" s="6" t="n">
        <v>6.3</v>
      </c>
    </row>
    <row r="528" customFormat="false" ht="15" hidden="false" customHeight="true" outlineLevel="0" collapsed="false">
      <c r="A528" s="6" t="s">
        <v>2380</v>
      </c>
      <c r="B528" s="6" t="s">
        <v>515</v>
      </c>
      <c r="C528" s="9" t="s">
        <v>2381</v>
      </c>
      <c r="D528" s="9" t="s">
        <v>2343</v>
      </c>
      <c r="E528" s="9" t="s">
        <v>762</v>
      </c>
      <c r="F528" s="9" t="s">
        <v>2366</v>
      </c>
      <c r="H528" s="9" t="s">
        <v>882</v>
      </c>
      <c r="M528" s="6" t="n">
        <v>2295.79</v>
      </c>
      <c r="P528" s="51" t="n">
        <v>43374</v>
      </c>
      <c r="Q528" s="1" t="n">
        <f aca="false">IF(OR($A1147="",P1147=""),"",ROUND(YEARFRAC(P1147,README!$C$5),1))</f>
        <v>7.9</v>
      </c>
      <c r="S528" s="6" t="n">
        <v>2400</v>
      </c>
      <c r="T528" s="6" t="n">
        <v>2412</v>
      </c>
      <c r="U528" s="6" t="n">
        <v>2570</v>
      </c>
      <c r="V528" s="6" t="n">
        <v>158</v>
      </c>
      <c r="W528" s="6" t="n">
        <v>1</v>
      </c>
      <c r="X528" s="1" t="n">
        <v>1</v>
      </c>
      <c r="Z528" s="6" t="s">
        <v>2192</v>
      </c>
      <c r="AA528" s="9" t="s">
        <v>774</v>
      </c>
      <c r="AB528" s="1" t="s">
        <v>2382</v>
      </c>
      <c r="AC528" s="27" t="n">
        <f aca="false">COUNTIF(環境認証!$A$2:$A$849,A1147)</f>
        <v>0</v>
      </c>
      <c r="AD528" s="6" t="n">
        <v>6.6</v>
      </c>
      <c r="AE528" s="6" t="n">
        <v>7.1</v>
      </c>
    </row>
    <row r="529" customFormat="false" ht="15" hidden="false" customHeight="true" outlineLevel="0" collapsed="false">
      <c r="A529" s="6" t="s">
        <v>2383</v>
      </c>
      <c r="B529" s="6" t="s">
        <v>515</v>
      </c>
      <c r="C529" s="9" t="s">
        <v>2384</v>
      </c>
      <c r="D529" s="9" t="s">
        <v>2343</v>
      </c>
      <c r="E529" s="9" t="s">
        <v>762</v>
      </c>
      <c r="F529" s="9" t="s">
        <v>1676</v>
      </c>
      <c r="H529" s="9" t="s">
        <v>882</v>
      </c>
      <c r="M529" s="6" t="n">
        <v>2116.93</v>
      </c>
      <c r="P529" s="51" t="n">
        <v>43525</v>
      </c>
      <c r="Q529" s="1" t="n">
        <f aca="false">IF(OR($A1148="",P1148=""),"",ROUND(YEARFRAC(P1148,README!$C$5),1))</f>
        <v>7.4</v>
      </c>
      <c r="S529" s="6" t="n">
        <v>2884</v>
      </c>
      <c r="T529" s="6" t="n">
        <v>2954</v>
      </c>
      <c r="U529" s="6" t="n">
        <v>3060</v>
      </c>
      <c r="V529" s="6" t="n">
        <v>106</v>
      </c>
      <c r="W529" s="6" t="n">
        <v>1</v>
      </c>
      <c r="X529" s="1" t="n">
        <v>1</v>
      </c>
      <c r="Z529" s="6" t="s">
        <v>2192</v>
      </c>
      <c r="AA529" s="9" t="s">
        <v>774</v>
      </c>
      <c r="AB529" s="6" t="s">
        <v>2385</v>
      </c>
      <c r="AC529" s="27" t="n">
        <f aca="false">COUNTIF(環境認証!$A$2:$A$849,A1148)</f>
        <v>1</v>
      </c>
      <c r="AD529" s="6" t="n">
        <v>3.6</v>
      </c>
      <c r="AE529" s="6" t="n">
        <v>6.1</v>
      </c>
    </row>
    <row r="530" customFormat="false" ht="15" hidden="false" customHeight="true" outlineLevel="0" collapsed="false">
      <c r="A530" s="6" t="s">
        <v>2386</v>
      </c>
      <c r="B530" s="6" t="s">
        <v>515</v>
      </c>
      <c r="C530" s="9" t="s">
        <v>2387</v>
      </c>
      <c r="D530" s="9" t="s">
        <v>2388</v>
      </c>
      <c r="H530" s="9" t="s">
        <v>837</v>
      </c>
      <c r="Q530" s="1" t="str">
        <f aca="false">IF(OR($A1149="",P1149=""),"",ROUND(YEARFRAC(P1149,README!$C$5),1))</f>
        <v/>
      </c>
      <c r="V530" s="1" t="n">
        <f aca="false">IF($A1149="","",IF(OR(T1149="",U1149=""),"",U1149-T1149))</f>
        <v>-106</v>
      </c>
      <c r="Z530" s="6" t="s">
        <v>2192</v>
      </c>
      <c r="AA530" s="9" t="s">
        <v>774</v>
      </c>
      <c r="AB530" s="9" t="s">
        <v>2389</v>
      </c>
      <c r="AC530" s="27" t="n">
        <f aca="false">COUNTIF(環境認証!$A$2:$A$849,A1149)</f>
        <v>2</v>
      </c>
    </row>
    <row r="531" customFormat="false" ht="15" hidden="false" customHeight="true" outlineLevel="0" collapsed="false">
      <c r="A531" s="6" t="s">
        <v>2390</v>
      </c>
      <c r="B531" s="6" t="s">
        <v>515</v>
      </c>
      <c r="C531" s="9" t="s">
        <v>2391</v>
      </c>
      <c r="D531" s="9" t="s">
        <v>2388</v>
      </c>
      <c r="E531" s="9" t="s">
        <v>762</v>
      </c>
      <c r="F531" s="9" t="s">
        <v>2282</v>
      </c>
      <c r="H531" s="9" t="s">
        <v>882</v>
      </c>
      <c r="M531" s="6" t="n">
        <v>3832.73</v>
      </c>
      <c r="P531" s="51" t="n">
        <v>35886</v>
      </c>
      <c r="Q531" s="1" t="n">
        <f aca="false">IF(OR($A1150="",P1150=""),"",ROUND(YEARFRAC(P1150,README!$C$5),1))</f>
        <v>28.4</v>
      </c>
      <c r="S531" s="6" t="n">
        <v>1355</v>
      </c>
      <c r="T531" s="6" t="n">
        <v>1332</v>
      </c>
      <c r="U531" s="6" t="n">
        <v>1560</v>
      </c>
      <c r="V531" s="6" t="n">
        <v>228</v>
      </c>
      <c r="W531" s="6" t="n">
        <v>1</v>
      </c>
      <c r="X531" s="1" t="n">
        <v>1</v>
      </c>
      <c r="Z531" s="6" t="s">
        <v>2192</v>
      </c>
      <c r="AA531" s="9" t="s">
        <v>774</v>
      </c>
      <c r="AB531" s="9" t="s">
        <v>2392</v>
      </c>
      <c r="AC531" s="27" t="n">
        <f aca="false">COUNTIF(環境認証!$A$2:$A$849,A1150)</f>
        <v>2</v>
      </c>
      <c r="AD531" s="6" t="n">
        <v>17.1</v>
      </c>
      <c r="AE531" s="6" t="n">
        <v>15.1</v>
      </c>
    </row>
    <row r="532" customFormat="false" ht="15" hidden="false" customHeight="true" outlineLevel="0" collapsed="false">
      <c r="A532" s="6" t="s">
        <v>2393</v>
      </c>
      <c r="B532" s="6" t="s">
        <v>515</v>
      </c>
      <c r="C532" s="9" t="s">
        <v>2394</v>
      </c>
      <c r="D532" s="9" t="s">
        <v>2388</v>
      </c>
      <c r="E532" s="9" t="s">
        <v>996</v>
      </c>
      <c r="F532" s="9" t="s">
        <v>997</v>
      </c>
      <c r="H532" s="6" t="s">
        <v>952</v>
      </c>
      <c r="M532" s="6" t="n">
        <v>5208.54</v>
      </c>
      <c r="P532" s="51" t="n">
        <v>37165</v>
      </c>
      <c r="Q532" s="1" t="n">
        <f aca="false">IF(OR($A1151="",P1151=""),"",ROUND(YEARFRAC(P1151,README!$C$5),1))</f>
        <v>24.9</v>
      </c>
      <c r="S532" s="6" t="n">
        <v>1080</v>
      </c>
      <c r="T532" s="6" t="n">
        <v>987</v>
      </c>
      <c r="U532" s="6" t="n">
        <v>1160</v>
      </c>
      <c r="V532" s="6" t="n">
        <v>173</v>
      </c>
      <c r="W532" s="6" t="n">
        <v>1</v>
      </c>
      <c r="X532" s="1" t="n">
        <v>1</v>
      </c>
      <c r="Z532" s="6" t="s">
        <v>2192</v>
      </c>
      <c r="AA532" s="9" t="s">
        <v>774</v>
      </c>
      <c r="AB532" s="9" t="s">
        <v>2392</v>
      </c>
      <c r="AC532" s="27" t="n">
        <f aca="false">COUNTIF(環境認証!$A$2:$A$849,A1151)</f>
        <v>1</v>
      </c>
      <c r="AD532" s="6" t="n">
        <v>17.5</v>
      </c>
      <c r="AE532" s="6" t="n">
        <v>7.4</v>
      </c>
    </row>
    <row r="533" customFormat="false" ht="15" hidden="false" customHeight="true" outlineLevel="0" collapsed="false">
      <c r="A533" s="6" t="s">
        <v>2395</v>
      </c>
      <c r="B533" s="6" t="s">
        <v>515</v>
      </c>
      <c r="C533" s="9" t="s">
        <v>2396</v>
      </c>
      <c r="D533" s="9" t="s">
        <v>2388</v>
      </c>
      <c r="E533" s="9" t="s">
        <v>969</v>
      </c>
      <c r="F533" s="9" t="s">
        <v>970</v>
      </c>
      <c r="H533" s="9" t="s">
        <v>971</v>
      </c>
      <c r="M533" s="6" t="n">
        <v>4943.1</v>
      </c>
      <c r="P533" s="51" t="n">
        <v>35551</v>
      </c>
      <c r="Q533" s="1" t="n">
        <f aca="false">IF(OR($A1152="",P1152=""),"",ROUND(YEARFRAC(P1152,README!$C$5),1))</f>
        <v>29.3</v>
      </c>
      <c r="S533" s="6" t="n">
        <v>1015</v>
      </c>
      <c r="T533" s="6" t="n">
        <v>921</v>
      </c>
      <c r="U533" s="6" t="n">
        <v>1020</v>
      </c>
      <c r="V533" s="6" t="n">
        <v>99</v>
      </c>
      <c r="W533" s="6" t="n">
        <v>1</v>
      </c>
      <c r="X533" s="1" t="n">
        <v>1</v>
      </c>
      <c r="Z533" s="6" t="s">
        <v>2192</v>
      </c>
      <c r="AA533" s="9" t="s">
        <v>774</v>
      </c>
      <c r="AB533" s="9" t="s">
        <v>2392</v>
      </c>
      <c r="AC533" s="27" t="n">
        <f aca="false">COUNTIF(環境認証!$A$2:$A$849,A1152)</f>
        <v>0</v>
      </c>
      <c r="AD533" s="6" t="n">
        <v>10.7</v>
      </c>
      <c r="AE533" s="6" t="n">
        <v>0.5</v>
      </c>
    </row>
    <row r="534" customFormat="false" ht="15" hidden="false" customHeight="true" outlineLevel="0" collapsed="false">
      <c r="A534" s="6" t="s">
        <v>2397</v>
      </c>
      <c r="B534" s="6" t="s">
        <v>515</v>
      </c>
      <c r="C534" s="9" t="s">
        <v>2398</v>
      </c>
      <c r="D534" s="9" t="s">
        <v>2388</v>
      </c>
      <c r="E534" s="36" t="s">
        <v>762</v>
      </c>
      <c r="F534" s="36" t="s">
        <v>815</v>
      </c>
      <c r="H534" s="9" t="s">
        <v>837</v>
      </c>
      <c r="M534" s="1" t="n">
        <v>1972.59</v>
      </c>
      <c r="P534" s="1" t="n">
        <v>41821</v>
      </c>
      <c r="Q534" s="1" t="str">
        <f aca="false">IF(OR($A1153="",P1153=""),"",ROUND(YEARFRAC(P1153,README!$C$5),1))</f>
        <v/>
      </c>
      <c r="S534" s="1" t="n">
        <v>2430</v>
      </c>
      <c r="T534" s="1" t="n">
        <v>2331</v>
      </c>
      <c r="U534" s="1" t="n">
        <v>3020</v>
      </c>
      <c r="V534" s="1" t="n">
        <f aca="false">IF($A1153="","",IF(OR(T1153="",U1153=""),"",U1153-T1153))</f>
        <v>6064</v>
      </c>
      <c r="W534" s="1" t="n">
        <v>0.987</v>
      </c>
      <c r="X534" s="1" t="n">
        <v>1</v>
      </c>
      <c r="Z534" s="6" t="s">
        <v>2192</v>
      </c>
      <c r="AA534" s="9" t="s">
        <v>774</v>
      </c>
      <c r="AB534" s="9" t="s">
        <v>2389</v>
      </c>
      <c r="AC534" s="27" t="n">
        <f aca="false">COUNTIF(環境認証!$A$2:$A$849,A1153)</f>
        <v>1</v>
      </c>
      <c r="AD534" s="1" t="n">
        <v>29.6</v>
      </c>
      <c r="AE534" s="1" t="n">
        <v>24.3</v>
      </c>
    </row>
    <row r="535" customFormat="false" ht="15" hidden="false" customHeight="true" outlineLevel="0" collapsed="false">
      <c r="A535" s="6" t="s">
        <v>2399</v>
      </c>
      <c r="B535" s="6" t="s">
        <v>515</v>
      </c>
      <c r="C535" s="9" t="s">
        <v>2400</v>
      </c>
      <c r="D535" s="9" t="s">
        <v>2388</v>
      </c>
      <c r="E535" s="9" t="s">
        <v>950</v>
      </c>
      <c r="F535" s="9" t="s">
        <v>951</v>
      </c>
      <c r="H535" s="6" t="s">
        <v>952</v>
      </c>
      <c r="M535" s="6" t="n">
        <v>9793.57</v>
      </c>
      <c r="P535" s="51" t="n">
        <v>37257</v>
      </c>
      <c r="Q535" s="1" t="n">
        <f aca="false">IF(OR($A1154="",P1154=""),"",ROUND(YEARFRAC(P1154,README!$C$5),1))</f>
        <v>24.6</v>
      </c>
      <c r="S535" s="6" t="n">
        <v>2510</v>
      </c>
      <c r="T535" s="6" t="n">
        <v>2434</v>
      </c>
      <c r="U535" s="6" t="n">
        <v>2540</v>
      </c>
      <c r="V535" s="6" t="n">
        <v>106</v>
      </c>
      <c r="W535" s="6" t="n">
        <v>1</v>
      </c>
      <c r="X535" s="1" t="n">
        <v>1</v>
      </c>
      <c r="Z535" s="6" t="s">
        <v>2192</v>
      </c>
      <c r="AA535" s="9" t="s">
        <v>774</v>
      </c>
      <c r="AB535" s="9" t="s">
        <v>2392</v>
      </c>
      <c r="AC535" s="27" t="n">
        <f aca="false">COUNTIF(環境認証!$A$2:$A$849,A1154)</f>
        <v>1</v>
      </c>
      <c r="AD535" s="6" t="n">
        <v>4.4</v>
      </c>
      <c r="AE535" s="6" t="n">
        <v>1.2</v>
      </c>
    </row>
    <row r="536" customFormat="false" ht="15" hidden="false" customHeight="true" outlineLevel="0" collapsed="false">
      <c r="A536" s="6" t="s">
        <v>2401</v>
      </c>
      <c r="B536" s="6" t="s">
        <v>515</v>
      </c>
      <c r="C536" s="9" t="s">
        <v>2402</v>
      </c>
      <c r="D536" s="9" t="s">
        <v>2388</v>
      </c>
      <c r="E536" s="9" t="s">
        <v>1225</v>
      </c>
      <c r="F536" s="9" t="s">
        <v>2403</v>
      </c>
      <c r="H536" s="9" t="s">
        <v>971</v>
      </c>
      <c r="M536" s="6" t="n">
        <v>9273.44</v>
      </c>
      <c r="P536" s="51" t="n">
        <v>37012</v>
      </c>
      <c r="Q536" s="1" t="n">
        <f aca="false">IF(OR($A1155="",P1155=""),"",ROUND(YEARFRAC(P1155,README!$C$5),1))</f>
        <v>25.3</v>
      </c>
      <c r="S536" s="6" t="n">
        <v>1250</v>
      </c>
      <c r="T536" s="6" t="n">
        <v>1141</v>
      </c>
      <c r="U536" s="6" t="n">
        <v>1360</v>
      </c>
      <c r="V536" s="6" t="n">
        <v>219</v>
      </c>
      <c r="W536" s="6" t="n">
        <v>1</v>
      </c>
      <c r="X536" s="1" t="n">
        <v>1</v>
      </c>
      <c r="Z536" s="6" t="s">
        <v>2192</v>
      </c>
      <c r="AA536" s="9" t="s">
        <v>774</v>
      </c>
      <c r="AB536" s="9" t="s">
        <v>2392</v>
      </c>
      <c r="AC536" s="27" t="n">
        <f aca="false">COUNTIF(環境認証!$A$2:$A$849,A1155)</f>
        <v>1</v>
      </c>
      <c r="AD536" s="6" t="n">
        <v>19.2</v>
      </c>
      <c r="AE536" s="6" t="n">
        <v>8.8</v>
      </c>
    </row>
    <row r="537" customFormat="false" ht="15" hidden="false" customHeight="true" outlineLevel="0" collapsed="false">
      <c r="A537" s="6" t="s">
        <v>2404</v>
      </c>
      <c r="B537" s="6" t="s">
        <v>523</v>
      </c>
      <c r="C537" s="9" t="s">
        <v>2405</v>
      </c>
      <c r="D537" s="9" t="s">
        <v>2406</v>
      </c>
      <c r="E537" s="36" t="s">
        <v>762</v>
      </c>
      <c r="F537" s="36" t="s">
        <v>782</v>
      </c>
      <c r="H537" s="6" t="s">
        <v>764</v>
      </c>
      <c r="I537" s="6" t="s">
        <v>2407</v>
      </c>
      <c r="M537" s="1" t="n">
        <v>3923.76</v>
      </c>
      <c r="P537" s="1" t="n">
        <v>42156</v>
      </c>
      <c r="Q537" s="1" t="n">
        <f aca="false">IF(OR($A450="",P450=""),"",ROUND(YEARFRAC(P450,README!$C$5),1))</f>
        <v>23.6</v>
      </c>
      <c r="S537" s="6" t="n">
        <v>295266</v>
      </c>
      <c r="T537" s="6" t="n">
        <v>256488.795</v>
      </c>
      <c r="U537" s="6" t="n">
        <v>335310</v>
      </c>
      <c r="V537" s="1" t="n">
        <f aca="false">IF($A450="","",IF(OR(T450="",U450=""),"",U450-T450))</f>
        <v>2426.984</v>
      </c>
      <c r="W537" s="6" t="n">
        <v>0.986</v>
      </c>
      <c r="X537" s="1" t="n">
        <v>1</v>
      </c>
      <c r="Y537" s="6" t="n">
        <v>8.7</v>
      </c>
      <c r="Z537" s="6" t="s">
        <v>2408</v>
      </c>
      <c r="AA537" s="9" t="s">
        <v>767</v>
      </c>
      <c r="AB537" s="6" t="s">
        <v>2409</v>
      </c>
      <c r="AC537" s="27" t="n">
        <f aca="false">COUNTIF(環境認証!$A$2:$A$849,A450)</f>
        <v>2</v>
      </c>
      <c r="AD537" s="1" t="n">
        <v>25.4</v>
      </c>
      <c r="AE537" s="1" t="n">
        <v>19.4</v>
      </c>
    </row>
    <row r="538" customFormat="false" ht="15" hidden="false" customHeight="true" outlineLevel="0" collapsed="false">
      <c r="A538" s="6" t="s">
        <v>2410</v>
      </c>
      <c r="B538" s="6" t="s">
        <v>523</v>
      </c>
      <c r="C538" s="9" t="s">
        <v>2411</v>
      </c>
      <c r="D538" s="9" t="s">
        <v>761</v>
      </c>
      <c r="E538" s="9" t="s">
        <v>762</v>
      </c>
      <c r="F538" s="9" t="s">
        <v>782</v>
      </c>
      <c r="H538" s="9" t="s">
        <v>772</v>
      </c>
      <c r="L538" s="6" t="n">
        <v>6914.84</v>
      </c>
      <c r="M538" s="1" t="n">
        <v>4099.04</v>
      </c>
      <c r="P538" s="1" t="n">
        <v>42278</v>
      </c>
      <c r="Q538" s="1" t="str">
        <f aca="false">IF(OR($A387="",P387=""),"",ROUND(YEARFRAC(P387,README!$C$5),1))</f>
        <v/>
      </c>
      <c r="S538" s="6" t="n">
        <v>6341</v>
      </c>
      <c r="T538" s="6" t="n">
        <v>5693</v>
      </c>
      <c r="U538" s="6" t="n">
        <v>7990</v>
      </c>
      <c r="V538" s="6" t="n">
        <v>2297</v>
      </c>
      <c r="W538" s="6" t="n">
        <v>1</v>
      </c>
      <c r="X538" s="1" t="n">
        <v>1</v>
      </c>
      <c r="Y538" s="6" t="n">
        <v>10.6</v>
      </c>
      <c r="Z538" s="6" t="s">
        <v>2408</v>
      </c>
      <c r="AA538" s="9" t="s">
        <v>774</v>
      </c>
      <c r="AB538" s="6" t="s">
        <v>2412</v>
      </c>
      <c r="AC538" s="27" t="n">
        <f aca="false">COUNTIF(環境認証!$A$2:$A$849,A387)</f>
        <v>0</v>
      </c>
      <c r="AD538" s="6" t="n">
        <v>40.3</v>
      </c>
      <c r="AE538" s="6" t="n">
        <v>26</v>
      </c>
    </row>
    <row r="539" customFormat="false" ht="15" hidden="false" customHeight="true" outlineLevel="0" collapsed="false">
      <c r="A539" s="6" t="s">
        <v>2413</v>
      </c>
      <c r="B539" s="6" t="s">
        <v>523</v>
      </c>
      <c r="C539" s="9" t="s">
        <v>2414</v>
      </c>
      <c r="D539" s="9" t="s">
        <v>761</v>
      </c>
      <c r="E539" s="9" t="s">
        <v>762</v>
      </c>
      <c r="F539" s="9" t="s">
        <v>782</v>
      </c>
      <c r="H539" s="9" t="s">
        <v>837</v>
      </c>
      <c r="M539" s="1" t="n">
        <v>748.92</v>
      </c>
      <c r="P539" s="1" t="n">
        <v>42767</v>
      </c>
      <c r="Q539" s="1" t="n">
        <f aca="false">IF(OR($A388="",P388=""),"",ROUND(YEARFRAC(P388,README!$C$5),1))</f>
        <v>31.5</v>
      </c>
      <c r="S539" s="1" t="n">
        <v>655</v>
      </c>
      <c r="T539" s="1" t="n">
        <v>606</v>
      </c>
      <c r="U539" s="1" t="n">
        <v>758</v>
      </c>
      <c r="V539" s="1" t="str">
        <f aca="false">IF($A388="","",IF(OR(T388="",U388=""),"",U388-T388))</f>
        <v/>
      </c>
      <c r="W539" s="1" t="n">
        <v>1</v>
      </c>
      <c r="X539" s="1" t="n">
        <v>1</v>
      </c>
      <c r="Z539" s="6" t="s">
        <v>2408</v>
      </c>
      <c r="AA539" s="9" t="s">
        <v>774</v>
      </c>
      <c r="AB539" s="6" t="s">
        <v>2415</v>
      </c>
      <c r="AC539" s="27" t="n">
        <f aca="false">COUNTIF(環境認証!$A$2:$A$849,A388)</f>
        <v>0</v>
      </c>
      <c r="AD539" s="1" t="n">
        <v>25.1</v>
      </c>
      <c r="AE539" s="1" t="n">
        <v>15.7</v>
      </c>
    </row>
    <row r="540" customFormat="false" ht="15" hidden="false" customHeight="true" outlineLevel="0" collapsed="false">
      <c r="A540" s="6" t="s">
        <v>2416</v>
      </c>
      <c r="B540" s="6" t="s">
        <v>523</v>
      </c>
      <c r="C540" s="9" t="s">
        <v>2417</v>
      </c>
      <c r="D540" s="9" t="s">
        <v>761</v>
      </c>
      <c r="E540" s="9" t="s">
        <v>762</v>
      </c>
      <c r="F540" s="9" t="s">
        <v>815</v>
      </c>
      <c r="H540" s="9" t="s">
        <v>772</v>
      </c>
      <c r="L540" s="6" t="n">
        <v>2721.71</v>
      </c>
      <c r="M540" s="1" t="n">
        <v>6772.89</v>
      </c>
      <c r="P540" s="1" t="n">
        <v>42491</v>
      </c>
      <c r="Q540" s="1" t="n">
        <f aca="false">IF(OR($A389="",P389=""),"",ROUND(YEARFRAC(P389,README!$C$5),1))</f>
        <v>33.1</v>
      </c>
      <c r="S540" s="6" t="n">
        <v>1727</v>
      </c>
      <c r="T540" s="6" t="n">
        <v>1437</v>
      </c>
      <c r="U540" s="6" t="n">
        <v>3770</v>
      </c>
      <c r="V540" s="6" t="n">
        <v>2333</v>
      </c>
      <c r="W540" s="6" t="n">
        <v>1</v>
      </c>
      <c r="X540" s="1" t="n">
        <v>1</v>
      </c>
      <c r="Y540" s="6" t="n">
        <v>5.5</v>
      </c>
      <c r="Z540" s="6" t="s">
        <v>2408</v>
      </c>
      <c r="AA540" s="9" t="s">
        <v>774</v>
      </c>
      <c r="AB540" s="6" t="s">
        <v>2418</v>
      </c>
      <c r="AC540" s="27" t="n">
        <f aca="false">COUNTIF(環境認証!$A$2:$A$849,A389)</f>
        <v>1</v>
      </c>
      <c r="AD540" s="6" t="n">
        <v>162.4</v>
      </c>
      <c r="AE540" s="6" t="n">
        <v>118.3</v>
      </c>
    </row>
    <row r="541" customFormat="false" ht="15" hidden="false" customHeight="true" outlineLevel="0" collapsed="false">
      <c r="A541" s="6" t="s">
        <v>2419</v>
      </c>
      <c r="B541" s="6" t="s">
        <v>523</v>
      </c>
      <c r="C541" s="9" t="s">
        <v>2420</v>
      </c>
      <c r="D541" s="9" t="s">
        <v>761</v>
      </c>
      <c r="E541" s="9" t="s">
        <v>762</v>
      </c>
      <c r="F541" s="9" t="s">
        <v>815</v>
      </c>
      <c r="H541" s="9" t="s">
        <v>772</v>
      </c>
      <c r="L541" s="6" t="n">
        <v>7737.27</v>
      </c>
      <c r="M541" s="1" t="n">
        <v>3921.35</v>
      </c>
      <c r="P541" s="1" t="n">
        <v>42736</v>
      </c>
      <c r="Q541" s="1" t="n">
        <f aca="false">IF(OR($A390="",P390=""),"",ROUND(YEARFRAC(P390,README!$C$5),1))</f>
        <v>13.5</v>
      </c>
      <c r="S541" s="6" t="n">
        <v>5348</v>
      </c>
      <c r="T541" s="6" t="n">
        <v>4799</v>
      </c>
      <c r="U541" s="6" t="n">
        <v>12100</v>
      </c>
      <c r="V541" s="6" t="n">
        <v>7301</v>
      </c>
      <c r="W541" s="6" t="n">
        <v>1</v>
      </c>
      <c r="X541" s="1" t="n">
        <v>1</v>
      </c>
      <c r="Y541" s="6" t="n">
        <v>10.6</v>
      </c>
      <c r="Z541" s="6" t="s">
        <v>2408</v>
      </c>
      <c r="AA541" s="9" t="s">
        <v>774</v>
      </c>
      <c r="AB541" s="6" t="s">
        <v>2421</v>
      </c>
      <c r="AC541" s="27" t="n">
        <f aca="false">COUNTIF(環境認証!$A$2:$A$849,A390)</f>
        <v>1</v>
      </c>
      <c r="AD541" s="6" t="n">
        <v>152.1</v>
      </c>
      <c r="AE541" s="6" t="n">
        <v>126.3</v>
      </c>
    </row>
    <row r="542" customFormat="false" ht="15" hidden="false" customHeight="true" outlineLevel="0" collapsed="false">
      <c r="A542" s="6" t="s">
        <v>2422</v>
      </c>
      <c r="B542" s="6" t="s">
        <v>523</v>
      </c>
      <c r="C542" s="9" t="s">
        <v>2423</v>
      </c>
      <c r="D542" s="9" t="s">
        <v>761</v>
      </c>
      <c r="E542" s="9" t="s">
        <v>762</v>
      </c>
      <c r="F542" s="9" t="s">
        <v>771</v>
      </c>
      <c r="H542" s="9" t="s">
        <v>772</v>
      </c>
      <c r="L542" s="6" t="n">
        <v>9906.83</v>
      </c>
      <c r="M542" s="1" t="n">
        <v>2033.06</v>
      </c>
      <c r="P542" s="1" t="n">
        <v>42644</v>
      </c>
      <c r="Q542" s="1" t="n">
        <f aca="false">IF(OR($A391="",P391=""),"",ROUND(YEARFRAC(P391,README!$C$5),1))</f>
        <v>27.5</v>
      </c>
      <c r="S542" s="6" t="n">
        <v>5118</v>
      </c>
      <c r="T542" s="6" t="n">
        <v>4150</v>
      </c>
      <c r="U542" s="6" t="n">
        <v>7440</v>
      </c>
      <c r="V542" s="6" t="n">
        <v>3290</v>
      </c>
      <c r="W542" s="6" t="n">
        <v>1</v>
      </c>
      <c r="X542" s="1" t="n">
        <v>1</v>
      </c>
      <c r="Y542" s="6" t="n">
        <v>2</v>
      </c>
      <c r="Z542" s="6" t="s">
        <v>2408</v>
      </c>
      <c r="AA542" s="9" t="s">
        <v>774</v>
      </c>
      <c r="AB542" s="6" t="s">
        <v>2424</v>
      </c>
      <c r="AC542" s="27" t="n">
        <f aca="false">COUNTIF(環境認証!$A$2:$A$849,A391)</f>
        <v>2</v>
      </c>
      <c r="AD542" s="6" t="n">
        <v>79.3</v>
      </c>
      <c r="AE542" s="6" t="n">
        <v>45.4</v>
      </c>
    </row>
    <row r="543" customFormat="false" ht="15" hidden="false" customHeight="true" outlineLevel="0" collapsed="false">
      <c r="A543" s="6" t="s">
        <v>2425</v>
      </c>
      <c r="B543" s="6" t="s">
        <v>523</v>
      </c>
      <c r="C543" s="9" t="s">
        <v>2426</v>
      </c>
      <c r="D543" s="9" t="s">
        <v>761</v>
      </c>
      <c r="E543" s="9" t="s">
        <v>762</v>
      </c>
      <c r="F543" s="9" t="s">
        <v>782</v>
      </c>
      <c r="H543" s="9" t="s">
        <v>772</v>
      </c>
      <c r="L543" s="6" t="n">
        <v>13987.76</v>
      </c>
      <c r="M543" s="1" t="n">
        <v>1779.17</v>
      </c>
      <c r="P543" s="1" t="n">
        <v>42736</v>
      </c>
      <c r="Q543" s="1" t="n">
        <f aca="false">IF(OR($A392="",P392=""),"",ROUND(YEARFRAC(P392,README!$C$5),1))</f>
        <v>13.9</v>
      </c>
      <c r="S543" s="6" t="n">
        <v>10300</v>
      </c>
      <c r="T543" s="6" t="n">
        <v>10188</v>
      </c>
      <c r="U543" s="6" t="n">
        <v>11400</v>
      </c>
      <c r="V543" s="6" t="n">
        <v>1212</v>
      </c>
      <c r="W543" s="6" t="n">
        <v>1</v>
      </c>
      <c r="X543" s="1" t="n">
        <v>1</v>
      </c>
      <c r="Y543" s="6" t="n">
        <v>7.2</v>
      </c>
      <c r="Z543" s="6" t="s">
        <v>2408</v>
      </c>
      <c r="AA543" s="9" t="s">
        <v>774</v>
      </c>
      <c r="AB543" s="6" t="s">
        <v>2427</v>
      </c>
      <c r="AC543" s="27" t="n">
        <f aca="false">COUNTIF(環境認証!$A$2:$A$849,A392)</f>
        <v>1</v>
      </c>
      <c r="AD543" s="6" t="n">
        <v>11.9</v>
      </c>
      <c r="AE543" s="6" t="n">
        <v>10.7</v>
      </c>
    </row>
    <row r="544" customFormat="false" ht="15" hidden="false" customHeight="true" outlineLevel="0" collapsed="false">
      <c r="A544" s="6" t="s">
        <v>2428</v>
      </c>
      <c r="B544" s="6" t="s">
        <v>523</v>
      </c>
      <c r="C544" s="9" t="s">
        <v>2429</v>
      </c>
      <c r="D544" s="9" t="s">
        <v>761</v>
      </c>
      <c r="E544" s="9" t="s">
        <v>762</v>
      </c>
      <c r="F544" s="9" t="s">
        <v>782</v>
      </c>
      <c r="H544" s="9" t="s">
        <v>772</v>
      </c>
      <c r="L544" s="6" t="n">
        <v>6486.42</v>
      </c>
      <c r="M544" s="1" t="n">
        <v>3569.73</v>
      </c>
      <c r="P544" s="1" t="n">
        <v>40544</v>
      </c>
      <c r="Q544" s="1" t="n">
        <f aca="false">IF(OR($A393="",P393=""),"",ROUND(YEARFRAC(P393,README!$C$5),1))</f>
        <v>33.3</v>
      </c>
      <c r="S544" s="6" t="n">
        <v>5000</v>
      </c>
      <c r="T544" s="6" t="n">
        <v>4943</v>
      </c>
      <c r="U544" s="6" t="n">
        <v>5390</v>
      </c>
      <c r="V544" s="6" t="n">
        <v>447</v>
      </c>
      <c r="W544" s="6" t="n">
        <v>1</v>
      </c>
      <c r="X544" s="1" t="n">
        <v>1</v>
      </c>
      <c r="Y544" s="6" t="n">
        <v>10.5</v>
      </c>
      <c r="Z544" s="6" t="s">
        <v>2408</v>
      </c>
      <c r="AA544" s="9" t="s">
        <v>774</v>
      </c>
      <c r="AB544" s="6" t="s">
        <v>2430</v>
      </c>
      <c r="AC544" s="27" t="n">
        <f aca="false">COUNTIF(環境認証!$A$2:$A$849,A393)</f>
        <v>1</v>
      </c>
      <c r="AD544" s="6" t="n">
        <v>9</v>
      </c>
      <c r="AE544" s="6" t="n">
        <v>7.8</v>
      </c>
    </row>
    <row r="545" customFormat="false" ht="15" hidden="false" customHeight="true" outlineLevel="0" collapsed="false">
      <c r="A545" s="6" t="s">
        <v>2431</v>
      </c>
      <c r="B545" s="6" t="s">
        <v>523</v>
      </c>
      <c r="C545" s="9" t="s">
        <v>2432</v>
      </c>
      <c r="D545" s="9" t="s">
        <v>761</v>
      </c>
      <c r="E545" s="9" t="s">
        <v>762</v>
      </c>
      <c r="F545" s="9" t="s">
        <v>782</v>
      </c>
      <c r="H545" s="9" t="s">
        <v>772</v>
      </c>
      <c r="L545" s="6" t="n">
        <v>160042.88</v>
      </c>
      <c r="M545" s="1" t="n">
        <v>23538.73</v>
      </c>
      <c r="P545" s="1" t="n">
        <v>39479</v>
      </c>
      <c r="Q545" s="1" t="n">
        <f aca="false">IF(OR($A394="",P394=""),"",ROUND(YEARFRAC(P394,README!$C$5),1))</f>
        <v>13.5</v>
      </c>
      <c r="S545" s="6" t="n">
        <v>26340</v>
      </c>
      <c r="T545" s="6" t="n">
        <v>26137</v>
      </c>
      <c r="U545" s="6" t="n">
        <v>29700</v>
      </c>
      <c r="V545" s="6" t="n">
        <v>3563</v>
      </c>
      <c r="W545" s="6" t="n">
        <v>0.988</v>
      </c>
      <c r="X545" s="1" t="n">
        <v>1</v>
      </c>
      <c r="Y545" s="6" t="n">
        <v>12</v>
      </c>
      <c r="Z545" s="6" t="s">
        <v>2408</v>
      </c>
      <c r="AA545" s="9" t="s">
        <v>774</v>
      </c>
      <c r="AB545" s="6" t="s">
        <v>2433</v>
      </c>
      <c r="AC545" s="27" t="n">
        <f aca="false">COUNTIF(環境認証!$A$2:$A$849,A394)</f>
        <v>1</v>
      </c>
      <c r="AD545" s="6" t="n">
        <v>13.6</v>
      </c>
      <c r="AE545" s="6" t="n">
        <v>12.8</v>
      </c>
    </row>
    <row r="546" customFormat="false" ht="15" hidden="false" customHeight="true" outlineLevel="0" collapsed="false">
      <c r="A546" s="6" t="s">
        <v>2434</v>
      </c>
      <c r="B546" s="6" t="s">
        <v>523</v>
      </c>
      <c r="C546" s="9" t="s">
        <v>2435</v>
      </c>
      <c r="D546" s="9" t="s">
        <v>761</v>
      </c>
      <c r="E546" s="9" t="s">
        <v>762</v>
      </c>
      <c r="F546" s="9" t="s">
        <v>763</v>
      </c>
      <c r="H546" s="9" t="s">
        <v>772</v>
      </c>
      <c r="L546" s="6" t="n">
        <v>206107.08</v>
      </c>
      <c r="M546" s="1" t="n">
        <v>1430.6</v>
      </c>
      <c r="P546" s="1" t="n">
        <v>39448</v>
      </c>
      <c r="Q546" s="1" t="n">
        <f aca="false">IF(OR($A395="",P395=""),"",ROUND(YEARFRAC(P395,README!$C$5),1))</f>
        <v>34.5</v>
      </c>
      <c r="S546" s="6" t="n">
        <v>4680</v>
      </c>
      <c r="T546" s="6" t="n">
        <v>4606</v>
      </c>
      <c r="U546" s="6" t="n">
        <v>5772</v>
      </c>
      <c r="V546" s="6" t="n">
        <v>1166</v>
      </c>
      <c r="W546" s="6" t="n">
        <v>1</v>
      </c>
      <c r="X546" s="1" t="n">
        <v>1</v>
      </c>
      <c r="Y546" s="6" t="n">
        <v>8.6</v>
      </c>
      <c r="Z546" s="6" t="s">
        <v>2408</v>
      </c>
      <c r="AA546" s="9" t="s">
        <v>774</v>
      </c>
      <c r="AB546" s="6" t="s">
        <v>2436</v>
      </c>
      <c r="AC546" s="27" t="n">
        <f aca="false">COUNTIF(環境認証!$A$2:$A$849,A395)</f>
        <v>1</v>
      </c>
      <c r="AD546" s="6" t="n">
        <v>25.3</v>
      </c>
      <c r="AE546" s="6" t="n">
        <v>23.3</v>
      </c>
    </row>
    <row r="547" customFormat="false" ht="15" hidden="false" customHeight="true" outlineLevel="0" collapsed="false">
      <c r="A547" s="6" t="s">
        <v>2437</v>
      </c>
      <c r="B547" s="6" t="s">
        <v>523</v>
      </c>
      <c r="C547" s="9" t="s">
        <v>2438</v>
      </c>
      <c r="D547" s="9" t="s">
        <v>761</v>
      </c>
      <c r="E547" s="9" t="s">
        <v>762</v>
      </c>
      <c r="F547" s="9" t="s">
        <v>782</v>
      </c>
      <c r="H547" s="9" t="s">
        <v>772</v>
      </c>
      <c r="L547" s="6" t="n">
        <v>202666.94</v>
      </c>
      <c r="M547" s="1" t="n">
        <v>1387.12</v>
      </c>
      <c r="P547" s="1" t="n">
        <v>43009</v>
      </c>
      <c r="Q547" s="1" t="n">
        <f aca="false">IF(OR($A396="",P396=""),"",ROUND(YEARFRAC(P396,README!$C$5),1))</f>
        <v>20.5</v>
      </c>
      <c r="S547" s="6" t="n">
        <v>18687</v>
      </c>
      <c r="T547" s="6" t="n">
        <v>18066</v>
      </c>
      <c r="U547" s="6" t="n">
        <v>18100</v>
      </c>
      <c r="V547" s="6" t="n">
        <v>34</v>
      </c>
      <c r="W547" s="6" t="n">
        <v>1</v>
      </c>
      <c r="X547" s="1" t="n">
        <v>1</v>
      </c>
      <c r="Y547" s="6" t="n">
        <v>4.7</v>
      </c>
      <c r="Z547" s="6" t="s">
        <v>2408</v>
      </c>
      <c r="AA547" s="9" t="s">
        <v>774</v>
      </c>
      <c r="AB547" s="6" t="s">
        <v>2439</v>
      </c>
      <c r="AC547" s="27" t="n">
        <f aca="false">COUNTIF(環境認証!$A$2:$A$849,A396)</f>
        <v>1</v>
      </c>
      <c r="AD547" s="6" t="n">
        <v>0.2</v>
      </c>
      <c r="AE547" s="6" t="n">
        <v>-3.1</v>
      </c>
    </row>
    <row r="548" customFormat="false" ht="15" hidden="false" customHeight="true" outlineLevel="0" collapsed="false">
      <c r="A548" s="6" t="s">
        <v>2440</v>
      </c>
      <c r="B548" s="6" t="s">
        <v>523</v>
      </c>
      <c r="C548" s="9" t="s">
        <v>1108</v>
      </c>
      <c r="D548" s="9" t="s">
        <v>761</v>
      </c>
      <c r="E548" s="9" t="s">
        <v>762</v>
      </c>
      <c r="F548" s="9" t="s">
        <v>771</v>
      </c>
      <c r="H548" s="9" t="s">
        <v>772</v>
      </c>
      <c r="L548" s="6" t="n">
        <v>232996.81</v>
      </c>
      <c r="M548" s="1" t="n">
        <v>2423.46</v>
      </c>
      <c r="P548" s="1" t="n">
        <v>43160</v>
      </c>
      <c r="Q548" s="1" t="n">
        <f aca="false">IF(OR($A397="",P397=""),"",ROUND(YEARFRAC(P397,README!$C$5),1))</f>
        <v>19.6</v>
      </c>
      <c r="S548" s="6" t="n">
        <v>22000</v>
      </c>
      <c r="T548" s="6" t="n">
        <v>23439</v>
      </c>
      <c r="U548" s="6" t="n">
        <v>22300</v>
      </c>
      <c r="V548" s="6" t="n">
        <v>-1139</v>
      </c>
      <c r="W548" s="6" t="n">
        <v>0.999</v>
      </c>
      <c r="X548" s="1" t="n">
        <v>1</v>
      </c>
      <c r="Y548" s="6" t="n">
        <v>9</v>
      </c>
      <c r="Z548" s="6" t="s">
        <v>2408</v>
      </c>
      <c r="AA548" s="9" t="s">
        <v>774</v>
      </c>
      <c r="AB548" s="6" t="s">
        <v>2441</v>
      </c>
      <c r="AC548" s="27" t="n">
        <f aca="false">COUNTIF(環境認証!$A$2:$A$849,A397)</f>
        <v>0</v>
      </c>
      <c r="AD548" s="6" t="n">
        <v>-4.9</v>
      </c>
      <c r="AE548" s="6" t="n">
        <v>1.4</v>
      </c>
    </row>
    <row r="549" customFormat="false" ht="15" hidden="false" customHeight="true" outlineLevel="0" collapsed="false">
      <c r="A549" s="6" t="s">
        <v>2442</v>
      </c>
      <c r="B549" s="6" t="s">
        <v>523</v>
      </c>
      <c r="C549" s="9" t="s">
        <v>2443</v>
      </c>
      <c r="D549" s="9" t="s">
        <v>761</v>
      </c>
      <c r="E549" s="9" t="s">
        <v>762</v>
      </c>
      <c r="F549" s="9" t="s">
        <v>763</v>
      </c>
      <c r="H549" s="9" t="s">
        <v>772</v>
      </c>
      <c r="L549" s="6" t="n">
        <v>35232.39</v>
      </c>
      <c r="M549" s="1" t="n">
        <v>2259.4</v>
      </c>
      <c r="P549" s="1" t="n">
        <v>43405</v>
      </c>
      <c r="Q549" s="1" t="n">
        <f aca="false">IF(OR($A398="",P398=""),"",ROUND(YEARFRAC(P398,README!$C$5),1))</f>
        <v>18.9</v>
      </c>
      <c r="S549" s="6" t="n">
        <v>5640</v>
      </c>
      <c r="T549" s="6" t="n">
        <v>5581</v>
      </c>
      <c r="U549" s="6" t="n">
        <v>6108</v>
      </c>
      <c r="V549" s="6" t="n">
        <v>527</v>
      </c>
      <c r="W549" s="6" t="n">
        <v>1</v>
      </c>
      <c r="X549" s="1" t="n">
        <v>1</v>
      </c>
      <c r="Y549" s="6" t="n">
        <v>8.5</v>
      </c>
      <c r="Z549" s="6" t="s">
        <v>2408</v>
      </c>
      <c r="AA549" s="9" t="s">
        <v>774</v>
      </c>
      <c r="AB549" s="6" t="s">
        <v>2444</v>
      </c>
      <c r="AC549" s="27" t="n">
        <f aca="false">COUNTIF(環境認証!$A$2:$A$849,A398)</f>
        <v>0</v>
      </c>
      <c r="AD549" s="6" t="n">
        <v>9.4</v>
      </c>
      <c r="AE549" s="6" t="n">
        <v>8.3</v>
      </c>
    </row>
    <row r="550" customFormat="false" ht="15" hidden="false" customHeight="true" outlineLevel="0" collapsed="false">
      <c r="A550" s="6" t="s">
        <v>2445</v>
      </c>
      <c r="B550" s="6" t="s">
        <v>523</v>
      </c>
      <c r="C550" s="9" t="s">
        <v>2446</v>
      </c>
      <c r="D550" s="9" t="s">
        <v>761</v>
      </c>
      <c r="E550" s="9" t="s">
        <v>762</v>
      </c>
      <c r="F550" s="9" t="s">
        <v>881</v>
      </c>
      <c r="H550" s="9" t="s">
        <v>882</v>
      </c>
      <c r="L550" s="6" t="n">
        <v>5054.32</v>
      </c>
      <c r="M550" s="1" t="n">
        <v>6808.84</v>
      </c>
      <c r="P550" s="1" t="n">
        <v>33055</v>
      </c>
      <c r="Q550" s="1" t="n">
        <f aca="false">IF(OR($A399="",P399=""),"",ROUND(YEARFRAC(P399,README!$C$5),1))</f>
        <v>18.2</v>
      </c>
      <c r="S550" s="6" t="n">
        <v>4310</v>
      </c>
      <c r="T550" s="6" t="n">
        <v>3358</v>
      </c>
      <c r="U550" s="6" t="n">
        <v>3040</v>
      </c>
      <c r="V550" s="6" t="n">
        <v>-318</v>
      </c>
      <c r="W550" s="6" t="n">
        <v>1</v>
      </c>
      <c r="X550" s="1" t="n">
        <v>1</v>
      </c>
      <c r="Y550" s="6" t="n">
        <v>16.2</v>
      </c>
      <c r="Z550" s="6" t="s">
        <v>2408</v>
      </c>
      <c r="AA550" s="9" t="s">
        <v>774</v>
      </c>
      <c r="AB550" s="6" t="s">
        <v>2447</v>
      </c>
      <c r="AC550" s="27" t="n">
        <f aca="false">COUNTIF(環境認証!$A$2:$A$849,A399)</f>
        <v>1</v>
      </c>
      <c r="AD550" s="6" t="n">
        <v>-9.5</v>
      </c>
      <c r="AE550" s="6" t="n">
        <v>-29.5</v>
      </c>
    </row>
    <row r="551" customFormat="false" ht="15" hidden="false" customHeight="true" outlineLevel="0" collapsed="false">
      <c r="A551" s="6" t="s">
        <v>2448</v>
      </c>
      <c r="B551" s="6" t="s">
        <v>523</v>
      </c>
      <c r="C551" s="9" t="s">
        <v>2449</v>
      </c>
      <c r="D551" s="9" t="s">
        <v>761</v>
      </c>
      <c r="E551" s="9" t="s">
        <v>762</v>
      </c>
      <c r="F551" s="9" t="s">
        <v>895</v>
      </c>
      <c r="H551" s="9" t="s">
        <v>882</v>
      </c>
      <c r="L551" s="6" t="n">
        <v>4799.97</v>
      </c>
      <c r="Q551" s="1" t="n">
        <f aca="false">IF(OR($A400="",P400=""),"",ROUND(YEARFRAC(P400,README!$C$5),1))</f>
        <v>11.1</v>
      </c>
      <c r="S551" s="6" t="n">
        <v>4380</v>
      </c>
      <c r="T551" s="6" t="n">
        <v>4413</v>
      </c>
      <c r="U551" s="6" t="n">
        <v>3630</v>
      </c>
      <c r="V551" s="6" t="n">
        <v>-783</v>
      </c>
      <c r="W551" s="6" t="n">
        <v>1</v>
      </c>
      <c r="Y551" s="6" t="n">
        <v>12.8</v>
      </c>
      <c r="Z551" s="6" t="s">
        <v>2408</v>
      </c>
      <c r="AA551" s="9" t="s">
        <v>774</v>
      </c>
      <c r="AB551" s="6" t="s">
        <v>2450</v>
      </c>
      <c r="AC551" s="27" t="n">
        <f aca="false">COUNTIF(環境認証!$A$2:$A$849,A400)</f>
        <v>1</v>
      </c>
      <c r="AD551" s="6" t="n">
        <v>-17.7</v>
      </c>
      <c r="AE551" s="6" t="n">
        <v>-17.1</v>
      </c>
    </row>
    <row r="552" customFormat="false" ht="15" hidden="false" customHeight="true" outlineLevel="0" collapsed="false">
      <c r="A552" s="6" t="s">
        <v>2451</v>
      </c>
      <c r="B552" s="6" t="s">
        <v>523</v>
      </c>
      <c r="C552" s="9" t="s">
        <v>2452</v>
      </c>
      <c r="D552" s="9" t="s">
        <v>761</v>
      </c>
      <c r="E552" s="9" t="s">
        <v>762</v>
      </c>
      <c r="F552" s="9" t="s">
        <v>848</v>
      </c>
      <c r="H552" s="9" t="s">
        <v>882</v>
      </c>
      <c r="L552" s="6" t="n">
        <v>7545.8</v>
      </c>
      <c r="M552" s="1" t="n">
        <v>2552.4</v>
      </c>
      <c r="P552" s="1" t="n">
        <v>38718</v>
      </c>
      <c r="Q552" s="1" t="n">
        <f aca="false">IF(OR($A401="",P401=""),"",ROUND(YEARFRAC(P401,README!$C$5),1))</f>
        <v>29.4</v>
      </c>
      <c r="S552" s="6" t="n">
        <v>4100</v>
      </c>
      <c r="T552" s="6" t="n">
        <v>3965</v>
      </c>
      <c r="U552" s="6" t="n">
        <v>3440</v>
      </c>
      <c r="V552" s="6" t="n">
        <v>-525</v>
      </c>
      <c r="W552" s="6" t="n">
        <v>1</v>
      </c>
      <c r="X552" s="1" t="n">
        <v>1</v>
      </c>
      <c r="Y552" s="6" t="n">
        <v>14.3</v>
      </c>
      <c r="Z552" s="6" t="s">
        <v>2408</v>
      </c>
      <c r="AA552" s="9" t="s">
        <v>774</v>
      </c>
      <c r="AB552" s="6" t="s">
        <v>2453</v>
      </c>
      <c r="AC552" s="27" t="n">
        <f aca="false">COUNTIF(環境認証!$A$2:$A$849,A401)</f>
        <v>1</v>
      </c>
      <c r="AD552" s="6" t="n">
        <v>-13.2</v>
      </c>
      <c r="AE552" s="6" t="n">
        <v>-16.1</v>
      </c>
    </row>
    <row r="553" customFormat="false" ht="15" hidden="false" customHeight="true" outlineLevel="0" collapsed="false">
      <c r="A553" s="6" t="s">
        <v>2454</v>
      </c>
      <c r="B553" s="6" t="s">
        <v>523</v>
      </c>
      <c r="C553" s="9" t="s">
        <v>2455</v>
      </c>
      <c r="D553" s="9" t="s">
        <v>761</v>
      </c>
      <c r="E553" s="9" t="s">
        <v>762</v>
      </c>
      <c r="F553" s="9" t="s">
        <v>895</v>
      </c>
      <c r="H553" s="9" t="s">
        <v>882</v>
      </c>
      <c r="L553" s="6" t="n">
        <v>6868.83</v>
      </c>
      <c r="Q553" s="1" t="n">
        <f aca="false">IF(OR($A402="",P402=""),"",ROUND(YEARFRAC(P402,README!$C$5),1))</f>
        <v>35.6</v>
      </c>
      <c r="S553" s="6" t="n">
        <v>5900</v>
      </c>
      <c r="T553" s="6" t="n">
        <v>4883</v>
      </c>
      <c r="U553" s="6" t="n">
        <v>8070</v>
      </c>
      <c r="V553" s="6" t="n">
        <v>3187</v>
      </c>
      <c r="W553" s="6" t="n">
        <v>1</v>
      </c>
      <c r="Y553" s="6" t="n">
        <v>10.7</v>
      </c>
      <c r="Z553" s="6" t="s">
        <v>2408</v>
      </c>
      <c r="AA553" s="9" t="s">
        <v>774</v>
      </c>
      <c r="AB553" s="6" t="s">
        <v>2456</v>
      </c>
      <c r="AC553" s="27" t="n">
        <f aca="false">COUNTIF(環境認証!$A$2:$A$849,A402)</f>
        <v>1</v>
      </c>
      <c r="AD553" s="6" t="n">
        <v>65.3</v>
      </c>
      <c r="AE553" s="6" t="n">
        <v>36.8</v>
      </c>
    </row>
    <row r="554" customFormat="false" ht="15" hidden="false" customHeight="true" outlineLevel="0" collapsed="false">
      <c r="A554" s="6" t="s">
        <v>2457</v>
      </c>
      <c r="B554" s="6" t="s">
        <v>523</v>
      </c>
      <c r="C554" s="9" t="s">
        <v>2458</v>
      </c>
      <c r="D554" s="9" t="s">
        <v>761</v>
      </c>
      <c r="E554" s="9" t="s">
        <v>762</v>
      </c>
      <c r="F554" s="9" t="s">
        <v>911</v>
      </c>
      <c r="H554" s="9" t="s">
        <v>882</v>
      </c>
      <c r="L554" s="6" t="n">
        <v>25050.26</v>
      </c>
      <c r="M554" s="1" t="n">
        <v>2170.8</v>
      </c>
      <c r="P554" s="1" t="n">
        <v>40940</v>
      </c>
      <c r="Q554" s="1" t="n">
        <f aca="false">IF(OR($A403="",P403=""),"",ROUND(YEARFRAC(P403,README!$C$5),1))</f>
        <v>36.9</v>
      </c>
      <c r="S554" s="6" t="n">
        <v>13600</v>
      </c>
      <c r="T554" s="6" t="n">
        <v>13646</v>
      </c>
      <c r="U554" s="6" t="n">
        <v>23300</v>
      </c>
      <c r="V554" s="6" t="n">
        <v>9654</v>
      </c>
      <c r="W554" s="6" t="n">
        <v>1</v>
      </c>
      <c r="X554" s="1" t="n">
        <v>1</v>
      </c>
      <c r="Y554" s="6" t="n">
        <v>13</v>
      </c>
      <c r="Z554" s="6" t="s">
        <v>2408</v>
      </c>
      <c r="AA554" s="9" t="s">
        <v>774</v>
      </c>
      <c r="AB554" s="6" t="s">
        <v>2459</v>
      </c>
      <c r="AC554" s="27" t="n">
        <f aca="false">COUNTIF(環境認証!$A$2:$A$849,A403)</f>
        <v>0</v>
      </c>
      <c r="AD554" s="6" t="n">
        <v>70.7</v>
      </c>
      <c r="AE554" s="6" t="n">
        <v>71.3</v>
      </c>
    </row>
    <row r="555" customFormat="false" ht="15" hidden="false" customHeight="true" outlineLevel="0" collapsed="false">
      <c r="A555" s="6" t="s">
        <v>2460</v>
      </c>
      <c r="B555" s="6" t="s">
        <v>523</v>
      </c>
      <c r="C555" s="9" t="s">
        <v>2461</v>
      </c>
      <c r="D555" s="9" t="s">
        <v>761</v>
      </c>
      <c r="E555" s="9" t="s">
        <v>762</v>
      </c>
      <c r="F555" s="36" t="s">
        <v>970</v>
      </c>
      <c r="H555" s="9" t="s">
        <v>882</v>
      </c>
      <c r="L555" s="6" t="n">
        <v>11937.25</v>
      </c>
      <c r="M555" s="1" t="n">
        <v>1240.28</v>
      </c>
      <c r="P555" s="1" t="n">
        <v>41640</v>
      </c>
      <c r="Q555" s="1" t="n">
        <f aca="false">IF(OR($A404="",P404=""),"",ROUND(YEARFRAC(P404,README!$C$5),1))</f>
        <v>35</v>
      </c>
      <c r="S555" s="6" t="n">
        <v>4800</v>
      </c>
      <c r="T555" s="6" t="n">
        <v>4218</v>
      </c>
      <c r="U555" s="6" t="n">
        <v>6800</v>
      </c>
      <c r="V555" s="6" t="n">
        <v>2582</v>
      </c>
      <c r="W555" s="6" t="n">
        <v>1</v>
      </c>
      <c r="X555" s="1" t="n">
        <v>1</v>
      </c>
      <c r="Y555" s="6" t="n">
        <v>6.8</v>
      </c>
      <c r="Z555" s="6" t="s">
        <v>2408</v>
      </c>
      <c r="AA555" s="9" t="s">
        <v>774</v>
      </c>
      <c r="AB555" s="6" t="s">
        <v>2462</v>
      </c>
      <c r="AC555" s="27" t="n">
        <f aca="false">COUNTIF(環境認証!$A$2:$A$849,A404)</f>
        <v>1</v>
      </c>
      <c r="AD555" s="6" t="n">
        <v>61.2</v>
      </c>
      <c r="AE555" s="6" t="n">
        <v>41.7</v>
      </c>
    </row>
    <row r="556" customFormat="false" ht="15" hidden="false" customHeight="true" outlineLevel="0" collapsed="false">
      <c r="A556" s="6" t="s">
        <v>2463</v>
      </c>
      <c r="B556" s="6" t="s">
        <v>523</v>
      </c>
      <c r="C556" s="9" t="s">
        <v>2464</v>
      </c>
      <c r="D556" s="9" t="s">
        <v>761</v>
      </c>
      <c r="E556" s="9" t="s">
        <v>762</v>
      </c>
      <c r="F556" s="9" t="s">
        <v>848</v>
      </c>
      <c r="H556" s="9" t="s">
        <v>882</v>
      </c>
      <c r="L556" s="6" t="n">
        <v>9445.54</v>
      </c>
      <c r="M556" s="1" t="n">
        <v>1991.72</v>
      </c>
      <c r="P556" s="1" t="n">
        <v>43800</v>
      </c>
      <c r="Q556" s="1" t="n">
        <f aca="false">IF(OR($A405="",P405=""),"",ROUND(YEARFRAC(P405,README!$C$5),1))</f>
        <v>32.5</v>
      </c>
      <c r="S556" s="6" t="n">
        <v>5250</v>
      </c>
      <c r="T556" s="6" t="n">
        <v>5612</v>
      </c>
      <c r="U556" s="6" t="n">
        <v>6670</v>
      </c>
      <c r="V556" s="6" t="n">
        <v>1058</v>
      </c>
      <c r="W556" s="6" t="n">
        <v>1</v>
      </c>
      <c r="X556" s="1" t="n">
        <v>1</v>
      </c>
      <c r="Y556" s="6" t="n">
        <v>9.7</v>
      </c>
      <c r="Z556" s="6" t="s">
        <v>2408</v>
      </c>
      <c r="AA556" s="9" t="s">
        <v>774</v>
      </c>
      <c r="AB556" s="6" t="s">
        <v>2465</v>
      </c>
      <c r="AC556" s="27" t="n">
        <f aca="false">COUNTIF(環境認証!$A$2:$A$849,A405)</f>
        <v>1</v>
      </c>
      <c r="AD556" s="6" t="n">
        <v>18.9</v>
      </c>
      <c r="AE556" s="6" t="n">
        <v>27</v>
      </c>
    </row>
    <row r="557" customFormat="false" ht="15" hidden="false" customHeight="true" outlineLevel="0" collapsed="false">
      <c r="A557" s="6" t="s">
        <v>2466</v>
      </c>
      <c r="B557" s="6" t="s">
        <v>523</v>
      </c>
      <c r="C557" s="9" t="s">
        <v>2467</v>
      </c>
      <c r="D557" s="9" t="s">
        <v>761</v>
      </c>
      <c r="E557" s="9" t="s">
        <v>762</v>
      </c>
      <c r="F557" s="9" t="s">
        <v>1152</v>
      </c>
      <c r="H557" s="9" t="s">
        <v>882</v>
      </c>
      <c r="L557" s="6" t="n">
        <v>9268.73</v>
      </c>
      <c r="M557" s="1" t="n">
        <v>1335.62</v>
      </c>
      <c r="P557" s="1" t="n">
        <v>43313</v>
      </c>
      <c r="Q557" s="1" t="n">
        <f aca="false">IF(OR($A406="",P406=""),"",ROUND(YEARFRAC(P406,README!$C$5),1))</f>
        <v>31.7</v>
      </c>
      <c r="S557" s="6" t="n">
        <v>6400</v>
      </c>
      <c r="T557" s="6" t="n">
        <v>6471</v>
      </c>
      <c r="U557" s="6" t="n">
        <v>6960</v>
      </c>
      <c r="V557" s="6" t="n">
        <v>489</v>
      </c>
      <c r="W557" s="6" t="n">
        <v>1</v>
      </c>
      <c r="X557" s="1" t="n">
        <v>1</v>
      </c>
      <c r="Y557" s="6" t="n">
        <v>10.1</v>
      </c>
      <c r="Z557" s="6" t="s">
        <v>2408</v>
      </c>
      <c r="AA557" s="9" t="s">
        <v>774</v>
      </c>
      <c r="AB557" s="6" t="s">
        <v>2468</v>
      </c>
      <c r="AC557" s="27" t="n">
        <f aca="false">COUNTIF(環境認証!$A$2:$A$849,A406)</f>
        <v>1</v>
      </c>
      <c r="AD557" s="6" t="n">
        <v>7.6</v>
      </c>
      <c r="AE557" s="6" t="n">
        <v>8.7</v>
      </c>
    </row>
    <row r="558" customFormat="false" ht="15" hidden="false" customHeight="true" outlineLevel="0" collapsed="false">
      <c r="A558" s="6" t="s">
        <v>2469</v>
      </c>
      <c r="B558" s="6" t="s">
        <v>523</v>
      </c>
      <c r="C558" s="9" t="s">
        <v>2470</v>
      </c>
      <c r="D558" s="9" t="s">
        <v>761</v>
      </c>
      <c r="E558" s="9" t="s">
        <v>925</v>
      </c>
      <c r="F558" s="9" t="s">
        <v>926</v>
      </c>
      <c r="H558" s="9" t="s">
        <v>921</v>
      </c>
      <c r="L558" s="6" t="n">
        <v>7562.9</v>
      </c>
      <c r="M558" s="1" t="n">
        <v>1499.1</v>
      </c>
      <c r="P558" s="1" t="n">
        <v>43497</v>
      </c>
      <c r="Q558" s="1" t="n">
        <f aca="false">IF(OR($A407="",P407=""),"",ROUND(YEARFRAC(P407,README!$C$5),1))</f>
        <v>19.6</v>
      </c>
      <c r="S558" s="6" t="n">
        <v>3558</v>
      </c>
      <c r="T558" s="6" t="n">
        <v>3084</v>
      </c>
      <c r="U558" s="6" t="n">
        <v>5040</v>
      </c>
      <c r="V558" s="6" t="n">
        <v>1956</v>
      </c>
      <c r="W558" s="6" t="n">
        <v>1</v>
      </c>
      <c r="X558" s="1" t="n">
        <v>1</v>
      </c>
      <c r="Y558" s="6" t="n">
        <v>10.2</v>
      </c>
      <c r="Z558" s="6" t="s">
        <v>2408</v>
      </c>
      <c r="AA558" s="9" t="s">
        <v>774</v>
      </c>
      <c r="AB558" s="6" t="s">
        <v>2471</v>
      </c>
      <c r="AC558" s="27" t="n">
        <f aca="false">COUNTIF(環境認証!$A$2:$A$849,A407)</f>
        <v>1</v>
      </c>
      <c r="AD558" s="6" t="n">
        <v>63.4</v>
      </c>
      <c r="AE558" s="6" t="n">
        <v>41.7</v>
      </c>
    </row>
    <row r="559" customFormat="false" ht="15" hidden="false" customHeight="true" outlineLevel="0" collapsed="false">
      <c r="A559" s="6" t="s">
        <v>2472</v>
      </c>
      <c r="B559" s="6" t="s">
        <v>523</v>
      </c>
      <c r="C559" s="9" t="s">
        <v>2473</v>
      </c>
      <c r="D559" s="9" t="s">
        <v>761</v>
      </c>
      <c r="E559" s="9" t="s">
        <v>2474</v>
      </c>
      <c r="F559" s="9" t="s">
        <v>2475</v>
      </c>
      <c r="H559" s="6" t="s">
        <v>952</v>
      </c>
      <c r="L559" s="6" t="n">
        <v>13817.14</v>
      </c>
      <c r="M559" s="1" t="n">
        <v>6033.98</v>
      </c>
      <c r="P559" s="1" t="n">
        <v>43770</v>
      </c>
      <c r="Q559" s="1" t="n">
        <f aca="false">IF(OR($A408="",P408=""),"",ROUND(YEARFRAC(P408,README!$C$5),1))</f>
        <v>29.4</v>
      </c>
      <c r="S559" s="6" t="n">
        <v>1628</v>
      </c>
      <c r="T559" s="6" t="n">
        <v>1487</v>
      </c>
      <c r="U559" s="6" t="n">
        <v>1792</v>
      </c>
      <c r="V559" s="6" t="n">
        <v>305</v>
      </c>
      <c r="W559" s="6" t="n">
        <v>0.975</v>
      </c>
      <c r="X559" s="1" t="n">
        <v>1</v>
      </c>
      <c r="Y559" s="6" t="n">
        <v>9</v>
      </c>
      <c r="Z559" s="6" t="s">
        <v>2408</v>
      </c>
      <c r="AA559" s="9" t="s">
        <v>774</v>
      </c>
      <c r="AB559" s="6" t="s">
        <v>2476</v>
      </c>
      <c r="AC559" s="27" t="n">
        <f aca="false">COUNTIF(環境認証!$A$2:$A$849,A408)</f>
        <v>1</v>
      </c>
      <c r="AD559" s="6" t="n">
        <v>20.5</v>
      </c>
      <c r="AE559" s="6" t="n">
        <v>10.1</v>
      </c>
    </row>
    <row r="560" customFormat="false" ht="15" hidden="false" customHeight="true" outlineLevel="0" collapsed="false">
      <c r="A560" s="6" t="s">
        <v>2477</v>
      </c>
      <c r="B560" s="6" t="s">
        <v>523</v>
      </c>
      <c r="C560" s="9" t="s">
        <v>2478</v>
      </c>
      <c r="D560" s="9" t="s">
        <v>761</v>
      </c>
      <c r="E560" s="9" t="s">
        <v>2474</v>
      </c>
      <c r="F560" s="9" t="s">
        <v>2475</v>
      </c>
      <c r="H560" s="6" t="s">
        <v>952</v>
      </c>
      <c r="L560" s="6" t="n">
        <v>8997.03</v>
      </c>
      <c r="M560" s="1" t="n">
        <v>4557.89</v>
      </c>
      <c r="P560" s="1" t="n">
        <v>43497</v>
      </c>
      <c r="Q560" s="1" t="n">
        <f aca="false">IF(OR($A409="",P409=""),"",ROUND(YEARFRAC(P409,README!$C$5),1))</f>
        <v>20.5</v>
      </c>
      <c r="S560" s="6" t="n">
        <v>1119</v>
      </c>
      <c r="T560" s="6" t="n">
        <v>1045</v>
      </c>
      <c r="U560" s="6" t="n">
        <v>1228</v>
      </c>
      <c r="V560" s="6" t="n">
        <v>183</v>
      </c>
      <c r="W560" s="6" t="n">
        <v>1</v>
      </c>
      <c r="X560" s="1" t="n">
        <v>1</v>
      </c>
      <c r="Y560" s="6" t="n">
        <v>9</v>
      </c>
      <c r="Z560" s="6" t="s">
        <v>2408</v>
      </c>
      <c r="AA560" s="9" t="s">
        <v>774</v>
      </c>
      <c r="AB560" s="6" t="s">
        <v>2479</v>
      </c>
      <c r="AC560" s="27" t="n">
        <f aca="false">COUNTIF(環境認証!$A$2:$A$849,A409)</f>
        <v>1</v>
      </c>
      <c r="AD560" s="6" t="n">
        <v>17.5</v>
      </c>
      <c r="AE560" s="6" t="n">
        <v>9.7</v>
      </c>
    </row>
    <row r="561" customFormat="false" ht="15" hidden="false" customHeight="true" outlineLevel="0" collapsed="false">
      <c r="A561" s="6" t="s">
        <v>2480</v>
      </c>
      <c r="B561" s="6" t="s">
        <v>523</v>
      </c>
      <c r="C561" s="9" t="s">
        <v>2481</v>
      </c>
      <c r="D561" s="9" t="s">
        <v>761</v>
      </c>
      <c r="E561" s="9" t="s">
        <v>981</v>
      </c>
      <c r="F561" s="9" t="s">
        <v>982</v>
      </c>
      <c r="H561" s="9" t="s">
        <v>971</v>
      </c>
      <c r="L561" s="6" t="n">
        <v>14192.79</v>
      </c>
      <c r="M561" s="1" t="n">
        <v>29048.95</v>
      </c>
      <c r="P561" s="1" t="n">
        <v>43282</v>
      </c>
      <c r="Q561" s="1" t="n">
        <f aca="false">IF(OR($A410="",P410=""),"",ROUND(YEARFRAC(P410,README!$C$5),1))</f>
        <v>45.3</v>
      </c>
      <c r="S561" s="6" t="n">
        <v>4600</v>
      </c>
      <c r="T561" s="6" t="n">
        <v>5016</v>
      </c>
      <c r="U561" s="6" t="n">
        <v>6360</v>
      </c>
      <c r="V561" s="6" t="n">
        <v>1344</v>
      </c>
      <c r="W561" s="6" t="n">
        <v>1</v>
      </c>
      <c r="X561" s="1" t="n">
        <v>1</v>
      </c>
      <c r="Y561" s="6" t="n">
        <v>6.3</v>
      </c>
      <c r="Z561" s="6" t="s">
        <v>2408</v>
      </c>
      <c r="AA561" s="9" t="s">
        <v>774</v>
      </c>
      <c r="AB561" s="6" t="s">
        <v>2482</v>
      </c>
      <c r="AC561" s="27" t="n">
        <f aca="false">COUNTIF(環境認証!$A$2:$A$849,A410)</f>
        <v>1</v>
      </c>
      <c r="AD561" s="6" t="n">
        <v>26.8</v>
      </c>
      <c r="AE561" s="6" t="n">
        <v>38.3</v>
      </c>
    </row>
    <row r="562" customFormat="false" ht="15" hidden="false" customHeight="true" outlineLevel="0" collapsed="false">
      <c r="A562" s="6" t="s">
        <v>2483</v>
      </c>
      <c r="B562" s="6" t="s">
        <v>523</v>
      </c>
      <c r="C562" s="9" t="s">
        <v>2484</v>
      </c>
      <c r="D562" s="9" t="s">
        <v>761</v>
      </c>
      <c r="E562" s="9" t="s">
        <v>1225</v>
      </c>
      <c r="F562" s="9" t="s">
        <v>1226</v>
      </c>
      <c r="H562" s="9" t="s">
        <v>971</v>
      </c>
      <c r="L562" s="6" t="n">
        <v>16088.35</v>
      </c>
      <c r="M562" s="1" t="n">
        <v>1819.35</v>
      </c>
      <c r="P562" s="1" t="n">
        <v>43862</v>
      </c>
      <c r="Q562" s="1" t="n">
        <f aca="false">IF(OR($A411="",P411=""),"",ROUND(YEARFRAC(P411,README!$C$5),1))</f>
        <v>17.5</v>
      </c>
      <c r="S562" s="6" t="n">
        <v>9700</v>
      </c>
      <c r="T562" s="6" t="n">
        <v>9738</v>
      </c>
      <c r="U562" s="6" t="n">
        <v>11100</v>
      </c>
      <c r="V562" s="6" t="n">
        <v>1362</v>
      </c>
      <c r="W562" s="6" t="n">
        <v>0.997</v>
      </c>
      <c r="X562" s="1" t="n">
        <v>1</v>
      </c>
      <c r="Y562" s="6" t="n">
        <v>2.5</v>
      </c>
      <c r="Z562" s="6" t="s">
        <v>2408</v>
      </c>
      <c r="AA562" s="9" t="s">
        <v>774</v>
      </c>
      <c r="AB562" s="6" t="s">
        <v>2485</v>
      </c>
      <c r="AC562" s="27" t="n">
        <f aca="false">COUNTIF(環境認証!$A$2:$A$849,A411)</f>
        <v>1</v>
      </c>
      <c r="AD562" s="6" t="n">
        <v>14</v>
      </c>
      <c r="AE562" s="6" t="n">
        <v>14.4</v>
      </c>
    </row>
    <row r="563" customFormat="false" ht="15" hidden="false" customHeight="true" outlineLevel="0" collapsed="false">
      <c r="A563" s="6" t="s">
        <v>2486</v>
      </c>
      <c r="B563" s="6" t="s">
        <v>523</v>
      </c>
      <c r="C563" s="9" t="s">
        <v>2487</v>
      </c>
      <c r="D563" s="9" t="s">
        <v>761</v>
      </c>
      <c r="E563" s="36" t="s">
        <v>925</v>
      </c>
      <c r="F563" s="36" t="s">
        <v>930</v>
      </c>
      <c r="H563" s="9" t="s">
        <v>971</v>
      </c>
      <c r="L563" s="6" t="n">
        <v>14091.85</v>
      </c>
      <c r="M563" s="1" t="n">
        <v>657.79</v>
      </c>
      <c r="P563" s="1" t="n">
        <v>39448</v>
      </c>
      <c r="Q563" s="1" t="n">
        <f aca="false">IF(OR($A412="",P412=""),"",ROUND(YEARFRAC(P412,README!$C$5),1))</f>
        <v>33.4</v>
      </c>
      <c r="S563" s="6" t="n">
        <v>8750</v>
      </c>
      <c r="T563" s="6" t="n">
        <v>8727</v>
      </c>
      <c r="U563" s="6" t="n">
        <v>9810</v>
      </c>
      <c r="V563" s="6" t="n">
        <v>1083</v>
      </c>
      <c r="W563" s="6" t="n">
        <v>1</v>
      </c>
      <c r="X563" s="1" t="n">
        <v>1</v>
      </c>
      <c r="Y563" s="6" t="n">
        <v>12.9</v>
      </c>
      <c r="Z563" s="6" t="s">
        <v>2408</v>
      </c>
      <c r="AA563" s="9" t="s">
        <v>774</v>
      </c>
      <c r="AB563" s="6" t="s">
        <v>2488</v>
      </c>
      <c r="AC563" s="27" t="n">
        <f aca="false">COUNTIF(環境認証!$A$2:$A$849,A412)</f>
        <v>1</v>
      </c>
      <c r="AD563" s="6" t="n">
        <v>12.4</v>
      </c>
      <c r="AE563" s="6" t="n">
        <v>12.1</v>
      </c>
    </row>
    <row r="564" customFormat="false" ht="15" hidden="false" customHeight="true" outlineLevel="0" collapsed="false">
      <c r="A564" s="6" t="s">
        <v>2489</v>
      </c>
      <c r="B564" s="6" t="s">
        <v>523</v>
      </c>
      <c r="C564" s="9" t="s">
        <v>2490</v>
      </c>
      <c r="D564" s="9" t="s">
        <v>1894</v>
      </c>
      <c r="E564" s="9" t="s">
        <v>762</v>
      </c>
      <c r="F564" s="9" t="s">
        <v>771</v>
      </c>
      <c r="H564" s="9" t="s">
        <v>772</v>
      </c>
      <c r="L564" s="6" t="n">
        <v>8158.3</v>
      </c>
      <c r="M564" s="1" t="n">
        <v>2457.68</v>
      </c>
      <c r="P564" s="1" t="n">
        <v>45292</v>
      </c>
      <c r="Q564" s="1" t="n">
        <f aca="false">IF(OR($A413="",P413=""),"",ROUND(YEARFRAC(P413,README!$C$5),1))</f>
        <v>14.4</v>
      </c>
      <c r="S564" s="6" t="n">
        <v>5208</v>
      </c>
      <c r="T564" s="6" t="n">
        <v>3985</v>
      </c>
      <c r="U564" s="6" t="n">
        <v>7240</v>
      </c>
      <c r="V564" s="6" t="n">
        <v>3255</v>
      </c>
      <c r="W564" s="6" t="n">
        <v>0.992</v>
      </c>
      <c r="X564" s="1" t="n">
        <v>1</v>
      </c>
      <c r="Y564" s="6" t="n">
        <v>7.4</v>
      </c>
      <c r="Z564" s="6" t="s">
        <v>2408</v>
      </c>
      <c r="AA564" s="9" t="s">
        <v>774</v>
      </c>
      <c r="AB564" s="6" t="s">
        <v>2491</v>
      </c>
      <c r="AC564" s="27" t="n">
        <f aca="false">COUNTIF(環境認証!$A$2:$A$849,A413)</f>
        <v>1</v>
      </c>
      <c r="AD564" s="6" t="n">
        <v>81.7</v>
      </c>
      <c r="AE564" s="6" t="n">
        <v>39</v>
      </c>
    </row>
    <row r="565" customFormat="false" ht="15" hidden="false" customHeight="true" outlineLevel="0" collapsed="false">
      <c r="A565" s="6" t="s">
        <v>2492</v>
      </c>
      <c r="B565" s="6" t="s">
        <v>523</v>
      </c>
      <c r="C565" s="9" t="s">
        <v>2493</v>
      </c>
      <c r="D565" s="9" t="s">
        <v>1894</v>
      </c>
      <c r="E565" s="9" t="s">
        <v>762</v>
      </c>
      <c r="F565" s="9" t="s">
        <v>815</v>
      </c>
      <c r="H565" s="9" t="s">
        <v>772</v>
      </c>
      <c r="L565" s="6" t="n">
        <v>1913.18</v>
      </c>
      <c r="M565" s="1" t="n">
        <v>1121.12</v>
      </c>
      <c r="P565" s="1" t="n">
        <v>44927</v>
      </c>
      <c r="Q565" s="1" t="n">
        <f aca="false">IF(OR($A414="",P414=""),"",ROUND(YEARFRAC(P414,README!$C$5),1))</f>
        <v>31.5</v>
      </c>
      <c r="S565" s="6" t="n">
        <v>2604</v>
      </c>
      <c r="T565" s="6" t="n">
        <v>2385</v>
      </c>
      <c r="U565" s="6" t="n">
        <v>2670</v>
      </c>
      <c r="V565" s="6" t="n">
        <v>285</v>
      </c>
      <c r="W565" s="6" t="n">
        <v>0.979</v>
      </c>
      <c r="X565" s="1" t="n">
        <v>1</v>
      </c>
      <c r="Y565" s="6" t="n">
        <v>9.9</v>
      </c>
      <c r="Z565" s="6" t="s">
        <v>2408</v>
      </c>
      <c r="AA565" s="9" t="s">
        <v>774</v>
      </c>
      <c r="AB565" s="6" t="s">
        <v>2494</v>
      </c>
      <c r="AC565" s="27" t="n">
        <f aca="false">COUNTIF(環境認証!$A$2:$A$849,A414)</f>
        <v>0</v>
      </c>
      <c r="AD565" s="6" t="n">
        <v>11.9</v>
      </c>
      <c r="AE565" s="6" t="n">
        <v>2.5</v>
      </c>
    </row>
    <row r="566" customFormat="false" ht="15" hidden="false" customHeight="true" outlineLevel="0" collapsed="false">
      <c r="A566" s="6" t="s">
        <v>2495</v>
      </c>
      <c r="B566" s="6" t="s">
        <v>523</v>
      </c>
      <c r="C566" s="9" t="s">
        <v>2496</v>
      </c>
      <c r="D566" s="9" t="s">
        <v>1894</v>
      </c>
      <c r="E566" s="9" t="s">
        <v>762</v>
      </c>
      <c r="F566" s="9" t="s">
        <v>782</v>
      </c>
      <c r="H566" s="9" t="s">
        <v>772</v>
      </c>
      <c r="L566" s="6" t="n">
        <v>1793.32</v>
      </c>
      <c r="M566" s="1" t="n">
        <v>757.8</v>
      </c>
      <c r="P566" s="1" t="n">
        <v>45017</v>
      </c>
      <c r="Q566" s="1" t="n">
        <f aca="false">IF(OR($A415="",P415=""),"",ROUND(YEARFRAC(P415,README!$C$5),1))</f>
        <v>20.6</v>
      </c>
      <c r="S566" s="6" t="n">
        <v>1330</v>
      </c>
      <c r="T566" s="6" t="n">
        <v>1109</v>
      </c>
      <c r="U566" s="6" t="n">
        <v>1670</v>
      </c>
      <c r="V566" s="6" t="n">
        <v>561</v>
      </c>
      <c r="W566" s="6" t="n">
        <v>0.875</v>
      </c>
      <c r="X566" s="1" t="n">
        <v>1</v>
      </c>
      <c r="Y566" s="6" t="n">
        <v>10.1</v>
      </c>
      <c r="Z566" s="6" t="s">
        <v>2408</v>
      </c>
      <c r="AA566" s="9" t="s">
        <v>774</v>
      </c>
      <c r="AB566" s="6" t="s">
        <v>2497</v>
      </c>
      <c r="AC566" s="27" t="n">
        <f aca="false">COUNTIF(環境認証!$A$2:$A$849,A415)</f>
        <v>0</v>
      </c>
      <c r="AD566" s="6" t="n">
        <v>50.6</v>
      </c>
      <c r="AE566" s="6" t="n">
        <v>25.6</v>
      </c>
    </row>
    <row r="567" customFormat="false" ht="15" hidden="false" customHeight="true" outlineLevel="0" collapsed="false">
      <c r="A567" s="6" t="s">
        <v>2498</v>
      </c>
      <c r="B567" s="6" t="s">
        <v>523</v>
      </c>
      <c r="C567" s="9" t="s">
        <v>2499</v>
      </c>
      <c r="D567" s="9" t="s">
        <v>1894</v>
      </c>
      <c r="E567" s="9" t="s">
        <v>762</v>
      </c>
      <c r="F567" s="9" t="s">
        <v>782</v>
      </c>
      <c r="H567" s="9" t="s">
        <v>772</v>
      </c>
      <c r="L567" s="6" t="n">
        <v>1399.33</v>
      </c>
      <c r="M567" s="1" t="n">
        <v>6671.59</v>
      </c>
      <c r="P567" s="1" t="n">
        <v>44593</v>
      </c>
      <c r="Q567" s="1" t="n">
        <f aca="false">IF(OR($A416="",P416=""),"",ROUND(YEARFRAC(P416,README!$C$5),1))</f>
        <v>43.4</v>
      </c>
      <c r="S567" s="6" t="n">
        <v>1070</v>
      </c>
      <c r="T567" s="6" t="n">
        <v>844</v>
      </c>
      <c r="U567" s="6" t="n">
        <v>1380</v>
      </c>
      <c r="V567" s="6" t="n">
        <v>536</v>
      </c>
      <c r="W567" s="6" t="n">
        <v>1</v>
      </c>
      <c r="X567" s="1" t="n">
        <v>1</v>
      </c>
      <c r="Y567" s="6" t="n">
        <v>11.2</v>
      </c>
      <c r="Z567" s="6" t="s">
        <v>2408</v>
      </c>
      <c r="AA567" s="9" t="s">
        <v>774</v>
      </c>
      <c r="AB567" s="6" t="s">
        <v>2500</v>
      </c>
      <c r="AC567" s="27" t="n">
        <f aca="false">COUNTIF(環境認証!$A$2:$A$849,A416)</f>
        <v>1</v>
      </c>
      <c r="AD567" s="6" t="n">
        <v>63.5</v>
      </c>
      <c r="AE567" s="6" t="n">
        <v>29</v>
      </c>
    </row>
    <row r="568" customFormat="false" ht="15" hidden="false" customHeight="true" outlineLevel="0" collapsed="false">
      <c r="A568" s="6" t="s">
        <v>2501</v>
      </c>
      <c r="B568" s="6" t="s">
        <v>523</v>
      </c>
      <c r="C568" s="9" t="s">
        <v>2502</v>
      </c>
      <c r="D568" s="9" t="s">
        <v>1894</v>
      </c>
      <c r="E568" s="9" t="s">
        <v>762</v>
      </c>
      <c r="F568" s="9" t="s">
        <v>782</v>
      </c>
      <c r="H568" s="9" t="s">
        <v>772</v>
      </c>
      <c r="L568" s="6" t="n">
        <v>8332.22</v>
      </c>
      <c r="M568" s="1" t="n">
        <v>3428.41</v>
      </c>
      <c r="P568" s="1" t="n">
        <v>44562</v>
      </c>
      <c r="Q568" s="1" t="n">
        <f aca="false">IF(OR($A417="",P417=""),"",ROUND(YEARFRAC(P417,README!$C$5),1))</f>
        <v>20.9</v>
      </c>
      <c r="S568" s="6" t="n">
        <v>4678</v>
      </c>
      <c r="T568" s="6" t="n">
        <v>3830</v>
      </c>
      <c r="U568" s="6" t="n">
        <v>7230</v>
      </c>
      <c r="V568" s="6" t="n">
        <v>3400</v>
      </c>
      <c r="W568" s="6" t="n">
        <v>0.967</v>
      </c>
      <c r="X568" s="1" t="n">
        <v>1</v>
      </c>
      <c r="Y568" s="6" t="n">
        <v>10.3</v>
      </c>
      <c r="Z568" s="6" t="s">
        <v>2408</v>
      </c>
      <c r="AA568" s="9" t="s">
        <v>774</v>
      </c>
      <c r="AB568" s="6" t="s">
        <v>2503</v>
      </c>
      <c r="AC568" s="27" t="n">
        <f aca="false">COUNTIF(環境認証!$A$2:$A$849,A417)</f>
        <v>1</v>
      </c>
      <c r="AD568" s="6" t="n">
        <v>88.8</v>
      </c>
      <c r="AE568" s="6" t="n">
        <v>54.6</v>
      </c>
    </row>
    <row r="569" customFormat="false" ht="15" hidden="false" customHeight="true" outlineLevel="0" collapsed="false">
      <c r="A569" s="6" t="s">
        <v>2504</v>
      </c>
      <c r="B569" s="6" t="s">
        <v>523</v>
      </c>
      <c r="C569" s="9" t="s">
        <v>2505</v>
      </c>
      <c r="D569" s="9" t="s">
        <v>1894</v>
      </c>
      <c r="E569" s="9" t="s">
        <v>762</v>
      </c>
      <c r="F569" s="9" t="s">
        <v>782</v>
      </c>
      <c r="H569" s="9" t="s">
        <v>772</v>
      </c>
      <c r="L569" s="6" t="n">
        <v>2548.44</v>
      </c>
      <c r="M569" s="1" t="n">
        <v>2556.36</v>
      </c>
      <c r="P569" s="1" t="n">
        <v>44256</v>
      </c>
      <c r="Q569" s="1" t="n">
        <f aca="false">IF(OR($A418="",P418=""),"",ROUND(YEARFRAC(P418,README!$C$5),1))</f>
        <v>23</v>
      </c>
      <c r="S569" s="6" t="n">
        <v>2181</v>
      </c>
      <c r="T569" s="6" t="n">
        <v>1675</v>
      </c>
      <c r="U569" s="6" t="n">
        <v>2240</v>
      </c>
      <c r="V569" s="6" t="n">
        <v>565</v>
      </c>
      <c r="W569" s="6" t="n">
        <v>0.942</v>
      </c>
      <c r="X569" s="1" t="n">
        <v>1</v>
      </c>
      <c r="Y569" s="6" t="n">
        <v>11.5</v>
      </c>
      <c r="Z569" s="6" t="s">
        <v>2408</v>
      </c>
      <c r="AA569" s="9" t="s">
        <v>774</v>
      </c>
      <c r="AB569" s="6" t="s">
        <v>2506</v>
      </c>
      <c r="AC569" s="27" t="n">
        <f aca="false">COUNTIF(環境認証!$A$2:$A$849,A418)</f>
        <v>1</v>
      </c>
      <c r="AD569" s="6" t="n">
        <v>33.7</v>
      </c>
      <c r="AE569" s="6" t="n">
        <v>2.7</v>
      </c>
    </row>
    <row r="570" customFormat="false" ht="15" hidden="false" customHeight="true" outlineLevel="0" collapsed="false">
      <c r="A570" s="6" t="s">
        <v>2507</v>
      </c>
      <c r="B570" s="6" t="s">
        <v>523</v>
      </c>
      <c r="C570" s="9" t="s">
        <v>2508</v>
      </c>
      <c r="D570" s="9" t="s">
        <v>1894</v>
      </c>
      <c r="E570" s="9" t="s">
        <v>762</v>
      </c>
      <c r="F570" s="9" t="s">
        <v>820</v>
      </c>
      <c r="H570" s="9" t="s">
        <v>772</v>
      </c>
      <c r="L570" s="6" t="n">
        <v>1714.42</v>
      </c>
      <c r="M570" s="1" t="n">
        <v>2357.28</v>
      </c>
      <c r="P570" s="1" t="n">
        <v>44470</v>
      </c>
      <c r="Q570" s="1" t="n">
        <f aca="false">IF(OR($A419="",P419=""),"",ROUND(YEARFRAC(P419,README!$C$5),1))</f>
        <v>9.1</v>
      </c>
      <c r="S570" s="6" t="n">
        <v>927</v>
      </c>
      <c r="T570" s="6" t="n">
        <v>736</v>
      </c>
      <c r="U570" s="6" t="n">
        <v>1470</v>
      </c>
      <c r="V570" s="6" t="n">
        <v>734</v>
      </c>
      <c r="W570" s="6" t="n">
        <v>0.983</v>
      </c>
      <c r="X570" s="1" t="n">
        <v>1</v>
      </c>
      <c r="Y570" s="6" t="n">
        <v>12.5</v>
      </c>
      <c r="Z570" s="6" t="s">
        <v>2408</v>
      </c>
      <c r="AA570" s="9" t="s">
        <v>774</v>
      </c>
      <c r="AB570" s="6" t="s">
        <v>2509</v>
      </c>
      <c r="AC570" s="27" t="n">
        <f aca="false">COUNTIF(環境認証!$A$2:$A$849,A419)</f>
        <v>2</v>
      </c>
      <c r="AD570" s="6" t="n">
        <v>99.7</v>
      </c>
      <c r="AE570" s="6" t="n">
        <v>58.6</v>
      </c>
    </row>
    <row r="571" customFormat="false" ht="15" hidden="false" customHeight="true" outlineLevel="0" collapsed="false">
      <c r="A571" s="6" t="s">
        <v>2510</v>
      </c>
      <c r="B571" s="6" t="s">
        <v>523</v>
      </c>
      <c r="C571" s="9" t="s">
        <v>2511</v>
      </c>
      <c r="D571" s="9" t="s">
        <v>1894</v>
      </c>
      <c r="E571" s="9" t="s">
        <v>762</v>
      </c>
      <c r="F571" s="9" t="s">
        <v>782</v>
      </c>
      <c r="H571" s="9" t="s">
        <v>772</v>
      </c>
      <c r="L571" s="6" t="n">
        <v>1748.2</v>
      </c>
      <c r="M571" s="1" t="n">
        <v>1725.98</v>
      </c>
      <c r="P571" s="1" t="n">
        <v>44774</v>
      </c>
      <c r="Q571" s="1" t="n">
        <f aca="false">IF(OR($A420="",P420=""),"",ROUND(YEARFRAC(P420,README!$C$5),1))</f>
        <v>2.5</v>
      </c>
      <c r="S571" s="6" t="n">
        <v>1580</v>
      </c>
      <c r="T571" s="6" t="n">
        <v>1337</v>
      </c>
      <c r="U571" s="6" t="n">
        <v>2290</v>
      </c>
      <c r="V571" s="6" t="n">
        <v>953</v>
      </c>
      <c r="W571" s="6" t="n">
        <v>0.968</v>
      </c>
      <c r="X571" s="1" t="n">
        <v>1</v>
      </c>
      <c r="Y571" s="6" t="n">
        <v>14.3</v>
      </c>
      <c r="Z571" s="6" t="s">
        <v>2408</v>
      </c>
      <c r="AA571" s="9" t="s">
        <v>774</v>
      </c>
      <c r="AB571" s="6" t="s">
        <v>2512</v>
      </c>
      <c r="AC571" s="27" t="n">
        <f aca="false">COUNTIF(環境認証!$A$2:$A$849,A420)</f>
        <v>0</v>
      </c>
      <c r="AD571" s="6" t="n">
        <v>71.3</v>
      </c>
      <c r="AE571" s="6" t="n">
        <v>44.9</v>
      </c>
    </row>
    <row r="572" customFormat="false" ht="15" hidden="false" customHeight="true" outlineLevel="0" collapsed="false">
      <c r="A572" s="6" t="s">
        <v>2513</v>
      </c>
      <c r="B572" s="6" t="s">
        <v>523</v>
      </c>
      <c r="C572" s="9" t="s">
        <v>2514</v>
      </c>
      <c r="D572" s="9" t="s">
        <v>1894</v>
      </c>
      <c r="E572" s="9" t="s">
        <v>762</v>
      </c>
      <c r="F572" s="36" t="s">
        <v>1316</v>
      </c>
      <c r="H572" s="9" t="s">
        <v>772</v>
      </c>
      <c r="L572" s="6" t="n">
        <v>2487.72</v>
      </c>
      <c r="M572" s="1" t="n">
        <v>1640.09</v>
      </c>
      <c r="P572" s="1" t="n">
        <v>44713</v>
      </c>
      <c r="Q572" s="1" t="n">
        <f aca="false">IF(OR($A421="",P421=""),"",ROUND(YEARFRAC(P421,README!$C$5),1))</f>
        <v>8</v>
      </c>
      <c r="S572" s="6" t="n">
        <v>1662</v>
      </c>
      <c r="T572" s="6" t="n">
        <v>1380</v>
      </c>
      <c r="U572" s="6" t="n">
        <v>2290</v>
      </c>
      <c r="V572" s="6" t="n">
        <v>910</v>
      </c>
      <c r="W572" s="6" t="n">
        <v>1</v>
      </c>
      <c r="X572" s="1" t="n">
        <v>1</v>
      </c>
      <c r="Y572" s="6" t="n">
        <v>14</v>
      </c>
      <c r="Z572" s="6" t="s">
        <v>2408</v>
      </c>
      <c r="AA572" s="9" t="s">
        <v>774</v>
      </c>
      <c r="AB572" s="6" t="s">
        <v>2515</v>
      </c>
      <c r="AC572" s="27" t="n">
        <f aca="false">COUNTIF(環境認証!$A$2:$A$849,A421)</f>
        <v>0</v>
      </c>
      <c r="AD572" s="6" t="n">
        <v>65.9</v>
      </c>
      <c r="AE572" s="6" t="n">
        <v>37.8</v>
      </c>
    </row>
    <row r="573" customFormat="false" ht="15" hidden="false" customHeight="true" outlineLevel="0" collapsed="false">
      <c r="A573" s="6" t="s">
        <v>2516</v>
      </c>
      <c r="B573" s="6" t="s">
        <v>523</v>
      </c>
      <c r="C573" s="9" t="s">
        <v>2517</v>
      </c>
      <c r="D573" s="9" t="s">
        <v>1894</v>
      </c>
      <c r="E573" s="9" t="s">
        <v>762</v>
      </c>
      <c r="F573" s="9" t="s">
        <v>815</v>
      </c>
      <c r="H573" s="9" t="s">
        <v>772</v>
      </c>
      <c r="L573" s="6" t="n">
        <v>3086.04</v>
      </c>
      <c r="M573" s="1" t="n">
        <v>1364.84</v>
      </c>
      <c r="P573" s="1" t="n">
        <v>44774</v>
      </c>
      <c r="Q573" s="1" t="n">
        <f aca="false">IF(OR($A422="",P422=""),"",ROUND(YEARFRAC(P422,README!$C$5),1))</f>
        <v>30.4</v>
      </c>
      <c r="S573" s="6" t="n">
        <v>2330</v>
      </c>
      <c r="T573" s="6" t="n">
        <v>1837</v>
      </c>
      <c r="U573" s="6" t="n">
        <v>3360</v>
      </c>
      <c r="V573" s="6" t="n">
        <v>1523</v>
      </c>
      <c r="W573" s="6" t="n">
        <v>0.951</v>
      </c>
      <c r="X573" s="1" t="n">
        <v>1</v>
      </c>
      <c r="Y573" s="6" t="n">
        <v>13.1</v>
      </c>
      <c r="Z573" s="6" t="s">
        <v>2408</v>
      </c>
      <c r="AA573" s="9" t="s">
        <v>774</v>
      </c>
      <c r="AB573" s="6" t="s">
        <v>2518</v>
      </c>
      <c r="AC573" s="27" t="n">
        <f aca="false">COUNTIF(環境認証!$A$2:$A$849,A422)</f>
        <v>0</v>
      </c>
      <c r="AD573" s="6" t="n">
        <v>82.9</v>
      </c>
      <c r="AE573" s="6" t="n">
        <v>44.2</v>
      </c>
    </row>
    <row r="574" customFormat="false" ht="15" hidden="false" customHeight="true" outlineLevel="0" collapsed="false">
      <c r="A574" s="6" t="s">
        <v>2519</v>
      </c>
      <c r="B574" s="6" t="s">
        <v>523</v>
      </c>
      <c r="C574" s="9" t="s">
        <v>2520</v>
      </c>
      <c r="D574" s="9" t="s">
        <v>1894</v>
      </c>
      <c r="E574" s="9" t="s">
        <v>762</v>
      </c>
      <c r="F574" s="9" t="s">
        <v>763</v>
      </c>
      <c r="H574" s="9" t="s">
        <v>772</v>
      </c>
      <c r="L574" s="6" t="n">
        <v>2458.84</v>
      </c>
      <c r="M574" s="1" t="n">
        <v>1148.19</v>
      </c>
      <c r="P574" s="1" t="n">
        <v>39600</v>
      </c>
      <c r="Q574" s="1" t="n">
        <f aca="false">IF(OR($A423="",P423=""),"",ROUND(YEARFRAC(P423,README!$C$5),1))</f>
        <v>34.9</v>
      </c>
      <c r="S574" s="6" t="n">
        <v>1723</v>
      </c>
      <c r="T574" s="6" t="n">
        <v>1370</v>
      </c>
      <c r="U574" s="6" t="n">
        <v>2360</v>
      </c>
      <c r="V574" s="6" t="n">
        <v>990</v>
      </c>
      <c r="W574" s="6" t="n">
        <v>1</v>
      </c>
      <c r="X574" s="1" t="n">
        <v>1</v>
      </c>
      <c r="Y574" s="6" t="n">
        <v>13.8</v>
      </c>
      <c r="Z574" s="6" t="s">
        <v>2408</v>
      </c>
      <c r="AA574" s="9" t="s">
        <v>774</v>
      </c>
      <c r="AB574" s="6" t="s">
        <v>2521</v>
      </c>
      <c r="AC574" s="27" t="n">
        <f aca="false">COUNTIF(環境認証!$A$2:$A$849,A423)</f>
        <v>1</v>
      </c>
      <c r="AD574" s="6" t="n">
        <v>72.3</v>
      </c>
      <c r="AE574" s="6" t="n">
        <v>37</v>
      </c>
    </row>
    <row r="575" customFormat="false" ht="15" hidden="false" customHeight="true" outlineLevel="0" collapsed="false">
      <c r="A575" s="6" t="s">
        <v>2522</v>
      </c>
      <c r="B575" s="6" t="s">
        <v>523</v>
      </c>
      <c r="C575" s="9" t="s">
        <v>2523</v>
      </c>
      <c r="D575" s="9" t="s">
        <v>1894</v>
      </c>
      <c r="E575" s="9" t="s">
        <v>762</v>
      </c>
      <c r="F575" s="9" t="s">
        <v>771</v>
      </c>
      <c r="H575" s="9" t="s">
        <v>772</v>
      </c>
      <c r="L575" s="6" t="n">
        <v>1779.32</v>
      </c>
      <c r="M575" s="1" t="n">
        <v>5559.57</v>
      </c>
      <c r="P575" s="1" t="n">
        <v>44986</v>
      </c>
      <c r="Q575" s="1" t="n">
        <f aca="false">IF(OR($A424="",P424=""),"",ROUND(YEARFRAC(P424,README!$C$5),1))</f>
        <v>28.7</v>
      </c>
      <c r="S575" s="6" t="n">
        <v>1460</v>
      </c>
      <c r="T575" s="6" t="n">
        <v>1211</v>
      </c>
      <c r="U575" s="6" t="n">
        <v>2210</v>
      </c>
      <c r="V575" s="6" t="n">
        <v>999</v>
      </c>
      <c r="W575" s="6" t="n">
        <v>0.982</v>
      </c>
      <c r="X575" s="1" t="n">
        <v>1</v>
      </c>
      <c r="Y575" s="6" t="n">
        <v>13.1</v>
      </c>
      <c r="Z575" s="6" t="s">
        <v>2408</v>
      </c>
      <c r="AA575" s="9" t="s">
        <v>774</v>
      </c>
      <c r="AB575" s="6" t="s">
        <v>2524</v>
      </c>
      <c r="AC575" s="27" t="n">
        <f aca="false">COUNTIF(環境認証!$A$2:$A$849,A424)</f>
        <v>1</v>
      </c>
      <c r="AD575" s="6" t="n">
        <v>82.5</v>
      </c>
      <c r="AE575" s="6" t="n">
        <v>51.4</v>
      </c>
    </row>
    <row r="576" customFormat="false" ht="15" hidden="false" customHeight="true" outlineLevel="0" collapsed="false">
      <c r="A576" s="6" t="s">
        <v>2525</v>
      </c>
      <c r="B576" s="6" t="s">
        <v>523</v>
      </c>
      <c r="C576" s="9" t="s">
        <v>2526</v>
      </c>
      <c r="D576" s="9" t="s">
        <v>1894</v>
      </c>
      <c r="E576" s="9" t="s">
        <v>762</v>
      </c>
      <c r="F576" s="9" t="s">
        <v>782</v>
      </c>
      <c r="H576" s="9" t="s">
        <v>772</v>
      </c>
      <c r="L576" s="6" t="n">
        <v>2357.6</v>
      </c>
      <c r="M576" s="1" t="n">
        <v>5653.68</v>
      </c>
      <c r="P576" s="1" t="n">
        <v>44927</v>
      </c>
      <c r="Q576" s="1" t="n">
        <f aca="false">IF(OR($A425="",P425=""),"",ROUND(YEARFRAC(P425,README!$C$5),1))</f>
        <v>30.1</v>
      </c>
      <c r="S576" s="6" t="n">
        <v>2043</v>
      </c>
      <c r="T576" s="6" t="n">
        <v>1591</v>
      </c>
      <c r="U576" s="6" t="n">
        <v>2050</v>
      </c>
      <c r="V576" s="6" t="n">
        <v>459</v>
      </c>
      <c r="W576" s="6" t="n">
        <v>0.94</v>
      </c>
      <c r="X576" s="1" t="n">
        <v>1</v>
      </c>
      <c r="Y576" s="6" t="n">
        <v>13.9</v>
      </c>
      <c r="Z576" s="6" t="s">
        <v>2408</v>
      </c>
      <c r="AA576" s="9" t="s">
        <v>774</v>
      </c>
      <c r="AB576" s="6" t="s">
        <v>2527</v>
      </c>
      <c r="AC576" s="27" t="n">
        <f aca="false">COUNTIF(環境認証!$A$2:$A$849,A425)</f>
        <v>1</v>
      </c>
      <c r="AD576" s="6" t="n">
        <v>28.8</v>
      </c>
      <c r="AE576" s="6" t="n">
        <v>0.3</v>
      </c>
    </row>
    <row r="577" customFormat="false" ht="15" hidden="false" customHeight="true" outlineLevel="0" collapsed="false">
      <c r="A577" s="6" t="s">
        <v>2528</v>
      </c>
      <c r="B577" s="6" t="s">
        <v>523</v>
      </c>
      <c r="C577" s="9" t="s">
        <v>2529</v>
      </c>
      <c r="D577" s="9" t="s">
        <v>1894</v>
      </c>
      <c r="E577" s="9" t="s">
        <v>762</v>
      </c>
      <c r="F577" s="9" t="s">
        <v>782</v>
      </c>
      <c r="H577" s="9" t="s">
        <v>772</v>
      </c>
      <c r="L577" s="6" t="n">
        <v>2129.78</v>
      </c>
      <c r="M577" s="1" t="n">
        <v>2433.74</v>
      </c>
      <c r="P577" s="1" t="n">
        <v>36739</v>
      </c>
      <c r="Q577" s="1" t="n">
        <f aca="false">IF(OR($A426="",P426=""),"",ROUND(YEARFRAC(P426,README!$C$5),1))</f>
        <v>26.1</v>
      </c>
      <c r="S577" s="6" t="n">
        <v>1585</v>
      </c>
      <c r="T577" s="6" t="n">
        <v>1413</v>
      </c>
      <c r="U577" s="6" t="n">
        <v>1930</v>
      </c>
      <c r="V577" s="6" t="n">
        <v>517</v>
      </c>
      <c r="W577" s="6" t="n">
        <v>0.953</v>
      </c>
      <c r="X577" s="1" t="n">
        <v>1</v>
      </c>
      <c r="Y577" s="6" t="n">
        <v>16.1</v>
      </c>
      <c r="Z577" s="6" t="s">
        <v>2408</v>
      </c>
      <c r="AA577" s="9" t="s">
        <v>774</v>
      </c>
      <c r="AB577" s="6" t="s">
        <v>2530</v>
      </c>
      <c r="AC577" s="27" t="n">
        <f aca="false">COUNTIF(環境認証!$A$2:$A$849,A426)</f>
        <v>0</v>
      </c>
      <c r="AD577" s="6" t="n">
        <v>36.6</v>
      </c>
      <c r="AE577" s="6" t="n">
        <v>21.8</v>
      </c>
    </row>
    <row r="578" customFormat="false" ht="15" hidden="false" customHeight="true" outlineLevel="0" collapsed="false">
      <c r="A578" s="6" t="s">
        <v>2531</v>
      </c>
      <c r="B578" s="6" t="s">
        <v>523</v>
      </c>
      <c r="C578" s="9" t="s">
        <v>2532</v>
      </c>
      <c r="D578" s="9" t="s">
        <v>1894</v>
      </c>
      <c r="E578" s="9" t="s">
        <v>762</v>
      </c>
      <c r="F578" s="36" t="s">
        <v>940</v>
      </c>
      <c r="H578" s="9" t="s">
        <v>772</v>
      </c>
      <c r="L578" s="6" t="n">
        <v>1826.5</v>
      </c>
      <c r="M578" s="1" t="n">
        <v>1153.67</v>
      </c>
      <c r="P578" s="1" t="n">
        <v>44866</v>
      </c>
      <c r="Q578" s="1" t="n">
        <f aca="false">IF(OR($A427="",P427=""),"",ROUND(YEARFRAC(P427,README!$C$5),1))</f>
        <v>32.9</v>
      </c>
      <c r="S578" s="6" t="n">
        <v>1556</v>
      </c>
      <c r="T578" s="6" t="n">
        <v>1209</v>
      </c>
      <c r="U578" s="6" t="n">
        <v>1620</v>
      </c>
      <c r="V578" s="6" t="n">
        <v>411</v>
      </c>
      <c r="W578" s="6" t="n">
        <v>0.963</v>
      </c>
      <c r="X578" s="1" t="n">
        <v>1</v>
      </c>
      <c r="Y578" s="6" t="n">
        <v>13.9</v>
      </c>
      <c r="Z578" s="6" t="s">
        <v>2408</v>
      </c>
      <c r="AA578" s="9" t="s">
        <v>774</v>
      </c>
      <c r="AB578" s="6" t="s">
        <v>2533</v>
      </c>
      <c r="AC578" s="27" t="n">
        <f aca="false">COUNTIF(環境認証!$A$2:$A$849,A427)</f>
        <v>1</v>
      </c>
      <c r="AD578" s="6" t="n">
        <v>34</v>
      </c>
      <c r="AE578" s="6" t="n">
        <v>4.1</v>
      </c>
    </row>
    <row r="579" customFormat="false" ht="15" hidden="false" customHeight="true" outlineLevel="0" collapsed="false">
      <c r="A579" s="6" t="s">
        <v>2534</v>
      </c>
      <c r="B579" s="6" t="s">
        <v>523</v>
      </c>
      <c r="C579" s="9" t="s">
        <v>2535</v>
      </c>
      <c r="D579" s="9" t="s">
        <v>1894</v>
      </c>
      <c r="E579" s="9" t="s">
        <v>762</v>
      </c>
      <c r="F579" s="9" t="s">
        <v>782</v>
      </c>
      <c r="H579" s="9" t="s">
        <v>772</v>
      </c>
      <c r="L579" s="6" t="n">
        <v>81760</v>
      </c>
      <c r="M579" s="1" t="n">
        <v>656.4</v>
      </c>
      <c r="P579" s="1" t="n">
        <v>38777</v>
      </c>
      <c r="Q579" s="1" t="n">
        <f aca="false">IF(OR($A428="",P428=""),"",ROUND(YEARFRAC(P428,README!$C$5),1))</f>
        <v>17.6</v>
      </c>
      <c r="S579" s="6" t="n">
        <v>7590</v>
      </c>
      <c r="T579" s="6" t="n">
        <v>4675</v>
      </c>
      <c r="U579" s="6" t="n">
        <v>8210</v>
      </c>
      <c r="V579" s="6" t="n">
        <v>3535</v>
      </c>
      <c r="W579" s="6" t="n">
        <v>0.963</v>
      </c>
      <c r="X579" s="1" t="n">
        <v>1</v>
      </c>
      <c r="Y579" s="6" t="n">
        <v>11.2</v>
      </c>
      <c r="Z579" s="6" t="s">
        <v>2408</v>
      </c>
      <c r="AA579" s="9" t="s">
        <v>774</v>
      </c>
      <c r="AB579" s="6" t="s">
        <v>2536</v>
      </c>
      <c r="AC579" s="27" t="n">
        <f aca="false">COUNTIF(環境認証!$A$2:$A$849,A428)</f>
        <v>1</v>
      </c>
      <c r="AD579" s="6" t="n">
        <v>75.6</v>
      </c>
      <c r="AE579" s="6" t="n">
        <v>8.2</v>
      </c>
    </row>
    <row r="580" customFormat="false" ht="15" hidden="false" customHeight="true" outlineLevel="0" collapsed="false">
      <c r="A580" s="6" t="s">
        <v>2537</v>
      </c>
      <c r="B580" s="6" t="s">
        <v>523</v>
      </c>
      <c r="C580" s="9" t="s">
        <v>2538</v>
      </c>
      <c r="D580" s="9" t="s">
        <v>1894</v>
      </c>
      <c r="E580" s="9" t="s">
        <v>762</v>
      </c>
      <c r="F580" s="9" t="s">
        <v>782</v>
      </c>
      <c r="H580" s="9" t="s">
        <v>772</v>
      </c>
      <c r="L580" s="6" t="n">
        <v>6329.52</v>
      </c>
      <c r="M580" s="1" t="n">
        <v>944.99</v>
      </c>
      <c r="P580" s="1" t="n">
        <v>38961</v>
      </c>
      <c r="Q580" s="1" t="n">
        <f aca="false">IF(OR($A429="",P429=""),"",ROUND(YEARFRAC(P429,README!$C$5),1))</f>
        <v>23.5</v>
      </c>
      <c r="S580" s="6" t="n">
        <v>3930</v>
      </c>
      <c r="T580" s="6" t="n">
        <v>3797</v>
      </c>
      <c r="U580" s="6" t="n">
        <v>4680</v>
      </c>
      <c r="V580" s="6" t="n">
        <v>883</v>
      </c>
      <c r="W580" s="6" t="n">
        <v>0.953</v>
      </c>
      <c r="X580" s="1" t="n">
        <v>1</v>
      </c>
      <c r="Y580" s="6" t="n">
        <v>11.7</v>
      </c>
      <c r="Z580" s="6" t="s">
        <v>2408</v>
      </c>
      <c r="AA580" s="9" t="s">
        <v>774</v>
      </c>
      <c r="AB580" s="6" t="s">
        <v>2539</v>
      </c>
      <c r="AC580" s="27" t="n">
        <f aca="false">COUNTIF(環境認証!$A$2:$A$849,A429)</f>
        <v>1</v>
      </c>
      <c r="AD580" s="6" t="n">
        <v>23.3</v>
      </c>
      <c r="AE580" s="6" t="n">
        <v>19.1</v>
      </c>
    </row>
    <row r="581" customFormat="false" ht="15" hidden="false" customHeight="true" outlineLevel="0" collapsed="false">
      <c r="A581" s="6" t="s">
        <v>2540</v>
      </c>
      <c r="B581" s="6" t="s">
        <v>523</v>
      </c>
      <c r="C581" s="9" t="s">
        <v>2541</v>
      </c>
      <c r="D581" s="9" t="s">
        <v>1894</v>
      </c>
      <c r="E581" s="9" t="s">
        <v>762</v>
      </c>
      <c r="F581" s="9" t="s">
        <v>771</v>
      </c>
      <c r="H581" s="9" t="s">
        <v>772</v>
      </c>
      <c r="L581" s="6" t="n">
        <v>11203.4</v>
      </c>
      <c r="M581" s="1" t="n">
        <v>1309.45</v>
      </c>
      <c r="P581" s="1" t="n">
        <v>45748</v>
      </c>
      <c r="Q581" s="1" t="n">
        <f aca="false">IF(OR($A430="",P430=""),"",ROUND(YEARFRAC(P430,README!$C$5),1))</f>
        <v>39.9</v>
      </c>
      <c r="S581" s="6" t="n">
        <v>6500</v>
      </c>
      <c r="T581" s="6" t="n">
        <v>5736</v>
      </c>
      <c r="U581" s="6" t="n">
        <v>5870</v>
      </c>
      <c r="V581" s="6" t="n">
        <v>134</v>
      </c>
      <c r="W581" s="6" t="n">
        <v>0.957</v>
      </c>
      <c r="X581" s="1" t="n">
        <v>1</v>
      </c>
      <c r="Y581" s="6" t="n">
        <v>7.2</v>
      </c>
      <c r="Z581" s="6" t="s">
        <v>2408</v>
      </c>
      <c r="AA581" s="9" t="s">
        <v>774</v>
      </c>
      <c r="AB581" s="6" t="s">
        <v>2542</v>
      </c>
      <c r="AC581" s="27" t="n">
        <f aca="false">COUNTIF(環境認証!$A$2:$A$849,A430)</f>
        <v>2</v>
      </c>
      <c r="AD581" s="6" t="n">
        <v>2.3</v>
      </c>
      <c r="AE581" s="6" t="n">
        <v>-9.7</v>
      </c>
    </row>
    <row r="582" customFormat="false" ht="15" hidden="false" customHeight="true" outlineLevel="0" collapsed="false">
      <c r="A582" s="6" t="s">
        <v>2543</v>
      </c>
      <c r="B582" s="6" t="s">
        <v>523</v>
      </c>
      <c r="C582" s="9" t="s">
        <v>2544</v>
      </c>
      <c r="D582" s="9" t="s">
        <v>1894</v>
      </c>
      <c r="E582" s="9" t="s">
        <v>762</v>
      </c>
      <c r="F582" s="9" t="s">
        <v>782</v>
      </c>
      <c r="H582" s="9" t="s">
        <v>772</v>
      </c>
      <c r="L582" s="6" t="n">
        <v>104186.74</v>
      </c>
      <c r="M582" s="1" t="n">
        <v>1215.78</v>
      </c>
      <c r="P582" s="1" t="n">
        <v>45658</v>
      </c>
      <c r="Q582" s="1" t="n">
        <f aca="false">IF(OR($A431="",P431=""),"",ROUND(YEARFRAC(P431,README!$C$5),1))</f>
        <v>13.4</v>
      </c>
      <c r="S582" s="6" t="n">
        <v>5500</v>
      </c>
      <c r="T582" s="6" t="n">
        <v>3824</v>
      </c>
      <c r="U582" s="6" t="n">
        <v>7170</v>
      </c>
      <c r="V582" s="6" t="n">
        <v>3346</v>
      </c>
      <c r="W582" s="6" t="n">
        <v>0.978</v>
      </c>
      <c r="X582" s="1" t="n">
        <v>1</v>
      </c>
      <c r="Y582" s="6" t="n">
        <v>10</v>
      </c>
      <c r="Z582" s="6" t="s">
        <v>2408</v>
      </c>
      <c r="AA582" s="9" t="s">
        <v>774</v>
      </c>
      <c r="AB582" s="6" t="s">
        <v>2545</v>
      </c>
      <c r="AC582" s="27" t="n">
        <f aca="false">COUNTIF(環境認証!$A$2:$A$849,A431)</f>
        <v>0</v>
      </c>
      <c r="AD582" s="6" t="n">
        <v>87.5</v>
      </c>
      <c r="AE582" s="6" t="n">
        <v>30.4</v>
      </c>
    </row>
    <row r="583" customFormat="false" ht="15" hidden="false" customHeight="true" outlineLevel="0" collapsed="false">
      <c r="A583" s="6" t="s">
        <v>2546</v>
      </c>
      <c r="B583" s="6" t="s">
        <v>523</v>
      </c>
      <c r="C583" s="9" t="s">
        <v>2547</v>
      </c>
      <c r="D583" s="9" t="s">
        <v>1894</v>
      </c>
      <c r="E583" s="9" t="s">
        <v>762</v>
      </c>
      <c r="F583" s="9" t="s">
        <v>815</v>
      </c>
      <c r="H583" s="9" t="s">
        <v>772</v>
      </c>
      <c r="L583" s="6" t="n">
        <v>5408.95</v>
      </c>
      <c r="M583" s="1" t="n">
        <v>1496.46</v>
      </c>
      <c r="P583" s="1" t="n">
        <v>39114</v>
      </c>
      <c r="Q583" s="1" t="n">
        <f aca="false">IF(OR($A432="",P432=""),"",ROUND(YEARFRAC(P432,README!$C$5),1))</f>
        <v>13.5</v>
      </c>
      <c r="S583" s="6" t="n">
        <v>4500</v>
      </c>
      <c r="T583" s="6" t="n">
        <v>4237</v>
      </c>
      <c r="U583" s="6" t="n">
        <v>6880</v>
      </c>
      <c r="V583" s="6" t="n">
        <v>2643</v>
      </c>
      <c r="W583" s="6" t="n">
        <v>0.952</v>
      </c>
      <c r="X583" s="1" t="n">
        <v>1</v>
      </c>
      <c r="Y583" s="6" t="n">
        <v>12.7</v>
      </c>
      <c r="Z583" s="6" t="s">
        <v>2408</v>
      </c>
      <c r="AA583" s="9" t="s">
        <v>774</v>
      </c>
      <c r="AB583" s="6" t="s">
        <v>2548</v>
      </c>
      <c r="AC583" s="27" t="n">
        <f aca="false">COUNTIF(環境認証!$A$2:$A$849,A432)</f>
        <v>1</v>
      </c>
      <c r="AD583" s="6" t="n">
        <v>62.4</v>
      </c>
      <c r="AE583" s="6" t="n">
        <v>52.9</v>
      </c>
    </row>
    <row r="584" customFormat="false" ht="15" hidden="false" customHeight="true" outlineLevel="0" collapsed="false">
      <c r="A584" s="6" t="s">
        <v>2549</v>
      </c>
      <c r="B584" s="6" t="s">
        <v>523</v>
      </c>
      <c r="C584" s="9" t="s">
        <v>2550</v>
      </c>
      <c r="D584" s="9" t="s">
        <v>1894</v>
      </c>
      <c r="E584" s="9" t="s">
        <v>762</v>
      </c>
      <c r="F584" s="9" t="s">
        <v>771</v>
      </c>
      <c r="H584" s="9" t="s">
        <v>772</v>
      </c>
      <c r="L584" s="6" t="n">
        <v>3662.97</v>
      </c>
      <c r="M584" s="1" t="n">
        <v>1318.72</v>
      </c>
      <c r="P584" s="1" t="n">
        <v>44958</v>
      </c>
      <c r="Q584" s="1" t="n">
        <f aca="false">IF(OR($A433="",P433=""),"",ROUND(YEARFRAC(P433,README!$C$5),1))</f>
        <v>30.1</v>
      </c>
      <c r="S584" s="6" t="n">
        <v>1385</v>
      </c>
      <c r="T584" s="6" t="n">
        <v>1444</v>
      </c>
      <c r="U584" s="6" t="n">
        <v>2700</v>
      </c>
      <c r="V584" s="6" t="n">
        <v>1256</v>
      </c>
      <c r="W584" s="6" t="n">
        <v>0.948</v>
      </c>
      <c r="X584" s="1" t="n">
        <v>1</v>
      </c>
      <c r="Y584" s="6" t="n">
        <v>12</v>
      </c>
      <c r="Z584" s="6" t="s">
        <v>2408</v>
      </c>
      <c r="AA584" s="9" t="s">
        <v>774</v>
      </c>
      <c r="AB584" s="6" t="s">
        <v>2551</v>
      </c>
      <c r="AC584" s="27" t="n">
        <f aca="false">COUNTIF(環境認証!$A$2:$A$849,A433)</f>
        <v>1</v>
      </c>
      <c r="AD584" s="6" t="n">
        <v>87</v>
      </c>
      <c r="AE584" s="6" t="n">
        <v>94.9</v>
      </c>
    </row>
    <row r="585" customFormat="false" ht="15" hidden="false" customHeight="true" outlineLevel="0" collapsed="false">
      <c r="A585" s="6" t="s">
        <v>2552</v>
      </c>
      <c r="B585" s="6" t="s">
        <v>523</v>
      </c>
      <c r="C585" s="9" t="s">
        <v>2553</v>
      </c>
      <c r="D585" s="9" t="s">
        <v>1894</v>
      </c>
      <c r="E585" s="9" t="s">
        <v>762</v>
      </c>
      <c r="F585" s="9" t="s">
        <v>782</v>
      </c>
      <c r="H585" s="9" t="s">
        <v>772</v>
      </c>
      <c r="L585" s="6" t="n">
        <v>1354.85</v>
      </c>
      <c r="M585" s="1" t="n">
        <v>5029.64</v>
      </c>
      <c r="P585" s="1" t="n">
        <v>45200</v>
      </c>
      <c r="Q585" s="1" t="n">
        <f aca="false">IF(OR($A434="",P434=""),"",ROUND(YEARFRAC(P434,README!$C$5),1))</f>
        <v>32.2</v>
      </c>
      <c r="S585" s="6" t="n">
        <v>1420</v>
      </c>
      <c r="T585" s="6" t="n">
        <v>1417</v>
      </c>
      <c r="U585" s="6" t="n">
        <v>1800</v>
      </c>
      <c r="V585" s="6" t="n">
        <v>383</v>
      </c>
      <c r="W585" s="6" t="n">
        <v>0.944</v>
      </c>
      <c r="X585" s="1" t="n">
        <v>1</v>
      </c>
      <c r="Y585" s="6" t="n">
        <v>14.6</v>
      </c>
      <c r="Z585" s="6" t="s">
        <v>2408</v>
      </c>
      <c r="AA585" s="9" t="s">
        <v>774</v>
      </c>
      <c r="AB585" s="6" t="s">
        <v>2554</v>
      </c>
      <c r="AC585" s="27" t="n">
        <f aca="false">COUNTIF(環境認証!$A$2:$A$849,A434)</f>
        <v>1</v>
      </c>
      <c r="AD585" s="6" t="n">
        <v>27</v>
      </c>
      <c r="AE585" s="6" t="n">
        <v>26.8</v>
      </c>
    </row>
    <row r="586" customFormat="false" ht="15" hidden="false" customHeight="true" outlineLevel="0" collapsed="false">
      <c r="A586" s="6" t="s">
        <v>2555</v>
      </c>
      <c r="B586" s="6" t="s">
        <v>523</v>
      </c>
      <c r="C586" s="9" t="s">
        <v>2556</v>
      </c>
      <c r="D586" s="9" t="s">
        <v>1894</v>
      </c>
      <c r="E586" s="9" t="s">
        <v>762</v>
      </c>
      <c r="F586" s="9" t="s">
        <v>815</v>
      </c>
      <c r="H586" s="9" t="s">
        <v>772</v>
      </c>
      <c r="L586" s="6" t="n">
        <v>1452.61</v>
      </c>
      <c r="M586" s="1" t="n">
        <v>3927.51</v>
      </c>
      <c r="P586" s="1" t="n">
        <v>45047</v>
      </c>
      <c r="Q586" s="1" t="n">
        <f aca="false">IF(OR($A435="",P435=""),"",ROUND(YEARFRAC(P435,README!$C$5),1))</f>
        <v>4.4</v>
      </c>
      <c r="S586" s="6" t="n">
        <v>1080</v>
      </c>
      <c r="T586" s="6" t="n">
        <v>1045</v>
      </c>
      <c r="U586" s="6" t="n">
        <v>1350</v>
      </c>
      <c r="V586" s="6" t="n">
        <v>305</v>
      </c>
      <c r="W586" s="6" t="n">
        <v>0.948</v>
      </c>
      <c r="X586" s="1" t="n">
        <v>1</v>
      </c>
      <c r="Y586" s="6" t="n">
        <v>10.5</v>
      </c>
      <c r="Z586" s="6" t="s">
        <v>2408</v>
      </c>
      <c r="AA586" s="9" t="s">
        <v>774</v>
      </c>
      <c r="AB586" s="6" t="s">
        <v>2557</v>
      </c>
      <c r="AC586" s="27" t="n">
        <f aca="false">COUNTIF(環境認証!$A$2:$A$849,A435)</f>
        <v>1</v>
      </c>
      <c r="AD586" s="6" t="n">
        <v>29.2</v>
      </c>
      <c r="AE586" s="6" t="n">
        <v>25</v>
      </c>
    </row>
    <row r="587" customFormat="false" ht="15" hidden="false" customHeight="true" outlineLevel="0" collapsed="false">
      <c r="A587" s="6" t="s">
        <v>2558</v>
      </c>
      <c r="B587" s="6" t="s">
        <v>523</v>
      </c>
      <c r="C587" s="9" t="s">
        <v>2559</v>
      </c>
      <c r="D587" s="9" t="s">
        <v>1894</v>
      </c>
      <c r="E587" s="9" t="s">
        <v>762</v>
      </c>
      <c r="F587" s="9" t="s">
        <v>848</v>
      </c>
      <c r="H587" s="9" t="s">
        <v>882</v>
      </c>
      <c r="L587" s="6" t="n">
        <v>1462.62</v>
      </c>
      <c r="M587" s="1" t="n">
        <v>6444.69</v>
      </c>
      <c r="P587" s="1" t="n">
        <v>45292</v>
      </c>
      <c r="Q587" s="1" t="n">
        <f aca="false">IF(OR($A436="",P436=""),"",ROUND(YEARFRAC(P436,README!$C$5),1))</f>
        <v>12.9</v>
      </c>
      <c r="S587" s="6" t="n">
        <v>1072</v>
      </c>
      <c r="T587" s="6" t="n">
        <v>795</v>
      </c>
      <c r="U587" s="6" t="n">
        <v>1270</v>
      </c>
      <c r="V587" s="6" t="n">
        <v>475</v>
      </c>
      <c r="W587" s="6" t="n">
        <v>0.984</v>
      </c>
      <c r="X587" s="1" t="n">
        <v>1</v>
      </c>
      <c r="Y587" s="6" t="n">
        <v>12.1</v>
      </c>
      <c r="Z587" s="6" t="s">
        <v>2408</v>
      </c>
      <c r="AA587" s="9" t="s">
        <v>774</v>
      </c>
      <c r="AB587" s="6" t="s">
        <v>2560</v>
      </c>
      <c r="AC587" s="27" t="n">
        <f aca="false">COUNTIF(環境認証!$A$2:$A$849,A436)</f>
        <v>0</v>
      </c>
      <c r="AD587" s="6" t="n">
        <v>59.7</v>
      </c>
      <c r="AE587" s="6" t="n">
        <v>18.5</v>
      </c>
    </row>
    <row r="588" customFormat="false" ht="15" hidden="false" customHeight="true" outlineLevel="0" collapsed="false">
      <c r="A588" s="6" t="s">
        <v>2561</v>
      </c>
      <c r="B588" s="6" t="s">
        <v>523</v>
      </c>
      <c r="C588" s="9" t="s">
        <v>2562</v>
      </c>
      <c r="D588" s="9" t="s">
        <v>1894</v>
      </c>
      <c r="E588" s="9" t="s">
        <v>762</v>
      </c>
      <c r="F588" s="9" t="s">
        <v>1676</v>
      </c>
      <c r="H588" s="9" t="s">
        <v>882</v>
      </c>
      <c r="L588" s="6" t="n">
        <v>1583.61</v>
      </c>
      <c r="M588" s="1" t="n">
        <v>2736.6</v>
      </c>
      <c r="P588" s="1" t="n">
        <v>45292</v>
      </c>
      <c r="Q588" s="1" t="str">
        <f aca="false">IF(OR($A437="",P437=""),"",ROUND(YEARFRAC(P437,README!$C$5),1))</f>
        <v/>
      </c>
      <c r="S588" s="6" t="n">
        <v>975</v>
      </c>
      <c r="T588" s="6" t="n">
        <v>1034</v>
      </c>
      <c r="U588" s="6" t="n">
        <v>1540</v>
      </c>
      <c r="V588" s="6" t="n">
        <v>506</v>
      </c>
      <c r="W588" s="6" t="n">
        <v>0.931</v>
      </c>
      <c r="X588" s="1" t="n">
        <v>1</v>
      </c>
      <c r="Y588" s="6" t="n">
        <v>12.1</v>
      </c>
      <c r="Z588" s="6" t="s">
        <v>2408</v>
      </c>
      <c r="AA588" s="9" t="s">
        <v>774</v>
      </c>
      <c r="AB588" s="6" t="s">
        <v>2563</v>
      </c>
      <c r="AC588" s="27" t="n">
        <f aca="false">COUNTIF(環境認証!$A$2:$A$849,A437)</f>
        <v>0</v>
      </c>
      <c r="AD588" s="6" t="n">
        <v>48.9</v>
      </c>
      <c r="AE588" s="6" t="n">
        <v>57.9</v>
      </c>
    </row>
    <row r="589" customFormat="false" ht="15" hidden="false" customHeight="true" outlineLevel="0" collapsed="false">
      <c r="A589" s="6" t="s">
        <v>2564</v>
      </c>
      <c r="B589" s="6" t="s">
        <v>523</v>
      </c>
      <c r="C589" s="9" t="s">
        <v>2565</v>
      </c>
      <c r="D589" s="9" t="s">
        <v>1894</v>
      </c>
      <c r="E589" s="9" t="s">
        <v>762</v>
      </c>
      <c r="F589" s="9" t="s">
        <v>1148</v>
      </c>
      <c r="H589" s="9" t="s">
        <v>882</v>
      </c>
      <c r="L589" s="6" t="n">
        <v>2446.34</v>
      </c>
      <c r="M589" s="1" t="n">
        <v>2129.76</v>
      </c>
      <c r="P589" s="1" t="n">
        <v>45047</v>
      </c>
      <c r="Q589" s="1" t="str">
        <f aca="false">IF(OR($A438="",P438=""),"",ROUND(YEARFRAC(P438,README!$C$5),1))</f>
        <v/>
      </c>
      <c r="S589" s="6" t="n">
        <v>1560</v>
      </c>
      <c r="T589" s="6" t="n">
        <v>1221</v>
      </c>
      <c r="U589" s="6" t="n">
        <v>1460</v>
      </c>
      <c r="V589" s="6" t="n">
        <v>239</v>
      </c>
      <c r="W589" s="6" t="n">
        <v>0.97</v>
      </c>
      <c r="X589" s="1" t="n">
        <v>1</v>
      </c>
      <c r="Y589" s="6" t="n">
        <v>15.7</v>
      </c>
      <c r="Z589" s="6" t="s">
        <v>2408</v>
      </c>
      <c r="AA589" s="9" t="s">
        <v>774</v>
      </c>
      <c r="AB589" s="6" t="s">
        <v>2566</v>
      </c>
      <c r="AC589" s="27" t="n">
        <f aca="false">COUNTIF(環境認証!$A$2:$A$849,A438)</f>
        <v>0</v>
      </c>
      <c r="AD589" s="6" t="n">
        <v>19.6</v>
      </c>
      <c r="AE589" s="6" t="n">
        <v>-6.4</v>
      </c>
    </row>
    <row r="590" customFormat="false" ht="15" hidden="false" customHeight="true" outlineLevel="0" collapsed="false">
      <c r="A590" s="6" t="s">
        <v>2567</v>
      </c>
      <c r="B590" s="6" t="s">
        <v>523</v>
      </c>
      <c r="C590" s="9" t="s">
        <v>2568</v>
      </c>
      <c r="D590" s="9" t="s">
        <v>1894</v>
      </c>
      <c r="E590" s="9" t="s">
        <v>762</v>
      </c>
      <c r="F590" s="9" t="s">
        <v>905</v>
      </c>
      <c r="H590" s="9" t="s">
        <v>882</v>
      </c>
      <c r="L590" s="6" t="n">
        <v>1904.5</v>
      </c>
      <c r="M590" s="1" t="n">
        <v>1551.15</v>
      </c>
      <c r="P590" s="1" t="n">
        <v>45139</v>
      </c>
      <c r="Q590" s="1" t="n">
        <f aca="false">IF(OR($A439="",P439=""),"",ROUND(YEARFRAC(P439,README!$C$5),1))</f>
        <v>26.9</v>
      </c>
      <c r="S590" s="6" t="n">
        <v>1525</v>
      </c>
      <c r="T590" s="6" t="n">
        <v>1273</v>
      </c>
      <c r="U590" s="6" t="n">
        <v>1980</v>
      </c>
      <c r="V590" s="6" t="n">
        <v>707</v>
      </c>
      <c r="W590" s="6" t="n">
        <v>0.931</v>
      </c>
      <c r="X590" s="1" t="n">
        <v>1</v>
      </c>
      <c r="Y590" s="6" t="n">
        <v>13.6</v>
      </c>
      <c r="Z590" s="6" t="s">
        <v>2408</v>
      </c>
      <c r="AA590" s="9" t="s">
        <v>774</v>
      </c>
      <c r="AB590" s="6" t="s">
        <v>2569</v>
      </c>
      <c r="AC590" s="27" t="n">
        <f aca="false">COUNTIF(環境認証!$A$2:$A$849,A439)</f>
        <v>1</v>
      </c>
      <c r="AD590" s="6" t="n">
        <v>55.5</v>
      </c>
      <c r="AE590" s="6" t="n">
        <v>29.8</v>
      </c>
    </row>
    <row r="591" customFormat="false" ht="15" hidden="false" customHeight="true" outlineLevel="0" collapsed="false">
      <c r="A591" s="6" t="s">
        <v>2570</v>
      </c>
      <c r="B591" s="6" t="s">
        <v>523</v>
      </c>
      <c r="C591" s="9" t="s">
        <v>2571</v>
      </c>
      <c r="D591" s="9" t="s">
        <v>1894</v>
      </c>
      <c r="E591" s="9" t="s">
        <v>762</v>
      </c>
      <c r="F591" s="9" t="s">
        <v>1676</v>
      </c>
      <c r="H591" s="9" t="s">
        <v>882</v>
      </c>
      <c r="L591" s="6" t="n">
        <v>2527.46</v>
      </c>
      <c r="M591" s="1" t="n">
        <v>1074.64</v>
      </c>
      <c r="P591" s="1" t="n">
        <v>45536</v>
      </c>
      <c r="Q591" s="1" t="n">
        <f aca="false">IF(OR($A440="",P440=""),"",ROUND(YEARFRAC(P440,README!$C$5),1))</f>
        <v>28.6</v>
      </c>
      <c r="S591" s="6" t="n">
        <v>1803</v>
      </c>
      <c r="T591" s="6" t="n">
        <v>1365</v>
      </c>
      <c r="U591" s="6" t="n">
        <v>2240</v>
      </c>
      <c r="V591" s="6" t="n">
        <v>875</v>
      </c>
      <c r="W591" s="6" t="n">
        <v>0.931</v>
      </c>
      <c r="X591" s="1" t="n">
        <v>1</v>
      </c>
      <c r="Y591" s="6" t="n">
        <v>17.2</v>
      </c>
      <c r="Z591" s="6" t="s">
        <v>2408</v>
      </c>
      <c r="AA591" s="9" t="s">
        <v>774</v>
      </c>
      <c r="AB591" s="6" t="s">
        <v>2572</v>
      </c>
      <c r="AC591" s="27" t="n">
        <f aca="false">COUNTIF(環境認証!$A$2:$A$849,A440)</f>
        <v>1</v>
      </c>
      <c r="AD591" s="6" t="n">
        <v>64.1</v>
      </c>
      <c r="AE591" s="6" t="n">
        <v>24.2</v>
      </c>
    </row>
    <row r="592" customFormat="false" ht="15" hidden="false" customHeight="true" outlineLevel="0" collapsed="false">
      <c r="A592" s="6" t="s">
        <v>2573</v>
      </c>
      <c r="B592" s="6" t="s">
        <v>523</v>
      </c>
      <c r="C592" s="9" t="s">
        <v>2574</v>
      </c>
      <c r="D592" s="9" t="s">
        <v>1894</v>
      </c>
      <c r="E592" s="9" t="s">
        <v>762</v>
      </c>
      <c r="F592" s="36" t="s">
        <v>2007</v>
      </c>
      <c r="H592" s="9" t="s">
        <v>882</v>
      </c>
      <c r="L592" s="6" t="n">
        <v>2400.76</v>
      </c>
      <c r="M592" s="1" t="n">
        <v>2322.28</v>
      </c>
      <c r="P592" s="1" t="n">
        <v>40210</v>
      </c>
      <c r="Q592" s="1" t="n">
        <f aca="false">IF(OR($A441="",P441=""),"",ROUND(YEARFRAC(P441,README!$C$5),1))</f>
        <v>40.9</v>
      </c>
      <c r="S592" s="6" t="n">
        <v>1830</v>
      </c>
      <c r="T592" s="6" t="n">
        <v>1337</v>
      </c>
      <c r="U592" s="6" t="n">
        <v>2400</v>
      </c>
      <c r="V592" s="6" t="n">
        <v>1063</v>
      </c>
      <c r="W592" s="6" t="n">
        <v>0.95</v>
      </c>
      <c r="X592" s="1" t="n">
        <v>1</v>
      </c>
      <c r="Y592" s="6" t="n">
        <v>18</v>
      </c>
      <c r="Z592" s="6" t="s">
        <v>2408</v>
      </c>
      <c r="AA592" s="9" t="s">
        <v>774</v>
      </c>
      <c r="AB592" s="6" t="s">
        <v>2575</v>
      </c>
      <c r="AC592" s="27" t="n">
        <f aca="false">COUNTIF(環境認証!$A$2:$A$849,A441)</f>
        <v>1</v>
      </c>
      <c r="AD592" s="6" t="n">
        <v>79.5</v>
      </c>
      <c r="AE592" s="6" t="n">
        <v>31.1</v>
      </c>
    </row>
    <row r="593" customFormat="false" ht="15" hidden="false" customHeight="true" outlineLevel="0" collapsed="false">
      <c r="A593" s="6" t="s">
        <v>2576</v>
      </c>
      <c r="B593" s="6" t="s">
        <v>523</v>
      </c>
      <c r="C593" s="9" t="s">
        <v>2577</v>
      </c>
      <c r="D593" s="9" t="s">
        <v>1894</v>
      </c>
      <c r="E593" s="9" t="s">
        <v>762</v>
      </c>
      <c r="F593" s="9" t="s">
        <v>911</v>
      </c>
      <c r="H593" s="9" t="s">
        <v>882</v>
      </c>
      <c r="L593" s="6" t="n">
        <v>1894.61</v>
      </c>
      <c r="M593" s="1" t="n">
        <v>1872.1</v>
      </c>
      <c r="P593" s="1" t="n">
        <v>40210</v>
      </c>
      <c r="Q593" s="1" t="n">
        <f aca="false">IF(OR($A442="",P442=""),"",ROUND(YEARFRAC(P442,README!$C$5),1))</f>
        <v>28.1</v>
      </c>
      <c r="S593" s="6" t="n">
        <v>1310</v>
      </c>
      <c r="T593" s="6" t="n">
        <v>1057</v>
      </c>
      <c r="U593" s="6" t="n">
        <v>1710</v>
      </c>
      <c r="V593" s="6" t="n">
        <v>653</v>
      </c>
      <c r="W593" s="6" t="n">
        <v>0.986</v>
      </c>
      <c r="X593" s="1" t="n">
        <v>1</v>
      </c>
      <c r="Y593" s="6" t="n">
        <v>22.5</v>
      </c>
      <c r="Z593" s="6" t="s">
        <v>2408</v>
      </c>
      <c r="AA593" s="9" t="s">
        <v>774</v>
      </c>
      <c r="AB593" s="6" t="s">
        <v>2578</v>
      </c>
      <c r="AC593" s="27" t="n">
        <f aca="false">COUNTIF(環境認証!$A$2:$A$849,A442)</f>
        <v>0</v>
      </c>
      <c r="AD593" s="6" t="n">
        <v>61.8</v>
      </c>
      <c r="AE593" s="6" t="n">
        <v>30.5</v>
      </c>
    </row>
    <row r="594" customFormat="false" ht="15" hidden="false" customHeight="true" outlineLevel="0" collapsed="false">
      <c r="A594" s="6" t="s">
        <v>2579</v>
      </c>
      <c r="B594" s="6" t="s">
        <v>523</v>
      </c>
      <c r="C594" s="9" t="s">
        <v>2580</v>
      </c>
      <c r="D594" s="9" t="s">
        <v>1894</v>
      </c>
      <c r="E594" s="9" t="s">
        <v>762</v>
      </c>
      <c r="F594" s="9" t="s">
        <v>1316</v>
      </c>
      <c r="G594" s="36" t="s">
        <v>2581</v>
      </c>
      <c r="H594" s="9" t="s">
        <v>882</v>
      </c>
      <c r="L594" s="6" t="n">
        <v>3852.86</v>
      </c>
      <c r="M594" s="1" t="n">
        <v>31989.96</v>
      </c>
      <c r="P594" s="1" t="n">
        <v>44835</v>
      </c>
      <c r="Q594" s="1" t="n">
        <f aca="false">IF(OR($A443="",P443=""),"",ROUND(YEARFRAC(P443,README!$C$5),1))</f>
        <v>21.9</v>
      </c>
      <c r="S594" s="6" t="n">
        <v>2640</v>
      </c>
      <c r="T594" s="6" t="n">
        <v>2098</v>
      </c>
      <c r="U594" s="6" t="n">
        <v>3780</v>
      </c>
      <c r="V594" s="6" t="n">
        <v>1682</v>
      </c>
      <c r="W594" s="6" t="n">
        <v>0.975</v>
      </c>
      <c r="X594" s="1" t="n">
        <v>393</v>
      </c>
      <c r="Y594" s="6" t="n">
        <v>14.7</v>
      </c>
      <c r="Z594" s="6" t="s">
        <v>2408</v>
      </c>
      <c r="AA594" s="9" t="s">
        <v>774</v>
      </c>
      <c r="AB594" s="6" t="s">
        <v>2582</v>
      </c>
      <c r="AC594" s="27" t="n">
        <f aca="false">COUNTIF(環境認証!$A$2:$A$849,A443)</f>
        <v>1</v>
      </c>
      <c r="AD594" s="6" t="n">
        <v>80.2</v>
      </c>
      <c r="AE594" s="6" t="n">
        <v>43.2</v>
      </c>
    </row>
    <row r="595" customFormat="false" ht="15" hidden="false" customHeight="true" outlineLevel="0" collapsed="false">
      <c r="A595" s="6" t="s">
        <v>2583</v>
      </c>
      <c r="B595" s="6" t="s">
        <v>523</v>
      </c>
      <c r="C595" s="9" t="s">
        <v>2584</v>
      </c>
      <c r="D595" s="9" t="s">
        <v>1894</v>
      </c>
      <c r="E595" s="9" t="s">
        <v>762</v>
      </c>
      <c r="F595" s="9" t="s">
        <v>1316</v>
      </c>
      <c r="G595" s="36" t="s">
        <v>2585</v>
      </c>
      <c r="H595" s="9" t="s">
        <v>882</v>
      </c>
      <c r="L595" s="6" t="n">
        <v>2475.38</v>
      </c>
      <c r="M595" s="1" t="n">
        <v>59468.66</v>
      </c>
      <c r="P595" s="1" t="n">
        <v>44896</v>
      </c>
      <c r="Q595" s="1" t="n">
        <f aca="false">IF(OR($A444="",P444=""),"",ROUND(YEARFRAC(P444,README!$C$5),1))</f>
        <v>24.7</v>
      </c>
      <c r="S595" s="6" t="n">
        <v>1496</v>
      </c>
      <c r="T595" s="6" t="n">
        <v>1105</v>
      </c>
      <c r="U595" s="6" t="n">
        <v>2080</v>
      </c>
      <c r="V595" s="6" t="n">
        <v>975</v>
      </c>
      <c r="W595" s="6" t="n">
        <v>1</v>
      </c>
      <c r="X595" s="1" t="n">
        <v>640</v>
      </c>
      <c r="Y595" s="6" t="n">
        <v>12.8</v>
      </c>
      <c r="Z595" s="6" t="s">
        <v>2408</v>
      </c>
      <c r="AA595" s="9" t="s">
        <v>774</v>
      </c>
      <c r="AB595" s="6" t="s">
        <v>2586</v>
      </c>
      <c r="AC595" s="27" t="n">
        <f aca="false">COUNTIF(環境認証!$A$2:$A$849,A444)</f>
        <v>1</v>
      </c>
      <c r="AD595" s="6" t="n">
        <v>88.2</v>
      </c>
      <c r="AE595" s="6" t="n">
        <v>39</v>
      </c>
    </row>
    <row r="596" customFormat="false" ht="15" hidden="false" customHeight="true" outlineLevel="0" collapsed="false">
      <c r="A596" s="6" t="s">
        <v>2587</v>
      </c>
      <c r="B596" s="6" t="s">
        <v>523</v>
      </c>
      <c r="C596" s="9" t="s">
        <v>2588</v>
      </c>
      <c r="D596" s="9" t="s">
        <v>1894</v>
      </c>
      <c r="E596" s="9" t="s">
        <v>762</v>
      </c>
      <c r="F596" s="9" t="s">
        <v>2317</v>
      </c>
      <c r="H596" s="9" t="s">
        <v>882</v>
      </c>
      <c r="L596" s="6" t="n">
        <v>10934.46</v>
      </c>
      <c r="M596" s="1" t="n">
        <v>7999.99</v>
      </c>
      <c r="P596" s="1" t="n">
        <v>40575</v>
      </c>
      <c r="Q596" s="1" t="n">
        <f aca="false">IF(OR($A445="",P445=""),"",ROUND(YEARFRAC(P445,README!$C$5),1))</f>
        <v>34.1</v>
      </c>
      <c r="S596" s="6" t="n">
        <v>2820</v>
      </c>
      <c r="T596" s="6" t="n">
        <v>2955</v>
      </c>
      <c r="U596" s="6" t="n">
        <v>3120</v>
      </c>
      <c r="V596" s="6" t="n">
        <v>165</v>
      </c>
      <c r="W596" s="6" t="n">
        <v>0.997</v>
      </c>
      <c r="X596" s="1" t="n">
        <v>1</v>
      </c>
      <c r="Y596" s="6" t="n">
        <v>7.5</v>
      </c>
      <c r="Z596" s="6" t="s">
        <v>2408</v>
      </c>
      <c r="AA596" s="9" t="s">
        <v>774</v>
      </c>
      <c r="AB596" s="6" t="s">
        <v>2589</v>
      </c>
      <c r="AC596" s="27" t="n">
        <f aca="false">COUNTIF(環境認証!$A$2:$A$849,A445)</f>
        <v>2</v>
      </c>
      <c r="AD596" s="6" t="n">
        <v>5.6</v>
      </c>
      <c r="AE596" s="6" t="n">
        <v>10.6</v>
      </c>
    </row>
    <row r="597" customFormat="false" ht="15" hidden="false" customHeight="true" outlineLevel="0" collapsed="false">
      <c r="A597" s="6" t="s">
        <v>2590</v>
      </c>
      <c r="B597" s="6" t="s">
        <v>523</v>
      </c>
      <c r="C597" s="9" t="s">
        <v>2591</v>
      </c>
      <c r="D597" s="9" t="s">
        <v>1894</v>
      </c>
      <c r="E597" s="9" t="s">
        <v>762</v>
      </c>
      <c r="F597" s="9" t="s">
        <v>848</v>
      </c>
      <c r="H597" s="9" t="s">
        <v>882</v>
      </c>
      <c r="L597" s="6" t="n">
        <v>3664.63</v>
      </c>
      <c r="M597" s="1" t="n">
        <v>29657.53</v>
      </c>
      <c r="P597" s="1" t="n">
        <v>40575</v>
      </c>
      <c r="Q597" s="1" t="n">
        <f aca="false">IF(OR($A446="",P446=""),"",ROUND(YEARFRAC(P446,README!$C$5),1))</f>
        <v>39.2</v>
      </c>
      <c r="S597" s="6" t="n">
        <v>2235</v>
      </c>
      <c r="T597" s="6" t="n">
        <v>2309</v>
      </c>
      <c r="U597" s="6" t="n">
        <v>2600</v>
      </c>
      <c r="V597" s="6" t="n">
        <v>291</v>
      </c>
      <c r="W597" s="6" t="n">
        <v>1</v>
      </c>
      <c r="X597" s="1" t="n">
        <v>1</v>
      </c>
      <c r="Y597" s="6" t="n">
        <v>12.6</v>
      </c>
      <c r="Z597" s="6" t="s">
        <v>2408</v>
      </c>
      <c r="AA597" s="9" t="s">
        <v>774</v>
      </c>
      <c r="AB597" s="6" t="s">
        <v>2592</v>
      </c>
      <c r="AC597" s="27" t="n">
        <f aca="false">COUNTIF(環境認証!$A$2:$A$849,A446)</f>
        <v>2</v>
      </c>
      <c r="AD597" s="6" t="n">
        <v>12.6</v>
      </c>
      <c r="AE597" s="6" t="n">
        <v>16.3</v>
      </c>
    </row>
    <row r="598" customFormat="false" ht="15" hidden="false" customHeight="true" outlineLevel="0" collapsed="false">
      <c r="A598" s="6" t="s">
        <v>2593</v>
      </c>
      <c r="B598" s="6" t="s">
        <v>523</v>
      </c>
      <c r="C598" s="9" t="s">
        <v>2594</v>
      </c>
      <c r="D598" s="9" t="s">
        <v>1894</v>
      </c>
      <c r="E598" s="9" t="s">
        <v>1242</v>
      </c>
      <c r="F598" s="9" t="s">
        <v>2595</v>
      </c>
      <c r="H598" s="9" t="s">
        <v>971</v>
      </c>
      <c r="L598" s="6" t="n">
        <v>4270.71</v>
      </c>
      <c r="M598" s="1" t="n">
        <v>4554.52</v>
      </c>
      <c r="P598" s="1" t="n">
        <v>42186</v>
      </c>
      <c r="Q598" s="1" t="n">
        <f aca="false">IF(OR($A447="",P447=""),"",ROUND(YEARFRAC(P447,README!$C$5),1))</f>
        <v>34.5</v>
      </c>
      <c r="S598" s="6" t="n">
        <v>1800</v>
      </c>
      <c r="T598" s="6" t="n">
        <v>1886</v>
      </c>
      <c r="U598" s="6" t="n">
        <v>1930</v>
      </c>
      <c r="V598" s="6" t="n">
        <v>44</v>
      </c>
      <c r="W598" s="6" t="n">
        <v>0.886</v>
      </c>
      <c r="X598" s="1" t="n">
        <v>1</v>
      </c>
      <c r="Y598" s="6" t="n">
        <v>5.4</v>
      </c>
      <c r="Z598" s="6" t="s">
        <v>2408</v>
      </c>
      <c r="AA598" s="9" t="s">
        <v>774</v>
      </c>
      <c r="AB598" s="6" t="s">
        <v>2596</v>
      </c>
      <c r="AC598" s="27" t="n">
        <f aca="false">COUNTIF(環境認証!$A$2:$A$849,A447)</f>
        <v>2</v>
      </c>
      <c r="AD598" s="6" t="n">
        <v>2.3</v>
      </c>
      <c r="AE598" s="6" t="n">
        <v>7.2</v>
      </c>
    </row>
    <row r="599" customFormat="false" ht="15" hidden="false" customHeight="true" outlineLevel="0" collapsed="false">
      <c r="A599" s="6" t="s">
        <v>2597</v>
      </c>
      <c r="B599" s="6" t="s">
        <v>523</v>
      </c>
      <c r="C599" s="6" t="s">
        <v>2598</v>
      </c>
      <c r="D599" s="9" t="s">
        <v>1894</v>
      </c>
      <c r="E599" s="9" t="s">
        <v>981</v>
      </c>
      <c r="F599" s="9" t="s">
        <v>982</v>
      </c>
      <c r="H599" s="9" t="s">
        <v>971</v>
      </c>
      <c r="L599" s="6" t="n">
        <v>1908.19</v>
      </c>
      <c r="M599" s="1" t="n">
        <v>4442.75</v>
      </c>
      <c r="P599" s="1" t="n">
        <v>40603</v>
      </c>
      <c r="Q599" s="1" t="n">
        <f aca="false">IF(OR($A448="",P448=""),"",ROUND(YEARFRAC(P448,README!$C$5),1))</f>
        <v>38.4</v>
      </c>
      <c r="S599" s="6" t="n">
        <v>1140</v>
      </c>
      <c r="T599" s="6" t="n">
        <v>1235</v>
      </c>
      <c r="U599" s="6" t="n">
        <v>1220</v>
      </c>
      <c r="V599" s="6" t="n">
        <v>-15</v>
      </c>
      <c r="W599" s="6" t="n">
        <v>1</v>
      </c>
      <c r="X599" s="1" t="n">
        <v>1</v>
      </c>
      <c r="Y599" s="6" t="n">
        <v>7.3</v>
      </c>
      <c r="Z599" s="6" t="s">
        <v>2408</v>
      </c>
      <c r="AA599" s="9" t="s">
        <v>774</v>
      </c>
      <c r="AB599" s="6" t="s">
        <v>2599</v>
      </c>
      <c r="AC599" s="27" t="n">
        <f aca="false">COUNTIF(環境認証!$A$2:$A$849,A448)</f>
        <v>0</v>
      </c>
      <c r="AD599" s="6" t="n">
        <v>-1.2</v>
      </c>
      <c r="AE599" s="6" t="n">
        <v>7</v>
      </c>
    </row>
    <row r="600" customFormat="false" ht="15" hidden="false" customHeight="true" outlineLevel="0" collapsed="false">
      <c r="A600" s="6" t="s">
        <v>2600</v>
      </c>
      <c r="B600" s="6" t="s">
        <v>523</v>
      </c>
      <c r="C600" s="9" t="s">
        <v>2601</v>
      </c>
      <c r="D600" s="9" t="s">
        <v>2602</v>
      </c>
      <c r="E600" s="9" t="s">
        <v>762</v>
      </c>
      <c r="F600" s="9" t="s">
        <v>763</v>
      </c>
      <c r="H600" s="9" t="s">
        <v>772</v>
      </c>
      <c r="M600" s="1" t="n">
        <v>3120.48</v>
      </c>
      <c r="P600" s="1" t="n">
        <v>31199</v>
      </c>
      <c r="Q600" s="1" t="n">
        <f aca="false">IF(OR($A449="",P449=""),"",ROUND(YEARFRAC(P449,README!$C$5),1))</f>
        <v>36.9</v>
      </c>
      <c r="S600" s="6" t="n">
        <v>19940</v>
      </c>
      <c r="T600" s="6" t="n">
        <v>20035</v>
      </c>
      <c r="U600" s="1" t="n">
        <v>5040</v>
      </c>
      <c r="V600" s="1" t="n">
        <f aca="false">IF($A449="","",IF(OR(T449="",U449=""),"",U449-T449))</f>
        <v>1435.864</v>
      </c>
      <c r="W600" s="1" t="n">
        <v>1</v>
      </c>
      <c r="X600" s="1" t="n">
        <v>3</v>
      </c>
      <c r="Z600" s="6" t="s">
        <v>2408</v>
      </c>
      <c r="AA600" s="9" t="s">
        <v>774</v>
      </c>
      <c r="AB600" s="6" t="s">
        <v>2603</v>
      </c>
      <c r="AC600" s="27" t="n">
        <f aca="false">COUNTIF(環境認証!$A$2:$A$849,A449)</f>
        <v>1</v>
      </c>
      <c r="AD600" s="1" t="n">
        <v>0.8</v>
      </c>
      <c r="AE600" s="1" t="n">
        <v>0.8</v>
      </c>
    </row>
    <row r="601" customFormat="false" ht="15" hidden="false" customHeight="true" outlineLevel="0" collapsed="false">
      <c r="A601" s="6" t="s">
        <v>2604</v>
      </c>
      <c r="B601" s="6" t="s">
        <v>531</v>
      </c>
      <c r="C601" s="9" t="s">
        <v>2605</v>
      </c>
      <c r="D601" s="9" t="s">
        <v>2406</v>
      </c>
      <c r="H601" s="6" t="s">
        <v>764</v>
      </c>
      <c r="I601" s="6" t="s">
        <v>2606</v>
      </c>
      <c r="M601" s="6" t="n">
        <v>341660.22</v>
      </c>
      <c r="Q601" s="1" t="str">
        <f aca="false">IF(OR($A740="",P740=""),"",ROUND(YEARFRAC(P740,README!$C$5),1))</f>
        <v/>
      </c>
      <c r="S601" s="6" t="n">
        <v>265046</v>
      </c>
      <c r="T601" s="6" t="n">
        <v>261053.263</v>
      </c>
      <c r="U601" s="6" t="n">
        <v>331289.8</v>
      </c>
      <c r="V601" s="1" t="n">
        <f aca="false">IF($A740="","",IF(OR(T740="",U740=""),"",U740-T740))</f>
        <v>111318</v>
      </c>
      <c r="W601" s="6" t="n">
        <v>0.9765</v>
      </c>
      <c r="X601" s="6" t="n">
        <v>6298</v>
      </c>
      <c r="Y601" s="6" t="n">
        <v>3.9</v>
      </c>
      <c r="Z601" s="6" t="s">
        <v>2607</v>
      </c>
      <c r="AA601" s="49" t="s">
        <v>767</v>
      </c>
      <c r="AB601" s="9" t="s">
        <v>2608</v>
      </c>
      <c r="AC601" s="27" t="n">
        <f aca="false">COUNTIF(環境認証!$A$2:$A$849,A740)</f>
        <v>0</v>
      </c>
    </row>
    <row r="602" customFormat="false" ht="15" hidden="false" customHeight="true" outlineLevel="0" collapsed="false">
      <c r="A602" s="6" t="s">
        <v>2609</v>
      </c>
      <c r="B602" s="6" t="s">
        <v>531</v>
      </c>
      <c r="C602" s="9" t="s">
        <v>2610</v>
      </c>
      <c r="D602" s="9" t="s">
        <v>761</v>
      </c>
      <c r="E602" s="9" t="s">
        <v>762</v>
      </c>
      <c r="F602" s="9" t="s">
        <v>820</v>
      </c>
      <c r="H602" s="9" t="s">
        <v>772</v>
      </c>
      <c r="M602" s="6" t="n">
        <v>1897.71</v>
      </c>
      <c r="Q602" s="1" t="str">
        <f aca="false">IF(OR($A602="",P602=""),"",ROUND(YEARFRAC(P602,README!$C$5),1))</f>
        <v/>
      </c>
      <c r="S602" s="6" t="n">
        <v>1550</v>
      </c>
      <c r="T602" s="6" t="n">
        <v>1406</v>
      </c>
      <c r="U602" s="6" t="n">
        <v>1924</v>
      </c>
      <c r="V602" s="6" t="n">
        <v>518</v>
      </c>
      <c r="W602" s="6" t="n">
        <v>1</v>
      </c>
      <c r="X602" s="6" t="n">
        <v>6</v>
      </c>
      <c r="Y602" s="6" t="n">
        <v>10</v>
      </c>
      <c r="Z602" s="6" t="s">
        <v>2607</v>
      </c>
      <c r="AA602" s="9" t="s">
        <v>774</v>
      </c>
      <c r="AB602" s="6" t="s">
        <v>2611</v>
      </c>
      <c r="AC602" s="27" t="n">
        <f aca="false">COUNTIF(環境認証!$A$2:$A$849,A602)</f>
        <v>0</v>
      </c>
      <c r="AD602" s="6" t="n">
        <v>36.8</v>
      </c>
      <c r="AE602" s="6" t="n">
        <v>24.1</v>
      </c>
    </row>
    <row r="603" customFormat="false" ht="15" hidden="false" customHeight="true" outlineLevel="0" collapsed="false">
      <c r="A603" s="6" t="s">
        <v>2612</v>
      </c>
      <c r="B603" s="6" t="s">
        <v>531</v>
      </c>
      <c r="C603" s="9" t="s">
        <v>2613</v>
      </c>
      <c r="D603" s="9" t="s">
        <v>761</v>
      </c>
      <c r="E603" s="9" t="s">
        <v>762</v>
      </c>
      <c r="F603" s="9" t="s">
        <v>881</v>
      </c>
      <c r="H603" s="9" t="s">
        <v>882</v>
      </c>
      <c r="M603" s="6" t="n">
        <v>3736.61</v>
      </c>
      <c r="Q603" s="1" t="str">
        <f aca="false">IF(OR($A603="",P603=""),"",ROUND(YEARFRAC(P603,README!$C$5),1))</f>
        <v/>
      </c>
      <c r="S603" s="6" t="n">
        <v>2500</v>
      </c>
      <c r="T603" s="6" t="n">
        <v>2254</v>
      </c>
      <c r="U603" s="6" t="n">
        <v>3440</v>
      </c>
      <c r="V603" s="6" t="n">
        <v>1186</v>
      </c>
      <c r="W603" s="6" t="n">
        <v>1</v>
      </c>
      <c r="X603" s="6" t="n">
        <v>6</v>
      </c>
      <c r="Y603" s="6" t="n">
        <v>5.7</v>
      </c>
      <c r="Z603" s="6" t="s">
        <v>2607</v>
      </c>
      <c r="AA603" s="9" t="s">
        <v>774</v>
      </c>
      <c r="AB603" s="6" t="s">
        <v>2614</v>
      </c>
      <c r="AC603" s="27" t="n">
        <f aca="false">COUNTIF(環境認証!$A$2:$A$849,A603)</f>
        <v>0</v>
      </c>
      <c r="AD603" s="6" t="n">
        <v>52.6</v>
      </c>
      <c r="AE603" s="6" t="n">
        <v>37.6</v>
      </c>
    </row>
    <row r="604" customFormat="false" ht="15" hidden="false" customHeight="true" outlineLevel="0" collapsed="false">
      <c r="A604" s="6" t="s">
        <v>2615</v>
      </c>
      <c r="B604" s="6" t="s">
        <v>531</v>
      </c>
      <c r="C604" s="9" t="s">
        <v>2616</v>
      </c>
      <c r="D604" s="9" t="s">
        <v>761</v>
      </c>
      <c r="E604" s="9" t="s">
        <v>762</v>
      </c>
      <c r="F604" s="9" t="s">
        <v>782</v>
      </c>
      <c r="H604" s="9" t="s">
        <v>772</v>
      </c>
      <c r="M604" s="6" t="n">
        <v>2274.91</v>
      </c>
      <c r="Q604" s="1" t="str">
        <f aca="false">IF(OR($A604="",P604=""),"",ROUND(YEARFRAC(P604,README!$C$5),1))</f>
        <v/>
      </c>
      <c r="S604" s="6" t="n">
        <v>2700</v>
      </c>
      <c r="T604" s="6" t="n">
        <v>2849</v>
      </c>
      <c r="U604" s="6" t="n">
        <v>3530</v>
      </c>
      <c r="V604" s="6" t="n">
        <v>681</v>
      </c>
      <c r="W604" s="6" t="n">
        <v>1</v>
      </c>
      <c r="X604" s="6" t="n">
        <v>8</v>
      </c>
      <c r="Y604" s="6" t="n">
        <v>7.3</v>
      </c>
      <c r="Z604" s="6" t="s">
        <v>2607</v>
      </c>
      <c r="AA604" s="9" t="s">
        <v>774</v>
      </c>
      <c r="AB604" s="6" t="s">
        <v>2617</v>
      </c>
      <c r="AC604" s="27" t="n">
        <f aca="false">COUNTIF(環境認証!$A$2:$A$849,A604)</f>
        <v>0</v>
      </c>
      <c r="AD604" s="6" t="n">
        <v>23.9</v>
      </c>
      <c r="AE604" s="6" t="n">
        <v>30.7</v>
      </c>
    </row>
    <row r="605" customFormat="false" ht="15" hidden="false" customHeight="true" outlineLevel="0" collapsed="false">
      <c r="A605" s="6" t="s">
        <v>2618</v>
      </c>
      <c r="B605" s="6" t="s">
        <v>531</v>
      </c>
      <c r="C605" s="9" t="s">
        <v>2619</v>
      </c>
      <c r="D605" s="9" t="s">
        <v>761</v>
      </c>
      <c r="E605" s="9" t="s">
        <v>762</v>
      </c>
      <c r="F605" s="9" t="s">
        <v>820</v>
      </c>
      <c r="H605" s="9" t="s">
        <v>772</v>
      </c>
      <c r="M605" s="6" t="n">
        <v>2626.77</v>
      </c>
      <c r="Q605" s="1" t="str">
        <f aca="false">IF(OR($A605="",P605=""),"",ROUND(YEARFRAC(P605,README!$C$5),1))</f>
        <v/>
      </c>
      <c r="S605" s="6" t="n">
        <v>2150</v>
      </c>
      <c r="T605" s="6" t="n">
        <v>2128</v>
      </c>
      <c r="U605" s="6" t="n">
        <v>2740</v>
      </c>
      <c r="V605" s="6" t="n">
        <v>612</v>
      </c>
      <c r="W605" s="6" t="n">
        <v>1</v>
      </c>
      <c r="X605" s="6" t="n">
        <v>8</v>
      </c>
      <c r="Y605" s="6" t="n">
        <v>16.5</v>
      </c>
      <c r="Z605" s="6" t="s">
        <v>2607</v>
      </c>
      <c r="AA605" s="9" t="s">
        <v>774</v>
      </c>
      <c r="AB605" s="6" t="s">
        <v>2620</v>
      </c>
      <c r="AC605" s="27" t="n">
        <f aca="false">COUNTIF(環境認証!$A$2:$A$849,A605)</f>
        <v>0</v>
      </c>
      <c r="AD605" s="6" t="n">
        <v>28.8</v>
      </c>
      <c r="AE605" s="6" t="n">
        <v>27.4</v>
      </c>
    </row>
    <row r="606" customFormat="false" ht="15" hidden="false" customHeight="true" outlineLevel="0" collapsed="false">
      <c r="A606" s="6" t="s">
        <v>2621</v>
      </c>
      <c r="B606" s="6" t="s">
        <v>531</v>
      </c>
      <c r="C606" s="9" t="s">
        <v>2622</v>
      </c>
      <c r="D606" s="9" t="s">
        <v>761</v>
      </c>
      <c r="E606" s="9" t="s">
        <v>762</v>
      </c>
      <c r="F606" s="9" t="s">
        <v>820</v>
      </c>
      <c r="H606" s="9" t="s">
        <v>772</v>
      </c>
      <c r="M606" s="6" t="n">
        <v>2255.96</v>
      </c>
      <c r="Q606" s="1" t="str">
        <f aca="false">IF(OR($A606="",P606=""),"",ROUND(YEARFRAC(P606,README!$C$5),1))</f>
        <v/>
      </c>
      <c r="S606" s="6" t="n">
        <v>3092</v>
      </c>
      <c r="T606" s="6" t="n">
        <v>2999</v>
      </c>
      <c r="U606" s="6" t="n">
        <v>2870</v>
      </c>
      <c r="V606" s="6" t="n">
        <v>-129</v>
      </c>
      <c r="W606" s="6" t="n">
        <v>1</v>
      </c>
      <c r="X606" s="6" t="n">
        <v>8</v>
      </c>
      <c r="Y606" s="6" t="n">
        <v>12.5</v>
      </c>
      <c r="Z606" s="6" t="s">
        <v>2607</v>
      </c>
      <c r="AA606" s="9" t="s">
        <v>774</v>
      </c>
      <c r="AB606" s="6" t="s">
        <v>2623</v>
      </c>
      <c r="AC606" s="27" t="n">
        <f aca="false">COUNTIF(環境認証!$A$2:$A$849,A606)</f>
        <v>0</v>
      </c>
      <c r="AD606" s="6" t="n">
        <v>-4.3</v>
      </c>
      <c r="AE606" s="6" t="n">
        <v>-7.2</v>
      </c>
    </row>
    <row r="607" customFormat="false" ht="15" hidden="false" customHeight="true" outlineLevel="0" collapsed="false">
      <c r="A607" s="6" t="s">
        <v>2624</v>
      </c>
      <c r="B607" s="6" t="s">
        <v>531</v>
      </c>
      <c r="C607" s="9" t="s">
        <v>2625</v>
      </c>
      <c r="D607" s="9" t="s">
        <v>761</v>
      </c>
      <c r="E607" s="9" t="s">
        <v>762</v>
      </c>
      <c r="F607" s="9" t="s">
        <v>820</v>
      </c>
      <c r="H607" s="9" t="s">
        <v>772</v>
      </c>
      <c r="M607" s="6" t="n">
        <v>1209.69</v>
      </c>
      <c r="Q607" s="1" t="str">
        <f aca="false">IF(OR($A607="",P607=""),"",ROUND(YEARFRAC(P607,README!$C$5),1))</f>
        <v/>
      </c>
      <c r="S607" s="6" t="n">
        <v>1110</v>
      </c>
      <c r="T607" s="6" t="n">
        <v>1088</v>
      </c>
      <c r="U607" s="6" t="n">
        <v>1220</v>
      </c>
      <c r="V607" s="6" t="n">
        <v>132</v>
      </c>
      <c r="W607" s="6" t="n">
        <v>1</v>
      </c>
      <c r="X607" s="6" t="n">
        <v>9</v>
      </c>
      <c r="Y607" s="6" t="n">
        <v>14.7</v>
      </c>
      <c r="Z607" s="6" t="s">
        <v>2607</v>
      </c>
      <c r="AA607" s="9" t="s">
        <v>774</v>
      </c>
      <c r="AB607" s="6" t="s">
        <v>2626</v>
      </c>
      <c r="AC607" s="27" t="n">
        <f aca="false">COUNTIF(環境認証!$A$2:$A$849,A607)</f>
        <v>0</v>
      </c>
      <c r="AD607" s="6" t="n">
        <v>12.1</v>
      </c>
      <c r="AE607" s="6" t="n">
        <v>9.9</v>
      </c>
    </row>
    <row r="608" customFormat="false" ht="15" hidden="false" customHeight="true" outlineLevel="0" collapsed="false">
      <c r="A608" s="6" t="s">
        <v>2627</v>
      </c>
      <c r="B608" s="6" t="s">
        <v>531</v>
      </c>
      <c r="C608" s="9" t="s">
        <v>2628</v>
      </c>
      <c r="D608" s="9" t="s">
        <v>761</v>
      </c>
      <c r="E608" s="9" t="s">
        <v>762</v>
      </c>
      <c r="F608" s="9" t="s">
        <v>815</v>
      </c>
      <c r="H608" s="9" t="s">
        <v>772</v>
      </c>
      <c r="M608" s="6" t="n">
        <v>1178.57</v>
      </c>
      <c r="Q608" s="1" t="str">
        <f aca="false">IF(OR($A608="",P608=""),"",ROUND(YEARFRAC(P608,README!$C$5),1))</f>
        <v/>
      </c>
      <c r="S608" s="6" t="n">
        <v>3418</v>
      </c>
      <c r="T608" s="6" t="n">
        <v>3324</v>
      </c>
      <c r="U608" s="6" t="n">
        <v>4967</v>
      </c>
      <c r="V608" s="6" t="n">
        <v>1643</v>
      </c>
      <c r="W608" s="6" t="n">
        <v>1</v>
      </c>
      <c r="X608" s="6" t="n">
        <v>5</v>
      </c>
      <c r="Y608" s="6" t="n">
        <v>9.8</v>
      </c>
      <c r="Z608" s="6" t="s">
        <v>2607</v>
      </c>
      <c r="AA608" s="9" t="s">
        <v>774</v>
      </c>
      <c r="AB608" s="6" t="s">
        <v>2629</v>
      </c>
      <c r="AC608" s="27" t="n">
        <f aca="false">COUNTIF(環境認証!$A$2:$A$849,A608)</f>
        <v>0</v>
      </c>
      <c r="AD608" s="6" t="n">
        <v>49.4</v>
      </c>
      <c r="AE608" s="6" t="n">
        <v>45.3</v>
      </c>
    </row>
    <row r="609" customFormat="false" ht="15" hidden="false" customHeight="true" outlineLevel="0" collapsed="false">
      <c r="A609" s="6" t="s">
        <v>2630</v>
      </c>
      <c r="B609" s="6" t="s">
        <v>531</v>
      </c>
      <c r="C609" s="9" t="s">
        <v>2631</v>
      </c>
      <c r="D609" s="9" t="s">
        <v>761</v>
      </c>
      <c r="E609" s="9" t="s">
        <v>946</v>
      </c>
      <c r="F609" s="9" t="s">
        <v>1745</v>
      </c>
      <c r="H609" s="9" t="s">
        <v>921</v>
      </c>
      <c r="M609" s="6" t="n">
        <v>2520.22</v>
      </c>
      <c r="Q609" s="1" t="str">
        <f aca="false">IF(OR($A609="",P609=""),"",ROUND(YEARFRAC(P609,README!$C$5),1))</f>
        <v/>
      </c>
      <c r="S609" s="6" t="n">
        <v>3900</v>
      </c>
      <c r="T609" s="6" t="n">
        <v>3439</v>
      </c>
      <c r="U609" s="6" t="n">
        <v>3590</v>
      </c>
      <c r="V609" s="6" t="n">
        <v>151</v>
      </c>
      <c r="W609" s="6" t="n">
        <v>1</v>
      </c>
      <c r="X609" s="6" t="n">
        <v>9</v>
      </c>
      <c r="Y609" s="6" t="n">
        <v>5.9</v>
      </c>
      <c r="Z609" s="6" t="s">
        <v>2607</v>
      </c>
      <c r="AA609" s="9" t="s">
        <v>774</v>
      </c>
      <c r="AB609" s="6" t="s">
        <v>2632</v>
      </c>
      <c r="AC609" s="27" t="n">
        <f aca="false">COUNTIF(環境認証!$A$2:$A$849,A609)</f>
        <v>0</v>
      </c>
      <c r="AD609" s="6" t="n">
        <v>4.4</v>
      </c>
      <c r="AE609" s="6" t="n">
        <v>-7.9</v>
      </c>
    </row>
    <row r="610" customFormat="false" ht="15" hidden="false" customHeight="true" outlineLevel="0" collapsed="false">
      <c r="A610" s="6" t="s">
        <v>2633</v>
      </c>
      <c r="B610" s="6" t="s">
        <v>531</v>
      </c>
      <c r="C610" s="9" t="s">
        <v>2634</v>
      </c>
      <c r="D610" s="9" t="s">
        <v>761</v>
      </c>
      <c r="E610" s="9" t="s">
        <v>762</v>
      </c>
      <c r="F610" s="9" t="s">
        <v>782</v>
      </c>
      <c r="H610" s="9" t="s">
        <v>772</v>
      </c>
      <c r="M610" s="6" t="n">
        <v>318.82</v>
      </c>
      <c r="Q610" s="1" t="str">
        <f aca="false">IF(OR($A610="",P610=""),"",ROUND(YEARFRAC(P610,README!$C$5),1))</f>
        <v/>
      </c>
      <c r="S610" s="6" t="n">
        <v>640</v>
      </c>
      <c r="T610" s="6" t="n">
        <v>584</v>
      </c>
      <c r="U610" s="6" t="n">
        <v>579</v>
      </c>
      <c r="V610" s="6" t="n">
        <v>-5</v>
      </c>
      <c r="W610" s="6" t="n">
        <v>1</v>
      </c>
      <c r="X610" s="6" t="n">
        <v>4</v>
      </c>
      <c r="Y610" s="6" t="n">
        <v>11.1</v>
      </c>
      <c r="Z610" s="6" t="s">
        <v>2607</v>
      </c>
      <c r="AA610" s="9" t="s">
        <v>774</v>
      </c>
      <c r="AB610" s="6" t="s">
        <v>2635</v>
      </c>
      <c r="AC610" s="27" t="n">
        <f aca="false">COUNTIF(環境認証!$A$2:$A$849,A610)</f>
        <v>0</v>
      </c>
      <c r="AD610" s="6" t="n">
        <v>-0.9</v>
      </c>
      <c r="AE610" s="6" t="n">
        <v>-9.5</v>
      </c>
    </row>
    <row r="611" customFormat="false" ht="15" hidden="false" customHeight="true" outlineLevel="0" collapsed="false">
      <c r="A611" s="6" t="s">
        <v>2636</v>
      </c>
      <c r="B611" s="6" t="s">
        <v>531</v>
      </c>
      <c r="C611" s="9" t="s">
        <v>2637</v>
      </c>
      <c r="D611" s="9" t="s">
        <v>761</v>
      </c>
      <c r="E611" s="9" t="s">
        <v>762</v>
      </c>
      <c r="F611" s="9" t="s">
        <v>911</v>
      </c>
      <c r="H611" s="9" t="s">
        <v>882</v>
      </c>
      <c r="M611" s="6" t="n">
        <v>1213.26</v>
      </c>
      <c r="Q611" s="1" t="str">
        <f aca="false">IF(OR($A611="",P611=""),"",ROUND(YEARFRAC(P611,README!$C$5),1))</f>
        <v/>
      </c>
      <c r="S611" s="6" t="n">
        <v>1314</v>
      </c>
      <c r="T611" s="6" t="n">
        <v>1294</v>
      </c>
      <c r="U611" s="6" t="n">
        <v>1660</v>
      </c>
      <c r="V611" s="6" t="n">
        <v>366</v>
      </c>
      <c r="W611" s="6" t="n">
        <v>1</v>
      </c>
      <c r="X611" s="6" t="n">
        <v>8</v>
      </c>
      <c r="Y611" s="6" t="n">
        <v>5.5</v>
      </c>
      <c r="Z611" s="6" t="s">
        <v>2607</v>
      </c>
      <c r="AA611" s="9" t="s">
        <v>774</v>
      </c>
      <c r="AB611" s="6" t="s">
        <v>2638</v>
      </c>
      <c r="AC611" s="27" t="n">
        <f aca="false">COUNTIF(環境認証!$A$2:$A$849,A611)</f>
        <v>0</v>
      </c>
      <c r="AD611" s="6" t="n">
        <v>28.3</v>
      </c>
      <c r="AE611" s="6" t="n">
        <v>26.3</v>
      </c>
    </row>
    <row r="612" customFormat="false" ht="15" hidden="false" customHeight="true" outlineLevel="0" collapsed="false">
      <c r="A612" s="6" t="s">
        <v>2639</v>
      </c>
      <c r="B612" s="6" t="s">
        <v>531</v>
      </c>
      <c r="C612" s="9" t="s">
        <v>2640</v>
      </c>
      <c r="D612" s="9" t="s">
        <v>761</v>
      </c>
      <c r="E612" s="9" t="s">
        <v>762</v>
      </c>
      <c r="F612" s="9" t="s">
        <v>1676</v>
      </c>
      <c r="H612" s="9" t="s">
        <v>882</v>
      </c>
      <c r="M612" s="6" t="n">
        <v>1771.66</v>
      </c>
      <c r="Q612" s="1" t="str">
        <f aca="false">IF(OR($A612="",P612=""),"",ROUND(YEARFRAC(P612,README!$C$5),1))</f>
        <v/>
      </c>
      <c r="S612" s="6" t="n">
        <v>1624</v>
      </c>
      <c r="T612" s="6" t="n">
        <v>1588</v>
      </c>
      <c r="U612" s="6" t="n">
        <v>1860</v>
      </c>
      <c r="V612" s="6" t="n">
        <v>272</v>
      </c>
      <c r="W612" s="6" t="n">
        <v>1</v>
      </c>
      <c r="X612" s="6" t="n">
        <v>9</v>
      </c>
      <c r="Y612" s="6" t="n">
        <v>10.9</v>
      </c>
      <c r="Z612" s="6" t="s">
        <v>2607</v>
      </c>
      <c r="AA612" s="9" t="s">
        <v>774</v>
      </c>
      <c r="AB612" s="6" t="s">
        <v>2641</v>
      </c>
      <c r="AC612" s="27" t="n">
        <f aca="false">COUNTIF(環境認証!$A$2:$A$849,A612)</f>
        <v>0</v>
      </c>
      <c r="AD612" s="6" t="n">
        <v>17.1</v>
      </c>
      <c r="AE612" s="6" t="n">
        <v>14.5</v>
      </c>
    </row>
    <row r="613" customFormat="false" ht="15" hidden="false" customHeight="true" outlineLevel="0" collapsed="false">
      <c r="A613" s="6" t="s">
        <v>2642</v>
      </c>
      <c r="B613" s="6" t="s">
        <v>531</v>
      </c>
      <c r="C613" s="9" t="s">
        <v>2643</v>
      </c>
      <c r="D613" s="9" t="s">
        <v>761</v>
      </c>
      <c r="E613" s="9" t="s">
        <v>762</v>
      </c>
      <c r="F613" s="9" t="s">
        <v>820</v>
      </c>
      <c r="H613" s="9" t="s">
        <v>772</v>
      </c>
      <c r="M613" s="6" t="n">
        <v>4156.53</v>
      </c>
      <c r="Q613" s="1" t="str">
        <f aca="false">IF(OR($A613="",P613=""),"",ROUND(YEARFRAC(P613,README!$C$5),1))</f>
        <v/>
      </c>
      <c r="S613" s="6" t="n">
        <v>4798</v>
      </c>
      <c r="T613" s="6" t="n">
        <v>4906</v>
      </c>
      <c r="U613" s="6" t="n">
        <v>7790</v>
      </c>
      <c r="V613" s="6" t="n">
        <v>2884</v>
      </c>
      <c r="W613" s="6" t="n">
        <v>1</v>
      </c>
      <c r="X613" s="6" t="n">
        <v>1</v>
      </c>
      <c r="Y613" s="6" t="n">
        <v>11.7</v>
      </c>
      <c r="Z613" s="6" t="s">
        <v>2607</v>
      </c>
      <c r="AA613" s="9" t="s">
        <v>774</v>
      </c>
      <c r="AB613" s="6" t="s">
        <v>2644</v>
      </c>
      <c r="AC613" s="27" t="n">
        <f aca="false">COUNTIF(環境認証!$A$2:$A$849,A613)</f>
        <v>1</v>
      </c>
      <c r="AD613" s="6" t="n">
        <v>58.8</v>
      </c>
      <c r="AE613" s="6" t="n">
        <v>62.4</v>
      </c>
    </row>
    <row r="614" customFormat="false" ht="15" hidden="false" customHeight="true" outlineLevel="0" collapsed="false">
      <c r="A614" s="6" t="s">
        <v>2645</v>
      </c>
      <c r="B614" s="6" t="s">
        <v>531</v>
      </c>
      <c r="C614" s="9" t="s">
        <v>2646</v>
      </c>
      <c r="D614" s="9" t="s">
        <v>761</v>
      </c>
      <c r="E614" s="9" t="s">
        <v>1242</v>
      </c>
      <c r="F614" s="9" t="s">
        <v>2095</v>
      </c>
      <c r="H614" s="9" t="s">
        <v>971</v>
      </c>
      <c r="M614" s="6" t="n">
        <v>4839.37</v>
      </c>
      <c r="Q614" s="1" t="str">
        <f aca="false">IF(OR($A614="",P614=""),"",ROUND(YEARFRAC(P614,README!$C$5),1))</f>
        <v/>
      </c>
      <c r="S614" s="6" t="n">
        <v>2310</v>
      </c>
      <c r="T614" s="6" t="n">
        <v>2338</v>
      </c>
      <c r="U614" s="6" t="n">
        <v>4160</v>
      </c>
      <c r="V614" s="6" t="n">
        <v>1822</v>
      </c>
      <c r="W614" s="6" t="n">
        <v>0.9744</v>
      </c>
      <c r="X614" s="6" t="n">
        <v>39</v>
      </c>
      <c r="Y614" s="6" t="n">
        <v>7.5</v>
      </c>
      <c r="Z614" s="6" t="s">
        <v>2607</v>
      </c>
      <c r="AA614" s="9" t="s">
        <v>774</v>
      </c>
      <c r="AB614" s="6" t="s">
        <v>2647</v>
      </c>
      <c r="AC614" s="27" t="n">
        <f aca="false">COUNTIF(環境認証!$A$2:$A$849,A614)</f>
        <v>2</v>
      </c>
      <c r="AD614" s="6" t="n">
        <v>77.9</v>
      </c>
      <c r="AE614" s="6" t="n">
        <v>80.1</v>
      </c>
    </row>
    <row r="615" customFormat="false" ht="15" hidden="false" customHeight="true" outlineLevel="0" collapsed="false">
      <c r="A615" s="6" t="s">
        <v>2648</v>
      </c>
      <c r="B615" s="6" t="s">
        <v>531</v>
      </c>
      <c r="C615" s="9" t="s">
        <v>2649</v>
      </c>
      <c r="D615" s="9" t="s">
        <v>761</v>
      </c>
      <c r="E615" s="9" t="s">
        <v>969</v>
      </c>
      <c r="F615" s="9" t="s">
        <v>970</v>
      </c>
      <c r="H615" s="9" t="s">
        <v>971</v>
      </c>
      <c r="M615" s="6" t="n">
        <v>2889.49</v>
      </c>
      <c r="Q615" s="1" t="str">
        <f aca="false">IF(OR($A615="",P615=""),"",ROUND(YEARFRAC(P615,README!$C$5),1))</f>
        <v/>
      </c>
      <c r="S615" s="6" t="n">
        <v>1580</v>
      </c>
      <c r="T615" s="6" t="n">
        <v>1409</v>
      </c>
      <c r="U615" s="6" t="n">
        <v>2430</v>
      </c>
      <c r="V615" s="6" t="n">
        <v>1021</v>
      </c>
      <c r="W615" s="6" t="n">
        <v>1</v>
      </c>
      <c r="X615" s="6" t="n">
        <v>6</v>
      </c>
      <c r="Y615" s="6" t="n">
        <v>10.8</v>
      </c>
      <c r="Z615" s="6" t="s">
        <v>2607</v>
      </c>
      <c r="AA615" s="9" t="s">
        <v>774</v>
      </c>
      <c r="AB615" s="6" t="s">
        <v>2650</v>
      </c>
      <c r="AC615" s="27" t="n">
        <f aca="false">COUNTIF(環境認証!$A$2:$A$849,A615)</f>
        <v>0</v>
      </c>
      <c r="AD615" s="6" t="n">
        <v>72.5</v>
      </c>
      <c r="AE615" s="6" t="n">
        <v>53.8</v>
      </c>
    </row>
    <row r="616" customFormat="false" ht="15" hidden="false" customHeight="true" outlineLevel="0" collapsed="false">
      <c r="A616" s="6" t="s">
        <v>2651</v>
      </c>
      <c r="B616" s="6" t="s">
        <v>531</v>
      </c>
      <c r="C616" s="9" t="s">
        <v>2652</v>
      </c>
      <c r="D616" s="9" t="s">
        <v>761</v>
      </c>
      <c r="E616" s="9" t="s">
        <v>969</v>
      </c>
      <c r="F616" s="9" t="s">
        <v>970</v>
      </c>
      <c r="H616" s="9" t="s">
        <v>971</v>
      </c>
      <c r="M616" s="6" t="n">
        <v>9934.77</v>
      </c>
      <c r="Q616" s="1" t="str">
        <f aca="false">IF(OR($A616="",P616=""),"",ROUND(YEARFRAC(P616,README!$C$5),1))</f>
        <v/>
      </c>
      <c r="S616" s="6" t="n">
        <v>4900</v>
      </c>
      <c r="T616" s="6" t="n">
        <v>4206</v>
      </c>
      <c r="U616" s="6" t="n">
        <v>7100</v>
      </c>
      <c r="V616" s="6" t="n">
        <v>2894</v>
      </c>
      <c r="W616" s="6" t="n">
        <v>0.9741</v>
      </c>
      <c r="X616" s="6" t="n">
        <v>22</v>
      </c>
      <c r="Y616" s="6" t="n">
        <v>9.2</v>
      </c>
      <c r="Z616" s="6" t="s">
        <v>2607</v>
      </c>
      <c r="AA616" s="9" t="s">
        <v>774</v>
      </c>
      <c r="AB616" s="6" t="s">
        <v>2653</v>
      </c>
      <c r="AC616" s="27" t="n">
        <f aca="false">COUNTIF(環境認証!$A$2:$A$849,A616)</f>
        <v>2</v>
      </c>
      <c r="AD616" s="6" t="n">
        <v>68.8</v>
      </c>
      <c r="AE616" s="6" t="n">
        <v>44.9</v>
      </c>
    </row>
    <row r="617" customFormat="false" ht="15" hidden="false" customHeight="true" outlineLevel="0" collapsed="false">
      <c r="A617" s="6" t="s">
        <v>2654</v>
      </c>
      <c r="B617" s="6" t="s">
        <v>531</v>
      </c>
      <c r="C617" s="9" t="s">
        <v>2655</v>
      </c>
      <c r="D617" s="9" t="s">
        <v>761</v>
      </c>
      <c r="E617" s="9" t="s">
        <v>1197</v>
      </c>
      <c r="F617" s="9" t="s">
        <v>1198</v>
      </c>
      <c r="H617" s="6" t="s">
        <v>952</v>
      </c>
      <c r="M617" s="6" t="n">
        <v>6577.21</v>
      </c>
      <c r="Q617" s="1" t="str">
        <f aca="false">IF(OR($A617="",P617=""),"",ROUND(YEARFRAC(P617,README!$C$5),1))</f>
        <v/>
      </c>
      <c r="S617" s="6" t="n">
        <v>2700</v>
      </c>
      <c r="T617" s="6" t="n">
        <v>2378</v>
      </c>
      <c r="U617" s="6" t="n">
        <v>3750</v>
      </c>
      <c r="V617" s="6" t="n">
        <v>1372</v>
      </c>
      <c r="W617" s="6" t="n">
        <v>1</v>
      </c>
      <c r="X617" s="6" t="n">
        <v>38</v>
      </c>
      <c r="Y617" s="6" t="n">
        <v>2.6</v>
      </c>
      <c r="Z617" s="6" t="s">
        <v>2607</v>
      </c>
      <c r="AA617" s="9" t="s">
        <v>774</v>
      </c>
      <c r="AB617" s="6" t="s">
        <v>2656</v>
      </c>
      <c r="AC617" s="27" t="n">
        <f aca="false">COUNTIF(環境認証!$A$2:$A$849,A617)</f>
        <v>2</v>
      </c>
      <c r="AD617" s="6" t="n">
        <v>57.7</v>
      </c>
      <c r="AE617" s="6" t="n">
        <v>38.9</v>
      </c>
    </row>
    <row r="618" customFormat="false" ht="15" hidden="false" customHeight="true" outlineLevel="0" collapsed="false">
      <c r="A618" s="6" t="s">
        <v>2657</v>
      </c>
      <c r="B618" s="6" t="s">
        <v>531</v>
      </c>
      <c r="C618" s="9" t="s">
        <v>2658</v>
      </c>
      <c r="D618" s="9" t="s">
        <v>761</v>
      </c>
      <c r="E618" s="9" t="s">
        <v>762</v>
      </c>
      <c r="F618" s="9" t="s">
        <v>895</v>
      </c>
      <c r="H618" s="9" t="s">
        <v>882</v>
      </c>
      <c r="M618" s="6" t="n">
        <v>4168.79</v>
      </c>
      <c r="Q618" s="1" t="str">
        <f aca="false">IF(OR($A618="",P618=""),"",ROUND(YEARFRAC(P618,README!$C$5),1))</f>
        <v/>
      </c>
      <c r="S618" s="6" t="n">
        <v>3400</v>
      </c>
      <c r="T618" s="6" t="n">
        <v>3414</v>
      </c>
      <c r="U618" s="6" t="n">
        <v>4170</v>
      </c>
      <c r="V618" s="6" t="n">
        <v>756</v>
      </c>
      <c r="W618" s="6" t="n">
        <v>1</v>
      </c>
      <c r="X618" s="6" t="n">
        <v>7</v>
      </c>
      <c r="Y618" s="6" t="n">
        <v>2.5</v>
      </c>
      <c r="Z618" s="6" t="s">
        <v>2607</v>
      </c>
      <c r="AA618" s="9" t="s">
        <v>774</v>
      </c>
      <c r="AB618" s="6" t="s">
        <v>2659</v>
      </c>
      <c r="AC618" s="27" t="n">
        <f aca="false">COUNTIF(環境認証!$A$2:$A$849,A618)</f>
        <v>1</v>
      </c>
      <c r="AD618" s="6" t="n">
        <v>22.1</v>
      </c>
      <c r="AE618" s="6" t="n">
        <v>22.6</v>
      </c>
    </row>
    <row r="619" customFormat="false" ht="15" hidden="false" customHeight="true" outlineLevel="0" collapsed="false">
      <c r="A619" s="6" t="s">
        <v>2660</v>
      </c>
      <c r="B619" s="6" t="s">
        <v>531</v>
      </c>
      <c r="C619" s="9" t="s">
        <v>2661</v>
      </c>
      <c r="D619" s="9" t="s">
        <v>761</v>
      </c>
      <c r="E619" s="9" t="s">
        <v>762</v>
      </c>
      <c r="F619" s="9" t="s">
        <v>763</v>
      </c>
      <c r="H619" s="9" t="s">
        <v>772</v>
      </c>
      <c r="M619" s="6" t="n">
        <v>2616.42</v>
      </c>
      <c r="Q619" s="1" t="str">
        <f aca="false">IF(OR($A619="",P619=""),"",ROUND(YEARFRAC(P619,README!$C$5),1))</f>
        <v/>
      </c>
      <c r="S619" s="6" t="n">
        <v>2720</v>
      </c>
      <c r="T619" s="6" t="n">
        <v>2823</v>
      </c>
      <c r="U619" s="6" t="n">
        <v>3290</v>
      </c>
      <c r="V619" s="6" t="n">
        <v>467</v>
      </c>
      <c r="W619" s="6" t="n">
        <v>1</v>
      </c>
      <c r="X619" s="6" t="n">
        <v>3</v>
      </c>
      <c r="Y619" s="6" t="n">
        <v>6.7</v>
      </c>
      <c r="Z619" s="6" t="s">
        <v>2607</v>
      </c>
      <c r="AA619" s="9" t="s">
        <v>774</v>
      </c>
      <c r="AB619" s="6" t="s">
        <v>2662</v>
      </c>
      <c r="AC619" s="27" t="n">
        <f aca="false">COUNTIF(環境認証!$A$2:$A$849,A619)</f>
        <v>0</v>
      </c>
      <c r="AD619" s="6" t="n">
        <v>16.5</v>
      </c>
      <c r="AE619" s="6" t="n">
        <v>21</v>
      </c>
    </row>
    <row r="620" customFormat="false" ht="15" hidden="false" customHeight="true" outlineLevel="0" collapsed="false">
      <c r="A620" s="6" t="s">
        <v>2663</v>
      </c>
      <c r="B620" s="6" t="s">
        <v>531</v>
      </c>
      <c r="C620" s="9" t="s">
        <v>2664</v>
      </c>
      <c r="D620" s="9" t="s">
        <v>761</v>
      </c>
      <c r="E620" s="9" t="s">
        <v>762</v>
      </c>
      <c r="F620" s="9" t="s">
        <v>763</v>
      </c>
      <c r="H620" s="9" t="s">
        <v>772</v>
      </c>
      <c r="M620" s="6" t="n">
        <v>2747.15</v>
      </c>
      <c r="Q620" s="1" t="str">
        <f aca="false">IF(OR($A620="",P620=""),"",ROUND(YEARFRAC(P620,README!$C$5),1))</f>
        <v/>
      </c>
      <c r="S620" s="6" t="n">
        <v>3150</v>
      </c>
      <c r="T620" s="6" t="n">
        <v>3206</v>
      </c>
      <c r="U620" s="6" t="n">
        <v>4140</v>
      </c>
      <c r="V620" s="6" t="n">
        <v>934</v>
      </c>
      <c r="W620" s="6" t="n">
        <v>1</v>
      </c>
      <c r="X620" s="6" t="n">
        <v>6</v>
      </c>
      <c r="Y620" s="6" t="n">
        <v>4</v>
      </c>
      <c r="Z620" s="6" t="s">
        <v>2607</v>
      </c>
      <c r="AA620" s="9" t="s">
        <v>774</v>
      </c>
      <c r="AB620" s="6" t="s">
        <v>2665</v>
      </c>
      <c r="AC620" s="27" t="n">
        <f aca="false">COUNTIF(環境認証!$A$2:$A$849,A620)</f>
        <v>0</v>
      </c>
      <c r="AD620" s="6" t="n">
        <v>29.1</v>
      </c>
      <c r="AE620" s="6" t="n">
        <v>31.4</v>
      </c>
    </row>
    <row r="621" customFormat="false" ht="15" hidden="false" customHeight="true" outlineLevel="0" collapsed="false">
      <c r="A621" s="6" t="s">
        <v>2666</v>
      </c>
      <c r="B621" s="6" t="s">
        <v>531</v>
      </c>
      <c r="C621" s="9" t="s">
        <v>2667</v>
      </c>
      <c r="D621" s="9" t="s">
        <v>761</v>
      </c>
      <c r="E621" s="9" t="s">
        <v>925</v>
      </c>
      <c r="F621" s="9" t="s">
        <v>926</v>
      </c>
      <c r="H621" s="9" t="s">
        <v>921</v>
      </c>
      <c r="M621" s="6" t="n">
        <v>4607.34</v>
      </c>
      <c r="Q621" s="1" t="str">
        <f aca="false">IF(OR($A621="",P621=""),"",ROUND(YEARFRAC(P621,README!$C$5),1))</f>
        <v/>
      </c>
      <c r="S621" s="6" t="n">
        <v>3100</v>
      </c>
      <c r="T621" s="6" t="n">
        <v>3140</v>
      </c>
      <c r="U621" s="6" t="n">
        <v>4330</v>
      </c>
      <c r="V621" s="6" t="n">
        <v>1190</v>
      </c>
      <c r="W621" s="6" t="n">
        <v>1</v>
      </c>
      <c r="X621" s="6" t="n">
        <v>1</v>
      </c>
      <c r="Y621" s="6" t="n">
        <v>14.2</v>
      </c>
      <c r="Z621" s="6" t="s">
        <v>2607</v>
      </c>
      <c r="AA621" s="9" t="s">
        <v>774</v>
      </c>
      <c r="AB621" s="6" t="s">
        <v>2668</v>
      </c>
      <c r="AC621" s="27" t="n">
        <f aca="false">COUNTIF(環境認証!$A$2:$A$849,A621)</f>
        <v>0</v>
      </c>
      <c r="AD621" s="6" t="n">
        <v>37.9</v>
      </c>
      <c r="AE621" s="6" t="n">
        <v>39.7</v>
      </c>
    </row>
    <row r="622" customFormat="false" ht="15" hidden="false" customHeight="true" outlineLevel="0" collapsed="false">
      <c r="A622" s="6" t="s">
        <v>2669</v>
      </c>
      <c r="B622" s="6" t="s">
        <v>531</v>
      </c>
      <c r="C622" s="9" t="s">
        <v>2670</v>
      </c>
      <c r="D622" s="9" t="s">
        <v>761</v>
      </c>
      <c r="E622" s="9" t="s">
        <v>762</v>
      </c>
      <c r="F622" s="9" t="s">
        <v>820</v>
      </c>
      <c r="H622" s="9" t="s">
        <v>772</v>
      </c>
      <c r="M622" s="6" t="n">
        <v>3828.89</v>
      </c>
      <c r="Q622" s="1" t="str">
        <f aca="false">IF(OR($A622="",P622=""),"",ROUND(YEARFRAC(P622,README!$C$5),1))</f>
        <v/>
      </c>
      <c r="S622" s="6" t="n">
        <v>3750</v>
      </c>
      <c r="T622" s="6" t="n">
        <v>4047</v>
      </c>
      <c r="U622" s="6" t="n">
        <v>4590</v>
      </c>
      <c r="V622" s="6" t="n">
        <v>543</v>
      </c>
      <c r="W622" s="6" t="n">
        <v>1</v>
      </c>
      <c r="X622" s="6" t="n">
        <v>13</v>
      </c>
      <c r="Y622" s="6" t="n">
        <v>2.3</v>
      </c>
      <c r="Z622" s="6" t="s">
        <v>2607</v>
      </c>
      <c r="AA622" s="9" t="s">
        <v>774</v>
      </c>
      <c r="AB622" s="6" t="s">
        <v>2671</v>
      </c>
      <c r="AC622" s="27" t="n">
        <f aca="false">COUNTIF(環境認証!$A$2:$A$849,A622)</f>
        <v>0</v>
      </c>
      <c r="AD622" s="6" t="n">
        <v>13.4</v>
      </c>
      <c r="AE622" s="6" t="n">
        <v>22.4</v>
      </c>
    </row>
    <row r="623" customFormat="false" ht="15" hidden="false" customHeight="true" outlineLevel="0" collapsed="false">
      <c r="A623" s="6" t="s">
        <v>2672</v>
      </c>
      <c r="B623" s="6" t="s">
        <v>531</v>
      </c>
      <c r="C623" s="9" t="s">
        <v>2673</v>
      </c>
      <c r="D623" s="9" t="s">
        <v>761</v>
      </c>
      <c r="E623" s="9" t="s">
        <v>762</v>
      </c>
      <c r="F623" s="9" t="s">
        <v>2674</v>
      </c>
      <c r="H623" s="9" t="s">
        <v>882</v>
      </c>
      <c r="M623" s="6" t="n">
        <v>2100.26</v>
      </c>
      <c r="Q623" s="1" t="str">
        <f aca="false">IF(OR($A623="",P623=""),"",ROUND(YEARFRAC(P623,README!$C$5),1))</f>
        <v/>
      </c>
      <c r="S623" s="6" t="n">
        <v>1650</v>
      </c>
      <c r="T623" s="6" t="n">
        <v>1587</v>
      </c>
      <c r="U623" s="6" t="n">
        <v>1900</v>
      </c>
      <c r="V623" s="6" t="n">
        <v>313</v>
      </c>
      <c r="W623" s="6" t="n">
        <v>1</v>
      </c>
      <c r="X623" s="6" t="n">
        <v>5</v>
      </c>
      <c r="Y623" s="6" t="n">
        <v>0.7</v>
      </c>
      <c r="Z623" s="6" t="s">
        <v>2607</v>
      </c>
      <c r="AA623" s="9" t="s">
        <v>774</v>
      </c>
      <c r="AB623" s="6" t="s">
        <v>2675</v>
      </c>
      <c r="AC623" s="27" t="n">
        <f aca="false">COUNTIF(環境認証!$A$2:$A$849,A623)</f>
        <v>0</v>
      </c>
      <c r="AD623" s="6" t="n">
        <v>19.7</v>
      </c>
      <c r="AE623" s="6" t="n">
        <v>15.2</v>
      </c>
    </row>
    <row r="624" customFormat="false" ht="15" hidden="false" customHeight="true" outlineLevel="0" collapsed="false">
      <c r="A624" s="6" t="s">
        <v>2676</v>
      </c>
      <c r="B624" s="6" t="s">
        <v>531</v>
      </c>
      <c r="C624" s="9" t="s">
        <v>1870</v>
      </c>
      <c r="D624" s="9" t="s">
        <v>761</v>
      </c>
      <c r="E624" s="9" t="s">
        <v>762</v>
      </c>
      <c r="F624" s="9" t="s">
        <v>782</v>
      </c>
      <c r="H624" s="9" t="s">
        <v>772</v>
      </c>
      <c r="M624" s="6" t="n">
        <v>1681.23</v>
      </c>
      <c r="Q624" s="1" t="str">
        <f aca="false">IF(OR($A624="",P624=""),"",ROUND(YEARFRAC(P624,README!$C$5),1))</f>
        <v/>
      </c>
      <c r="S624" s="6" t="n">
        <v>3085</v>
      </c>
      <c r="T624" s="6" t="n">
        <v>3263</v>
      </c>
      <c r="U624" s="6" t="n">
        <v>3360</v>
      </c>
      <c r="V624" s="6" t="n">
        <v>97</v>
      </c>
      <c r="W624" s="6" t="n">
        <v>1</v>
      </c>
      <c r="X624" s="6" t="n">
        <v>1</v>
      </c>
      <c r="Y624" s="6" t="n">
        <v>1.2</v>
      </c>
      <c r="Z624" s="6" t="s">
        <v>2607</v>
      </c>
      <c r="AA624" s="9" t="s">
        <v>774</v>
      </c>
      <c r="AB624" s="6" t="s">
        <v>2677</v>
      </c>
      <c r="AC624" s="27" t="n">
        <f aca="false">COUNTIF(環境認証!$A$2:$A$849,A624)</f>
        <v>1</v>
      </c>
      <c r="AD624" s="6" t="n">
        <v>3</v>
      </c>
      <c r="AE624" s="6" t="n">
        <v>8.9</v>
      </c>
    </row>
    <row r="625" customFormat="false" ht="15" hidden="false" customHeight="true" outlineLevel="0" collapsed="false">
      <c r="A625" s="6" t="s">
        <v>2678</v>
      </c>
      <c r="B625" s="6" t="s">
        <v>531</v>
      </c>
      <c r="C625" s="9" t="s">
        <v>2679</v>
      </c>
      <c r="D625" s="9" t="s">
        <v>761</v>
      </c>
      <c r="E625" s="9" t="s">
        <v>762</v>
      </c>
      <c r="F625" s="9" t="s">
        <v>820</v>
      </c>
      <c r="H625" s="9" t="s">
        <v>772</v>
      </c>
      <c r="M625" s="6" t="n">
        <v>1788.58</v>
      </c>
      <c r="Q625" s="1" t="str">
        <f aca="false">IF(OR($A625="",P625=""),"",ROUND(YEARFRAC(P625,README!$C$5),1))</f>
        <v/>
      </c>
      <c r="S625" s="6" t="n">
        <v>2140</v>
      </c>
      <c r="T625" s="6" t="n">
        <v>2134</v>
      </c>
      <c r="U625" s="6" t="n">
        <v>2460</v>
      </c>
      <c r="V625" s="6" t="n">
        <v>326</v>
      </c>
      <c r="W625" s="6" t="n">
        <v>1</v>
      </c>
      <c r="X625" s="6" t="n">
        <v>3</v>
      </c>
      <c r="Y625" s="6" t="n">
        <v>7.3</v>
      </c>
      <c r="Z625" s="6" t="s">
        <v>2607</v>
      </c>
      <c r="AA625" s="9" t="s">
        <v>774</v>
      </c>
      <c r="AB625" s="6" t="s">
        <v>2680</v>
      </c>
      <c r="AC625" s="27" t="n">
        <f aca="false">COUNTIF(環境認証!$A$2:$A$849,A625)</f>
        <v>1</v>
      </c>
      <c r="AD625" s="6" t="n">
        <v>15.3</v>
      </c>
      <c r="AE625" s="6" t="n">
        <v>15</v>
      </c>
    </row>
    <row r="626" customFormat="false" ht="15" hidden="false" customHeight="true" outlineLevel="0" collapsed="false">
      <c r="A626" s="6" t="s">
        <v>2681</v>
      </c>
      <c r="B626" s="6" t="s">
        <v>531</v>
      </c>
      <c r="C626" s="9" t="s">
        <v>2682</v>
      </c>
      <c r="D626" s="9" t="s">
        <v>761</v>
      </c>
      <c r="E626" s="9" t="s">
        <v>762</v>
      </c>
      <c r="F626" s="9" t="s">
        <v>1165</v>
      </c>
      <c r="H626" s="9" t="s">
        <v>921</v>
      </c>
      <c r="M626" s="6" t="n">
        <v>2879.99</v>
      </c>
      <c r="Q626" s="1" t="str">
        <f aca="false">IF(OR($A626="",P626=""),"",ROUND(YEARFRAC(P626,README!$C$5),1))</f>
        <v/>
      </c>
      <c r="S626" s="6" t="n">
        <v>1600</v>
      </c>
      <c r="T626" s="6" t="n">
        <v>1602</v>
      </c>
      <c r="U626" s="6" t="n">
        <v>1930</v>
      </c>
      <c r="V626" s="6" t="n">
        <v>328</v>
      </c>
      <c r="W626" s="6" t="n">
        <v>1</v>
      </c>
      <c r="X626" s="6" t="n">
        <v>3</v>
      </c>
      <c r="Y626" s="6" t="n">
        <v>2.4</v>
      </c>
      <c r="Z626" s="6" t="s">
        <v>2607</v>
      </c>
      <c r="AA626" s="9" t="s">
        <v>774</v>
      </c>
      <c r="AB626" s="6" t="s">
        <v>2683</v>
      </c>
      <c r="AC626" s="27" t="n">
        <f aca="false">COUNTIF(環境認証!$A$2:$A$849,A626)</f>
        <v>0</v>
      </c>
      <c r="AD626" s="6" t="n">
        <v>20.5</v>
      </c>
      <c r="AE626" s="6" t="n">
        <v>20.6</v>
      </c>
    </row>
    <row r="627" customFormat="false" ht="15" hidden="false" customHeight="true" outlineLevel="0" collapsed="false">
      <c r="A627" s="6" t="s">
        <v>2684</v>
      </c>
      <c r="B627" s="6" t="s">
        <v>531</v>
      </c>
      <c r="C627" s="9" t="s">
        <v>2685</v>
      </c>
      <c r="D627" s="9" t="s">
        <v>761</v>
      </c>
      <c r="E627" s="9" t="s">
        <v>762</v>
      </c>
      <c r="F627" s="9" t="s">
        <v>820</v>
      </c>
      <c r="H627" s="9" t="s">
        <v>772</v>
      </c>
      <c r="M627" s="6" t="n">
        <v>2895.57</v>
      </c>
      <c r="Q627" s="1" t="str">
        <f aca="false">IF(OR($A627="",P627=""),"",ROUND(YEARFRAC(P627,README!$C$5),1))</f>
        <v/>
      </c>
      <c r="S627" s="6" t="n">
        <v>3100</v>
      </c>
      <c r="T627" s="6" t="n">
        <v>3169</v>
      </c>
      <c r="U627" s="6" t="n">
        <v>3460</v>
      </c>
      <c r="V627" s="6" t="n">
        <v>291</v>
      </c>
      <c r="W627" s="6" t="n">
        <v>0.8853</v>
      </c>
      <c r="X627" s="6" t="n">
        <v>8</v>
      </c>
      <c r="Y627" s="6" t="n">
        <v>5.5</v>
      </c>
      <c r="Z627" s="6" t="s">
        <v>2607</v>
      </c>
      <c r="AA627" s="9" t="s">
        <v>774</v>
      </c>
      <c r="AB627" s="6" t="s">
        <v>2686</v>
      </c>
      <c r="AC627" s="27" t="n">
        <f aca="false">COUNTIF(環境認証!$A$2:$A$849,A627)</f>
        <v>0</v>
      </c>
      <c r="AD627" s="6" t="n">
        <v>9.2</v>
      </c>
      <c r="AE627" s="6" t="n">
        <v>11.6</v>
      </c>
    </row>
    <row r="628" customFormat="false" ht="15" hidden="false" customHeight="true" outlineLevel="0" collapsed="false">
      <c r="A628" s="6" t="s">
        <v>2687</v>
      </c>
      <c r="B628" s="6" t="s">
        <v>531</v>
      </c>
      <c r="C628" s="9" t="s">
        <v>2688</v>
      </c>
      <c r="D628" s="9" t="s">
        <v>761</v>
      </c>
      <c r="E628" s="9" t="s">
        <v>762</v>
      </c>
      <c r="F628" s="9" t="s">
        <v>1316</v>
      </c>
      <c r="H628" s="9" t="s">
        <v>882</v>
      </c>
      <c r="M628" s="6" t="n">
        <v>2061.01</v>
      </c>
      <c r="Q628" s="1" t="str">
        <f aca="false">IF(OR($A628="",P628=""),"",ROUND(YEARFRAC(P628,README!$C$5),1))</f>
        <v/>
      </c>
      <c r="S628" s="6" t="n">
        <v>2840</v>
      </c>
      <c r="T628" s="6" t="n">
        <v>2980</v>
      </c>
      <c r="U628" s="6" t="n">
        <v>2780</v>
      </c>
      <c r="V628" s="6" t="n">
        <v>-200</v>
      </c>
      <c r="W628" s="6" t="n">
        <v>1</v>
      </c>
      <c r="X628" s="6" t="n">
        <v>11</v>
      </c>
      <c r="Y628" s="6" t="n">
        <v>10.8</v>
      </c>
      <c r="Z628" s="6" t="s">
        <v>2607</v>
      </c>
      <c r="AA628" s="9" t="s">
        <v>774</v>
      </c>
      <c r="AB628" s="6" t="s">
        <v>2689</v>
      </c>
      <c r="AC628" s="27" t="n">
        <f aca="false">COUNTIF(環境認証!$A$2:$A$849,A628)</f>
        <v>0</v>
      </c>
      <c r="AD628" s="6" t="n">
        <v>-6.7</v>
      </c>
      <c r="AE628" s="6" t="n">
        <v>-2.1</v>
      </c>
    </row>
    <row r="629" customFormat="false" ht="15" hidden="false" customHeight="true" outlineLevel="0" collapsed="false">
      <c r="A629" s="6" t="s">
        <v>2690</v>
      </c>
      <c r="B629" s="6" t="s">
        <v>531</v>
      </c>
      <c r="C629" s="9" t="s">
        <v>2691</v>
      </c>
      <c r="D629" s="9" t="s">
        <v>761</v>
      </c>
      <c r="E629" s="9" t="s">
        <v>762</v>
      </c>
      <c r="F629" s="9" t="s">
        <v>820</v>
      </c>
      <c r="H629" s="9" t="s">
        <v>772</v>
      </c>
      <c r="M629" s="6" t="n">
        <v>2738.28</v>
      </c>
      <c r="Q629" s="1" t="str">
        <f aca="false">IF(OR($A629="",P629=""),"",ROUND(YEARFRAC(P629,README!$C$5),1))</f>
        <v/>
      </c>
      <c r="S629" s="6" t="n">
        <v>3580</v>
      </c>
      <c r="T629" s="6" t="n">
        <v>3771</v>
      </c>
      <c r="U629" s="6" t="n">
        <v>4160</v>
      </c>
      <c r="V629" s="6" t="n">
        <v>389</v>
      </c>
      <c r="W629" s="6" t="n">
        <v>1</v>
      </c>
      <c r="X629" s="6" t="n">
        <v>9</v>
      </c>
      <c r="Y629" s="6" t="n">
        <v>5.9</v>
      </c>
      <c r="Z629" s="6" t="s">
        <v>2607</v>
      </c>
      <c r="AA629" s="9" t="s">
        <v>774</v>
      </c>
      <c r="AB629" s="6" t="s">
        <v>2692</v>
      </c>
      <c r="AC629" s="27" t="n">
        <f aca="false">COUNTIF(環境認証!$A$2:$A$849,A629)</f>
        <v>1</v>
      </c>
      <c r="AD629" s="6" t="n">
        <v>10.3</v>
      </c>
      <c r="AE629" s="6" t="n">
        <v>16.2</v>
      </c>
    </row>
    <row r="630" customFormat="false" ht="15" hidden="false" customHeight="true" outlineLevel="0" collapsed="false">
      <c r="A630" s="6" t="s">
        <v>2693</v>
      </c>
      <c r="B630" s="6" t="s">
        <v>531</v>
      </c>
      <c r="C630" s="9" t="s">
        <v>2694</v>
      </c>
      <c r="D630" s="9" t="s">
        <v>761</v>
      </c>
      <c r="E630" s="9" t="s">
        <v>1197</v>
      </c>
      <c r="F630" s="9" t="s">
        <v>1198</v>
      </c>
      <c r="H630" s="6" t="s">
        <v>952</v>
      </c>
      <c r="M630" s="6" t="n">
        <v>3212.5</v>
      </c>
      <c r="Q630" s="1" t="str">
        <f aca="false">IF(OR($A630="",P630=""),"",ROUND(YEARFRAC(P630,README!$C$5),1))</f>
        <v/>
      </c>
      <c r="S630" s="6" t="n">
        <v>2501</v>
      </c>
      <c r="T630" s="6" t="n">
        <v>2720</v>
      </c>
      <c r="U630" s="6" t="n">
        <v>2590</v>
      </c>
      <c r="V630" s="6" t="n">
        <v>-130</v>
      </c>
      <c r="W630" s="6" t="n">
        <v>1</v>
      </c>
      <c r="X630" s="6" t="n">
        <v>14</v>
      </c>
      <c r="Y630" s="6" t="n">
        <v>1.6</v>
      </c>
      <c r="Z630" s="6" t="s">
        <v>2607</v>
      </c>
      <c r="AA630" s="9" t="s">
        <v>774</v>
      </c>
      <c r="AB630" s="6" t="s">
        <v>2695</v>
      </c>
      <c r="AC630" s="27" t="n">
        <f aca="false">COUNTIF(環境認証!$A$2:$A$849,A630)</f>
        <v>1</v>
      </c>
      <c r="AD630" s="6" t="n">
        <v>-4.8</v>
      </c>
      <c r="AE630" s="6" t="n">
        <v>3.6</v>
      </c>
    </row>
    <row r="631" customFormat="false" ht="15" hidden="false" customHeight="true" outlineLevel="0" collapsed="false">
      <c r="A631" s="6" t="s">
        <v>2696</v>
      </c>
      <c r="B631" s="6" t="s">
        <v>531</v>
      </c>
      <c r="C631" s="9" t="s">
        <v>2697</v>
      </c>
      <c r="D631" s="9" t="s">
        <v>761</v>
      </c>
      <c r="E631" s="9" t="s">
        <v>762</v>
      </c>
      <c r="F631" s="9" t="s">
        <v>848</v>
      </c>
      <c r="H631" s="9" t="s">
        <v>882</v>
      </c>
      <c r="M631" s="6" t="n">
        <v>3237.86</v>
      </c>
      <c r="Q631" s="1" t="str">
        <f aca="false">IF(OR($A631="",P631=""),"",ROUND(YEARFRAC(P631,README!$C$5),1))</f>
        <v/>
      </c>
      <c r="S631" s="6" t="n">
        <v>5160</v>
      </c>
      <c r="T631" s="6" t="n">
        <v>5284</v>
      </c>
      <c r="U631" s="6" t="n">
        <v>5450</v>
      </c>
      <c r="V631" s="6" t="n">
        <v>166</v>
      </c>
      <c r="W631" s="6" t="n">
        <v>1</v>
      </c>
      <c r="X631" s="6" t="n">
        <v>7</v>
      </c>
      <c r="Y631" s="6" t="n">
        <v>4.5</v>
      </c>
      <c r="Z631" s="6" t="s">
        <v>2607</v>
      </c>
      <c r="AA631" s="9" t="s">
        <v>774</v>
      </c>
      <c r="AB631" s="6" t="s">
        <v>2698</v>
      </c>
      <c r="AC631" s="27" t="n">
        <f aca="false">COUNTIF(環境認証!$A$2:$A$849,A631)</f>
        <v>0</v>
      </c>
      <c r="AD631" s="6" t="n">
        <v>3.1</v>
      </c>
      <c r="AE631" s="6" t="n">
        <v>5.6</v>
      </c>
    </row>
    <row r="632" customFormat="false" ht="15" hidden="false" customHeight="true" outlineLevel="0" collapsed="false">
      <c r="A632" s="6" t="s">
        <v>2699</v>
      </c>
      <c r="B632" s="6" t="s">
        <v>531</v>
      </c>
      <c r="C632" s="9" t="s">
        <v>2700</v>
      </c>
      <c r="D632" s="9" t="s">
        <v>761</v>
      </c>
      <c r="E632" s="9" t="s">
        <v>762</v>
      </c>
      <c r="F632" s="9" t="s">
        <v>1705</v>
      </c>
      <c r="H632" s="9" t="s">
        <v>921</v>
      </c>
      <c r="M632" s="6" t="n">
        <v>2342.07</v>
      </c>
      <c r="Q632" s="1" t="str">
        <f aca="false">IF(OR($A632="",P632=""),"",ROUND(YEARFRAC(P632,README!$C$5),1))</f>
        <v/>
      </c>
      <c r="S632" s="6" t="n">
        <v>1610</v>
      </c>
      <c r="T632" s="6" t="n">
        <v>1685</v>
      </c>
      <c r="U632" s="6" t="n">
        <v>1880</v>
      </c>
      <c r="V632" s="6" t="n">
        <v>195</v>
      </c>
      <c r="W632" s="6" t="n">
        <v>1</v>
      </c>
      <c r="X632" s="6" t="n">
        <v>7</v>
      </c>
      <c r="Y632" s="6" t="n">
        <v>3.6</v>
      </c>
      <c r="Z632" s="6" t="s">
        <v>2607</v>
      </c>
      <c r="AA632" s="9" t="s">
        <v>774</v>
      </c>
      <c r="AB632" s="6" t="s">
        <v>2701</v>
      </c>
      <c r="AC632" s="27" t="n">
        <f aca="false">COUNTIF(環境認証!$A$2:$A$849,A632)</f>
        <v>0</v>
      </c>
      <c r="AD632" s="6" t="n">
        <v>11.6</v>
      </c>
      <c r="AE632" s="6" t="n">
        <v>16.8</v>
      </c>
    </row>
    <row r="633" customFormat="false" ht="15" hidden="false" customHeight="true" outlineLevel="0" collapsed="false">
      <c r="A633" s="6" t="s">
        <v>2702</v>
      </c>
      <c r="B633" s="6" t="s">
        <v>531</v>
      </c>
      <c r="C633" s="9" t="s">
        <v>2703</v>
      </c>
      <c r="D633" s="9" t="s">
        <v>761</v>
      </c>
      <c r="E633" s="9" t="s">
        <v>981</v>
      </c>
      <c r="F633" s="9" t="s">
        <v>2704</v>
      </c>
      <c r="H633" s="9" t="s">
        <v>971</v>
      </c>
      <c r="M633" s="6" t="n">
        <v>3048.07</v>
      </c>
      <c r="Q633" s="1" t="str">
        <f aca="false">IF(OR($A633="",P633=""),"",ROUND(YEARFRAC(P633,README!$C$5),1))</f>
        <v/>
      </c>
      <c r="S633" s="6" t="n">
        <v>2500</v>
      </c>
      <c r="T633" s="6" t="n">
        <v>2567</v>
      </c>
      <c r="U633" s="6" t="n">
        <v>2620</v>
      </c>
      <c r="V633" s="6" t="n">
        <v>53</v>
      </c>
      <c r="W633" s="6" t="n">
        <v>1</v>
      </c>
      <c r="X633" s="6" t="n">
        <v>7</v>
      </c>
      <c r="Y633" s="6" t="n">
        <v>12.7</v>
      </c>
      <c r="Z633" s="6" t="s">
        <v>2607</v>
      </c>
      <c r="AA633" s="9" t="s">
        <v>774</v>
      </c>
      <c r="AB633" s="6" t="s">
        <v>2705</v>
      </c>
      <c r="AC633" s="27" t="n">
        <f aca="false">COUNTIF(環境認証!$A$2:$A$849,A633)</f>
        <v>1</v>
      </c>
      <c r="AD633" s="6" t="n">
        <v>2.1</v>
      </c>
      <c r="AE633" s="6" t="n">
        <v>4.8</v>
      </c>
    </row>
    <row r="634" customFormat="false" ht="15" hidden="false" customHeight="true" outlineLevel="0" collapsed="false">
      <c r="A634" s="6" t="s">
        <v>2706</v>
      </c>
      <c r="B634" s="6" t="s">
        <v>531</v>
      </c>
      <c r="C634" s="9" t="s">
        <v>2707</v>
      </c>
      <c r="D634" s="9" t="s">
        <v>761</v>
      </c>
      <c r="E634" s="9" t="s">
        <v>981</v>
      </c>
      <c r="F634" s="9" t="s">
        <v>982</v>
      </c>
      <c r="H634" s="9" t="s">
        <v>971</v>
      </c>
      <c r="M634" s="6" t="n">
        <v>4251.24</v>
      </c>
      <c r="Q634" s="1" t="str">
        <f aca="false">IF(OR($A634="",P634=""),"",ROUND(YEARFRAC(P634,README!$C$5),1))</f>
        <v/>
      </c>
      <c r="S634" s="6" t="n">
        <v>7300</v>
      </c>
      <c r="T634" s="6" t="n">
        <v>7519</v>
      </c>
      <c r="U634" s="6" t="n">
        <v>8440</v>
      </c>
      <c r="V634" s="6" t="n">
        <v>921</v>
      </c>
      <c r="W634" s="6" t="n">
        <v>1</v>
      </c>
      <c r="X634" s="6" t="n">
        <v>14</v>
      </c>
      <c r="Y634" s="6" t="n">
        <v>12.8</v>
      </c>
      <c r="Z634" s="6" t="s">
        <v>2607</v>
      </c>
      <c r="AA634" s="9" t="s">
        <v>774</v>
      </c>
      <c r="AB634" s="6" t="s">
        <v>2708</v>
      </c>
      <c r="AC634" s="27" t="n">
        <f aca="false">COUNTIF(環境認証!$A$2:$A$849,A634)</f>
        <v>1</v>
      </c>
      <c r="AD634" s="6" t="n">
        <v>12.2</v>
      </c>
      <c r="AE634" s="6" t="n">
        <v>15.6</v>
      </c>
    </row>
    <row r="635" customFormat="false" ht="15" hidden="false" customHeight="true" outlineLevel="0" collapsed="false">
      <c r="A635" s="6" t="s">
        <v>2709</v>
      </c>
      <c r="B635" s="6" t="s">
        <v>531</v>
      </c>
      <c r="C635" s="9" t="s">
        <v>2710</v>
      </c>
      <c r="D635" s="9" t="s">
        <v>761</v>
      </c>
      <c r="E635" s="9" t="s">
        <v>969</v>
      </c>
      <c r="F635" s="9" t="s">
        <v>970</v>
      </c>
      <c r="H635" s="9" t="s">
        <v>971</v>
      </c>
      <c r="M635" s="6" t="n">
        <v>5366.51</v>
      </c>
      <c r="Q635" s="1" t="str">
        <f aca="false">IF(OR($A635="",P635=""),"",ROUND(YEARFRAC(P635,README!$C$5),1))</f>
        <v/>
      </c>
      <c r="S635" s="6" t="n">
        <v>4000</v>
      </c>
      <c r="T635" s="6" t="n">
        <v>4012</v>
      </c>
      <c r="U635" s="6" t="n">
        <v>4280</v>
      </c>
      <c r="V635" s="6" t="n">
        <v>268</v>
      </c>
      <c r="W635" s="6" t="n">
        <v>0.9369</v>
      </c>
      <c r="X635" s="6" t="n">
        <v>22</v>
      </c>
      <c r="Y635" s="6" t="n">
        <v>8.4</v>
      </c>
      <c r="Z635" s="6" t="s">
        <v>2607</v>
      </c>
      <c r="AA635" s="9" t="s">
        <v>774</v>
      </c>
      <c r="AB635" s="6" t="s">
        <v>2711</v>
      </c>
      <c r="AC635" s="27" t="n">
        <f aca="false">COUNTIF(環境認証!$A$2:$A$849,A635)</f>
        <v>1</v>
      </c>
      <c r="AD635" s="6" t="n">
        <v>6.7</v>
      </c>
      <c r="AE635" s="6" t="n">
        <v>7</v>
      </c>
    </row>
    <row r="636" customFormat="false" ht="15" hidden="false" customHeight="true" outlineLevel="0" collapsed="false">
      <c r="A636" s="6" t="s">
        <v>2712</v>
      </c>
      <c r="B636" s="6" t="s">
        <v>531</v>
      </c>
      <c r="C636" s="9" t="s">
        <v>2713</v>
      </c>
      <c r="D636" s="9" t="s">
        <v>761</v>
      </c>
      <c r="E636" s="9" t="s">
        <v>762</v>
      </c>
      <c r="F636" s="9" t="s">
        <v>763</v>
      </c>
      <c r="H636" s="9" t="s">
        <v>772</v>
      </c>
      <c r="M636" s="6" t="n">
        <v>2607.75</v>
      </c>
      <c r="Q636" s="1" t="str">
        <f aca="false">IF(OR($A636="",P636=""),"",ROUND(YEARFRAC(P636,README!$C$5),1))</f>
        <v/>
      </c>
      <c r="S636" s="6" t="n">
        <v>3380</v>
      </c>
      <c r="T636" s="6" t="n">
        <v>3625</v>
      </c>
      <c r="U636" s="6" t="n">
        <v>4050</v>
      </c>
      <c r="V636" s="6" t="n">
        <v>425</v>
      </c>
      <c r="W636" s="6" t="n">
        <v>1</v>
      </c>
      <c r="X636" s="6" t="n">
        <v>13</v>
      </c>
      <c r="Y636" s="6" t="n">
        <v>8</v>
      </c>
      <c r="Z636" s="6" t="s">
        <v>2607</v>
      </c>
      <c r="AA636" s="9" t="s">
        <v>774</v>
      </c>
      <c r="AB636" s="6" t="s">
        <v>2714</v>
      </c>
      <c r="AC636" s="27" t="n">
        <f aca="false">COUNTIF(環境認証!$A$2:$A$849,A636)</f>
        <v>0</v>
      </c>
      <c r="AD636" s="6" t="n">
        <v>11.7</v>
      </c>
      <c r="AE636" s="6" t="n">
        <v>19.8</v>
      </c>
    </row>
    <row r="637" customFormat="false" ht="15" hidden="false" customHeight="true" outlineLevel="0" collapsed="false">
      <c r="A637" s="6" t="s">
        <v>2715</v>
      </c>
      <c r="B637" s="6" t="s">
        <v>531</v>
      </c>
      <c r="C637" s="9" t="s">
        <v>2716</v>
      </c>
      <c r="D637" s="9" t="s">
        <v>761</v>
      </c>
      <c r="E637" s="9" t="s">
        <v>762</v>
      </c>
      <c r="F637" s="9" t="s">
        <v>763</v>
      </c>
      <c r="H637" s="9" t="s">
        <v>772</v>
      </c>
      <c r="M637" s="6" t="n">
        <v>569.88</v>
      </c>
      <c r="Q637" s="1" t="str">
        <f aca="false">IF(OR($A637="",P637=""),"",ROUND(YEARFRAC(P637,README!$C$5),1))</f>
        <v/>
      </c>
      <c r="S637" s="6" t="n">
        <v>400</v>
      </c>
      <c r="T637" s="6" t="n">
        <v>467</v>
      </c>
      <c r="U637" s="6" t="n">
        <v>581</v>
      </c>
      <c r="V637" s="6" t="n">
        <v>114</v>
      </c>
      <c r="W637" s="6" t="n">
        <v>0.8867</v>
      </c>
      <c r="X637" s="6" t="n">
        <v>8</v>
      </c>
      <c r="Y637" s="6" t="n">
        <v>5.9</v>
      </c>
      <c r="Z637" s="6" t="s">
        <v>2607</v>
      </c>
      <c r="AA637" s="9" t="s">
        <v>774</v>
      </c>
      <c r="AB637" s="6" t="s">
        <v>2717</v>
      </c>
      <c r="AC637" s="27" t="n">
        <f aca="false">COUNTIF(環境認証!$A$2:$A$849,A637)</f>
        <v>0</v>
      </c>
      <c r="AD637" s="6" t="n">
        <v>24.4</v>
      </c>
      <c r="AE637" s="6" t="n">
        <v>45.2</v>
      </c>
    </row>
    <row r="638" customFormat="false" ht="15" hidden="false" customHeight="true" outlineLevel="0" collapsed="false">
      <c r="A638" s="6" t="s">
        <v>2718</v>
      </c>
      <c r="B638" s="6" t="s">
        <v>531</v>
      </c>
      <c r="C638" s="9" t="s">
        <v>2719</v>
      </c>
      <c r="D638" s="9" t="s">
        <v>761</v>
      </c>
      <c r="E638" s="9" t="s">
        <v>969</v>
      </c>
      <c r="F638" s="9" t="s">
        <v>970</v>
      </c>
      <c r="H638" s="9" t="s">
        <v>971</v>
      </c>
      <c r="M638" s="6" t="n">
        <v>3263.83</v>
      </c>
      <c r="Q638" s="1" t="str">
        <f aca="false">IF(OR($A638="",P638=""),"",ROUND(YEARFRAC(P638,README!$C$5),1))</f>
        <v/>
      </c>
      <c r="S638" s="6" t="n">
        <v>2100</v>
      </c>
      <c r="T638" s="6" t="n">
        <v>2494</v>
      </c>
      <c r="U638" s="6" t="n">
        <v>2550</v>
      </c>
      <c r="V638" s="6" t="n">
        <v>56</v>
      </c>
      <c r="W638" s="6" t="n">
        <v>1</v>
      </c>
      <c r="X638" s="6" t="n">
        <v>22</v>
      </c>
      <c r="Y638" s="6" t="n">
        <v>9.4</v>
      </c>
      <c r="Z638" s="6" t="s">
        <v>2607</v>
      </c>
      <c r="AA638" s="9" t="s">
        <v>774</v>
      </c>
      <c r="AB638" s="6" t="s">
        <v>2720</v>
      </c>
      <c r="AC638" s="27" t="n">
        <f aca="false">COUNTIF(環境認証!$A$2:$A$849,A638)</f>
        <v>0</v>
      </c>
      <c r="AD638" s="6" t="n">
        <v>2.2</v>
      </c>
      <c r="AE638" s="6" t="n">
        <v>21.4</v>
      </c>
    </row>
    <row r="639" customFormat="false" ht="15" hidden="false" customHeight="true" outlineLevel="0" collapsed="false">
      <c r="A639" s="6" t="s">
        <v>2721</v>
      </c>
      <c r="B639" s="6" t="s">
        <v>531</v>
      </c>
      <c r="C639" s="9" t="s">
        <v>2722</v>
      </c>
      <c r="D639" s="9" t="s">
        <v>761</v>
      </c>
      <c r="E639" s="9" t="s">
        <v>981</v>
      </c>
      <c r="F639" s="9" t="s">
        <v>982</v>
      </c>
      <c r="H639" s="9" t="s">
        <v>971</v>
      </c>
      <c r="M639" s="6" t="n">
        <v>3619.05</v>
      </c>
      <c r="Q639" s="1" t="str">
        <f aca="false">IF(OR($A639="",P639=""),"",ROUND(YEARFRAC(P639,README!$C$5),1))</f>
        <v/>
      </c>
      <c r="S639" s="6" t="n">
        <v>4500</v>
      </c>
      <c r="T639" s="6" t="n">
        <v>4438</v>
      </c>
      <c r="U639" s="6" t="n">
        <v>4810</v>
      </c>
      <c r="V639" s="6" t="n">
        <v>372</v>
      </c>
      <c r="W639" s="6" t="n">
        <v>1</v>
      </c>
      <c r="X639" s="6" t="n">
        <v>18</v>
      </c>
      <c r="Y639" s="6" t="n">
        <v>14.1</v>
      </c>
      <c r="Z639" s="6" t="s">
        <v>2607</v>
      </c>
      <c r="AA639" s="9" t="s">
        <v>774</v>
      </c>
      <c r="AB639" s="6" t="s">
        <v>2723</v>
      </c>
      <c r="AC639" s="27" t="n">
        <f aca="false">COUNTIF(環境認証!$A$2:$A$849,A639)</f>
        <v>1</v>
      </c>
      <c r="AD639" s="6" t="n">
        <v>8.4</v>
      </c>
      <c r="AE639" s="6" t="n">
        <v>6.9</v>
      </c>
    </row>
    <row r="640" customFormat="false" ht="15" hidden="false" customHeight="true" outlineLevel="0" collapsed="false">
      <c r="A640" s="6" t="s">
        <v>2724</v>
      </c>
      <c r="B640" s="6" t="s">
        <v>531</v>
      </c>
      <c r="C640" s="9" t="s">
        <v>2725</v>
      </c>
      <c r="D640" s="9" t="s">
        <v>761</v>
      </c>
      <c r="E640" s="9" t="s">
        <v>981</v>
      </c>
      <c r="F640" s="9" t="s">
        <v>982</v>
      </c>
      <c r="H640" s="9" t="s">
        <v>971</v>
      </c>
      <c r="M640" s="6" t="n">
        <v>1623.62</v>
      </c>
      <c r="Q640" s="1" t="str">
        <f aca="false">IF(OR($A640="",P640=""),"",ROUND(YEARFRAC(P640,README!$C$5),1))</f>
        <v/>
      </c>
      <c r="S640" s="6" t="n">
        <v>1650</v>
      </c>
      <c r="T640" s="6" t="n">
        <v>1640</v>
      </c>
      <c r="U640" s="6" t="n">
        <v>1830</v>
      </c>
      <c r="V640" s="6" t="n">
        <v>190</v>
      </c>
      <c r="W640" s="6" t="n">
        <v>1</v>
      </c>
      <c r="X640" s="6" t="n">
        <v>15</v>
      </c>
      <c r="Y640" s="6" t="n">
        <v>15.8</v>
      </c>
      <c r="Z640" s="6" t="s">
        <v>2607</v>
      </c>
      <c r="AA640" s="9" t="s">
        <v>774</v>
      </c>
      <c r="AB640" s="6" t="s">
        <v>2726</v>
      </c>
      <c r="AC640" s="27" t="n">
        <f aca="false">COUNTIF(環境認証!$A$2:$A$849,A640)</f>
        <v>0</v>
      </c>
      <c r="AD640" s="6" t="n">
        <v>11.6</v>
      </c>
      <c r="AE640" s="6" t="n">
        <v>10.9</v>
      </c>
    </row>
    <row r="641" customFormat="false" ht="15" hidden="false" customHeight="true" outlineLevel="0" collapsed="false">
      <c r="A641" s="6" t="s">
        <v>2727</v>
      </c>
      <c r="B641" s="6" t="s">
        <v>531</v>
      </c>
      <c r="C641" s="9" t="s">
        <v>2728</v>
      </c>
      <c r="D641" s="9" t="s">
        <v>761</v>
      </c>
      <c r="E641" s="9" t="s">
        <v>925</v>
      </c>
      <c r="F641" s="9" t="s">
        <v>926</v>
      </c>
      <c r="H641" s="9" t="s">
        <v>921</v>
      </c>
      <c r="M641" s="6" t="n">
        <v>4446.52</v>
      </c>
      <c r="Q641" s="1" t="str">
        <f aca="false">IF(OR($A641="",P641=""),"",ROUND(YEARFRAC(P641,README!$C$5),1))</f>
        <v/>
      </c>
      <c r="S641" s="6" t="n">
        <v>3800</v>
      </c>
      <c r="T641" s="6" t="n">
        <v>4034</v>
      </c>
      <c r="U641" s="6" t="n">
        <v>4040</v>
      </c>
      <c r="V641" s="6" t="n">
        <v>6</v>
      </c>
      <c r="W641" s="6" t="n">
        <v>1</v>
      </c>
      <c r="X641" s="6" t="n">
        <v>15</v>
      </c>
      <c r="Y641" s="6" t="n">
        <v>6.2</v>
      </c>
      <c r="Z641" s="6" t="s">
        <v>2607</v>
      </c>
      <c r="AA641" s="9" t="s">
        <v>774</v>
      </c>
      <c r="AB641" s="6" t="s">
        <v>2729</v>
      </c>
      <c r="AC641" s="27" t="n">
        <f aca="false">COUNTIF(環境認証!$A$2:$A$849,A641)</f>
        <v>1</v>
      </c>
      <c r="AD641" s="6" t="n">
        <v>0.1</v>
      </c>
      <c r="AE641" s="6" t="n">
        <v>6.3</v>
      </c>
    </row>
    <row r="642" customFormat="false" ht="15" hidden="false" customHeight="true" outlineLevel="0" collapsed="false">
      <c r="A642" s="6" t="s">
        <v>2730</v>
      </c>
      <c r="B642" s="6" t="s">
        <v>531</v>
      </c>
      <c r="C642" s="9" t="s">
        <v>2731</v>
      </c>
      <c r="D642" s="9" t="s">
        <v>761</v>
      </c>
      <c r="E642" s="9" t="s">
        <v>981</v>
      </c>
      <c r="F642" s="9" t="s">
        <v>2704</v>
      </c>
      <c r="H642" s="9" t="s">
        <v>971</v>
      </c>
      <c r="M642" s="6" t="n">
        <v>7510.27</v>
      </c>
      <c r="Q642" s="1" t="str">
        <f aca="false">IF(OR($A642="",P642=""),"",ROUND(YEARFRAC(P642,README!$C$5),1))</f>
        <v/>
      </c>
      <c r="S642" s="6" t="n">
        <v>5001</v>
      </c>
      <c r="T642" s="6" t="n">
        <v>5187</v>
      </c>
      <c r="U642" s="6" t="n">
        <v>5860</v>
      </c>
      <c r="V642" s="6" t="n">
        <v>673</v>
      </c>
      <c r="W642" s="6" t="n">
        <v>1</v>
      </c>
      <c r="X642" s="6" t="n">
        <v>11</v>
      </c>
      <c r="Y642" s="6" t="n">
        <v>10.4</v>
      </c>
      <c r="Z642" s="6" t="s">
        <v>2607</v>
      </c>
      <c r="AA642" s="9" t="s">
        <v>774</v>
      </c>
      <c r="AB642" s="6" t="s">
        <v>2732</v>
      </c>
      <c r="AC642" s="27" t="n">
        <f aca="false">COUNTIF(環境認証!$A$2:$A$849,A642)</f>
        <v>1</v>
      </c>
      <c r="AD642" s="6" t="n">
        <v>13</v>
      </c>
      <c r="AE642" s="6" t="n">
        <v>17.2</v>
      </c>
    </row>
    <row r="643" customFormat="false" ht="15" hidden="false" customHeight="true" outlineLevel="0" collapsed="false">
      <c r="A643" s="6" t="s">
        <v>2733</v>
      </c>
      <c r="B643" s="6" t="s">
        <v>531</v>
      </c>
      <c r="C643" s="9" t="s">
        <v>2734</v>
      </c>
      <c r="D643" s="9" t="s">
        <v>761</v>
      </c>
      <c r="E643" s="9" t="s">
        <v>950</v>
      </c>
      <c r="F643" s="9" t="s">
        <v>951</v>
      </c>
      <c r="H643" s="6" t="s">
        <v>952</v>
      </c>
      <c r="M643" s="6" t="n">
        <v>2070.85</v>
      </c>
      <c r="Q643" s="1" t="str">
        <f aca="false">IF(OR($A643="",P643=""),"",ROUND(YEARFRAC(P643,README!$C$5),1))</f>
        <v/>
      </c>
      <c r="S643" s="6" t="n">
        <v>1535</v>
      </c>
      <c r="T643" s="6" t="n">
        <v>1598</v>
      </c>
      <c r="U643" s="6" t="n">
        <v>1640</v>
      </c>
      <c r="V643" s="6" t="n">
        <v>42</v>
      </c>
      <c r="W643" s="6" t="n">
        <v>1</v>
      </c>
      <c r="X643" s="6" t="n">
        <v>41</v>
      </c>
      <c r="Y643" s="6" t="n">
        <v>0.2</v>
      </c>
      <c r="Z643" s="6" t="s">
        <v>2607</v>
      </c>
      <c r="AA643" s="9" t="s">
        <v>774</v>
      </c>
      <c r="AB643" s="6" t="s">
        <v>2735</v>
      </c>
      <c r="AC643" s="27" t="n">
        <f aca="false">COUNTIF(環境認証!$A$2:$A$849,A643)</f>
        <v>0</v>
      </c>
      <c r="AD643" s="6" t="n">
        <v>2.6</v>
      </c>
      <c r="AE643" s="6" t="n">
        <v>6.8</v>
      </c>
    </row>
    <row r="644" customFormat="false" ht="15" hidden="false" customHeight="true" outlineLevel="0" collapsed="false">
      <c r="A644" s="6" t="s">
        <v>2736</v>
      </c>
      <c r="B644" s="6" t="s">
        <v>531</v>
      </c>
      <c r="C644" s="9" t="s">
        <v>2737</v>
      </c>
      <c r="D644" s="9" t="s">
        <v>761</v>
      </c>
      <c r="E644" s="9" t="s">
        <v>950</v>
      </c>
      <c r="F644" s="9" t="s">
        <v>951</v>
      </c>
      <c r="H644" s="6" t="s">
        <v>952</v>
      </c>
      <c r="M644" s="6" t="n">
        <v>5337.38</v>
      </c>
      <c r="Q644" s="1" t="str">
        <f aca="false">IF(OR($A644="",P644=""),"",ROUND(YEARFRAC(P644,README!$C$5),1))</f>
        <v/>
      </c>
      <c r="S644" s="6" t="n">
        <v>4140</v>
      </c>
      <c r="T644" s="6" t="n">
        <v>4169</v>
      </c>
      <c r="U644" s="6" t="n">
        <v>5326</v>
      </c>
      <c r="V644" s="6" t="n">
        <v>1157</v>
      </c>
      <c r="W644" s="6" t="n">
        <v>1</v>
      </c>
      <c r="X644" s="6" t="n">
        <v>32</v>
      </c>
      <c r="Y644" s="6" t="n">
        <v>0.2</v>
      </c>
      <c r="Z644" s="6" t="s">
        <v>2607</v>
      </c>
      <c r="AA644" s="9" t="s">
        <v>774</v>
      </c>
      <c r="AB644" s="6" t="s">
        <v>2738</v>
      </c>
      <c r="AC644" s="27" t="n">
        <f aca="false">COUNTIF(環境認証!$A$2:$A$849,A644)</f>
        <v>0</v>
      </c>
      <c r="AD644" s="6" t="n">
        <v>27.8</v>
      </c>
      <c r="AE644" s="6" t="n">
        <v>28.6</v>
      </c>
    </row>
    <row r="645" customFormat="false" ht="15" hidden="false" customHeight="true" outlineLevel="0" collapsed="false">
      <c r="A645" s="6" t="s">
        <v>2739</v>
      </c>
      <c r="B645" s="6" t="s">
        <v>531</v>
      </c>
      <c r="C645" s="9" t="s">
        <v>2740</v>
      </c>
      <c r="D645" s="9" t="s">
        <v>761</v>
      </c>
      <c r="E645" s="9" t="s">
        <v>981</v>
      </c>
      <c r="F645" s="9" t="s">
        <v>982</v>
      </c>
      <c r="H645" s="9" t="s">
        <v>971</v>
      </c>
      <c r="M645" s="6" t="n">
        <v>3713.74</v>
      </c>
      <c r="Q645" s="1" t="str">
        <f aca="false">IF(OR($A645="",P645=""),"",ROUND(YEARFRAC(P645,README!$C$5),1))</f>
        <v/>
      </c>
      <c r="S645" s="6" t="n">
        <v>3385</v>
      </c>
      <c r="T645" s="6" t="n">
        <v>3408</v>
      </c>
      <c r="U645" s="6" t="n">
        <v>3710</v>
      </c>
      <c r="V645" s="6" t="n">
        <v>302</v>
      </c>
      <c r="W645" s="6" t="n">
        <v>1</v>
      </c>
      <c r="X645" s="6" t="n">
        <v>20</v>
      </c>
      <c r="Y645" s="6" t="n">
        <v>13.7</v>
      </c>
      <c r="Z645" s="6" t="s">
        <v>2607</v>
      </c>
      <c r="AA645" s="9" t="s">
        <v>774</v>
      </c>
      <c r="AB645" s="6" t="s">
        <v>2741</v>
      </c>
      <c r="AC645" s="27" t="n">
        <f aca="false">COUNTIF(環境認証!$A$2:$A$849,A645)</f>
        <v>0</v>
      </c>
      <c r="AD645" s="6" t="n">
        <v>8.9</v>
      </c>
      <c r="AE645" s="6" t="n">
        <v>9.6</v>
      </c>
    </row>
    <row r="646" customFormat="false" ht="15" hidden="false" customHeight="true" outlineLevel="0" collapsed="false">
      <c r="A646" s="6" t="s">
        <v>2742</v>
      </c>
      <c r="B646" s="6" t="s">
        <v>531</v>
      </c>
      <c r="C646" s="9" t="s">
        <v>2743</v>
      </c>
      <c r="D646" s="9" t="s">
        <v>761</v>
      </c>
      <c r="E646" s="9" t="s">
        <v>981</v>
      </c>
      <c r="F646" s="9" t="s">
        <v>982</v>
      </c>
      <c r="H646" s="9" t="s">
        <v>971</v>
      </c>
      <c r="M646" s="6" t="n">
        <v>4451.56</v>
      </c>
      <c r="Q646" s="1" t="str">
        <f aca="false">IF(OR($A646="",P646=""),"",ROUND(YEARFRAC(P646,README!$C$5),1))</f>
        <v/>
      </c>
      <c r="S646" s="6" t="n">
        <v>4720</v>
      </c>
      <c r="T646" s="6" t="n">
        <v>4907</v>
      </c>
      <c r="U646" s="6" t="n">
        <v>5210</v>
      </c>
      <c r="V646" s="6" t="n">
        <v>303</v>
      </c>
      <c r="W646" s="6" t="n">
        <v>1</v>
      </c>
      <c r="X646" s="6" t="n">
        <v>25</v>
      </c>
      <c r="Y646" s="6" t="n">
        <v>10.5</v>
      </c>
      <c r="Z646" s="6" t="s">
        <v>2607</v>
      </c>
      <c r="AA646" s="9" t="s">
        <v>774</v>
      </c>
      <c r="AB646" s="6" t="s">
        <v>2744</v>
      </c>
      <c r="AC646" s="27" t="n">
        <f aca="false">COUNTIF(環境認証!$A$2:$A$849,A646)</f>
        <v>0</v>
      </c>
      <c r="AD646" s="6" t="n">
        <v>6.2</v>
      </c>
      <c r="AE646" s="6" t="n">
        <v>10.4</v>
      </c>
    </row>
    <row r="647" customFormat="false" ht="15" hidden="false" customHeight="true" outlineLevel="0" collapsed="false">
      <c r="A647" s="6" t="s">
        <v>2745</v>
      </c>
      <c r="B647" s="6" t="s">
        <v>531</v>
      </c>
      <c r="C647" s="9" t="s">
        <v>2746</v>
      </c>
      <c r="D647" s="9" t="s">
        <v>761</v>
      </c>
      <c r="E647" s="9" t="s">
        <v>969</v>
      </c>
      <c r="F647" s="9" t="s">
        <v>970</v>
      </c>
      <c r="H647" s="9" t="s">
        <v>971</v>
      </c>
      <c r="M647" s="6" t="n">
        <v>4043.34</v>
      </c>
      <c r="Q647" s="1" t="str">
        <f aca="false">IF(OR($A647="",P647=""),"",ROUND(YEARFRAC(P647,README!$C$5),1))</f>
        <v/>
      </c>
      <c r="S647" s="6" t="n">
        <v>5110</v>
      </c>
      <c r="T647" s="6" t="n">
        <v>5178</v>
      </c>
      <c r="U647" s="6" t="n">
        <v>5453</v>
      </c>
      <c r="V647" s="6" t="n">
        <v>275</v>
      </c>
      <c r="W647" s="6" t="n">
        <v>1</v>
      </c>
      <c r="X647" s="6" t="n">
        <v>14</v>
      </c>
      <c r="Y647" s="6" t="n">
        <v>12.8</v>
      </c>
      <c r="Z647" s="6" t="s">
        <v>2607</v>
      </c>
      <c r="AA647" s="9" t="s">
        <v>774</v>
      </c>
      <c r="AB647" s="6" t="s">
        <v>2747</v>
      </c>
      <c r="AC647" s="27" t="n">
        <f aca="false">COUNTIF(環境認証!$A$2:$A$849,A647)</f>
        <v>0</v>
      </c>
      <c r="AD647" s="6" t="n">
        <v>5.3</v>
      </c>
      <c r="AE647" s="6" t="n">
        <v>6.7</v>
      </c>
    </row>
    <row r="648" customFormat="false" ht="15" hidden="false" customHeight="true" outlineLevel="0" collapsed="false">
      <c r="A648" s="6" t="s">
        <v>2748</v>
      </c>
      <c r="B648" s="6" t="s">
        <v>531</v>
      </c>
      <c r="C648" s="9" t="s">
        <v>2749</v>
      </c>
      <c r="D648" s="9" t="s">
        <v>1894</v>
      </c>
      <c r="E648" s="9" t="s">
        <v>762</v>
      </c>
      <c r="F648" s="9" t="s">
        <v>905</v>
      </c>
      <c r="H648" s="9" t="s">
        <v>882</v>
      </c>
      <c r="M648" s="6" t="n">
        <v>836.36</v>
      </c>
      <c r="Q648" s="1" t="str">
        <f aca="false">IF(OR($A648="",P648=""),"",ROUND(YEARFRAC(P648,README!$C$5),1))</f>
        <v/>
      </c>
      <c r="S648" s="6" t="n">
        <v>660</v>
      </c>
      <c r="T648" s="6" t="n">
        <v>606</v>
      </c>
      <c r="U648" s="6" t="n">
        <v>891</v>
      </c>
      <c r="V648" s="6" t="n">
        <v>285</v>
      </c>
      <c r="W648" s="6" t="n">
        <v>0.8501</v>
      </c>
      <c r="X648" s="6" t="n">
        <v>18</v>
      </c>
      <c r="Y648" s="6" t="n">
        <v>6.2</v>
      </c>
      <c r="Z648" s="6" t="s">
        <v>2607</v>
      </c>
      <c r="AA648" s="9" t="s">
        <v>774</v>
      </c>
      <c r="AB648" s="6" t="s">
        <v>2750</v>
      </c>
      <c r="AC648" s="27" t="n">
        <f aca="false">COUNTIF(環境認証!$A$2:$A$849,A648)</f>
        <v>0</v>
      </c>
      <c r="AD648" s="6" t="n">
        <v>47</v>
      </c>
      <c r="AE648" s="6" t="n">
        <v>35</v>
      </c>
    </row>
    <row r="649" customFormat="false" ht="15" hidden="false" customHeight="true" outlineLevel="0" collapsed="false">
      <c r="A649" s="6" t="s">
        <v>2751</v>
      </c>
      <c r="B649" s="6" t="s">
        <v>531</v>
      </c>
      <c r="C649" s="9" t="s">
        <v>2752</v>
      </c>
      <c r="D649" s="9" t="s">
        <v>1894</v>
      </c>
      <c r="E649" s="9" t="s">
        <v>762</v>
      </c>
      <c r="F649" s="9" t="s">
        <v>2753</v>
      </c>
      <c r="H649" s="9" t="s">
        <v>882</v>
      </c>
      <c r="M649" s="6" t="n">
        <v>1167.36</v>
      </c>
      <c r="Q649" s="1" t="str">
        <f aca="false">IF(OR($A649="",P649=""),"",ROUND(YEARFRAC(P649,README!$C$5),1))</f>
        <v/>
      </c>
      <c r="S649" s="6" t="n">
        <v>650</v>
      </c>
      <c r="T649" s="6" t="n">
        <v>562</v>
      </c>
      <c r="U649" s="6" t="n">
        <v>1102</v>
      </c>
      <c r="V649" s="6" t="n">
        <v>540</v>
      </c>
      <c r="W649" s="6" t="n">
        <v>0.9787</v>
      </c>
      <c r="X649" s="6" t="n">
        <v>47</v>
      </c>
      <c r="Y649" s="6" t="n">
        <v>8.8</v>
      </c>
      <c r="Z649" s="6" t="s">
        <v>2607</v>
      </c>
      <c r="AA649" s="9" t="s">
        <v>774</v>
      </c>
      <c r="AB649" s="6" t="s">
        <v>2754</v>
      </c>
      <c r="AC649" s="27" t="n">
        <f aca="false">COUNTIF(環境認証!$A$2:$A$849,A649)</f>
        <v>0</v>
      </c>
      <c r="AD649" s="6" t="n">
        <v>96.1</v>
      </c>
      <c r="AE649" s="6" t="n">
        <v>69.5</v>
      </c>
    </row>
    <row r="650" customFormat="false" ht="15" hidden="false" customHeight="true" outlineLevel="0" collapsed="false">
      <c r="A650" s="6" t="s">
        <v>2755</v>
      </c>
      <c r="B650" s="6" t="s">
        <v>531</v>
      </c>
      <c r="C650" s="9" t="s">
        <v>2756</v>
      </c>
      <c r="D650" s="9" t="s">
        <v>1894</v>
      </c>
      <c r="E650" s="9" t="s">
        <v>762</v>
      </c>
      <c r="F650" s="9" t="s">
        <v>2187</v>
      </c>
      <c r="H650" s="9" t="s">
        <v>882</v>
      </c>
      <c r="M650" s="6" t="n">
        <v>5490.36</v>
      </c>
      <c r="Q650" s="1" t="str">
        <f aca="false">IF(OR($A650="",P650=""),"",ROUND(YEARFRAC(P650,README!$C$5),1))</f>
        <v/>
      </c>
      <c r="S650" s="6" t="n">
        <v>3610</v>
      </c>
      <c r="T650" s="6" t="n">
        <v>3134</v>
      </c>
      <c r="U650" s="6" t="n">
        <v>6426</v>
      </c>
      <c r="V650" s="6" t="n">
        <v>3292</v>
      </c>
      <c r="W650" s="6" t="n">
        <v>0.888</v>
      </c>
      <c r="X650" s="6" t="n">
        <v>86</v>
      </c>
      <c r="Y650" s="6" t="n">
        <v>6.7</v>
      </c>
      <c r="Z650" s="6" t="s">
        <v>2607</v>
      </c>
      <c r="AA650" s="9" t="s">
        <v>774</v>
      </c>
      <c r="AB650" s="6" t="s">
        <v>2757</v>
      </c>
      <c r="AC650" s="27" t="n">
        <f aca="false">COUNTIF(環境認証!$A$2:$A$849,A650)</f>
        <v>0</v>
      </c>
      <c r="AD650" s="6" t="n">
        <v>105</v>
      </c>
      <c r="AE650" s="6" t="n">
        <v>78</v>
      </c>
    </row>
    <row r="651" customFormat="false" ht="15" hidden="false" customHeight="true" outlineLevel="0" collapsed="false">
      <c r="A651" s="6" t="s">
        <v>2758</v>
      </c>
      <c r="B651" s="6" t="s">
        <v>531</v>
      </c>
      <c r="C651" s="9" t="s">
        <v>2759</v>
      </c>
      <c r="D651" s="9" t="s">
        <v>1894</v>
      </c>
      <c r="E651" s="9" t="s">
        <v>762</v>
      </c>
      <c r="F651" s="9" t="s">
        <v>905</v>
      </c>
      <c r="H651" s="9" t="s">
        <v>882</v>
      </c>
      <c r="M651" s="6" t="n">
        <v>1897.46</v>
      </c>
      <c r="Q651" s="1" t="str">
        <f aca="false">IF(OR($A651="",P651=""),"",ROUND(YEARFRAC(P651,README!$C$5),1))</f>
        <v/>
      </c>
      <c r="S651" s="6" t="n">
        <v>1560</v>
      </c>
      <c r="T651" s="6" t="n">
        <v>1380</v>
      </c>
      <c r="U651" s="6" t="n">
        <v>2153</v>
      </c>
      <c r="V651" s="6" t="n">
        <v>773</v>
      </c>
      <c r="W651" s="6" t="n">
        <v>1</v>
      </c>
      <c r="X651" s="6" t="n">
        <v>53</v>
      </c>
      <c r="Y651" s="6" t="n">
        <v>6.4</v>
      </c>
      <c r="Z651" s="6" t="s">
        <v>2607</v>
      </c>
      <c r="AA651" s="9" t="s">
        <v>774</v>
      </c>
      <c r="AB651" s="6" t="s">
        <v>2760</v>
      </c>
      <c r="AC651" s="27" t="n">
        <f aca="false">COUNTIF(環境認証!$A$2:$A$849,A651)</f>
        <v>0</v>
      </c>
      <c r="AD651" s="6" t="n">
        <v>56</v>
      </c>
      <c r="AE651" s="6" t="n">
        <v>38</v>
      </c>
    </row>
    <row r="652" customFormat="false" ht="15" hidden="false" customHeight="true" outlineLevel="0" collapsed="false">
      <c r="A652" s="6" t="s">
        <v>2761</v>
      </c>
      <c r="B652" s="6" t="s">
        <v>531</v>
      </c>
      <c r="C652" s="9" t="s">
        <v>2762</v>
      </c>
      <c r="D652" s="9" t="s">
        <v>1894</v>
      </c>
      <c r="E652" s="9" t="s">
        <v>762</v>
      </c>
      <c r="F652" s="9" t="s">
        <v>782</v>
      </c>
      <c r="H652" s="9" t="s">
        <v>772</v>
      </c>
      <c r="M652" s="6" t="n">
        <v>1325.2</v>
      </c>
      <c r="Q652" s="1" t="str">
        <f aca="false">IF(OR($A652="",P652=""),"",ROUND(YEARFRAC(P652,README!$C$5),1))</f>
        <v/>
      </c>
      <c r="S652" s="6" t="n">
        <v>1370</v>
      </c>
      <c r="T652" s="6" t="n">
        <v>1273</v>
      </c>
      <c r="U652" s="6" t="n">
        <v>1700</v>
      </c>
      <c r="V652" s="6" t="n">
        <v>427</v>
      </c>
      <c r="W652" s="6" t="n">
        <v>0.9664</v>
      </c>
      <c r="X652" s="6" t="n">
        <v>58</v>
      </c>
      <c r="Y652" s="6" t="n">
        <v>3.6</v>
      </c>
      <c r="Z652" s="6" t="s">
        <v>2607</v>
      </c>
      <c r="AA652" s="9" t="s">
        <v>774</v>
      </c>
      <c r="AB652" s="6" t="s">
        <v>2763</v>
      </c>
      <c r="AC652" s="27" t="n">
        <f aca="false">COUNTIF(環境認証!$A$2:$A$849,A652)</f>
        <v>0</v>
      </c>
      <c r="AD652" s="6" t="n">
        <v>33.5</v>
      </c>
      <c r="AE652" s="6" t="n">
        <v>24.1</v>
      </c>
    </row>
    <row r="653" customFormat="false" ht="15" hidden="false" customHeight="true" outlineLevel="0" collapsed="false">
      <c r="A653" s="6" t="s">
        <v>2764</v>
      </c>
      <c r="B653" s="6" t="s">
        <v>531</v>
      </c>
      <c r="C653" s="9" t="s">
        <v>2765</v>
      </c>
      <c r="D653" s="9" t="s">
        <v>1894</v>
      </c>
      <c r="E653" s="9" t="s">
        <v>762</v>
      </c>
      <c r="F653" s="9" t="s">
        <v>905</v>
      </c>
      <c r="H653" s="9" t="s">
        <v>882</v>
      </c>
      <c r="M653" s="6" t="n">
        <v>1217.46</v>
      </c>
      <c r="Q653" s="1" t="str">
        <f aca="false">IF(OR($A653="",P653=""),"",ROUND(YEARFRAC(P653,README!$C$5),1))</f>
        <v/>
      </c>
      <c r="S653" s="6" t="n">
        <v>1000</v>
      </c>
      <c r="T653" s="6" t="n">
        <v>905</v>
      </c>
      <c r="U653" s="6" t="n">
        <v>1390</v>
      </c>
      <c r="V653" s="6" t="n">
        <v>485</v>
      </c>
      <c r="W653" s="6" t="n">
        <v>0.8784</v>
      </c>
      <c r="X653" s="6" t="n">
        <v>24</v>
      </c>
      <c r="Y653" s="6" t="n">
        <v>9.8</v>
      </c>
      <c r="Z653" s="6" t="s">
        <v>2607</v>
      </c>
      <c r="AA653" s="9" t="s">
        <v>774</v>
      </c>
      <c r="AB653" s="6" t="s">
        <v>2766</v>
      </c>
      <c r="AC653" s="27" t="n">
        <f aca="false">COUNTIF(環境認証!$A$2:$A$849,A653)</f>
        <v>0</v>
      </c>
      <c r="AD653" s="6" t="n">
        <v>53.6</v>
      </c>
      <c r="AE653" s="6" t="n">
        <v>39</v>
      </c>
    </row>
    <row r="654" customFormat="false" ht="15" hidden="false" customHeight="true" outlineLevel="0" collapsed="false">
      <c r="A654" s="6" t="s">
        <v>2767</v>
      </c>
      <c r="B654" s="6" t="s">
        <v>531</v>
      </c>
      <c r="C654" s="9" t="s">
        <v>2768</v>
      </c>
      <c r="D654" s="9" t="s">
        <v>1894</v>
      </c>
      <c r="E654" s="9" t="s">
        <v>762</v>
      </c>
      <c r="F654" s="9" t="s">
        <v>763</v>
      </c>
      <c r="H654" s="9" t="s">
        <v>772</v>
      </c>
      <c r="M654" s="6" t="n">
        <v>1462.18</v>
      </c>
      <c r="Q654" s="1" t="str">
        <f aca="false">IF(OR($A654="",P654=""),"",ROUND(YEARFRAC(P654,README!$C$5),1))</f>
        <v/>
      </c>
      <c r="S654" s="6" t="n">
        <v>1100</v>
      </c>
      <c r="T654" s="6" t="n">
        <v>834</v>
      </c>
      <c r="U654" s="6" t="n">
        <v>1790</v>
      </c>
      <c r="V654" s="6" t="n">
        <v>956</v>
      </c>
      <c r="W654" s="6" t="n">
        <v>0.9383</v>
      </c>
      <c r="X654" s="6" t="n">
        <v>60</v>
      </c>
      <c r="Y654" s="6" t="n">
        <v>5.7</v>
      </c>
      <c r="Z654" s="6" t="s">
        <v>2607</v>
      </c>
      <c r="AA654" s="9" t="s">
        <v>774</v>
      </c>
      <c r="AB654" s="6" t="s">
        <v>2769</v>
      </c>
      <c r="AC654" s="27" t="n">
        <f aca="false">COUNTIF(環境認証!$A$2:$A$849,A654)</f>
        <v>0</v>
      </c>
      <c r="AD654" s="6" t="n">
        <v>114.6</v>
      </c>
      <c r="AE654" s="6" t="n">
        <v>62.7</v>
      </c>
    </row>
    <row r="655" customFormat="false" ht="15" hidden="false" customHeight="true" outlineLevel="0" collapsed="false">
      <c r="A655" s="6" t="s">
        <v>2770</v>
      </c>
      <c r="B655" s="6" t="s">
        <v>531</v>
      </c>
      <c r="C655" s="9" t="s">
        <v>2771</v>
      </c>
      <c r="D655" s="9" t="s">
        <v>1894</v>
      </c>
      <c r="E655" s="9" t="s">
        <v>762</v>
      </c>
      <c r="F655" s="9" t="s">
        <v>820</v>
      </c>
      <c r="H655" s="9" t="s">
        <v>772</v>
      </c>
      <c r="M655" s="6" t="n">
        <v>1684.4</v>
      </c>
      <c r="Q655" s="1" t="str">
        <f aca="false">IF(OR($A655="",P655=""),"",ROUND(YEARFRAC(P655,README!$C$5),1))</f>
        <v/>
      </c>
      <c r="S655" s="6" t="n">
        <v>1210</v>
      </c>
      <c r="T655" s="6" t="n">
        <v>915</v>
      </c>
      <c r="U655" s="6" t="n">
        <v>2160</v>
      </c>
      <c r="V655" s="6" t="n">
        <v>1245</v>
      </c>
      <c r="W655" s="6" t="n">
        <v>0.9748</v>
      </c>
      <c r="X655" s="6" t="n">
        <v>65</v>
      </c>
      <c r="Y655" s="6" t="n">
        <v>10</v>
      </c>
      <c r="Z655" s="6" t="s">
        <v>2607</v>
      </c>
      <c r="AA655" s="9" t="s">
        <v>774</v>
      </c>
      <c r="AB655" s="6" t="s">
        <v>2772</v>
      </c>
      <c r="AC655" s="27" t="n">
        <f aca="false">COUNTIF(環境認証!$A$2:$A$849,A655)</f>
        <v>0</v>
      </c>
      <c r="AD655" s="6" t="n">
        <v>136.1</v>
      </c>
      <c r="AE655" s="6" t="n">
        <v>78.5</v>
      </c>
    </row>
    <row r="656" customFormat="false" ht="15" hidden="false" customHeight="true" outlineLevel="0" collapsed="false">
      <c r="A656" s="6" t="s">
        <v>2773</v>
      </c>
      <c r="B656" s="6" t="s">
        <v>531</v>
      </c>
      <c r="C656" s="9" t="s">
        <v>2774</v>
      </c>
      <c r="D656" s="9" t="s">
        <v>1894</v>
      </c>
      <c r="E656" s="9" t="s">
        <v>762</v>
      </c>
      <c r="F656" s="9" t="s">
        <v>2366</v>
      </c>
      <c r="H656" s="9" t="s">
        <v>882</v>
      </c>
      <c r="M656" s="6" t="n">
        <v>1024.52</v>
      </c>
      <c r="Q656" s="1" t="str">
        <f aca="false">IF(OR($A656="",P656=""),"",ROUND(YEARFRAC(P656,README!$C$5),1))</f>
        <v/>
      </c>
      <c r="S656" s="6" t="n">
        <v>690</v>
      </c>
      <c r="T656" s="6" t="n">
        <v>539</v>
      </c>
      <c r="U656" s="6" t="n">
        <v>1080</v>
      </c>
      <c r="V656" s="6" t="n">
        <v>541</v>
      </c>
      <c r="W656" s="6" t="n">
        <v>0.9424</v>
      </c>
      <c r="X656" s="6" t="n">
        <v>48</v>
      </c>
      <c r="Y656" s="6" t="n">
        <v>5.5</v>
      </c>
      <c r="Z656" s="6" t="s">
        <v>2607</v>
      </c>
      <c r="AA656" s="9" t="s">
        <v>774</v>
      </c>
      <c r="AB656" s="6" t="s">
        <v>2775</v>
      </c>
      <c r="AC656" s="27" t="n">
        <f aca="false">COUNTIF(環境認証!$A$2:$A$849,A656)</f>
        <v>0</v>
      </c>
      <c r="AD656" s="6" t="n">
        <v>100.4</v>
      </c>
      <c r="AE656" s="6" t="n">
        <v>56.5</v>
      </c>
    </row>
    <row r="657" customFormat="false" ht="15" hidden="false" customHeight="true" outlineLevel="0" collapsed="false">
      <c r="A657" s="6" t="s">
        <v>2776</v>
      </c>
      <c r="B657" s="6" t="s">
        <v>531</v>
      </c>
      <c r="C657" s="9" t="s">
        <v>2777</v>
      </c>
      <c r="D657" s="9" t="s">
        <v>1894</v>
      </c>
      <c r="E657" s="9" t="s">
        <v>762</v>
      </c>
      <c r="F657" s="9" t="s">
        <v>782</v>
      </c>
      <c r="H657" s="9" t="s">
        <v>772</v>
      </c>
      <c r="M657" s="6" t="n">
        <v>4457.76</v>
      </c>
      <c r="Q657" s="1" t="str">
        <f aca="false">IF(OR($A657="",P657=""),"",ROUND(YEARFRAC(P657,README!$C$5),1))</f>
        <v/>
      </c>
      <c r="S657" s="6" t="n">
        <v>4030</v>
      </c>
      <c r="T657" s="6" t="n">
        <v>3524</v>
      </c>
      <c r="U657" s="6" t="n">
        <v>7260</v>
      </c>
      <c r="V657" s="6" t="n">
        <v>3736</v>
      </c>
      <c r="W657" s="6" t="n">
        <v>0.9651</v>
      </c>
      <c r="X657" s="6" t="n">
        <v>64</v>
      </c>
      <c r="Y657" s="6" t="n">
        <v>3.9</v>
      </c>
      <c r="Z657" s="6" t="s">
        <v>2607</v>
      </c>
      <c r="AA657" s="9" t="s">
        <v>774</v>
      </c>
      <c r="AB657" s="6" t="s">
        <v>2778</v>
      </c>
      <c r="AC657" s="27" t="n">
        <f aca="false">COUNTIF(環境認証!$A$2:$A$849,A657)</f>
        <v>1</v>
      </c>
      <c r="AD657" s="6" t="n">
        <v>106</v>
      </c>
      <c r="AE657" s="6" t="n">
        <v>80.1</v>
      </c>
    </row>
    <row r="658" customFormat="false" ht="15" hidden="false" customHeight="true" outlineLevel="0" collapsed="false">
      <c r="A658" s="6" t="s">
        <v>2779</v>
      </c>
      <c r="B658" s="6" t="s">
        <v>531</v>
      </c>
      <c r="C658" s="9" t="s">
        <v>2780</v>
      </c>
      <c r="D658" s="9" t="s">
        <v>1894</v>
      </c>
      <c r="E658" s="9" t="s">
        <v>762</v>
      </c>
      <c r="F658" s="9" t="s">
        <v>2187</v>
      </c>
      <c r="H658" s="9" t="s">
        <v>882</v>
      </c>
      <c r="M658" s="6" t="n">
        <v>1187.25</v>
      </c>
      <c r="Q658" s="1" t="str">
        <f aca="false">IF(OR($A658="",P658=""),"",ROUND(YEARFRAC(P658,README!$C$5),1))</f>
        <v/>
      </c>
      <c r="S658" s="6" t="n">
        <v>1070</v>
      </c>
      <c r="T658" s="6" t="n">
        <v>975</v>
      </c>
      <c r="U658" s="6" t="n">
        <v>1290</v>
      </c>
      <c r="V658" s="6" t="n">
        <v>315</v>
      </c>
      <c r="W658" s="6" t="n">
        <v>0.9447</v>
      </c>
      <c r="X658" s="6" t="n">
        <v>50</v>
      </c>
      <c r="Y658" s="6" t="n">
        <v>6</v>
      </c>
      <c r="Z658" s="6" t="s">
        <v>2607</v>
      </c>
      <c r="AA658" s="9" t="s">
        <v>774</v>
      </c>
      <c r="AB658" s="6" t="s">
        <v>2781</v>
      </c>
      <c r="AC658" s="27" t="n">
        <f aca="false">COUNTIF(環境認証!$A$2:$A$849,A658)</f>
        <v>0</v>
      </c>
      <c r="AD658" s="6" t="n">
        <v>32.3</v>
      </c>
      <c r="AE658" s="6" t="n">
        <v>20.6</v>
      </c>
    </row>
    <row r="659" customFormat="false" ht="15" hidden="false" customHeight="true" outlineLevel="0" collapsed="false">
      <c r="A659" s="6" t="s">
        <v>2782</v>
      </c>
      <c r="B659" s="6" t="s">
        <v>531</v>
      </c>
      <c r="C659" s="9" t="s">
        <v>2783</v>
      </c>
      <c r="D659" s="9" t="s">
        <v>1894</v>
      </c>
      <c r="E659" s="9" t="s">
        <v>762</v>
      </c>
      <c r="F659" s="9" t="s">
        <v>820</v>
      </c>
      <c r="H659" s="9" t="s">
        <v>772</v>
      </c>
      <c r="M659" s="6" t="n">
        <v>1418.23</v>
      </c>
      <c r="Q659" s="1" t="str">
        <f aca="false">IF(OR($A659="",P659=""),"",ROUND(YEARFRAC(P659,README!$C$5),1))</f>
        <v/>
      </c>
      <c r="S659" s="6" t="n">
        <v>1130</v>
      </c>
      <c r="T659" s="6" t="n">
        <v>1054</v>
      </c>
      <c r="U659" s="6" t="n">
        <v>1360</v>
      </c>
      <c r="V659" s="6" t="n">
        <v>306</v>
      </c>
      <c r="W659" s="6" t="n">
        <v>1</v>
      </c>
      <c r="X659" s="6" t="n">
        <v>48</v>
      </c>
      <c r="Y659" s="6" t="n">
        <v>3.3</v>
      </c>
      <c r="Z659" s="6" t="s">
        <v>2607</v>
      </c>
      <c r="AA659" s="9" t="s">
        <v>774</v>
      </c>
      <c r="AB659" s="6" t="s">
        <v>2784</v>
      </c>
      <c r="AC659" s="27" t="n">
        <f aca="false">COUNTIF(環境認証!$A$2:$A$849,A659)</f>
        <v>0</v>
      </c>
      <c r="AD659" s="6" t="n">
        <v>29</v>
      </c>
      <c r="AE659" s="6" t="n">
        <v>20.4</v>
      </c>
    </row>
    <row r="660" customFormat="false" ht="15" hidden="false" customHeight="true" outlineLevel="0" collapsed="false">
      <c r="A660" s="6" t="s">
        <v>2785</v>
      </c>
      <c r="B660" s="6" t="s">
        <v>531</v>
      </c>
      <c r="C660" s="9" t="s">
        <v>2786</v>
      </c>
      <c r="D660" s="9" t="s">
        <v>1894</v>
      </c>
      <c r="E660" s="9" t="s">
        <v>762</v>
      </c>
      <c r="F660" s="9" t="s">
        <v>2366</v>
      </c>
      <c r="H660" s="9" t="s">
        <v>882</v>
      </c>
      <c r="M660" s="6" t="n">
        <v>1494.91</v>
      </c>
      <c r="Q660" s="1" t="str">
        <f aca="false">IF(OR($A660="",P660=""),"",ROUND(YEARFRAC(P660,README!$C$5),1))</f>
        <v/>
      </c>
      <c r="S660" s="6" t="n">
        <v>950</v>
      </c>
      <c r="T660" s="6" t="n">
        <v>836</v>
      </c>
      <c r="U660" s="6" t="n">
        <v>1190</v>
      </c>
      <c r="V660" s="6" t="n">
        <v>354</v>
      </c>
      <c r="W660" s="6" t="n">
        <v>0.9567</v>
      </c>
      <c r="X660" s="6" t="n">
        <v>61</v>
      </c>
      <c r="Y660" s="6" t="n">
        <v>6.2</v>
      </c>
      <c r="Z660" s="6" t="s">
        <v>2607</v>
      </c>
      <c r="AA660" s="9" t="s">
        <v>774</v>
      </c>
      <c r="AB660" s="6" t="s">
        <v>2787</v>
      </c>
      <c r="AC660" s="27" t="n">
        <f aca="false">COUNTIF(環境認証!$A$2:$A$849,A660)</f>
        <v>0</v>
      </c>
      <c r="AD660" s="6" t="n">
        <v>42.3</v>
      </c>
      <c r="AE660" s="6" t="n">
        <v>25.3</v>
      </c>
    </row>
    <row r="661" customFormat="false" ht="15" hidden="false" customHeight="true" outlineLevel="0" collapsed="false">
      <c r="A661" s="6" t="s">
        <v>2788</v>
      </c>
      <c r="B661" s="6" t="s">
        <v>531</v>
      </c>
      <c r="C661" s="9" t="s">
        <v>2789</v>
      </c>
      <c r="D661" s="9" t="s">
        <v>1894</v>
      </c>
      <c r="E661" s="9" t="s">
        <v>762</v>
      </c>
      <c r="F661" s="9" t="s">
        <v>1316</v>
      </c>
      <c r="H661" s="9" t="s">
        <v>882</v>
      </c>
      <c r="M661" s="6" t="n">
        <v>1427.58</v>
      </c>
      <c r="Q661" s="1" t="str">
        <f aca="false">IF(OR($A661="",P661=""),"",ROUND(YEARFRAC(P661,README!$C$5),1))</f>
        <v/>
      </c>
      <c r="S661" s="6" t="n">
        <v>1100</v>
      </c>
      <c r="T661" s="6" t="n">
        <v>1045</v>
      </c>
      <c r="U661" s="6" t="n">
        <v>1540</v>
      </c>
      <c r="V661" s="6" t="n">
        <v>495</v>
      </c>
      <c r="W661" s="6" t="n">
        <v>1</v>
      </c>
      <c r="X661" s="6" t="n">
        <v>56</v>
      </c>
      <c r="Y661" s="6" t="n">
        <v>10.1</v>
      </c>
      <c r="Z661" s="6" t="s">
        <v>2607</v>
      </c>
      <c r="AA661" s="9" t="s">
        <v>774</v>
      </c>
      <c r="AB661" s="6" t="s">
        <v>2790</v>
      </c>
      <c r="AC661" s="27" t="n">
        <f aca="false">COUNTIF(環境認証!$A$2:$A$849,A661)</f>
        <v>0</v>
      </c>
      <c r="AD661" s="6" t="n">
        <v>47.4</v>
      </c>
      <c r="AE661" s="6" t="n">
        <v>40</v>
      </c>
    </row>
    <row r="662" customFormat="false" ht="15" hidden="false" customHeight="true" outlineLevel="0" collapsed="false">
      <c r="A662" s="6" t="s">
        <v>2791</v>
      </c>
      <c r="B662" s="6" t="s">
        <v>531</v>
      </c>
      <c r="C662" s="9" t="s">
        <v>2792</v>
      </c>
      <c r="D662" s="9" t="s">
        <v>1894</v>
      </c>
      <c r="E662" s="9" t="s">
        <v>762</v>
      </c>
      <c r="F662" s="9" t="s">
        <v>820</v>
      </c>
      <c r="H662" s="9" t="s">
        <v>772</v>
      </c>
      <c r="M662" s="6" t="n">
        <v>5459.49</v>
      </c>
      <c r="Q662" s="1" t="str">
        <f aca="false">IF(OR($A662="",P662=""),"",ROUND(YEARFRAC(P662,README!$C$5),1))</f>
        <v/>
      </c>
      <c r="S662" s="6" t="n">
        <v>5940</v>
      </c>
      <c r="T662" s="6" t="n">
        <v>5388</v>
      </c>
      <c r="U662" s="6" t="n">
        <v>7330</v>
      </c>
      <c r="V662" s="6" t="n">
        <v>1942</v>
      </c>
      <c r="W662" s="6" t="n">
        <v>0.9516</v>
      </c>
      <c r="X662" s="6" t="n">
        <v>100</v>
      </c>
      <c r="Y662" s="6" t="n">
        <v>5.7</v>
      </c>
      <c r="Z662" s="6" t="s">
        <v>2607</v>
      </c>
      <c r="AA662" s="9" t="s">
        <v>774</v>
      </c>
      <c r="AB662" s="6" t="s">
        <v>2793</v>
      </c>
      <c r="AC662" s="27" t="n">
        <f aca="false">COUNTIF(環境認証!$A$2:$A$849,A662)</f>
        <v>1</v>
      </c>
      <c r="AD662" s="6" t="n">
        <v>36</v>
      </c>
      <c r="AE662" s="6" t="n">
        <v>23.4</v>
      </c>
    </row>
    <row r="663" customFormat="false" ht="15" hidden="false" customHeight="true" outlineLevel="0" collapsed="false">
      <c r="A663" s="6" t="s">
        <v>2794</v>
      </c>
      <c r="B663" s="6" t="s">
        <v>531</v>
      </c>
      <c r="C663" s="9" t="s">
        <v>2795</v>
      </c>
      <c r="D663" s="9" t="s">
        <v>1894</v>
      </c>
      <c r="E663" s="9" t="s">
        <v>925</v>
      </c>
      <c r="F663" s="9" t="s">
        <v>926</v>
      </c>
      <c r="H663" s="9" t="s">
        <v>921</v>
      </c>
      <c r="M663" s="6" t="n">
        <v>4224.61</v>
      </c>
      <c r="Q663" s="1" t="str">
        <f aca="false">IF(OR($A663="",P663=""),"",ROUND(YEARFRAC(P663,README!$C$5),1))</f>
        <v/>
      </c>
      <c r="S663" s="6" t="n">
        <v>3350</v>
      </c>
      <c r="T663" s="6" t="n">
        <v>2894</v>
      </c>
      <c r="U663" s="6" t="n">
        <v>3250</v>
      </c>
      <c r="V663" s="6" t="n">
        <v>356</v>
      </c>
      <c r="W663" s="6" t="n">
        <v>0.9612</v>
      </c>
      <c r="X663" s="6" t="n">
        <v>109</v>
      </c>
      <c r="Y663" s="6" t="n">
        <v>13.2</v>
      </c>
      <c r="Z663" s="6" t="s">
        <v>2607</v>
      </c>
      <c r="AA663" s="9" t="s">
        <v>774</v>
      </c>
      <c r="AB663" s="6" t="s">
        <v>2796</v>
      </c>
      <c r="AC663" s="27" t="n">
        <f aca="false">COUNTIF(環境認証!$A$2:$A$849,A663)</f>
        <v>1</v>
      </c>
      <c r="AD663" s="6" t="n">
        <v>12.3</v>
      </c>
      <c r="AE663" s="6" t="n">
        <v>-3</v>
      </c>
    </row>
    <row r="664" customFormat="false" ht="15" hidden="false" customHeight="true" outlineLevel="0" collapsed="false">
      <c r="A664" s="6" t="s">
        <v>2797</v>
      </c>
      <c r="B664" s="6" t="s">
        <v>531</v>
      </c>
      <c r="C664" s="9" t="s">
        <v>2798</v>
      </c>
      <c r="D664" s="9" t="s">
        <v>1894</v>
      </c>
      <c r="E664" s="9" t="s">
        <v>762</v>
      </c>
      <c r="F664" s="9" t="s">
        <v>1148</v>
      </c>
      <c r="H664" s="9" t="s">
        <v>882</v>
      </c>
      <c r="M664" s="6" t="n">
        <v>2643.97</v>
      </c>
      <c r="Q664" s="1" t="str">
        <f aca="false">IF(OR($A664="",P664=""),"",ROUND(YEARFRAC(P664,README!$C$5),1))</f>
        <v/>
      </c>
      <c r="S664" s="6" t="n">
        <v>1630</v>
      </c>
      <c r="T664" s="6" t="n">
        <v>1440</v>
      </c>
      <c r="U664" s="6" t="n">
        <v>1840</v>
      </c>
      <c r="V664" s="6" t="n">
        <v>400</v>
      </c>
      <c r="W664" s="6" t="n">
        <v>0.9131</v>
      </c>
      <c r="X664" s="6" t="n">
        <v>28</v>
      </c>
      <c r="Y664" s="6" t="n">
        <v>4.6</v>
      </c>
      <c r="Z664" s="6" t="s">
        <v>2607</v>
      </c>
      <c r="AA664" s="9" t="s">
        <v>774</v>
      </c>
      <c r="AB664" s="6" t="s">
        <v>2799</v>
      </c>
      <c r="AC664" s="27" t="n">
        <f aca="false">COUNTIF(環境認証!$A$2:$A$849,A664)</f>
        <v>0</v>
      </c>
      <c r="AD664" s="6" t="n">
        <v>27.8</v>
      </c>
      <c r="AE664" s="6" t="n">
        <v>12.9</v>
      </c>
    </row>
    <row r="665" customFormat="false" ht="15" hidden="false" customHeight="true" outlineLevel="0" collapsed="false">
      <c r="A665" s="6" t="s">
        <v>2800</v>
      </c>
      <c r="B665" s="6" t="s">
        <v>531</v>
      </c>
      <c r="C665" s="9" t="s">
        <v>2801</v>
      </c>
      <c r="D665" s="9" t="s">
        <v>1894</v>
      </c>
      <c r="E665" s="9" t="s">
        <v>762</v>
      </c>
      <c r="F665" s="9" t="s">
        <v>905</v>
      </c>
      <c r="H665" s="9" t="s">
        <v>882</v>
      </c>
      <c r="M665" s="6" t="n">
        <v>1643.53</v>
      </c>
      <c r="Q665" s="1" t="str">
        <f aca="false">IF(OR($A665="",P665=""),"",ROUND(YEARFRAC(P665,README!$C$5),1))</f>
        <v/>
      </c>
      <c r="S665" s="6" t="n">
        <v>1650</v>
      </c>
      <c r="T665" s="6" t="n">
        <v>1575</v>
      </c>
      <c r="U665" s="6" t="n">
        <v>1600</v>
      </c>
      <c r="V665" s="6" t="n">
        <v>25</v>
      </c>
      <c r="W665" s="6" t="n">
        <v>0.9525</v>
      </c>
      <c r="X665" s="6" t="n">
        <v>21</v>
      </c>
      <c r="Y665" s="6" t="n">
        <v>14.6</v>
      </c>
      <c r="Z665" s="6" t="s">
        <v>2607</v>
      </c>
      <c r="AA665" s="9" t="s">
        <v>774</v>
      </c>
      <c r="AB665" s="6" t="s">
        <v>2802</v>
      </c>
      <c r="AC665" s="27" t="n">
        <f aca="false">COUNTIF(環境認証!$A$2:$A$849,A665)</f>
        <v>0</v>
      </c>
      <c r="AD665" s="6" t="n">
        <v>1.6</v>
      </c>
      <c r="AE665" s="6" t="n">
        <v>-3</v>
      </c>
    </row>
    <row r="666" customFormat="false" ht="15" hidden="false" customHeight="true" outlineLevel="0" collapsed="false">
      <c r="A666" s="6" t="s">
        <v>2803</v>
      </c>
      <c r="B666" s="6" t="s">
        <v>531</v>
      </c>
      <c r="C666" s="9" t="s">
        <v>2804</v>
      </c>
      <c r="D666" s="9" t="s">
        <v>1894</v>
      </c>
      <c r="E666" s="9" t="s">
        <v>762</v>
      </c>
      <c r="F666" s="9" t="s">
        <v>881</v>
      </c>
      <c r="H666" s="9" t="s">
        <v>882</v>
      </c>
      <c r="M666" s="6" t="n">
        <v>1332.86</v>
      </c>
      <c r="Q666" s="1" t="str">
        <f aca="false">IF(OR($A666="",P666=""),"",ROUND(YEARFRAC(P666,README!$C$5),1))</f>
        <v/>
      </c>
      <c r="S666" s="6" t="n">
        <v>1050</v>
      </c>
      <c r="T666" s="6" t="n">
        <v>968</v>
      </c>
      <c r="U666" s="6" t="n">
        <v>1450</v>
      </c>
      <c r="V666" s="6" t="n">
        <v>482</v>
      </c>
      <c r="W666" s="6" t="n">
        <v>0.9835</v>
      </c>
      <c r="X666" s="6" t="n">
        <v>60</v>
      </c>
      <c r="Y666" s="6" t="n">
        <v>7.6</v>
      </c>
      <c r="Z666" s="6" t="s">
        <v>2607</v>
      </c>
      <c r="AA666" s="9" t="s">
        <v>774</v>
      </c>
      <c r="AB666" s="6" t="s">
        <v>2805</v>
      </c>
      <c r="AC666" s="27" t="n">
        <f aca="false">COUNTIF(環境認証!$A$2:$A$849,A666)</f>
        <v>0</v>
      </c>
      <c r="AD666" s="6" t="n">
        <v>49.8</v>
      </c>
      <c r="AE666" s="6" t="n">
        <v>38.1</v>
      </c>
    </row>
    <row r="667" customFormat="false" ht="15" hidden="false" customHeight="true" outlineLevel="0" collapsed="false">
      <c r="A667" s="6" t="s">
        <v>2806</v>
      </c>
      <c r="B667" s="6" t="s">
        <v>531</v>
      </c>
      <c r="C667" s="9" t="s">
        <v>2807</v>
      </c>
      <c r="D667" s="9" t="s">
        <v>1894</v>
      </c>
      <c r="E667" s="9" t="s">
        <v>762</v>
      </c>
      <c r="F667" s="9" t="s">
        <v>2031</v>
      </c>
      <c r="H667" s="9" t="s">
        <v>921</v>
      </c>
      <c r="M667" s="6" t="n">
        <v>2970</v>
      </c>
      <c r="Q667" s="1" t="str">
        <f aca="false">IF(OR($A667="",P667=""),"",ROUND(YEARFRAC(P667,README!$C$5),1))</f>
        <v/>
      </c>
      <c r="S667" s="6" t="n">
        <v>911</v>
      </c>
      <c r="T667" s="6" t="n">
        <v>797</v>
      </c>
      <c r="U667" s="6" t="n">
        <v>1010</v>
      </c>
      <c r="V667" s="6" t="n">
        <v>213</v>
      </c>
      <c r="W667" s="6" t="n">
        <v>0.97</v>
      </c>
      <c r="X667" s="6" t="n">
        <v>34</v>
      </c>
      <c r="Y667" s="6" t="n">
        <v>8.6</v>
      </c>
      <c r="Z667" s="6" t="s">
        <v>2607</v>
      </c>
      <c r="AA667" s="9" t="s">
        <v>774</v>
      </c>
      <c r="AB667" s="6" t="s">
        <v>2808</v>
      </c>
      <c r="AC667" s="27" t="n">
        <f aca="false">COUNTIF(環境認証!$A$2:$A$849,A667)</f>
        <v>0</v>
      </c>
      <c r="AD667" s="6" t="n">
        <v>26.7</v>
      </c>
      <c r="AE667" s="6" t="n">
        <v>10.9</v>
      </c>
    </row>
    <row r="668" customFormat="false" ht="15" hidden="false" customHeight="true" outlineLevel="0" collapsed="false">
      <c r="A668" s="6" t="s">
        <v>2809</v>
      </c>
      <c r="B668" s="6" t="s">
        <v>531</v>
      </c>
      <c r="C668" s="9" t="s">
        <v>2810</v>
      </c>
      <c r="D668" s="9" t="s">
        <v>1894</v>
      </c>
      <c r="E668" s="9" t="s">
        <v>762</v>
      </c>
      <c r="F668" s="9" t="s">
        <v>782</v>
      </c>
      <c r="H668" s="9" t="s">
        <v>772</v>
      </c>
      <c r="M668" s="6" t="n">
        <v>1089.98</v>
      </c>
      <c r="Q668" s="1" t="str">
        <f aca="false">IF(OR($A668="",P668=""),"",ROUND(YEARFRAC(P668,README!$C$5),1))</f>
        <v/>
      </c>
      <c r="S668" s="6" t="n">
        <v>730</v>
      </c>
      <c r="T668" s="6" t="n">
        <v>727</v>
      </c>
      <c r="U668" s="6" t="n">
        <v>1210</v>
      </c>
      <c r="V668" s="6" t="n">
        <v>483</v>
      </c>
      <c r="W668" s="6" t="n">
        <v>1</v>
      </c>
      <c r="X668" s="6" t="n">
        <v>28</v>
      </c>
      <c r="Y668" s="6" t="n">
        <v>3.3</v>
      </c>
      <c r="Z668" s="6" t="s">
        <v>2607</v>
      </c>
      <c r="AA668" s="9" t="s">
        <v>774</v>
      </c>
      <c r="AB668" s="6" t="s">
        <v>2811</v>
      </c>
      <c r="AC668" s="27" t="n">
        <f aca="false">COUNTIF(環境認証!$A$2:$A$849,A668)</f>
        <v>0</v>
      </c>
      <c r="AD668" s="6" t="n">
        <v>66.4</v>
      </c>
      <c r="AE668" s="6" t="n">
        <v>65.8</v>
      </c>
    </row>
    <row r="669" customFormat="false" ht="15" hidden="false" customHeight="true" outlineLevel="0" collapsed="false">
      <c r="A669" s="6" t="s">
        <v>2812</v>
      </c>
      <c r="B669" s="6" t="s">
        <v>531</v>
      </c>
      <c r="C669" s="9" t="s">
        <v>2813</v>
      </c>
      <c r="D669" s="9" t="s">
        <v>1894</v>
      </c>
      <c r="E669" s="9" t="s">
        <v>762</v>
      </c>
      <c r="F669" s="9" t="s">
        <v>820</v>
      </c>
      <c r="H669" s="9" t="s">
        <v>772</v>
      </c>
      <c r="M669" s="6" t="n">
        <v>2072.39</v>
      </c>
      <c r="Q669" s="1" t="str">
        <f aca="false">IF(OR($A669="",P669=""),"",ROUND(YEARFRAC(P669,README!$C$5),1))</f>
        <v/>
      </c>
      <c r="S669" s="6" t="n">
        <v>1460</v>
      </c>
      <c r="T669" s="6" t="n">
        <v>1286</v>
      </c>
      <c r="U669" s="6" t="n">
        <v>2050</v>
      </c>
      <c r="V669" s="6" t="n">
        <v>764</v>
      </c>
      <c r="W669" s="6" t="n">
        <v>1</v>
      </c>
      <c r="X669" s="6" t="n">
        <v>74</v>
      </c>
      <c r="Y669" s="6" t="n">
        <v>6.9</v>
      </c>
      <c r="Z669" s="6" t="s">
        <v>2607</v>
      </c>
      <c r="AA669" s="9" t="s">
        <v>774</v>
      </c>
      <c r="AB669" s="6" t="s">
        <v>2814</v>
      </c>
      <c r="AC669" s="27" t="n">
        <f aca="false">COUNTIF(環境認証!$A$2:$A$849,A669)</f>
        <v>0</v>
      </c>
      <c r="AD669" s="6" t="n">
        <v>59.4</v>
      </c>
      <c r="AE669" s="6" t="n">
        <v>40.4</v>
      </c>
    </row>
    <row r="670" customFormat="false" ht="15" hidden="false" customHeight="true" outlineLevel="0" collapsed="false">
      <c r="A670" s="6" t="s">
        <v>2815</v>
      </c>
      <c r="B670" s="6" t="s">
        <v>531</v>
      </c>
      <c r="C670" s="9" t="s">
        <v>2816</v>
      </c>
      <c r="D670" s="9" t="s">
        <v>1894</v>
      </c>
      <c r="E670" s="9" t="s">
        <v>762</v>
      </c>
      <c r="F670" s="9" t="s">
        <v>820</v>
      </c>
      <c r="H670" s="9" t="s">
        <v>772</v>
      </c>
      <c r="M670" s="6" t="n">
        <v>2750.56</v>
      </c>
      <c r="Q670" s="1" t="str">
        <f aca="false">IF(OR($A670="",P670=""),"",ROUND(YEARFRAC(P670,README!$C$5),1))</f>
        <v/>
      </c>
      <c r="S670" s="6" t="n">
        <v>1890</v>
      </c>
      <c r="T670" s="6" t="n">
        <v>1705</v>
      </c>
      <c r="U670" s="6" t="n">
        <v>2540</v>
      </c>
      <c r="V670" s="6" t="n">
        <v>835</v>
      </c>
      <c r="W670" s="6" t="n">
        <v>0.9208</v>
      </c>
      <c r="X670" s="6" t="n">
        <v>78</v>
      </c>
      <c r="Y670" s="6" t="n">
        <v>6</v>
      </c>
      <c r="Z670" s="6" t="s">
        <v>2607</v>
      </c>
      <c r="AA670" s="9" t="s">
        <v>774</v>
      </c>
      <c r="AB670" s="6" t="s">
        <v>2817</v>
      </c>
      <c r="AC670" s="27" t="n">
        <f aca="false">COUNTIF(環境認証!$A$2:$A$849,A670)</f>
        <v>0</v>
      </c>
      <c r="AD670" s="6" t="n">
        <v>49</v>
      </c>
      <c r="AE670" s="6" t="n">
        <v>34.4</v>
      </c>
    </row>
    <row r="671" customFormat="false" ht="15" hidden="false" customHeight="true" outlineLevel="0" collapsed="false">
      <c r="A671" s="6" t="s">
        <v>2818</v>
      </c>
      <c r="B671" s="6" t="s">
        <v>531</v>
      </c>
      <c r="C671" s="9" t="s">
        <v>2819</v>
      </c>
      <c r="D671" s="9" t="s">
        <v>1894</v>
      </c>
      <c r="E671" s="9" t="s">
        <v>762</v>
      </c>
      <c r="F671" s="9" t="s">
        <v>820</v>
      </c>
      <c r="H671" s="9" t="s">
        <v>772</v>
      </c>
      <c r="M671" s="6" t="n">
        <v>1118.84</v>
      </c>
      <c r="Q671" s="1" t="str">
        <f aca="false">IF(OR($A671="",P671=""),"",ROUND(YEARFRAC(P671,README!$C$5),1))</f>
        <v/>
      </c>
      <c r="S671" s="6" t="n">
        <v>944</v>
      </c>
      <c r="T671" s="6" t="n">
        <v>790</v>
      </c>
      <c r="U671" s="6" t="n">
        <v>1390</v>
      </c>
      <c r="V671" s="6" t="n">
        <v>600</v>
      </c>
      <c r="W671" s="6" t="n">
        <v>0.9785</v>
      </c>
      <c r="X671" s="6" t="n">
        <v>44</v>
      </c>
      <c r="Y671" s="6" t="n">
        <v>3</v>
      </c>
      <c r="Z671" s="6" t="s">
        <v>2607</v>
      </c>
      <c r="AA671" s="9" t="s">
        <v>774</v>
      </c>
      <c r="AB671" s="6" t="s">
        <v>2820</v>
      </c>
      <c r="AC671" s="27" t="n">
        <f aca="false">COUNTIF(環境認証!$A$2:$A$849,A671)</f>
        <v>0</v>
      </c>
      <c r="AD671" s="6" t="n">
        <v>75.9</v>
      </c>
      <c r="AE671" s="6" t="n">
        <v>47.2</v>
      </c>
    </row>
    <row r="672" customFormat="false" ht="15" hidden="false" customHeight="true" outlineLevel="0" collapsed="false">
      <c r="A672" s="6" t="s">
        <v>2821</v>
      </c>
      <c r="B672" s="6" t="s">
        <v>531</v>
      </c>
      <c r="C672" s="9" t="s">
        <v>2822</v>
      </c>
      <c r="D672" s="9" t="s">
        <v>1894</v>
      </c>
      <c r="E672" s="9" t="s">
        <v>762</v>
      </c>
      <c r="F672" s="9" t="s">
        <v>2187</v>
      </c>
      <c r="H672" s="9" t="s">
        <v>882</v>
      </c>
      <c r="M672" s="6" t="n">
        <v>8141.02</v>
      </c>
      <c r="Q672" s="1" t="str">
        <f aca="false">IF(OR($A672="",P672=""),"",ROUND(YEARFRAC(P672,README!$C$5),1))</f>
        <v/>
      </c>
      <c r="S672" s="6" t="n">
        <v>6520</v>
      </c>
      <c r="T672" s="6" t="n">
        <v>6282</v>
      </c>
      <c r="U672" s="6" t="n">
        <v>8570</v>
      </c>
      <c r="V672" s="6" t="n">
        <v>2288</v>
      </c>
      <c r="W672" s="6" t="n">
        <v>0.9672</v>
      </c>
      <c r="X672" s="6" t="n">
        <v>278</v>
      </c>
      <c r="Y672" s="6" t="n">
        <v>2.7</v>
      </c>
      <c r="Z672" s="6" t="s">
        <v>2607</v>
      </c>
      <c r="AA672" s="9" t="s">
        <v>774</v>
      </c>
      <c r="AB672" s="6" t="s">
        <v>2823</v>
      </c>
      <c r="AC672" s="27" t="n">
        <f aca="false">COUNTIF(環境認証!$A$2:$A$849,A672)</f>
        <v>1</v>
      </c>
      <c r="AD672" s="6" t="n">
        <v>36.4</v>
      </c>
      <c r="AE672" s="6" t="n">
        <v>31.4</v>
      </c>
    </row>
    <row r="673" customFormat="false" ht="15" hidden="false" customHeight="true" outlineLevel="0" collapsed="false">
      <c r="A673" s="6" t="s">
        <v>2824</v>
      </c>
      <c r="B673" s="6" t="s">
        <v>531</v>
      </c>
      <c r="C673" s="9" t="s">
        <v>2825</v>
      </c>
      <c r="D673" s="9" t="s">
        <v>1894</v>
      </c>
      <c r="E673" s="9" t="s">
        <v>969</v>
      </c>
      <c r="F673" s="9" t="s">
        <v>970</v>
      </c>
      <c r="H673" s="9" t="s">
        <v>971</v>
      </c>
      <c r="M673" s="6" t="n">
        <v>1981.26</v>
      </c>
      <c r="Q673" s="1" t="str">
        <f aca="false">IF(OR($A673="",P673=""),"",ROUND(YEARFRAC(P673,README!$C$5),1))</f>
        <v/>
      </c>
      <c r="S673" s="6" t="n">
        <v>624</v>
      </c>
      <c r="T673" s="6" t="n">
        <v>466</v>
      </c>
      <c r="U673" s="6" t="n">
        <v>699</v>
      </c>
      <c r="V673" s="6" t="n">
        <v>233</v>
      </c>
      <c r="W673" s="6" t="n">
        <v>1</v>
      </c>
      <c r="X673" s="6" t="n">
        <v>72</v>
      </c>
      <c r="Y673" s="6" t="n">
        <v>16.5</v>
      </c>
      <c r="Z673" s="6" t="s">
        <v>2607</v>
      </c>
      <c r="AA673" s="9" t="s">
        <v>774</v>
      </c>
      <c r="AB673" s="6" t="s">
        <v>2826</v>
      </c>
      <c r="AC673" s="27" t="n">
        <f aca="false">COUNTIF(環境認証!$A$2:$A$849,A673)</f>
        <v>0</v>
      </c>
      <c r="AD673" s="6" t="n">
        <v>50</v>
      </c>
      <c r="AE673" s="6" t="n">
        <v>12</v>
      </c>
    </row>
    <row r="674" customFormat="false" ht="15" hidden="false" customHeight="true" outlineLevel="0" collapsed="false">
      <c r="A674" s="6" t="s">
        <v>2827</v>
      </c>
      <c r="B674" s="6" t="s">
        <v>531</v>
      </c>
      <c r="C674" s="9" t="s">
        <v>2828</v>
      </c>
      <c r="D674" s="9" t="s">
        <v>1894</v>
      </c>
      <c r="E674" s="9" t="s">
        <v>1005</v>
      </c>
      <c r="F674" s="9" t="s">
        <v>1006</v>
      </c>
      <c r="H674" s="6" t="s">
        <v>952</v>
      </c>
      <c r="M674" s="6" t="n">
        <v>6262.12</v>
      </c>
      <c r="Q674" s="1" t="str">
        <f aca="false">IF(OR($A674="",P674=""),"",ROUND(YEARFRAC(P674,README!$C$5),1))</f>
        <v/>
      </c>
      <c r="S674" s="6" t="n">
        <v>1780</v>
      </c>
      <c r="T674" s="6" t="n">
        <v>1432</v>
      </c>
      <c r="U674" s="6" t="n">
        <v>2400</v>
      </c>
      <c r="V674" s="6" t="n">
        <v>968</v>
      </c>
      <c r="W674" s="6" t="n">
        <v>0.9854</v>
      </c>
      <c r="X674" s="6" t="n">
        <v>197</v>
      </c>
      <c r="Y674" s="6" t="n">
        <v>3.4</v>
      </c>
      <c r="Z674" s="6" t="s">
        <v>2607</v>
      </c>
      <c r="AA674" s="9" t="s">
        <v>774</v>
      </c>
      <c r="AB674" s="6" t="s">
        <v>2829</v>
      </c>
      <c r="AC674" s="27" t="n">
        <f aca="false">COUNTIF(環境認証!$A$2:$A$849,A674)</f>
        <v>1</v>
      </c>
      <c r="AD674" s="6" t="n">
        <v>67.6</v>
      </c>
      <c r="AE674" s="6" t="n">
        <v>34.8</v>
      </c>
    </row>
    <row r="675" customFormat="false" ht="15" hidden="false" customHeight="true" outlineLevel="0" collapsed="false">
      <c r="A675" s="6" t="s">
        <v>2830</v>
      </c>
      <c r="B675" s="6" t="s">
        <v>531</v>
      </c>
      <c r="C675" s="9" t="s">
        <v>2831</v>
      </c>
      <c r="D675" s="9" t="s">
        <v>1894</v>
      </c>
      <c r="E675" s="9" t="s">
        <v>1225</v>
      </c>
      <c r="F675" s="9" t="s">
        <v>1226</v>
      </c>
      <c r="H675" s="9" t="s">
        <v>971</v>
      </c>
      <c r="M675" s="6" t="n">
        <v>1155.03</v>
      </c>
      <c r="Q675" s="1" t="str">
        <f aca="false">IF(OR($A675="",P675=""),"",ROUND(YEARFRAC(P675,README!$C$5),1))</f>
        <v/>
      </c>
      <c r="S675" s="6" t="n">
        <v>534</v>
      </c>
      <c r="T675" s="6" t="n">
        <v>462</v>
      </c>
      <c r="U675" s="6" t="n">
        <v>655</v>
      </c>
      <c r="V675" s="6" t="n">
        <v>193</v>
      </c>
      <c r="W675" s="6" t="n">
        <v>0.9583</v>
      </c>
      <c r="X675" s="6" t="n">
        <v>48</v>
      </c>
      <c r="Y675" s="6" t="n">
        <v>6.5</v>
      </c>
      <c r="Z675" s="6" t="s">
        <v>2607</v>
      </c>
      <c r="AA675" s="9" t="s">
        <v>774</v>
      </c>
      <c r="AB675" s="6" t="s">
        <v>2832</v>
      </c>
      <c r="AC675" s="27" t="n">
        <f aca="false">COUNTIF(環境認証!$A$2:$A$849,A675)</f>
        <v>0</v>
      </c>
      <c r="AD675" s="6" t="n">
        <v>41.8</v>
      </c>
      <c r="AE675" s="6" t="n">
        <v>22.7</v>
      </c>
    </row>
    <row r="676" customFormat="false" ht="15" hidden="false" customHeight="true" outlineLevel="0" collapsed="false">
      <c r="A676" s="6" t="s">
        <v>2833</v>
      </c>
      <c r="B676" s="6" t="s">
        <v>531</v>
      </c>
      <c r="C676" s="9" t="s">
        <v>2834</v>
      </c>
      <c r="D676" s="9" t="s">
        <v>1894</v>
      </c>
      <c r="E676" s="9" t="s">
        <v>1225</v>
      </c>
      <c r="F676" s="9" t="s">
        <v>1226</v>
      </c>
      <c r="H676" s="9" t="s">
        <v>971</v>
      </c>
      <c r="M676" s="6" t="n">
        <v>4045.94</v>
      </c>
      <c r="Q676" s="1" t="str">
        <f aca="false">IF(OR($A676="",P676=""),"",ROUND(YEARFRAC(P676,README!$C$5),1))</f>
        <v/>
      </c>
      <c r="S676" s="6" t="n">
        <v>1820</v>
      </c>
      <c r="T676" s="6" t="n">
        <v>1621</v>
      </c>
      <c r="U676" s="6" t="n">
        <v>2730</v>
      </c>
      <c r="V676" s="6" t="n">
        <v>1109</v>
      </c>
      <c r="W676" s="6" t="n">
        <v>0.9266</v>
      </c>
      <c r="X676" s="6" t="n">
        <v>123</v>
      </c>
      <c r="Y676" s="6" t="n">
        <v>5.5</v>
      </c>
      <c r="Z676" s="6" t="s">
        <v>2607</v>
      </c>
      <c r="AA676" s="9" t="s">
        <v>774</v>
      </c>
      <c r="AB676" s="6" t="s">
        <v>2835</v>
      </c>
      <c r="AC676" s="27" t="n">
        <f aca="false">COUNTIF(環境認証!$A$2:$A$849,A676)</f>
        <v>1</v>
      </c>
      <c r="AD676" s="6" t="n">
        <v>68.4</v>
      </c>
      <c r="AE676" s="6" t="n">
        <v>50</v>
      </c>
    </row>
    <row r="677" customFormat="false" ht="15" hidden="false" customHeight="true" outlineLevel="0" collapsed="false">
      <c r="A677" s="6" t="s">
        <v>2836</v>
      </c>
      <c r="B677" s="6" t="s">
        <v>531</v>
      </c>
      <c r="C677" s="9" t="s">
        <v>2837</v>
      </c>
      <c r="D677" s="9" t="s">
        <v>1894</v>
      </c>
      <c r="E677" s="9" t="s">
        <v>762</v>
      </c>
      <c r="F677" s="9" t="s">
        <v>1676</v>
      </c>
      <c r="H677" s="9" t="s">
        <v>882</v>
      </c>
      <c r="M677" s="6" t="n">
        <v>1109.97</v>
      </c>
      <c r="Q677" s="1" t="str">
        <f aca="false">IF(OR($A677="",P677=""),"",ROUND(YEARFRAC(P677,README!$C$5),1))</f>
        <v/>
      </c>
      <c r="S677" s="6" t="n">
        <v>820</v>
      </c>
      <c r="T677" s="6" t="n">
        <v>744</v>
      </c>
      <c r="U677" s="6" t="n">
        <v>1070</v>
      </c>
      <c r="V677" s="6" t="n">
        <v>326</v>
      </c>
      <c r="W677" s="6" t="n">
        <v>0.9633</v>
      </c>
      <c r="X677" s="6" t="n">
        <v>49</v>
      </c>
      <c r="Y677" s="6" t="n">
        <v>4.4</v>
      </c>
      <c r="Z677" s="6" t="s">
        <v>2607</v>
      </c>
      <c r="AA677" s="9" t="s">
        <v>774</v>
      </c>
      <c r="AB677" s="6" t="s">
        <v>2838</v>
      </c>
      <c r="AC677" s="27" t="n">
        <f aca="false">COUNTIF(環境認証!$A$2:$A$849,A677)</f>
        <v>0</v>
      </c>
      <c r="AD677" s="6" t="n">
        <v>43.8</v>
      </c>
      <c r="AE677" s="6" t="n">
        <v>30.5</v>
      </c>
    </row>
    <row r="678" customFormat="false" ht="15" hidden="false" customHeight="true" outlineLevel="0" collapsed="false">
      <c r="A678" s="6" t="s">
        <v>2839</v>
      </c>
      <c r="B678" s="6" t="s">
        <v>531</v>
      </c>
      <c r="C678" s="9" t="s">
        <v>2840</v>
      </c>
      <c r="D678" s="9" t="s">
        <v>1894</v>
      </c>
      <c r="E678" s="9" t="s">
        <v>762</v>
      </c>
      <c r="F678" s="9" t="s">
        <v>1676</v>
      </c>
      <c r="H678" s="9" t="s">
        <v>882</v>
      </c>
      <c r="M678" s="6" t="n">
        <v>1340.12</v>
      </c>
      <c r="Q678" s="1" t="str">
        <f aca="false">IF(OR($A678="",P678=""),"",ROUND(YEARFRAC(P678,README!$C$5),1))</f>
        <v/>
      </c>
      <c r="S678" s="6" t="n">
        <v>870</v>
      </c>
      <c r="T678" s="6" t="n">
        <v>775</v>
      </c>
      <c r="U678" s="6" t="n">
        <v>1200</v>
      </c>
      <c r="V678" s="6" t="n">
        <v>425</v>
      </c>
      <c r="W678" s="6" t="n">
        <v>1</v>
      </c>
      <c r="X678" s="6" t="n">
        <v>49</v>
      </c>
      <c r="Y678" s="6" t="n">
        <v>9.2</v>
      </c>
      <c r="Z678" s="6" t="s">
        <v>2607</v>
      </c>
      <c r="AA678" s="9" t="s">
        <v>774</v>
      </c>
      <c r="AB678" s="6" t="s">
        <v>2841</v>
      </c>
      <c r="AC678" s="27" t="n">
        <f aca="false">COUNTIF(環境認証!$A$2:$A$849,A678)</f>
        <v>0</v>
      </c>
      <c r="AD678" s="6" t="n">
        <v>54.8</v>
      </c>
      <c r="AE678" s="6" t="n">
        <v>37.9</v>
      </c>
    </row>
    <row r="679" customFormat="false" ht="15" hidden="false" customHeight="true" outlineLevel="0" collapsed="false">
      <c r="A679" s="6" t="s">
        <v>2842</v>
      </c>
      <c r="B679" s="6" t="s">
        <v>531</v>
      </c>
      <c r="C679" s="9" t="s">
        <v>2843</v>
      </c>
      <c r="D679" s="9" t="s">
        <v>1894</v>
      </c>
      <c r="E679" s="9" t="s">
        <v>762</v>
      </c>
      <c r="F679" s="9" t="s">
        <v>2187</v>
      </c>
      <c r="H679" s="9" t="s">
        <v>882</v>
      </c>
      <c r="M679" s="6" t="n">
        <v>901.88</v>
      </c>
      <c r="Q679" s="1" t="str">
        <f aca="false">IF(OR($A679="",P679=""),"",ROUND(YEARFRAC(P679,README!$C$5),1))</f>
        <v/>
      </c>
      <c r="S679" s="6" t="n">
        <v>615</v>
      </c>
      <c r="T679" s="6" t="n">
        <v>576</v>
      </c>
      <c r="U679" s="6" t="n">
        <v>806</v>
      </c>
      <c r="V679" s="6" t="n">
        <v>230</v>
      </c>
      <c r="W679" s="6" t="n">
        <v>0.9445</v>
      </c>
      <c r="X679" s="6" t="n">
        <v>34</v>
      </c>
      <c r="Y679" s="6" t="n">
        <v>4.3</v>
      </c>
      <c r="Z679" s="6" t="s">
        <v>2607</v>
      </c>
      <c r="AA679" s="9" t="s">
        <v>774</v>
      </c>
      <c r="AB679" s="6" t="s">
        <v>2844</v>
      </c>
      <c r="AC679" s="27" t="n">
        <f aca="false">COUNTIF(環境認証!$A$2:$A$849,A679)</f>
        <v>0</v>
      </c>
      <c r="AD679" s="6" t="n">
        <v>39.9</v>
      </c>
      <c r="AE679" s="6" t="n">
        <v>31.1</v>
      </c>
    </row>
    <row r="680" customFormat="false" ht="15" hidden="false" customHeight="true" outlineLevel="0" collapsed="false">
      <c r="A680" s="6" t="s">
        <v>2845</v>
      </c>
      <c r="B680" s="6" t="s">
        <v>531</v>
      </c>
      <c r="C680" s="9" t="s">
        <v>2846</v>
      </c>
      <c r="D680" s="9" t="s">
        <v>1894</v>
      </c>
      <c r="E680" s="9" t="s">
        <v>762</v>
      </c>
      <c r="F680" s="9" t="s">
        <v>848</v>
      </c>
      <c r="H680" s="9" t="s">
        <v>882</v>
      </c>
      <c r="M680" s="6" t="n">
        <v>1121.88</v>
      </c>
      <c r="Q680" s="1" t="str">
        <f aca="false">IF(OR($A680="",P680=""),"",ROUND(YEARFRAC(P680,README!$C$5),1))</f>
        <v/>
      </c>
      <c r="S680" s="6" t="n">
        <v>842</v>
      </c>
      <c r="T680" s="6" t="n">
        <v>786</v>
      </c>
      <c r="U680" s="6" t="n">
        <v>1300</v>
      </c>
      <c r="V680" s="6" t="n">
        <v>514</v>
      </c>
      <c r="W680" s="6" t="n">
        <v>0.964</v>
      </c>
      <c r="X680" s="6" t="n">
        <v>50</v>
      </c>
      <c r="Y680" s="6" t="n">
        <v>6.3</v>
      </c>
      <c r="Z680" s="6" t="s">
        <v>2607</v>
      </c>
      <c r="AA680" s="9" t="s">
        <v>774</v>
      </c>
      <c r="AB680" s="6" t="s">
        <v>2847</v>
      </c>
      <c r="AC680" s="27" t="n">
        <f aca="false">COUNTIF(環境認証!$A$2:$A$849,A680)</f>
        <v>0</v>
      </c>
      <c r="AD680" s="6" t="n">
        <v>65.4</v>
      </c>
      <c r="AE680" s="6" t="n">
        <v>54.4</v>
      </c>
    </row>
    <row r="681" customFormat="false" ht="15" hidden="false" customHeight="true" outlineLevel="0" collapsed="false">
      <c r="A681" s="6" t="s">
        <v>2848</v>
      </c>
      <c r="B681" s="6" t="s">
        <v>531</v>
      </c>
      <c r="C681" s="9" t="s">
        <v>2849</v>
      </c>
      <c r="D681" s="9" t="s">
        <v>1894</v>
      </c>
      <c r="E681" s="9" t="s">
        <v>762</v>
      </c>
      <c r="F681" s="9" t="s">
        <v>2850</v>
      </c>
      <c r="H681" s="9" t="s">
        <v>921</v>
      </c>
      <c r="M681" s="6" t="n">
        <v>1222.45</v>
      </c>
      <c r="Q681" s="1" t="str">
        <f aca="false">IF(OR($A681="",P681=""),"",ROUND(YEARFRAC(P681,README!$C$5),1))</f>
        <v/>
      </c>
      <c r="S681" s="6" t="n">
        <v>839</v>
      </c>
      <c r="T681" s="6" t="n">
        <v>792</v>
      </c>
      <c r="U681" s="6" t="n">
        <v>1220</v>
      </c>
      <c r="V681" s="6" t="n">
        <v>428</v>
      </c>
      <c r="W681" s="6" t="n">
        <v>0.9806</v>
      </c>
      <c r="X681" s="6" t="n">
        <v>46</v>
      </c>
      <c r="Y681" s="6" t="n">
        <v>6.3</v>
      </c>
      <c r="Z681" s="6" t="s">
        <v>2607</v>
      </c>
      <c r="AA681" s="9" t="s">
        <v>774</v>
      </c>
      <c r="AB681" s="6" t="s">
        <v>2851</v>
      </c>
      <c r="AC681" s="27" t="n">
        <f aca="false">COUNTIF(環境認証!$A$2:$A$849,A681)</f>
        <v>0</v>
      </c>
      <c r="AD681" s="6" t="n">
        <v>54</v>
      </c>
      <c r="AE681" s="6" t="n">
        <v>45.4</v>
      </c>
    </row>
    <row r="682" customFormat="false" ht="15" hidden="false" customHeight="true" outlineLevel="0" collapsed="false">
      <c r="A682" s="6" t="s">
        <v>2852</v>
      </c>
      <c r="B682" s="6" t="s">
        <v>531</v>
      </c>
      <c r="C682" s="9" t="s">
        <v>2853</v>
      </c>
      <c r="D682" s="9" t="s">
        <v>1894</v>
      </c>
      <c r="E682" s="9" t="s">
        <v>969</v>
      </c>
      <c r="F682" s="9" t="s">
        <v>970</v>
      </c>
      <c r="H682" s="9" t="s">
        <v>971</v>
      </c>
      <c r="M682" s="6" t="n">
        <v>2757.33</v>
      </c>
      <c r="Q682" s="1" t="str">
        <f aca="false">IF(OR($A682="",P682=""),"",ROUND(YEARFRAC(P682,README!$C$5),1))</f>
        <v/>
      </c>
      <c r="S682" s="6" t="n">
        <v>1080</v>
      </c>
      <c r="T682" s="6" t="n">
        <v>997</v>
      </c>
      <c r="U682" s="6" t="n">
        <v>1290</v>
      </c>
      <c r="V682" s="6" t="n">
        <v>293</v>
      </c>
      <c r="W682" s="6" t="n">
        <v>0.9608</v>
      </c>
      <c r="X682" s="6" t="n">
        <v>94</v>
      </c>
      <c r="Y682" s="6" t="n">
        <v>9.3</v>
      </c>
      <c r="Z682" s="6" t="s">
        <v>2607</v>
      </c>
      <c r="AA682" s="9" t="s">
        <v>774</v>
      </c>
      <c r="AB682" s="6" t="s">
        <v>2854</v>
      </c>
      <c r="AC682" s="27" t="n">
        <f aca="false">COUNTIF(環境認証!$A$2:$A$849,A682)</f>
        <v>0</v>
      </c>
      <c r="AD682" s="6" t="n">
        <v>29.4</v>
      </c>
      <c r="AE682" s="6" t="n">
        <v>19.4</v>
      </c>
    </row>
    <row r="683" customFormat="false" ht="15" hidden="false" customHeight="true" outlineLevel="0" collapsed="false">
      <c r="A683" s="6" t="s">
        <v>2855</v>
      </c>
      <c r="B683" s="6" t="s">
        <v>531</v>
      </c>
      <c r="C683" s="9" t="s">
        <v>2856</v>
      </c>
      <c r="D683" s="9" t="s">
        <v>1894</v>
      </c>
      <c r="E683" s="9" t="s">
        <v>1225</v>
      </c>
      <c r="F683" s="9" t="s">
        <v>1226</v>
      </c>
      <c r="H683" s="9" t="s">
        <v>971</v>
      </c>
      <c r="M683" s="6" t="n">
        <v>1297.62</v>
      </c>
      <c r="Q683" s="1" t="str">
        <f aca="false">IF(OR($A683="",P683=""),"",ROUND(YEARFRAC(P683,README!$C$5),1))</f>
        <v/>
      </c>
      <c r="S683" s="6" t="n">
        <v>572</v>
      </c>
      <c r="T683" s="6" t="n">
        <v>498</v>
      </c>
      <c r="U683" s="6" t="n">
        <v>777</v>
      </c>
      <c r="V683" s="6" t="n">
        <v>279</v>
      </c>
      <c r="W683" s="6" t="n">
        <v>0.9515</v>
      </c>
      <c r="X683" s="6" t="n">
        <v>39</v>
      </c>
      <c r="Y683" s="6" t="n">
        <v>9.9</v>
      </c>
      <c r="Z683" s="6" t="s">
        <v>2607</v>
      </c>
      <c r="AA683" s="9" t="s">
        <v>774</v>
      </c>
      <c r="AB683" s="6" t="s">
        <v>2857</v>
      </c>
      <c r="AC683" s="27" t="n">
        <f aca="false">COUNTIF(環境認証!$A$2:$A$849,A683)</f>
        <v>0</v>
      </c>
      <c r="AD683" s="6" t="n">
        <v>56</v>
      </c>
      <c r="AE683" s="6" t="n">
        <v>35.8</v>
      </c>
    </row>
    <row r="684" customFormat="false" ht="15" hidden="false" customHeight="true" outlineLevel="0" collapsed="false">
      <c r="A684" s="6" t="s">
        <v>2858</v>
      </c>
      <c r="B684" s="6" t="s">
        <v>531</v>
      </c>
      <c r="C684" s="9" t="s">
        <v>2859</v>
      </c>
      <c r="D684" s="9" t="s">
        <v>1894</v>
      </c>
      <c r="H684" s="9" t="s">
        <v>837</v>
      </c>
      <c r="Q684" s="1" t="str">
        <f aca="false">IF(OR($A684="",P684=""),"",ROUND(YEARFRAC(P684,README!$C$5),1))</f>
        <v/>
      </c>
      <c r="V684" s="1" t="str">
        <f aca="false">IF($A684="","",IF(OR(T684="",U684=""),"",U684-T684))</f>
        <v/>
      </c>
      <c r="Z684" s="6" t="s">
        <v>2607</v>
      </c>
      <c r="AA684" s="9" t="s">
        <v>774</v>
      </c>
      <c r="AB684" s="6" t="s">
        <v>2860</v>
      </c>
      <c r="AC684" s="27" t="n">
        <f aca="false">COUNTIF(環境認証!$A$2:$A$849,A684)</f>
        <v>0</v>
      </c>
    </row>
    <row r="685" customFormat="false" ht="15" hidden="false" customHeight="true" outlineLevel="0" collapsed="false">
      <c r="A685" s="6" t="s">
        <v>2861</v>
      </c>
      <c r="B685" s="6" t="s">
        <v>531</v>
      </c>
      <c r="C685" s="9" t="s">
        <v>2862</v>
      </c>
      <c r="D685" s="9" t="s">
        <v>1894</v>
      </c>
      <c r="H685" s="9" t="s">
        <v>837</v>
      </c>
      <c r="Q685" s="1" t="str">
        <f aca="false">IF(OR($A685="",P685=""),"",ROUND(YEARFRAC(P685,README!$C$5),1))</f>
        <v/>
      </c>
      <c r="V685" s="1" t="str">
        <f aca="false">IF($A685="","",IF(OR(T685="",U685=""),"",U685-T685))</f>
        <v/>
      </c>
      <c r="Z685" s="6" t="s">
        <v>2607</v>
      </c>
      <c r="AA685" s="9" t="s">
        <v>774</v>
      </c>
      <c r="AB685" s="6" t="s">
        <v>2863</v>
      </c>
      <c r="AC685" s="27" t="n">
        <f aca="false">COUNTIF(環境認証!$A$2:$A$849,A685)</f>
        <v>0</v>
      </c>
    </row>
    <row r="686" customFormat="false" ht="15" hidden="false" customHeight="true" outlineLevel="0" collapsed="false">
      <c r="A686" s="6" t="s">
        <v>2864</v>
      </c>
      <c r="B686" s="6" t="s">
        <v>531</v>
      </c>
      <c r="C686" s="9" t="s">
        <v>2865</v>
      </c>
      <c r="D686" s="9" t="s">
        <v>1894</v>
      </c>
      <c r="E686" s="9" t="s">
        <v>1197</v>
      </c>
      <c r="F686" s="9" t="s">
        <v>1198</v>
      </c>
      <c r="H686" s="6" t="s">
        <v>952</v>
      </c>
      <c r="M686" s="6" t="n">
        <v>2234.2</v>
      </c>
      <c r="Q686" s="1" t="str">
        <f aca="false">IF(OR($A686="",P686=""),"",ROUND(YEARFRAC(P686,README!$C$5),1))</f>
        <v/>
      </c>
      <c r="S686" s="6" t="n">
        <v>809</v>
      </c>
      <c r="T686" s="6" t="n">
        <v>722</v>
      </c>
      <c r="U686" s="6" t="n">
        <v>1100</v>
      </c>
      <c r="V686" s="6" t="n">
        <v>378</v>
      </c>
      <c r="W686" s="6" t="n">
        <v>0.9668</v>
      </c>
      <c r="X686" s="6" t="n">
        <v>87</v>
      </c>
      <c r="Y686" s="6" t="n">
        <v>1</v>
      </c>
      <c r="Z686" s="6" t="s">
        <v>2607</v>
      </c>
      <c r="AA686" s="9" t="s">
        <v>774</v>
      </c>
      <c r="AB686" s="6" t="s">
        <v>2866</v>
      </c>
      <c r="AC686" s="27" t="n">
        <f aca="false">COUNTIF(環境認証!$A$2:$A$849,A686)</f>
        <v>0</v>
      </c>
      <c r="AD686" s="6" t="n">
        <v>52.4</v>
      </c>
      <c r="AE686" s="6" t="n">
        <v>36</v>
      </c>
    </row>
    <row r="687" customFormat="false" ht="15" hidden="false" customHeight="true" outlineLevel="0" collapsed="false">
      <c r="A687" s="6" t="s">
        <v>2867</v>
      </c>
      <c r="B687" s="6" t="s">
        <v>531</v>
      </c>
      <c r="C687" s="9" t="s">
        <v>2868</v>
      </c>
      <c r="D687" s="9" t="s">
        <v>1894</v>
      </c>
      <c r="E687" s="9" t="s">
        <v>1197</v>
      </c>
      <c r="F687" s="9" t="s">
        <v>1198</v>
      </c>
      <c r="H687" s="6" t="s">
        <v>952</v>
      </c>
      <c r="M687" s="6" t="n">
        <v>1964.87</v>
      </c>
      <c r="Q687" s="1" t="str">
        <f aca="false">IF(OR($A687="",P687=""),"",ROUND(YEARFRAC(P687,README!$C$5),1))</f>
        <v/>
      </c>
      <c r="S687" s="6" t="n">
        <v>684</v>
      </c>
      <c r="T687" s="6" t="n">
        <v>588</v>
      </c>
      <c r="U687" s="6" t="n">
        <v>874</v>
      </c>
      <c r="V687" s="6" t="n">
        <v>286</v>
      </c>
      <c r="W687" s="6" t="n">
        <v>0.9252</v>
      </c>
      <c r="X687" s="6" t="n">
        <v>73</v>
      </c>
      <c r="Y687" s="6" t="n">
        <v>1</v>
      </c>
      <c r="Z687" s="6" t="s">
        <v>2607</v>
      </c>
      <c r="AA687" s="9" t="s">
        <v>774</v>
      </c>
      <c r="AB687" s="6" t="s">
        <v>2869</v>
      </c>
      <c r="AC687" s="27" t="n">
        <f aca="false">COUNTIF(環境認証!$A$2:$A$849,A687)</f>
        <v>0</v>
      </c>
      <c r="AD687" s="6" t="n">
        <v>48.6</v>
      </c>
      <c r="AE687" s="6" t="n">
        <v>27.8</v>
      </c>
    </row>
    <row r="688" customFormat="false" ht="15" hidden="false" customHeight="true" outlineLevel="0" collapsed="false">
      <c r="A688" s="6" t="s">
        <v>2870</v>
      </c>
      <c r="B688" s="6" t="s">
        <v>531</v>
      </c>
      <c r="C688" s="9" t="s">
        <v>2871</v>
      </c>
      <c r="D688" s="9" t="s">
        <v>1894</v>
      </c>
      <c r="E688" s="9" t="s">
        <v>762</v>
      </c>
      <c r="F688" s="9" t="s">
        <v>895</v>
      </c>
      <c r="H688" s="9" t="s">
        <v>882</v>
      </c>
      <c r="M688" s="6" t="n">
        <v>1209.78</v>
      </c>
      <c r="Q688" s="1" t="str">
        <f aca="false">IF(OR($A688="",P688=""),"",ROUND(YEARFRAC(P688,README!$C$5),1))</f>
        <v/>
      </c>
      <c r="S688" s="6" t="n">
        <v>771</v>
      </c>
      <c r="T688" s="6" t="n">
        <v>717</v>
      </c>
      <c r="U688" s="6" t="n">
        <v>1180</v>
      </c>
      <c r="V688" s="6" t="n">
        <v>463</v>
      </c>
      <c r="W688" s="6" t="n">
        <v>1</v>
      </c>
      <c r="X688" s="6" t="n">
        <v>39</v>
      </c>
      <c r="Y688" s="6" t="n">
        <v>6.3</v>
      </c>
      <c r="Z688" s="6" t="s">
        <v>2607</v>
      </c>
      <c r="AA688" s="9" t="s">
        <v>774</v>
      </c>
      <c r="AB688" s="6" t="s">
        <v>2872</v>
      </c>
      <c r="AC688" s="27" t="n">
        <f aca="false">COUNTIF(環境認証!$A$2:$A$849,A688)</f>
        <v>0</v>
      </c>
      <c r="AD688" s="6" t="n">
        <v>64.6</v>
      </c>
      <c r="AE688" s="6" t="n">
        <v>53</v>
      </c>
    </row>
    <row r="689" customFormat="false" ht="15" hidden="false" customHeight="true" outlineLevel="0" collapsed="false">
      <c r="A689" s="6" t="s">
        <v>2873</v>
      </c>
      <c r="B689" s="6" t="s">
        <v>531</v>
      </c>
      <c r="C689" s="9" t="s">
        <v>2874</v>
      </c>
      <c r="D689" s="9" t="s">
        <v>1894</v>
      </c>
      <c r="E689" s="9" t="s">
        <v>1197</v>
      </c>
      <c r="F689" s="9" t="s">
        <v>1198</v>
      </c>
      <c r="H689" s="6" t="s">
        <v>952</v>
      </c>
      <c r="M689" s="6" t="n">
        <v>2106.38</v>
      </c>
      <c r="Q689" s="1" t="str">
        <f aca="false">IF(OR($A689="",P689=""),"",ROUND(YEARFRAC(P689,README!$C$5),1))</f>
        <v/>
      </c>
      <c r="S689" s="6" t="n">
        <v>834</v>
      </c>
      <c r="T689" s="6" t="n">
        <v>715</v>
      </c>
      <c r="U689" s="6" t="n">
        <v>1180</v>
      </c>
      <c r="V689" s="6" t="n">
        <v>465</v>
      </c>
      <c r="W689" s="6" t="n">
        <v>0.9465</v>
      </c>
      <c r="X689" s="6" t="n">
        <v>74</v>
      </c>
      <c r="Y689" s="6" t="n">
        <v>1.1</v>
      </c>
      <c r="Z689" s="6" t="s">
        <v>2607</v>
      </c>
      <c r="AA689" s="9" t="s">
        <v>774</v>
      </c>
      <c r="AB689" s="6" t="s">
        <v>2875</v>
      </c>
      <c r="AC689" s="27" t="n">
        <f aca="false">COUNTIF(環境認証!$A$2:$A$849,A689)</f>
        <v>0</v>
      </c>
      <c r="AD689" s="6" t="n">
        <v>65</v>
      </c>
      <c r="AE689" s="6" t="n">
        <v>41.5</v>
      </c>
    </row>
    <row r="690" customFormat="false" ht="15" hidden="false" customHeight="true" outlineLevel="0" collapsed="false">
      <c r="A690" s="6" t="s">
        <v>2876</v>
      </c>
      <c r="B690" s="6" t="s">
        <v>531</v>
      </c>
      <c r="C690" s="9" t="s">
        <v>2877</v>
      </c>
      <c r="D690" s="9" t="s">
        <v>1894</v>
      </c>
      <c r="E690" s="9" t="s">
        <v>762</v>
      </c>
      <c r="F690" s="9" t="s">
        <v>1152</v>
      </c>
      <c r="H690" s="9" t="s">
        <v>882</v>
      </c>
      <c r="M690" s="6" t="n">
        <v>1341.66</v>
      </c>
      <c r="Q690" s="1" t="str">
        <f aca="false">IF(OR($A690="",P690=""),"",ROUND(YEARFRAC(P690,README!$C$5),1))</f>
        <v/>
      </c>
      <c r="S690" s="6" t="n">
        <v>942</v>
      </c>
      <c r="T690" s="6" t="n">
        <v>890</v>
      </c>
      <c r="U690" s="6" t="n">
        <v>1300</v>
      </c>
      <c r="V690" s="6" t="n">
        <v>410</v>
      </c>
      <c r="W690" s="6" t="n">
        <v>0.9233</v>
      </c>
      <c r="X690" s="6" t="n">
        <v>46</v>
      </c>
      <c r="Y690" s="6" t="n">
        <v>3</v>
      </c>
      <c r="Z690" s="6" t="s">
        <v>2607</v>
      </c>
      <c r="AA690" s="9" t="s">
        <v>774</v>
      </c>
      <c r="AB690" s="6" t="s">
        <v>2878</v>
      </c>
      <c r="AC690" s="27" t="n">
        <f aca="false">COUNTIF(環境認証!$A$2:$A$849,A690)</f>
        <v>0</v>
      </c>
      <c r="AD690" s="6" t="n">
        <v>46.1</v>
      </c>
      <c r="AE690" s="6" t="n">
        <v>38</v>
      </c>
    </row>
    <row r="691" customFormat="false" ht="15" hidden="false" customHeight="true" outlineLevel="0" collapsed="false">
      <c r="A691" s="6" t="s">
        <v>2879</v>
      </c>
      <c r="B691" s="6" t="s">
        <v>531</v>
      </c>
      <c r="C691" s="9" t="s">
        <v>2880</v>
      </c>
      <c r="D691" s="9" t="s">
        <v>1894</v>
      </c>
      <c r="E691" s="9" t="s">
        <v>762</v>
      </c>
      <c r="F691" s="9" t="s">
        <v>771</v>
      </c>
      <c r="H691" s="9" t="s">
        <v>772</v>
      </c>
      <c r="M691" s="6" t="n">
        <v>2964.81</v>
      </c>
      <c r="Q691" s="1" t="str">
        <f aca="false">IF(OR($A691="",P691=""),"",ROUND(YEARFRAC(P691,README!$C$5),1))</f>
        <v/>
      </c>
      <c r="S691" s="6" t="n">
        <v>2090</v>
      </c>
      <c r="T691" s="6" t="n">
        <v>1964</v>
      </c>
      <c r="U691" s="6" t="n">
        <v>3020</v>
      </c>
      <c r="V691" s="6" t="n">
        <v>1056</v>
      </c>
      <c r="W691" s="6" t="n">
        <v>0.9857</v>
      </c>
      <c r="X691" s="6" t="n">
        <v>119</v>
      </c>
      <c r="Y691" s="6" t="n">
        <v>4</v>
      </c>
      <c r="Z691" s="6" t="s">
        <v>2607</v>
      </c>
      <c r="AA691" s="9" t="s">
        <v>774</v>
      </c>
      <c r="AB691" s="6" t="s">
        <v>2881</v>
      </c>
      <c r="AC691" s="27" t="n">
        <f aca="false">COUNTIF(環境認証!$A$2:$A$849,A691)</f>
        <v>1</v>
      </c>
      <c r="AD691" s="6" t="n">
        <v>53.8</v>
      </c>
      <c r="AE691" s="6" t="n">
        <v>44.5</v>
      </c>
    </row>
    <row r="692" customFormat="false" ht="15" hidden="false" customHeight="true" outlineLevel="0" collapsed="false">
      <c r="A692" s="6" t="s">
        <v>2882</v>
      </c>
      <c r="B692" s="6" t="s">
        <v>531</v>
      </c>
      <c r="C692" s="9" t="s">
        <v>2883</v>
      </c>
      <c r="D692" s="9" t="s">
        <v>1894</v>
      </c>
      <c r="E692" s="9" t="s">
        <v>762</v>
      </c>
      <c r="F692" s="9" t="s">
        <v>771</v>
      </c>
      <c r="H692" s="9" t="s">
        <v>772</v>
      </c>
      <c r="M692" s="6" t="n">
        <v>1223.79</v>
      </c>
      <c r="Q692" s="1" t="str">
        <f aca="false">IF(OR($A692="",P692=""),"",ROUND(YEARFRAC(P692,README!$C$5),1))</f>
        <v/>
      </c>
      <c r="S692" s="6" t="n">
        <v>872</v>
      </c>
      <c r="T692" s="6" t="n">
        <v>834</v>
      </c>
      <c r="U692" s="6" t="n">
        <v>1190</v>
      </c>
      <c r="V692" s="6" t="n">
        <v>356</v>
      </c>
      <c r="W692" s="6" t="n">
        <v>1</v>
      </c>
      <c r="X692" s="6" t="n">
        <v>51</v>
      </c>
      <c r="Y692" s="6" t="n">
        <v>3.6</v>
      </c>
      <c r="Z692" s="6" t="s">
        <v>2607</v>
      </c>
      <c r="AA692" s="9" t="s">
        <v>774</v>
      </c>
      <c r="AB692" s="6" t="s">
        <v>2884</v>
      </c>
      <c r="AC692" s="27" t="n">
        <f aca="false">COUNTIF(環境認証!$A$2:$A$849,A692)</f>
        <v>0</v>
      </c>
      <c r="AD692" s="6" t="n">
        <v>42.7</v>
      </c>
      <c r="AE692" s="6" t="n">
        <v>36.5</v>
      </c>
    </row>
    <row r="693" customFormat="false" ht="15" hidden="false" customHeight="true" outlineLevel="0" collapsed="false">
      <c r="A693" s="6" t="s">
        <v>2885</v>
      </c>
      <c r="B693" s="6" t="s">
        <v>531</v>
      </c>
      <c r="C693" s="9" t="s">
        <v>2886</v>
      </c>
      <c r="D693" s="9" t="s">
        <v>1894</v>
      </c>
      <c r="E693" s="9" t="s">
        <v>762</v>
      </c>
      <c r="F693" s="9" t="s">
        <v>771</v>
      </c>
      <c r="H693" s="9" t="s">
        <v>772</v>
      </c>
      <c r="M693" s="6" t="n">
        <v>1607.43</v>
      </c>
      <c r="Q693" s="1" t="str">
        <f aca="false">IF(OR($A693="",P693=""),"",ROUND(YEARFRAC(P693,README!$C$5),1))</f>
        <v/>
      </c>
      <c r="S693" s="6" t="n">
        <v>1158</v>
      </c>
      <c r="T693" s="6" t="n">
        <v>1144</v>
      </c>
      <c r="U693" s="6" t="n">
        <v>1880</v>
      </c>
      <c r="V693" s="6" t="n">
        <v>736</v>
      </c>
      <c r="W693" s="6" t="n">
        <v>0.9671</v>
      </c>
      <c r="X693" s="6" t="n">
        <v>32</v>
      </c>
      <c r="Y693" s="6" t="n">
        <v>5</v>
      </c>
      <c r="Z693" s="6" t="s">
        <v>2607</v>
      </c>
      <c r="AA693" s="9" t="s">
        <v>774</v>
      </c>
      <c r="AB693" s="6" t="s">
        <v>2887</v>
      </c>
      <c r="AC693" s="27" t="n">
        <f aca="false">COUNTIF(環境認証!$A$2:$A$849,A693)</f>
        <v>0</v>
      </c>
      <c r="AD693" s="6" t="n">
        <v>64.3</v>
      </c>
      <c r="AE693" s="6" t="n">
        <v>62.3</v>
      </c>
    </row>
    <row r="694" customFormat="false" ht="15" hidden="false" customHeight="true" outlineLevel="0" collapsed="false">
      <c r="A694" s="6" t="s">
        <v>2888</v>
      </c>
      <c r="B694" s="6" t="s">
        <v>531</v>
      </c>
      <c r="C694" s="9" t="s">
        <v>2889</v>
      </c>
      <c r="D694" s="9" t="s">
        <v>1894</v>
      </c>
      <c r="E694" s="9" t="s">
        <v>1197</v>
      </c>
      <c r="F694" s="9" t="s">
        <v>1198</v>
      </c>
      <c r="H694" s="6" t="s">
        <v>952</v>
      </c>
      <c r="M694" s="6" t="n">
        <v>4088.4</v>
      </c>
      <c r="Q694" s="1" t="str">
        <f aca="false">IF(OR($A694="",P694=""),"",ROUND(YEARFRAC(P694,README!$C$5),1))</f>
        <v/>
      </c>
      <c r="S694" s="6" t="n">
        <v>1638</v>
      </c>
      <c r="T694" s="6" t="n">
        <v>1461</v>
      </c>
      <c r="U694" s="6" t="n">
        <v>2050</v>
      </c>
      <c r="V694" s="6" t="n">
        <v>589</v>
      </c>
      <c r="W694" s="6" t="n">
        <v>0.9243</v>
      </c>
      <c r="X694" s="6" t="n">
        <v>140</v>
      </c>
      <c r="Y694" s="6" t="n">
        <v>1.8</v>
      </c>
      <c r="Z694" s="6" t="s">
        <v>2607</v>
      </c>
      <c r="AA694" s="9" t="s">
        <v>774</v>
      </c>
      <c r="AB694" s="6" t="s">
        <v>2890</v>
      </c>
      <c r="AC694" s="27" t="n">
        <f aca="false">COUNTIF(環境認証!$A$2:$A$849,A694)</f>
        <v>0</v>
      </c>
      <c r="AD694" s="6" t="n">
        <v>40.3</v>
      </c>
      <c r="AE694" s="6" t="n">
        <v>25.2</v>
      </c>
    </row>
    <row r="695" customFormat="false" ht="15" hidden="false" customHeight="true" outlineLevel="0" collapsed="false">
      <c r="A695" s="6" t="s">
        <v>2891</v>
      </c>
      <c r="B695" s="6" t="s">
        <v>531</v>
      </c>
      <c r="C695" s="9" t="s">
        <v>2892</v>
      </c>
      <c r="D695" s="9" t="s">
        <v>1894</v>
      </c>
      <c r="E695" s="9" t="s">
        <v>1197</v>
      </c>
      <c r="F695" s="9" t="s">
        <v>1198</v>
      </c>
      <c r="H695" s="6" t="s">
        <v>952</v>
      </c>
      <c r="M695" s="6" t="n">
        <v>2825.54</v>
      </c>
      <c r="Q695" s="1" t="str">
        <f aca="false">IF(OR($A695="",P695=""),"",ROUND(YEARFRAC(P695,README!$C$5),1))</f>
        <v/>
      </c>
      <c r="S695" s="6" t="n">
        <v>1310</v>
      </c>
      <c r="T695" s="6" t="n">
        <v>1200</v>
      </c>
      <c r="U695" s="6" t="n">
        <v>1410</v>
      </c>
      <c r="V695" s="6" t="n">
        <v>210</v>
      </c>
      <c r="W695" s="6" t="n">
        <v>0.9418</v>
      </c>
      <c r="X695" s="6" t="n">
        <v>96</v>
      </c>
      <c r="Y695" s="6" t="n">
        <v>2.7</v>
      </c>
      <c r="Z695" s="6" t="s">
        <v>2607</v>
      </c>
      <c r="AA695" s="9" t="s">
        <v>774</v>
      </c>
      <c r="AB695" s="6" t="s">
        <v>2893</v>
      </c>
      <c r="AC695" s="27" t="n">
        <f aca="false">COUNTIF(環境認証!$A$2:$A$849,A695)</f>
        <v>0</v>
      </c>
      <c r="AD695" s="6" t="n">
        <v>17.5</v>
      </c>
      <c r="AE695" s="6" t="n">
        <v>7.6</v>
      </c>
    </row>
    <row r="696" customFormat="false" ht="15" hidden="false" customHeight="true" outlineLevel="0" collapsed="false">
      <c r="A696" s="6" t="s">
        <v>2894</v>
      </c>
      <c r="B696" s="6" t="s">
        <v>531</v>
      </c>
      <c r="C696" s="9" t="s">
        <v>2895</v>
      </c>
      <c r="D696" s="9" t="s">
        <v>1894</v>
      </c>
      <c r="E696" s="9" t="s">
        <v>1197</v>
      </c>
      <c r="F696" s="9" t="s">
        <v>1198</v>
      </c>
      <c r="H696" s="6" t="s">
        <v>952</v>
      </c>
      <c r="M696" s="6" t="n">
        <v>1914</v>
      </c>
      <c r="Q696" s="1" t="str">
        <f aca="false">IF(OR($A696="",P696=""),"",ROUND(YEARFRAC(P696,README!$C$5),1))</f>
        <v/>
      </c>
      <c r="S696" s="6" t="n">
        <v>790</v>
      </c>
      <c r="T696" s="6" t="n">
        <v>727</v>
      </c>
      <c r="U696" s="6" t="n">
        <v>912</v>
      </c>
      <c r="V696" s="6" t="n">
        <v>185</v>
      </c>
      <c r="W696" s="6" t="n">
        <v>0.8939</v>
      </c>
      <c r="X696" s="6" t="n">
        <v>59</v>
      </c>
      <c r="Y696" s="6" t="n">
        <v>1.7</v>
      </c>
      <c r="Z696" s="6" t="s">
        <v>2607</v>
      </c>
      <c r="AA696" s="9" t="s">
        <v>774</v>
      </c>
      <c r="AB696" s="6" t="s">
        <v>2896</v>
      </c>
      <c r="AC696" s="27" t="n">
        <f aca="false">COUNTIF(環境認証!$A$2:$A$849,A696)</f>
        <v>0</v>
      </c>
      <c r="AD696" s="6" t="n">
        <v>25.4</v>
      </c>
      <c r="AE696" s="6" t="n">
        <v>15.4</v>
      </c>
    </row>
    <row r="697" customFormat="false" ht="15" hidden="false" customHeight="true" outlineLevel="0" collapsed="false">
      <c r="A697" s="6" t="s">
        <v>2897</v>
      </c>
      <c r="B697" s="6" t="s">
        <v>531</v>
      </c>
      <c r="C697" s="9" t="s">
        <v>2898</v>
      </c>
      <c r="D697" s="9" t="s">
        <v>1894</v>
      </c>
      <c r="E697" s="9" t="s">
        <v>925</v>
      </c>
      <c r="F697" s="9" t="s">
        <v>926</v>
      </c>
      <c r="H697" s="9" t="s">
        <v>921</v>
      </c>
      <c r="M697" s="6" t="n">
        <v>2499.64</v>
      </c>
      <c r="Q697" s="1" t="str">
        <f aca="false">IF(OR($A697="",P697=""),"",ROUND(YEARFRAC(P697,README!$C$5),1))</f>
        <v/>
      </c>
      <c r="S697" s="6" t="n">
        <v>1800</v>
      </c>
      <c r="T697" s="6" t="n">
        <v>1701</v>
      </c>
      <c r="U697" s="6" t="n">
        <v>2440</v>
      </c>
      <c r="V697" s="6" t="n">
        <v>739</v>
      </c>
      <c r="W697" s="6" t="n">
        <v>0.9754</v>
      </c>
      <c r="X697" s="6" t="n">
        <v>114</v>
      </c>
      <c r="Y697" s="6" t="n">
        <v>2.5</v>
      </c>
      <c r="Z697" s="6" t="s">
        <v>2607</v>
      </c>
      <c r="AA697" s="9" t="s">
        <v>774</v>
      </c>
      <c r="AB697" s="6" t="s">
        <v>2899</v>
      </c>
      <c r="AC697" s="27" t="n">
        <f aca="false">COUNTIF(環境認証!$A$2:$A$849,A697)</f>
        <v>0</v>
      </c>
      <c r="AD697" s="6" t="n">
        <v>43.4</v>
      </c>
      <c r="AE697" s="6" t="n">
        <v>35.6</v>
      </c>
    </row>
    <row r="698" customFormat="false" ht="15" hidden="false" customHeight="true" outlineLevel="0" collapsed="false">
      <c r="A698" s="6" t="s">
        <v>2900</v>
      </c>
      <c r="B698" s="6" t="s">
        <v>531</v>
      </c>
      <c r="C698" s="9" t="s">
        <v>2901</v>
      </c>
      <c r="D698" s="9" t="s">
        <v>1894</v>
      </c>
      <c r="E698" s="9" t="s">
        <v>969</v>
      </c>
      <c r="F698" s="9" t="s">
        <v>970</v>
      </c>
      <c r="H698" s="9" t="s">
        <v>971</v>
      </c>
      <c r="M698" s="6" t="n">
        <v>4076.11</v>
      </c>
      <c r="Q698" s="1" t="str">
        <f aca="false">IF(OR($A698="",P698=""),"",ROUND(YEARFRAC(P698,README!$C$5),1))</f>
        <v/>
      </c>
      <c r="S698" s="6" t="n">
        <v>2160</v>
      </c>
      <c r="T698" s="6" t="n">
        <v>2074</v>
      </c>
      <c r="U698" s="6" t="n">
        <v>2290</v>
      </c>
      <c r="V698" s="6" t="n">
        <v>216</v>
      </c>
      <c r="W698" s="6" t="n">
        <v>0.9774</v>
      </c>
      <c r="X698" s="6" t="n">
        <v>110</v>
      </c>
      <c r="Y698" s="6" t="n">
        <v>11.2</v>
      </c>
      <c r="Z698" s="6" t="s">
        <v>2607</v>
      </c>
      <c r="AA698" s="9" t="s">
        <v>774</v>
      </c>
      <c r="AB698" s="6" t="s">
        <v>2902</v>
      </c>
      <c r="AC698" s="27" t="n">
        <f aca="false">COUNTIF(環境認証!$A$2:$A$849,A698)</f>
        <v>1</v>
      </c>
      <c r="AD698" s="6" t="n">
        <v>10.4</v>
      </c>
      <c r="AE698" s="6" t="n">
        <v>6</v>
      </c>
    </row>
    <row r="699" customFormat="false" ht="15" hidden="false" customHeight="true" outlineLevel="0" collapsed="false">
      <c r="A699" s="6" t="s">
        <v>2903</v>
      </c>
      <c r="B699" s="6" t="s">
        <v>531</v>
      </c>
      <c r="C699" s="9" t="s">
        <v>2904</v>
      </c>
      <c r="D699" s="9" t="s">
        <v>1894</v>
      </c>
      <c r="E699" s="9" t="s">
        <v>950</v>
      </c>
      <c r="F699" s="9" t="s">
        <v>951</v>
      </c>
      <c r="H699" s="6" t="s">
        <v>952</v>
      </c>
      <c r="M699" s="6" t="n">
        <v>5522.62</v>
      </c>
      <c r="Q699" s="1" t="str">
        <f aca="false">IF(OR($A699="",P699=""),"",ROUND(YEARFRAC(P699,README!$C$5),1))</f>
        <v/>
      </c>
      <c r="S699" s="6" t="n">
        <v>1560</v>
      </c>
      <c r="T699" s="6" t="n">
        <v>1397</v>
      </c>
      <c r="U699" s="6" t="n">
        <v>1980</v>
      </c>
      <c r="V699" s="6" t="n">
        <v>583</v>
      </c>
      <c r="W699" s="6" t="n">
        <v>0.9945</v>
      </c>
      <c r="X699" s="6" t="n">
        <v>150</v>
      </c>
      <c r="Y699" s="6" t="n">
        <v>0.1</v>
      </c>
      <c r="Z699" s="6" t="s">
        <v>2607</v>
      </c>
      <c r="AA699" s="9" t="s">
        <v>774</v>
      </c>
      <c r="AB699" s="6" t="s">
        <v>2905</v>
      </c>
      <c r="AC699" s="27" t="n">
        <f aca="false">COUNTIF(環境認証!$A$2:$A$849,A699)</f>
        <v>1</v>
      </c>
      <c r="AD699" s="6" t="n">
        <v>41.7</v>
      </c>
      <c r="AE699" s="6" t="n">
        <v>26.9</v>
      </c>
    </row>
    <row r="700" customFormat="false" ht="15" hidden="false" customHeight="true" outlineLevel="0" collapsed="false">
      <c r="A700" s="6" t="s">
        <v>2906</v>
      </c>
      <c r="B700" s="6" t="s">
        <v>531</v>
      </c>
      <c r="C700" s="9" t="s">
        <v>2907</v>
      </c>
      <c r="D700" s="9" t="s">
        <v>1894</v>
      </c>
      <c r="E700" s="9" t="s">
        <v>1005</v>
      </c>
      <c r="F700" s="9" t="s">
        <v>1006</v>
      </c>
      <c r="H700" s="6" t="s">
        <v>952</v>
      </c>
      <c r="M700" s="6" t="n">
        <v>2486.82</v>
      </c>
      <c r="Q700" s="1" t="str">
        <f aca="false">IF(OR($A700="",P700=""),"",ROUND(YEARFRAC(P700,README!$C$5),1))</f>
        <v/>
      </c>
      <c r="S700" s="6" t="n">
        <v>880</v>
      </c>
      <c r="T700" s="6" t="n">
        <v>885</v>
      </c>
      <c r="U700" s="6" t="n">
        <v>1050</v>
      </c>
      <c r="V700" s="6" t="n">
        <v>165</v>
      </c>
      <c r="W700" s="6" t="n">
        <v>1</v>
      </c>
      <c r="X700" s="6" t="n">
        <v>78</v>
      </c>
      <c r="Y700" s="6" t="n">
        <v>8</v>
      </c>
      <c r="Z700" s="6" t="s">
        <v>2607</v>
      </c>
      <c r="AA700" s="9" t="s">
        <v>774</v>
      </c>
      <c r="AB700" s="6" t="s">
        <v>2908</v>
      </c>
      <c r="AC700" s="27" t="n">
        <f aca="false">COUNTIF(環境認証!$A$2:$A$849,A700)</f>
        <v>0</v>
      </c>
      <c r="AD700" s="6" t="n">
        <v>18.6</v>
      </c>
      <c r="AE700" s="6" t="n">
        <v>19.3</v>
      </c>
    </row>
    <row r="701" customFormat="false" ht="15" hidden="false" customHeight="true" outlineLevel="0" collapsed="false">
      <c r="A701" s="6" t="s">
        <v>2909</v>
      </c>
      <c r="B701" s="6" t="s">
        <v>531</v>
      </c>
      <c r="C701" s="9" t="s">
        <v>2910</v>
      </c>
      <c r="D701" s="9" t="s">
        <v>1894</v>
      </c>
      <c r="E701" s="9" t="s">
        <v>1197</v>
      </c>
      <c r="F701" s="9" t="s">
        <v>1198</v>
      </c>
      <c r="H701" s="6" t="s">
        <v>952</v>
      </c>
      <c r="M701" s="6" t="n">
        <v>1893.21</v>
      </c>
      <c r="Q701" s="1" t="str">
        <f aca="false">IF(OR($A701="",P701=""),"",ROUND(YEARFRAC(P701,README!$C$5),1))</f>
        <v/>
      </c>
      <c r="S701" s="6" t="n">
        <v>850</v>
      </c>
      <c r="T701" s="6" t="n">
        <v>862</v>
      </c>
      <c r="U701" s="6" t="n">
        <v>961</v>
      </c>
      <c r="V701" s="6" t="n">
        <v>99</v>
      </c>
      <c r="W701" s="6" t="n">
        <v>0.9637</v>
      </c>
      <c r="X701" s="6" t="n">
        <v>53</v>
      </c>
      <c r="Y701" s="6" t="n">
        <v>2</v>
      </c>
      <c r="Z701" s="6" t="s">
        <v>2607</v>
      </c>
      <c r="AA701" s="9" t="s">
        <v>774</v>
      </c>
      <c r="AB701" s="6" t="s">
        <v>2911</v>
      </c>
      <c r="AC701" s="27" t="n">
        <f aca="false">COUNTIF(環境認証!$A$2:$A$849,A701)</f>
        <v>0</v>
      </c>
      <c r="AD701" s="6" t="n">
        <v>11.5</v>
      </c>
      <c r="AE701" s="6" t="n">
        <v>13.1</v>
      </c>
    </row>
    <row r="702" customFormat="false" ht="15" hidden="false" customHeight="true" outlineLevel="0" collapsed="false">
      <c r="A702" s="6" t="s">
        <v>2912</v>
      </c>
      <c r="B702" s="6" t="s">
        <v>531</v>
      </c>
      <c r="C702" s="9" t="s">
        <v>2913</v>
      </c>
      <c r="D702" s="9" t="s">
        <v>1894</v>
      </c>
      <c r="E702" s="9" t="s">
        <v>762</v>
      </c>
      <c r="F702" s="9" t="s">
        <v>2282</v>
      </c>
      <c r="H702" s="9" t="s">
        <v>882</v>
      </c>
      <c r="M702" s="6" t="n">
        <v>1917.51</v>
      </c>
      <c r="Q702" s="1" t="str">
        <f aca="false">IF(OR($A702="",P702=""),"",ROUND(YEARFRAC(P702,README!$C$5),1))</f>
        <v/>
      </c>
      <c r="S702" s="6" t="n">
        <v>1100</v>
      </c>
      <c r="T702" s="6" t="n">
        <v>1018</v>
      </c>
      <c r="U702" s="6" t="n">
        <v>1540</v>
      </c>
      <c r="V702" s="6" t="n">
        <v>522</v>
      </c>
      <c r="W702" s="6" t="n">
        <v>1</v>
      </c>
      <c r="X702" s="6" t="n">
        <v>56</v>
      </c>
      <c r="Y702" s="6" t="n">
        <v>3.5</v>
      </c>
      <c r="Z702" s="6" t="s">
        <v>2607</v>
      </c>
      <c r="AA702" s="9" t="s">
        <v>774</v>
      </c>
      <c r="AB702" s="6" t="s">
        <v>2914</v>
      </c>
      <c r="AC702" s="27" t="n">
        <f aca="false">COUNTIF(環境認証!$A$2:$A$849,A702)</f>
        <v>1</v>
      </c>
      <c r="AD702" s="6" t="n">
        <v>51.3</v>
      </c>
      <c r="AE702" s="6" t="n">
        <v>40</v>
      </c>
    </row>
    <row r="703" customFormat="false" ht="15" hidden="false" customHeight="true" outlineLevel="0" collapsed="false">
      <c r="A703" s="6" t="s">
        <v>2915</v>
      </c>
      <c r="B703" s="6" t="s">
        <v>531</v>
      </c>
      <c r="C703" s="9" t="s">
        <v>2916</v>
      </c>
      <c r="D703" s="9" t="s">
        <v>1894</v>
      </c>
      <c r="E703" s="9" t="s">
        <v>762</v>
      </c>
      <c r="F703" s="9" t="s">
        <v>1316</v>
      </c>
      <c r="H703" s="9" t="s">
        <v>882</v>
      </c>
      <c r="M703" s="6" t="n">
        <v>2149.95</v>
      </c>
      <c r="Q703" s="1" t="str">
        <f aca="false">IF(OR($A703="",P703=""),"",ROUND(YEARFRAC(P703,README!$C$5),1))</f>
        <v/>
      </c>
      <c r="S703" s="6" t="n">
        <v>1400</v>
      </c>
      <c r="T703" s="6" t="n">
        <v>1313</v>
      </c>
      <c r="U703" s="6" t="n">
        <v>1800</v>
      </c>
      <c r="V703" s="6" t="n">
        <v>487</v>
      </c>
      <c r="W703" s="6" t="n">
        <v>0.9878</v>
      </c>
      <c r="X703" s="6" t="n">
        <v>65</v>
      </c>
      <c r="Y703" s="6" t="n">
        <v>10.2</v>
      </c>
      <c r="Z703" s="6" t="s">
        <v>2607</v>
      </c>
      <c r="AA703" s="9" t="s">
        <v>774</v>
      </c>
      <c r="AB703" s="6" t="s">
        <v>2917</v>
      </c>
      <c r="AC703" s="27" t="n">
        <f aca="false">COUNTIF(環境認証!$A$2:$A$849,A703)</f>
        <v>0</v>
      </c>
      <c r="AD703" s="6" t="n">
        <v>37.1</v>
      </c>
      <c r="AE703" s="6" t="n">
        <v>28.6</v>
      </c>
    </row>
    <row r="704" customFormat="false" ht="15" hidden="false" customHeight="true" outlineLevel="0" collapsed="false">
      <c r="A704" s="6" t="s">
        <v>2918</v>
      </c>
      <c r="B704" s="6" t="s">
        <v>531</v>
      </c>
      <c r="C704" s="9" t="s">
        <v>2919</v>
      </c>
      <c r="D704" s="9" t="s">
        <v>1894</v>
      </c>
      <c r="E704" s="9" t="s">
        <v>762</v>
      </c>
      <c r="F704" s="9" t="s">
        <v>1165</v>
      </c>
      <c r="H704" s="9" t="s">
        <v>921</v>
      </c>
      <c r="M704" s="6" t="n">
        <v>1600.38</v>
      </c>
      <c r="Q704" s="1" t="str">
        <f aca="false">IF(OR($A704="",P704=""),"",ROUND(YEARFRAC(P704,README!$C$5),1))</f>
        <v/>
      </c>
      <c r="S704" s="6" t="n">
        <v>1120</v>
      </c>
      <c r="T704" s="6" t="n">
        <v>1200</v>
      </c>
      <c r="U704" s="6" t="n">
        <v>1310</v>
      </c>
      <c r="V704" s="6" t="n">
        <v>110</v>
      </c>
      <c r="W704" s="6" t="n">
        <v>0.9644</v>
      </c>
      <c r="X704" s="6" t="n">
        <v>49</v>
      </c>
      <c r="Y704" s="6" t="n">
        <v>7.1</v>
      </c>
      <c r="Z704" s="6" t="s">
        <v>2607</v>
      </c>
      <c r="AA704" s="9" t="s">
        <v>774</v>
      </c>
      <c r="AB704" s="6" t="s">
        <v>2920</v>
      </c>
      <c r="AC704" s="27" t="n">
        <f aca="false">COUNTIF(環境認証!$A$2:$A$849,A704)</f>
        <v>0</v>
      </c>
      <c r="AD704" s="6" t="n">
        <v>9.2</v>
      </c>
      <c r="AE704" s="6" t="n">
        <v>17</v>
      </c>
    </row>
    <row r="705" customFormat="false" ht="15" hidden="false" customHeight="true" outlineLevel="0" collapsed="false">
      <c r="A705" s="6" t="s">
        <v>2921</v>
      </c>
      <c r="B705" s="6" t="s">
        <v>531</v>
      </c>
      <c r="C705" s="9" t="s">
        <v>2922</v>
      </c>
      <c r="D705" s="9" t="s">
        <v>1894</v>
      </c>
      <c r="E705" s="9" t="s">
        <v>762</v>
      </c>
      <c r="F705" s="9" t="s">
        <v>782</v>
      </c>
      <c r="H705" s="9" t="s">
        <v>772</v>
      </c>
      <c r="M705" s="6" t="n">
        <v>1160.6</v>
      </c>
      <c r="Q705" s="1" t="str">
        <f aca="false">IF(OR($A705="",P705=""),"",ROUND(YEARFRAC(P705,README!$C$5),1))</f>
        <v/>
      </c>
      <c r="S705" s="6" t="n">
        <v>1210</v>
      </c>
      <c r="T705" s="6" t="n">
        <v>1247</v>
      </c>
      <c r="U705" s="6" t="n">
        <v>1680</v>
      </c>
      <c r="V705" s="6" t="n">
        <v>433</v>
      </c>
      <c r="W705" s="6" t="n">
        <v>0.9773</v>
      </c>
      <c r="X705" s="6" t="n">
        <v>39</v>
      </c>
      <c r="Y705" s="6" t="n">
        <v>5.8</v>
      </c>
      <c r="Z705" s="6" t="s">
        <v>2607</v>
      </c>
      <c r="AA705" s="9" t="s">
        <v>774</v>
      </c>
      <c r="AB705" s="6" t="s">
        <v>2923</v>
      </c>
      <c r="AC705" s="27" t="n">
        <f aca="false">COUNTIF(環境認証!$A$2:$A$849,A705)</f>
        <v>0</v>
      </c>
      <c r="AD705" s="6" t="n">
        <v>34.7</v>
      </c>
      <c r="AE705" s="6" t="n">
        <v>38.8</v>
      </c>
    </row>
    <row r="706" customFormat="false" ht="15" hidden="false" customHeight="true" outlineLevel="0" collapsed="false">
      <c r="A706" s="6" t="s">
        <v>2924</v>
      </c>
      <c r="B706" s="6" t="s">
        <v>531</v>
      </c>
      <c r="C706" s="9" t="s">
        <v>2925</v>
      </c>
      <c r="D706" s="9" t="s">
        <v>1894</v>
      </c>
      <c r="E706" s="9" t="s">
        <v>762</v>
      </c>
      <c r="F706" s="9" t="s">
        <v>881</v>
      </c>
      <c r="H706" s="9" t="s">
        <v>882</v>
      </c>
      <c r="M706" s="6" t="n">
        <v>1145.76</v>
      </c>
      <c r="Q706" s="1" t="str">
        <f aca="false">IF(OR($A706="",P706=""),"",ROUND(YEARFRAC(P706,README!$C$5),1))</f>
        <v/>
      </c>
      <c r="S706" s="6" t="n">
        <v>945</v>
      </c>
      <c r="T706" s="6" t="n">
        <v>938</v>
      </c>
      <c r="U706" s="6" t="n">
        <v>1400</v>
      </c>
      <c r="V706" s="6" t="n">
        <v>462</v>
      </c>
      <c r="W706" s="6" t="n">
        <v>0.9773</v>
      </c>
      <c r="X706" s="6" t="n">
        <v>43</v>
      </c>
      <c r="Y706" s="6" t="n">
        <v>7</v>
      </c>
      <c r="Z706" s="6" t="s">
        <v>2607</v>
      </c>
      <c r="AA706" s="9" t="s">
        <v>774</v>
      </c>
      <c r="AB706" s="6" t="s">
        <v>2926</v>
      </c>
      <c r="AC706" s="27" t="n">
        <f aca="false">COUNTIF(環境認証!$A$2:$A$849,A706)</f>
        <v>0</v>
      </c>
      <c r="AD706" s="6" t="n">
        <v>49.3</v>
      </c>
      <c r="AE706" s="6" t="n">
        <v>48.1</v>
      </c>
    </row>
    <row r="707" customFormat="false" ht="15" hidden="false" customHeight="true" outlineLevel="0" collapsed="false">
      <c r="A707" s="6" t="s">
        <v>2927</v>
      </c>
      <c r="B707" s="6" t="s">
        <v>531</v>
      </c>
      <c r="C707" s="9" t="s">
        <v>2928</v>
      </c>
      <c r="D707" s="9" t="s">
        <v>1894</v>
      </c>
      <c r="E707" s="9" t="s">
        <v>762</v>
      </c>
      <c r="F707" s="9" t="s">
        <v>881</v>
      </c>
      <c r="H707" s="9" t="s">
        <v>882</v>
      </c>
      <c r="M707" s="6" t="n">
        <v>1141.16</v>
      </c>
      <c r="Q707" s="1" t="str">
        <f aca="false">IF(OR($A707="",P707=""),"",ROUND(YEARFRAC(P707,README!$C$5),1))</f>
        <v/>
      </c>
      <c r="S707" s="6" t="n">
        <v>900</v>
      </c>
      <c r="T707" s="6" t="n">
        <v>942</v>
      </c>
      <c r="U707" s="6" t="n">
        <v>1180</v>
      </c>
      <c r="V707" s="6" t="n">
        <v>238</v>
      </c>
      <c r="W707" s="6" t="n">
        <v>1</v>
      </c>
      <c r="X707" s="6" t="n">
        <v>48</v>
      </c>
      <c r="Y707" s="6" t="n">
        <v>6.1</v>
      </c>
      <c r="Z707" s="6" t="s">
        <v>2607</v>
      </c>
      <c r="AA707" s="9" t="s">
        <v>774</v>
      </c>
      <c r="AB707" s="6" t="s">
        <v>2929</v>
      </c>
      <c r="AC707" s="27" t="n">
        <f aca="false">COUNTIF(環境認証!$A$2:$A$849,A707)</f>
        <v>0</v>
      </c>
      <c r="AD707" s="6" t="n">
        <v>25.3</v>
      </c>
      <c r="AE707" s="6" t="n">
        <v>31.1</v>
      </c>
    </row>
    <row r="708" customFormat="false" ht="15" hidden="false" customHeight="true" outlineLevel="0" collapsed="false">
      <c r="A708" s="6" t="s">
        <v>2930</v>
      </c>
      <c r="B708" s="6" t="s">
        <v>531</v>
      </c>
      <c r="C708" s="9" t="s">
        <v>2931</v>
      </c>
      <c r="D708" s="9" t="s">
        <v>1894</v>
      </c>
      <c r="E708" s="9" t="s">
        <v>1197</v>
      </c>
      <c r="F708" s="9" t="s">
        <v>1198</v>
      </c>
      <c r="H708" s="6" t="s">
        <v>952</v>
      </c>
      <c r="M708" s="6" t="n">
        <v>2305.11</v>
      </c>
      <c r="Q708" s="1" t="str">
        <f aca="false">IF(OR($A708="",P708=""),"",ROUND(YEARFRAC(P708,README!$C$5),1))</f>
        <v/>
      </c>
      <c r="S708" s="6" t="n">
        <v>1030</v>
      </c>
      <c r="T708" s="6" t="n">
        <v>1025</v>
      </c>
      <c r="U708" s="6" t="n">
        <v>1090</v>
      </c>
      <c r="V708" s="6" t="n">
        <v>65</v>
      </c>
      <c r="W708" s="6" t="n">
        <v>0.9462</v>
      </c>
      <c r="X708" s="6" t="n">
        <v>65</v>
      </c>
      <c r="Y708" s="6" t="n">
        <v>1.7</v>
      </c>
      <c r="Z708" s="6" t="s">
        <v>2607</v>
      </c>
      <c r="AA708" s="9" t="s">
        <v>774</v>
      </c>
      <c r="AB708" s="6" t="s">
        <v>2932</v>
      </c>
      <c r="AC708" s="27" t="n">
        <f aca="false">COUNTIF(環境認証!$A$2:$A$849,A708)</f>
        <v>0</v>
      </c>
      <c r="AD708" s="6" t="n">
        <v>6.3</v>
      </c>
      <c r="AE708" s="6" t="n">
        <v>5.8</v>
      </c>
    </row>
    <row r="709" customFormat="false" ht="15" hidden="false" customHeight="true" outlineLevel="0" collapsed="false">
      <c r="A709" s="6" t="s">
        <v>2933</v>
      </c>
      <c r="B709" s="6" t="s">
        <v>531</v>
      </c>
      <c r="C709" s="9" t="s">
        <v>2934</v>
      </c>
      <c r="D709" s="9" t="s">
        <v>1894</v>
      </c>
      <c r="E709" s="9" t="s">
        <v>762</v>
      </c>
      <c r="F709" s="9" t="s">
        <v>2282</v>
      </c>
      <c r="H709" s="9" t="s">
        <v>882</v>
      </c>
      <c r="M709" s="6" t="n">
        <v>1683.26</v>
      </c>
      <c r="Q709" s="1" t="str">
        <f aca="false">IF(OR($A709="",P709=""),"",ROUND(YEARFRAC(P709,README!$C$5),1))</f>
        <v/>
      </c>
      <c r="S709" s="6" t="n">
        <v>1150</v>
      </c>
      <c r="T709" s="6" t="n">
        <v>1137</v>
      </c>
      <c r="U709" s="6" t="n">
        <v>1320</v>
      </c>
      <c r="V709" s="6" t="n">
        <v>183</v>
      </c>
      <c r="W709" s="6" t="n">
        <v>0.9673</v>
      </c>
      <c r="X709" s="6" t="n">
        <v>48</v>
      </c>
      <c r="Y709" s="6" t="n">
        <v>6.1</v>
      </c>
      <c r="Z709" s="6" t="s">
        <v>2607</v>
      </c>
      <c r="AA709" s="9" t="s">
        <v>774</v>
      </c>
      <c r="AB709" s="6" t="s">
        <v>2935</v>
      </c>
      <c r="AC709" s="27" t="n">
        <f aca="false">COUNTIF(環境認証!$A$2:$A$849,A709)</f>
        <v>0</v>
      </c>
      <c r="AD709" s="6" t="n">
        <v>16.1</v>
      </c>
      <c r="AE709" s="6" t="n">
        <v>14.8</v>
      </c>
    </row>
    <row r="710" customFormat="false" ht="15" hidden="false" customHeight="true" outlineLevel="0" collapsed="false">
      <c r="A710" s="6" t="s">
        <v>2936</v>
      </c>
      <c r="B710" s="6" t="s">
        <v>531</v>
      </c>
      <c r="C710" s="9" t="s">
        <v>2937</v>
      </c>
      <c r="D710" s="9" t="s">
        <v>1894</v>
      </c>
      <c r="E710" s="9" t="s">
        <v>1197</v>
      </c>
      <c r="F710" s="9" t="s">
        <v>1198</v>
      </c>
      <c r="H710" s="6" t="s">
        <v>952</v>
      </c>
      <c r="M710" s="6" t="n">
        <v>1654.38</v>
      </c>
      <c r="Q710" s="1" t="str">
        <f aca="false">IF(OR($A710="",P710=""),"",ROUND(YEARFRAC(P710,README!$C$5),1))</f>
        <v/>
      </c>
      <c r="S710" s="6" t="n">
        <v>1070</v>
      </c>
      <c r="T710" s="6" t="n">
        <v>1059</v>
      </c>
      <c r="U710" s="6" t="n">
        <v>1200</v>
      </c>
      <c r="V710" s="6" t="n">
        <v>141</v>
      </c>
      <c r="W710" s="6" t="n">
        <v>0.9416</v>
      </c>
      <c r="X710" s="6" t="n">
        <v>65</v>
      </c>
      <c r="Y710" s="6" t="n">
        <v>1.2</v>
      </c>
      <c r="Z710" s="6" t="s">
        <v>2607</v>
      </c>
      <c r="AA710" s="9" t="s">
        <v>774</v>
      </c>
      <c r="AB710" s="6" t="s">
        <v>2938</v>
      </c>
      <c r="AC710" s="27" t="n">
        <f aca="false">COUNTIF(環境認証!$A$2:$A$849,A710)</f>
        <v>0</v>
      </c>
      <c r="AD710" s="6" t="n">
        <v>13.3</v>
      </c>
      <c r="AE710" s="6" t="n">
        <v>12.1</v>
      </c>
    </row>
    <row r="711" customFormat="false" ht="15" hidden="false" customHeight="true" outlineLevel="0" collapsed="false">
      <c r="A711" s="6" t="s">
        <v>2939</v>
      </c>
      <c r="B711" s="6" t="s">
        <v>531</v>
      </c>
      <c r="C711" s="9" t="s">
        <v>2940</v>
      </c>
      <c r="D711" s="9" t="s">
        <v>1894</v>
      </c>
      <c r="E711" s="9" t="s">
        <v>1005</v>
      </c>
      <c r="F711" s="9" t="s">
        <v>1006</v>
      </c>
      <c r="H711" s="6" t="s">
        <v>952</v>
      </c>
      <c r="M711" s="6" t="n">
        <v>2868.95</v>
      </c>
      <c r="Q711" s="1" t="str">
        <f aca="false">IF(OR($A711="",P711=""),"",ROUND(YEARFRAC(P711,README!$C$5),1))</f>
        <v/>
      </c>
      <c r="S711" s="6" t="n">
        <v>1150</v>
      </c>
      <c r="T711" s="6" t="n">
        <v>1165</v>
      </c>
      <c r="U711" s="6" t="n">
        <v>1330</v>
      </c>
      <c r="V711" s="6" t="n">
        <v>165</v>
      </c>
      <c r="W711" s="6" t="n">
        <v>0.986</v>
      </c>
      <c r="X711" s="6" t="n">
        <v>66</v>
      </c>
      <c r="Y711" s="6" t="n">
        <v>4.5</v>
      </c>
      <c r="Z711" s="6" t="s">
        <v>2607</v>
      </c>
      <c r="AA711" s="9" t="s">
        <v>774</v>
      </c>
      <c r="AB711" s="6" t="s">
        <v>2941</v>
      </c>
      <c r="AC711" s="27" t="n">
        <f aca="false">COUNTIF(環境認証!$A$2:$A$849,A711)</f>
        <v>0</v>
      </c>
      <c r="AD711" s="6" t="n">
        <v>14.2</v>
      </c>
      <c r="AE711" s="6" t="n">
        <v>15.7</v>
      </c>
    </row>
    <row r="712" customFormat="false" ht="15" hidden="false" customHeight="true" outlineLevel="0" collapsed="false">
      <c r="A712" s="6" t="s">
        <v>2942</v>
      </c>
      <c r="B712" s="6" t="s">
        <v>531</v>
      </c>
      <c r="C712" s="9" t="s">
        <v>2943</v>
      </c>
      <c r="D712" s="9" t="s">
        <v>1894</v>
      </c>
      <c r="E712" s="9" t="s">
        <v>1005</v>
      </c>
      <c r="F712" s="9" t="s">
        <v>1006</v>
      </c>
      <c r="H712" s="6" t="s">
        <v>952</v>
      </c>
      <c r="M712" s="6" t="n">
        <v>3533.5</v>
      </c>
      <c r="Q712" s="1" t="str">
        <f aca="false">IF(OR($A712="",P712=""),"",ROUND(YEARFRAC(P712,README!$C$5),1))</f>
        <v/>
      </c>
      <c r="S712" s="6" t="n">
        <v>1198</v>
      </c>
      <c r="T712" s="6" t="n">
        <v>1346</v>
      </c>
      <c r="U712" s="6" t="n">
        <v>1510</v>
      </c>
      <c r="V712" s="6" t="n">
        <v>164</v>
      </c>
      <c r="W712" s="6" t="n">
        <v>1</v>
      </c>
      <c r="X712" s="6" t="n">
        <v>110</v>
      </c>
      <c r="Y712" s="6" t="n">
        <v>2.9</v>
      </c>
      <c r="Z712" s="6" t="s">
        <v>2607</v>
      </c>
      <c r="AA712" s="9" t="s">
        <v>774</v>
      </c>
      <c r="AB712" s="6" t="s">
        <v>2944</v>
      </c>
      <c r="AC712" s="27" t="n">
        <f aca="false">COUNTIF(環境認証!$A$2:$A$849,A712)</f>
        <v>1</v>
      </c>
      <c r="AD712" s="6" t="n">
        <v>12.2</v>
      </c>
      <c r="AE712" s="6" t="n">
        <v>26</v>
      </c>
    </row>
    <row r="713" customFormat="false" ht="15" hidden="false" customHeight="true" outlineLevel="0" collapsed="false">
      <c r="A713" s="6" t="s">
        <v>2945</v>
      </c>
      <c r="B713" s="6" t="s">
        <v>531</v>
      </c>
      <c r="C713" s="9" t="s">
        <v>2946</v>
      </c>
      <c r="D713" s="9" t="s">
        <v>1894</v>
      </c>
      <c r="E713" s="9" t="s">
        <v>1005</v>
      </c>
      <c r="F713" s="9" t="s">
        <v>1006</v>
      </c>
      <c r="H713" s="6" t="s">
        <v>952</v>
      </c>
      <c r="M713" s="6" t="n">
        <v>4187.98</v>
      </c>
      <c r="Q713" s="1" t="str">
        <f aca="false">IF(OR($A713="",P713=""),"",ROUND(YEARFRAC(P713,README!$C$5),1))</f>
        <v/>
      </c>
      <c r="S713" s="6" t="n">
        <v>1180</v>
      </c>
      <c r="T713" s="6" t="n">
        <v>1323</v>
      </c>
      <c r="U713" s="6" t="n">
        <v>1540</v>
      </c>
      <c r="V713" s="6" t="n">
        <v>217</v>
      </c>
      <c r="W713" s="6" t="n">
        <v>0.9904</v>
      </c>
      <c r="X713" s="6" t="n">
        <v>118</v>
      </c>
      <c r="Y713" s="6" t="n">
        <v>2.1</v>
      </c>
      <c r="Z713" s="6" t="s">
        <v>2607</v>
      </c>
      <c r="AA713" s="9" t="s">
        <v>774</v>
      </c>
      <c r="AB713" s="6" t="s">
        <v>2947</v>
      </c>
      <c r="AC713" s="27" t="n">
        <f aca="false">COUNTIF(環境認証!$A$2:$A$849,A713)</f>
        <v>1</v>
      </c>
      <c r="AD713" s="6" t="n">
        <v>16.4</v>
      </c>
      <c r="AE713" s="6" t="n">
        <v>30.5</v>
      </c>
    </row>
    <row r="714" customFormat="false" ht="15" hidden="false" customHeight="true" outlineLevel="0" collapsed="false">
      <c r="A714" s="6" t="s">
        <v>2948</v>
      </c>
      <c r="B714" s="6" t="s">
        <v>531</v>
      </c>
      <c r="C714" s="9" t="s">
        <v>2949</v>
      </c>
      <c r="D714" s="9" t="s">
        <v>1894</v>
      </c>
      <c r="E714" s="9" t="s">
        <v>762</v>
      </c>
      <c r="F714" s="9" t="s">
        <v>2282</v>
      </c>
      <c r="H714" s="9" t="s">
        <v>882</v>
      </c>
      <c r="M714" s="6" t="n">
        <v>2438.42</v>
      </c>
      <c r="Q714" s="1" t="str">
        <f aca="false">IF(OR($A714="",P714=""),"",ROUND(YEARFRAC(P714,README!$C$5),1))</f>
        <v/>
      </c>
      <c r="S714" s="6" t="n">
        <v>1690</v>
      </c>
      <c r="T714" s="6" t="n">
        <v>1713</v>
      </c>
      <c r="U714" s="6" t="n">
        <v>2040</v>
      </c>
      <c r="V714" s="6" t="n">
        <v>327</v>
      </c>
      <c r="W714" s="6" t="n">
        <v>0.9546</v>
      </c>
      <c r="X714" s="6" t="n">
        <v>68</v>
      </c>
      <c r="Y714" s="6" t="n">
        <v>6.3</v>
      </c>
      <c r="Z714" s="6" t="s">
        <v>2607</v>
      </c>
      <c r="AA714" s="9" t="s">
        <v>774</v>
      </c>
      <c r="AB714" s="6" t="s">
        <v>2950</v>
      </c>
      <c r="AC714" s="27" t="n">
        <f aca="false">COUNTIF(環境認証!$A$2:$A$849,A714)</f>
        <v>1</v>
      </c>
      <c r="AD714" s="6" t="n">
        <v>19.1</v>
      </c>
      <c r="AE714" s="6" t="n">
        <v>20.7</v>
      </c>
    </row>
    <row r="715" customFormat="false" ht="15" hidden="false" customHeight="true" outlineLevel="0" collapsed="false">
      <c r="A715" s="6" t="s">
        <v>2951</v>
      </c>
      <c r="B715" s="6" t="s">
        <v>531</v>
      </c>
      <c r="C715" s="9" t="s">
        <v>2952</v>
      </c>
      <c r="D715" s="9" t="s">
        <v>1894</v>
      </c>
      <c r="E715" s="9" t="s">
        <v>762</v>
      </c>
      <c r="F715" s="9" t="s">
        <v>1316</v>
      </c>
      <c r="H715" s="9" t="s">
        <v>882</v>
      </c>
      <c r="M715" s="6" t="n">
        <v>1919.5</v>
      </c>
      <c r="Q715" s="1" t="str">
        <f aca="false">IF(OR($A715="",P715=""),"",ROUND(YEARFRAC(P715,README!$C$5),1))</f>
        <v/>
      </c>
      <c r="S715" s="6" t="n">
        <v>1220</v>
      </c>
      <c r="T715" s="6" t="n">
        <v>1236</v>
      </c>
      <c r="U715" s="6" t="n">
        <v>1600</v>
      </c>
      <c r="V715" s="6" t="n">
        <v>364</v>
      </c>
      <c r="W715" s="6" t="n">
        <v>1</v>
      </c>
      <c r="X715" s="6" t="n">
        <v>64</v>
      </c>
      <c r="Y715" s="6" t="n">
        <v>11.8</v>
      </c>
      <c r="Z715" s="6" t="s">
        <v>2607</v>
      </c>
      <c r="AA715" s="9" t="s">
        <v>774</v>
      </c>
      <c r="AB715" s="6" t="s">
        <v>2953</v>
      </c>
      <c r="AC715" s="27" t="n">
        <f aca="false">COUNTIF(環境認証!$A$2:$A$849,A715)</f>
        <v>1</v>
      </c>
      <c r="AD715" s="6" t="n">
        <v>29.4</v>
      </c>
      <c r="AE715" s="6" t="n">
        <v>31.1</v>
      </c>
    </row>
    <row r="716" customFormat="false" ht="15" hidden="false" customHeight="true" outlineLevel="0" collapsed="false">
      <c r="A716" s="6" t="s">
        <v>2954</v>
      </c>
      <c r="B716" s="6" t="s">
        <v>531</v>
      </c>
      <c r="C716" s="9" t="s">
        <v>2955</v>
      </c>
      <c r="D716" s="9" t="s">
        <v>1894</v>
      </c>
      <c r="E716" s="9" t="s">
        <v>762</v>
      </c>
      <c r="F716" s="9" t="s">
        <v>2187</v>
      </c>
      <c r="H716" s="9" t="s">
        <v>882</v>
      </c>
      <c r="M716" s="6" t="n">
        <v>759.24</v>
      </c>
      <c r="Q716" s="1" t="str">
        <f aca="false">IF(OR($A716="",P716=""),"",ROUND(YEARFRAC(P716,README!$C$5),1))</f>
        <v/>
      </c>
      <c r="S716" s="6" t="n">
        <v>700</v>
      </c>
      <c r="T716" s="6" t="n">
        <v>713</v>
      </c>
      <c r="U716" s="6" t="n">
        <v>844</v>
      </c>
      <c r="V716" s="6" t="n">
        <v>131</v>
      </c>
      <c r="W716" s="6" t="n">
        <v>1</v>
      </c>
      <c r="X716" s="6" t="n">
        <v>30</v>
      </c>
      <c r="Y716" s="6" t="n">
        <v>6.1</v>
      </c>
      <c r="Z716" s="6" t="s">
        <v>2607</v>
      </c>
      <c r="AA716" s="9" t="s">
        <v>774</v>
      </c>
      <c r="AB716" s="6" t="s">
        <v>2956</v>
      </c>
      <c r="AC716" s="27" t="n">
        <f aca="false">COUNTIF(環境認証!$A$2:$A$849,A716)</f>
        <v>0</v>
      </c>
      <c r="AD716" s="6" t="n">
        <v>18.4</v>
      </c>
      <c r="AE716" s="6" t="n">
        <v>20.6</v>
      </c>
    </row>
    <row r="717" customFormat="false" ht="15" hidden="false" customHeight="true" outlineLevel="0" collapsed="false">
      <c r="A717" s="6" t="s">
        <v>2957</v>
      </c>
      <c r="B717" s="6" t="s">
        <v>531</v>
      </c>
      <c r="C717" s="9" t="s">
        <v>2958</v>
      </c>
      <c r="D717" s="9" t="s">
        <v>1894</v>
      </c>
      <c r="E717" s="9" t="s">
        <v>939</v>
      </c>
      <c r="F717" s="9" t="s">
        <v>2959</v>
      </c>
      <c r="H717" s="9" t="s">
        <v>921</v>
      </c>
      <c r="M717" s="6" t="n">
        <v>2508</v>
      </c>
      <c r="Q717" s="1" t="str">
        <f aca="false">IF(OR($A717="",P717=""),"",ROUND(YEARFRAC(P717,README!$C$5),1))</f>
        <v/>
      </c>
      <c r="S717" s="6" t="n">
        <v>1300</v>
      </c>
      <c r="T717" s="6" t="n">
        <v>1350</v>
      </c>
      <c r="U717" s="6" t="n">
        <v>1570</v>
      </c>
      <c r="V717" s="6" t="n">
        <v>220</v>
      </c>
      <c r="W717" s="6" t="n">
        <v>1</v>
      </c>
      <c r="X717" s="6" t="n">
        <v>99</v>
      </c>
      <c r="Y717" s="6" t="n">
        <v>3.1</v>
      </c>
      <c r="Z717" s="6" t="s">
        <v>2607</v>
      </c>
      <c r="AA717" s="9" t="s">
        <v>774</v>
      </c>
      <c r="AB717" s="6" t="s">
        <v>2960</v>
      </c>
      <c r="AC717" s="27" t="n">
        <f aca="false">COUNTIF(環境認証!$A$2:$A$849,A717)</f>
        <v>0</v>
      </c>
      <c r="AD717" s="6" t="n">
        <v>16.3</v>
      </c>
      <c r="AE717" s="6" t="n">
        <v>20.8</v>
      </c>
    </row>
    <row r="718" customFormat="false" ht="15" hidden="false" customHeight="true" outlineLevel="0" collapsed="false">
      <c r="A718" s="6" t="s">
        <v>2961</v>
      </c>
      <c r="B718" s="6" t="s">
        <v>531</v>
      </c>
      <c r="C718" s="9" t="s">
        <v>2962</v>
      </c>
      <c r="D718" s="9" t="s">
        <v>1894</v>
      </c>
      <c r="E718" s="9" t="s">
        <v>762</v>
      </c>
      <c r="F718" s="9" t="s">
        <v>895</v>
      </c>
      <c r="H718" s="9" t="s">
        <v>882</v>
      </c>
      <c r="M718" s="6" t="n">
        <v>993.85</v>
      </c>
      <c r="Q718" s="1" t="str">
        <f aca="false">IF(OR($A718="",P718=""),"",ROUND(YEARFRAC(P718,README!$C$5),1))</f>
        <v/>
      </c>
      <c r="S718" s="6" t="n">
        <v>900</v>
      </c>
      <c r="T718" s="6" t="n">
        <v>940</v>
      </c>
      <c r="U718" s="6" t="n">
        <v>1110</v>
      </c>
      <c r="V718" s="6" t="n">
        <v>170</v>
      </c>
      <c r="W718" s="6" t="n">
        <v>1</v>
      </c>
      <c r="X718" s="6" t="n">
        <v>33</v>
      </c>
      <c r="Y718" s="6" t="n">
        <v>9.6</v>
      </c>
      <c r="Z718" s="6" t="s">
        <v>2607</v>
      </c>
      <c r="AA718" s="9" t="s">
        <v>774</v>
      </c>
      <c r="AB718" s="6" t="s">
        <v>2963</v>
      </c>
      <c r="AC718" s="27" t="n">
        <f aca="false">COUNTIF(環境認証!$A$2:$A$849,A718)</f>
        <v>0</v>
      </c>
      <c r="AD718" s="6" t="n">
        <v>18.1</v>
      </c>
      <c r="AE718" s="6" t="n">
        <v>23.3</v>
      </c>
    </row>
    <row r="719" customFormat="false" ht="15" hidden="false" customHeight="true" outlineLevel="0" collapsed="false">
      <c r="A719" s="6" t="s">
        <v>2964</v>
      </c>
      <c r="B719" s="6" t="s">
        <v>531</v>
      </c>
      <c r="C719" s="9" t="s">
        <v>2965</v>
      </c>
      <c r="D719" s="9" t="s">
        <v>1894</v>
      </c>
      <c r="E719" s="9" t="s">
        <v>925</v>
      </c>
      <c r="F719" s="9" t="s">
        <v>2966</v>
      </c>
      <c r="H719" s="9" t="s">
        <v>921</v>
      </c>
      <c r="M719" s="6" t="n">
        <v>3352.21</v>
      </c>
      <c r="Q719" s="1" t="str">
        <f aca="false">IF(OR($A719="",P719=""),"",ROUND(YEARFRAC(P719,README!$C$5),1))</f>
        <v/>
      </c>
      <c r="S719" s="6" t="n">
        <v>1870</v>
      </c>
      <c r="T719" s="6" t="n">
        <v>2007</v>
      </c>
      <c r="U719" s="6" t="n">
        <v>2160</v>
      </c>
      <c r="V719" s="6" t="n">
        <v>153</v>
      </c>
      <c r="W719" s="6" t="n">
        <v>1</v>
      </c>
      <c r="X719" s="6" t="n">
        <v>40</v>
      </c>
      <c r="Y719" s="6" t="n">
        <v>10.3</v>
      </c>
      <c r="Z719" s="6" t="s">
        <v>2607</v>
      </c>
      <c r="AA719" s="9" t="s">
        <v>774</v>
      </c>
      <c r="AB719" s="6" t="s">
        <v>2967</v>
      </c>
      <c r="AC719" s="27" t="n">
        <f aca="false">COUNTIF(環境認証!$A$2:$A$849,A719)</f>
        <v>1</v>
      </c>
      <c r="AD719" s="6" t="n">
        <v>7.6</v>
      </c>
      <c r="AE719" s="6" t="n">
        <v>15.5</v>
      </c>
    </row>
    <row r="720" customFormat="false" ht="15" hidden="false" customHeight="true" outlineLevel="0" collapsed="false">
      <c r="A720" s="6" t="s">
        <v>2968</v>
      </c>
      <c r="B720" s="6" t="s">
        <v>531</v>
      </c>
      <c r="C720" s="9" t="s">
        <v>2969</v>
      </c>
      <c r="D720" s="9" t="s">
        <v>1894</v>
      </c>
      <c r="E720" s="9" t="s">
        <v>939</v>
      </c>
      <c r="F720" s="9" t="s">
        <v>2007</v>
      </c>
      <c r="H720" s="9" t="s">
        <v>921</v>
      </c>
      <c r="M720" s="6" t="n">
        <v>2325</v>
      </c>
      <c r="Q720" s="1" t="str">
        <f aca="false">IF(OR($A720="",P720=""),"",ROUND(YEARFRAC(P720,README!$C$5),1))</f>
        <v/>
      </c>
      <c r="S720" s="6" t="n">
        <v>1260</v>
      </c>
      <c r="T720" s="6" t="n">
        <v>1334</v>
      </c>
      <c r="U720" s="6" t="n">
        <v>1720</v>
      </c>
      <c r="V720" s="6" t="n">
        <v>386</v>
      </c>
      <c r="W720" s="6" t="n">
        <v>0.9801</v>
      </c>
      <c r="X720" s="6" t="n">
        <v>89</v>
      </c>
      <c r="Y720" s="6" t="n">
        <v>10.6</v>
      </c>
      <c r="Z720" s="6" t="s">
        <v>2607</v>
      </c>
      <c r="AA720" s="9" t="s">
        <v>774</v>
      </c>
      <c r="AB720" s="6" t="s">
        <v>2970</v>
      </c>
      <c r="AC720" s="27" t="n">
        <f aca="false">COUNTIF(環境認証!$A$2:$A$849,A720)</f>
        <v>0</v>
      </c>
      <c r="AD720" s="6" t="n">
        <v>28.9</v>
      </c>
      <c r="AE720" s="6" t="n">
        <v>36.5</v>
      </c>
    </row>
    <row r="721" customFormat="false" ht="15" hidden="false" customHeight="true" outlineLevel="0" collapsed="false">
      <c r="A721" s="6" t="s">
        <v>2971</v>
      </c>
      <c r="B721" s="6" t="s">
        <v>531</v>
      </c>
      <c r="C721" s="9" t="s">
        <v>2972</v>
      </c>
      <c r="D721" s="9" t="s">
        <v>1894</v>
      </c>
      <c r="E721" s="9" t="s">
        <v>762</v>
      </c>
      <c r="F721" s="9" t="s">
        <v>2973</v>
      </c>
      <c r="H721" s="9" t="s">
        <v>882</v>
      </c>
      <c r="M721" s="6" t="n">
        <v>2084.2</v>
      </c>
      <c r="Q721" s="1" t="str">
        <f aca="false">IF(OR($A721="",P721=""),"",ROUND(YEARFRAC(P721,README!$C$5),1))</f>
        <v/>
      </c>
      <c r="S721" s="6" t="n">
        <v>1210</v>
      </c>
      <c r="T721" s="6" t="n">
        <v>1230</v>
      </c>
      <c r="U721" s="6" t="n">
        <v>1620</v>
      </c>
      <c r="V721" s="6" t="n">
        <v>390</v>
      </c>
      <c r="W721" s="6" t="n">
        <v>0.9131</v>
      </c>
      <c r="X721" s="6" t="n">
        <v>46</v>
      </c>
      <c r="Y721" s="6" t="n">
        <v>14.8</v>
      </c>
      <c r="Z721" s="6" t="s">
        <v>2607</v>
      </c>
      <c r="AA721" s="9" t="s">
        <v>774</v>
      </c>
      <c r="AB721" s="6" t="s">
        <v>2974</v>
      </c>
      <c r="AC721" s="27" t="n">
        <f aca="false">COUNTIF(環境認証!$A$2:$A$849,A721)</f>
        <v>0</v>
      </c>
      <c r="AD721" s="6" t="n">
        <v>31.7</v>
      </c>
      <c r="AE721" s="6" t="n">
        <v>33.9</v>
      </c>
    </row>
    <row r="722" customFormat="false" ht="15" hidden="false" customHeight="true" outlineLevel="0" collapsed="false">
      <c r="A722" s="6" t="s">
        <v>2975</v>
      </c>
      <c r="B722" s="6" t="s">
        <v>531</v>
      </c>
      <c r="C722" s="9" t="s">
        <v>2976</v>
      </c>
      <c r="D722" s="9" t="s">
        <v>1894</v>
      </c>
      <c r="E722" s="9" t="s">
        <v>969</v>
      </c>
      <c r="F722" s="9" t="s">
        <v>970</v>
      </c>
      <c r="H722" s="9" t="s">
        <v>971</v>
      </c>
      <c r="M722" s="6" t="n">
        <v>1946.35</v>
      </c>
      <c r="Q722" s="1" t="str">
        <f aca="false">IF(OR($A722="",P722=""),"",ROUND(YEARFRAC(P722,README!$C$5),1))</f>
        <v/>
      </c>
      <c r="S722" s="6" t="n">
        <v>860</v>
      </c>
      <c r="T722" s="6" t="n">
        <v>924</v>
      </c>
      <c r="U722" s="6" t="n">
        <v>929</v>
      </c>
      <c r="V722" s="6" t="n">
        <v>5</v>
      </c>
      <c r="W722" s="6" t="n">
        <v>0.9589</v>
      </c>
      <c r="X722" s="6" t="n">
        <v>68</v>
      </c>
      <c r="Y722" s="6" t="n">
        <v>11.8</v>
      </c>
      <c r="Z722" s="6" t="s">
        <v>2607</v>
      </c>
      <c r="AA722" s="9" t="s">
        <v>774</v>
      </c>
      <c r="AB722" s="6" t="s">
        <v>2977</v>
      </c>
      <c r="AC722" s="27" t="n">
        <f aca="false">COUNTIF(環境認証!$A$2:$A$849,A722)</f>
        <v>0</v>
      </c>
      <c r="AD722" s="6" t="n">
        <v>0.5</v>
      </c>
      <c r="AE722" s="6" t="n">
        <v>8</v>
      </c>
    </row>
    <row r="723" customFormat="false" ht="15" hidden="false" customHeight="true" outlineLevel="0" collapsed="false">
      <c r="A723" s="6" t="s">
        <v>2978</v>
      </c>
      <c r="B723" s="6" t="s">
        <v>531</v>
      </c>
      <c r="C723" s="9" t="s">
        <v>2979</v>
      </c>
      <c r="D723" s="9" t="s">
        <v>1894</v>
      </c>
      <c r="E723" s="9" t="s">
        <v>969</v>
      </c>
      <c r="F723" s="9" t="s">
        <v>970</v>
      </c>
      <c r="H723" s="9" t="s">
        <v>971</v>
      </c>
      <c r="M723" s="6" t="n">
        <v>1353.42</v>
      </c>
      <c r="Q723" s="1" t="str">
        <f aca="false">IF(OR($A723="",P723=""),"",ROUND(YEARFRAC(P723,README!$C$5),1))</f>
        <v/>
      </c>
      <c r="S723" s="6" t="n">
        <v>610</v>
      </c>
      <c r="T723" s="6" t="n">
        <v>657</v>
      </c>
      <c r="U723" s="6" t="n">
        <v>640</v>
      </c>
      <c r="V723" s="6" t="n">
        <v>-17</v>
      </c>
      <c r="W723" s="6" t="n">
        <v>1</v>
      </c>
      <c r="X723" s="6" t="n">
        <v>36</v>
      </c>
      <c r="Y723" s="6" t="n">
        <v>11.8</v>
      </c>
      <c r="Z723" s="6" t="s">
        <v>2607</v>
      </c>
      <c r="AA723" s="9" t="s">
        <v>774</v>
      </c>
      <c r="AB723" s="6" t="s">
        <v>2980</v>
      </c>
      <c r="AC723" s="27" t="n">
        <f aca="false">COUNTIF(環境認証!$A$2:$A$849,A723)</f>
        <v>0</v>
      </c>
      <c r="AD723" s="6" t="n">
        <v>-2.6</v>
      </c>
      <c r="AE723" s="6" t="n">
        <v>4.9</v>
      </c>
    </row>
    <row r="724" customFormat="false" ht="15" hidden="false" customHeight="true" outlineLevel="0" collapsed="false">
      <c r="A724" s="6" t="s">
        <v>2981</v>
      </c>
      <c r="B724" s="6" t="s">
        <v>531</v>
      </c>
      <c r="C724" s="9" t="s">
        <v>2982</v>
      </c>
      <c r="D724" s="9" t="s">
        <v>1894</v>
      </c>
      <c r="E724" s="9" t="s">
        <v>762</v>
      </c>
      <c r="F724" s="9" t="s">
        <v>1152</v>
      </c>
      <c r="H724" s="9" t="s">
        <v>882</v>
      </c>
      <c r="M724" s="6" t="n">
        <v>1289.94</v>
      </c>
      <c r="Q724" s="1" t="str">
        <f aca="false">IF(OR($A724="",P724=""),"",ROUND(YEARFRAC(P724,README!$C$5),1))</f>
        <v/>
      </c>
      <c r="S724" s="6" t="n">
        <v>1050</v>
      </c>
      <c r="T724" s="6" t="n">
        <v>1090</v>
      </c>
      <c r="U724" s="6" t="n">
        <v>1320</v>
      </c>
      <c r="V724" s="6" t="n">
        <v>230</v>
      </c>
      <c r="W724" s="6" t="n">
        <v>1</v>
      </c>
      <c r="X724" s="6" t="n">
        <v>33</v>
      </c>
      <c r="Y724" s="6" t="n">
        <v>5.3</v>
      </c>
      <c r="Z724" s="6" t="s">
        <v>2607</v>
      </c>
      <c r="AA724" s="9" t="s">
        <v>774</v>
      </c>
      <c r="AB724" s="6" t="s">
        <v>2983</v>
      </c>
      <c r="AC724" s="27" t="n">
        <f aca="false">COUNTIF(環境認証!$A$2:$A$849,A724)</f>
        <v>0</v>
      </c>
      <c r="AD724" s="6" t="n">
        <v>21.1</v>
      </c>
      <c r="AE724" s="6" t="n">
        <v>25.7</v>
      </c>
    </row>
    <row r="725" customFormat="false" ht="15" hidden="false" customHeight="true" outlineLevel="0" collapsed="false">
      <c r="A725" s="6" t="s">
        <v>2984</v>
      </c>
      <c r="B725" s="6" t="s">
        <v>531</v>
      </c>
      <c r="C725" s="9" t="s">
        <v>2985</v>
      </c>
      <c r="D725" s="9" t="s">
        <v>1894</v>
      </c>
      <c r="E725" s="9" t="s">
        <v>762</v>
      </c>
      <c r="F725" s="9" t="s">
        <v>895</v>
      </c>
      <c r="H725" s="9" t="s">
        <v>882</v>
      </c>
      <c r="M725" s="6" t="n">
        <v>2317.84</v>
      </c>
      <c r="Q725" s="1" t="str">
        <f aca="false">IF(OR($A725="",P725=""),"",ROUND(YEARFRAC(P725,README!$C$5),1))</f>
        <v/>
      </c>
      <c r="S725" s="6" t="n">
        <v>2500</v>
      </c>
      <c r="T725" s="6" t="n">
        <v>2604</v>
      </c>
      <c r="U725" s="6" t="n">
        <v>2910</v>
      </c>
      <c r="V725" s="6" t="n">
        <v>306</v>
      </c>
      <c r="W725" s="6" t="n">
        <v>1</v>
      </c>
      <c r="X725" s="6" t="n">
        <v>56</v>
      </c>
      <c r="Y725" s="6" t="n">
        <v>3.3</v>
      </c>
      <c r="Z725" s="6" t="s">
        <v>2607</v>
      </c>
      <c r="AA725" s="9" t="s">
        <v>774</v>
      </c>
      <c r="AB725" s="6" t="s">
        <v>2986</v>
      </c>
      <c r="AC725" s="27" t="n">
        <f aca="false">COUNTIF(環境認証!$A$2:$A$849,A725)</f>
        <v>0</v>
      </c>
      <c r="AD725" s="6" t="n">
        <v>11.8</v>
      </c>
      <c r="AE725" s="6" t="n">
        <v>16.4</v>
      </c>
    </row>
    <row r="726" customFormat="false" ht="15" hidden="false" customHeight="true" outlineLevel="0" collapsed="false">
      <c r="A726" s="6" t="s">
        <v>2987</v>
      </c>
      <c r="B726" s="6" t="s">
        <v>531</v>
      </c>
      <c r="C726" s="9" t="s">
        <v>2988</v>
      </c>
      <c r="D726" s="9" t="s">
        <v>1894</v>
      </c>
      <c r="E726" s="9" t="s">
        <v>762</v>
      </c>
      <c r="F726" s="9" t="s">
        <v>1148</v>
      </c>
      <c r="H726" s="9" t="s">
        <v>882</v>
      </c>
      <c r="M726" s="6" t="n">
        <v>1282.7</v>
      </c>
      <c r="Q726" s="1" t="str">
        <f aca="false">IF(OR($A726="",P726=""),"",ROUND(YEARFRAC(P726,README!$C$5),1))</f>
        <v/>
      </c>
      <c r="S726" s="6" t="n">
        <v>1200</v>
      </c>
      <c r="T726" s="6" t="n">
        <v>1265</v>
      </c>
      <c r="U726" s="6" t="n">
        <v>1340</v>
      </c>
      <c r="V726" s="6" t="n">
        <v>75</v>
      </c>
      <c r="W726" s="6" t="n">
        <v>0.9187</v>
      </c>
      <c r="X726" s="6" t="n">
        <v>24</v>
      </c>
      <c r="Y726" s="6" t="n">
        <v>11.2</v>
      </c>
      <c r="Z726" s="6" t="s">
        <v>2607</v>
      </c>
      <c r="AA726" s="9" t="s">
        <v>774</v>
      </c>
      <c r="AB726" s="6" t="s">
        <v>2989</v>
      </c>
      <c r="AC726" s="27" t="n">
        <f aca="false">COUNTIF(環境認証!$A$2:$A$849,A726)</f>
        <v>0</v>
      </c>
      <c r="AD726" s="6" t="n">
        <v>5.9</v>
      </c>
      <c r="AE726" s="6" t="n">
        <v>11.7</v>
      </c>
    </row>
    <row r="727" customFormat="false" ht="15" hidden="false" customHeight="true" outlineLevel="0" collapsed="false">
      <c r="A727" s="6" t="s">
        <v>2990</v>
      </c>
      <c r="B727" s="6" t="s">
        <v>531</v>
      </c>
      <c r="C727" s="9" t="s">
        <v>2991</v>
      </c>
      <c r="D727" s="9" t="s">
        <v>1894</v>
      </c>
      <c r="E727" s="9" t="s">
        <v>762</v>
      </c>
      <c r="F727" s="9" t="s">
        <v>2674</v>
      </c>
      <c r="H727" s="9" t="s">
        <v>882</v>
      </c>
      <c r="M727" s="6" t="n">
        <v>3234.72</v>
      </c>
      <c r="Q727" s="1" t="str">
        <f aca="false">IF(OR($A727="",P727=""),"",ROUND(YEARFRAC(P727,README!$C$5),1))</f>
        <v/>
      </c>
      <c r="S727" s="6" t="n">
        <v>2510</v>
      </c>
      <c r="T727" s="6" t="n">
        <v>2671</v>
      </c>
      <c r="U727" s="6" t="n">
        <v>3290</v>
      </c>
      <c r="V727" s="6" t="n">
        <v>619</v>
      </c>
      <c r="W727" s="6" t="n">
        <v>1</v>
      </c>
      <c r="X727" s="6" t="n">
        <v>90</v>
      </c>
      <c r="Y727" s="6" t="n">
        <v>6.3</v>
      </c>
      <c r="Z727" s="6" t="s">
        <v>2607</v>
      </c>
      <c r="AA727" s="9" t="s">
        <v>774</v>
      </c>
      <c r="AB727" s="6" t="s">
        <v>2992</v>
      </c>
      <c r="AC727" s="27" t="n">
        <f aca="false">COUNTIF(環境認証!$A$2:$A$849,A727)</f>
        <v>1</v>
      </c>
      <c r="AD727" s="6" t="n">
        <v>23.2</v>
      </c>
      <c r="AE727" s="6" t="n">
        <v>31.1</v>
      </c>
    </row>
    <row r="728" customFormat="false" ht="15" hidden="false" customHeight="true" outlineLevel="0" collapsed="false">
      <c r="A728" s="6" t="s">
        <v>2993</v>
      </c>
      <c r="B728" s="6" t="s">
        <v>531</v>
      </c>
      <c r="C728" s="9" t="s">
        <v>2994</v>
      </c>
      <c r="D728" s="9" t="s">
        <v>1894</v>
      </c>
      <c r="E728" s="9" t="s">
        <v>762</v>
      </c>
      <c r="F728" s="9" t="s">
        <v>1316</v>
      </c>
      <c r="H728" s="9" t="s">
        <v>882</v>
      </c>
      <c r="M728" s="6" t="n">
        <v>1424.77</v>
      </c>
      <c r="Q728" s="1" t="str">
        <f aca="false">IF(OR($A728="",P728=""),"",ROUND(YEARFRAC(P728,README!$C$5),1))</f>
        <v/>
      </c>
      <c r="S728" s="6" t="n">
        <v>1380</v>
      </c>
      <c r="T728" s="6" t="n">
        <v>1404</v>
      </c>
      <c r="U728" s="6" t="n">
        <v>1690</v>
      </c>
      <c r="V728" s="6" t="n">
        <v>286</v>
      </c>
      <c r="W728" s="6" t="n">
        <v>1</v>
      </c>
      <c r="X728" s="6" t="n">
        <v>33</v>
      </c>
      <c r="Y728" s="6" t="n">
        <v>10</v>
      </c>
      <c r="Z728" s="6" t="s">
        <v>2607</v>
      </c>
      <c r="AA728" s="9" t="s">
        <v>774</v>
      </c>
      <c r="AB728" s="6" t="s">
        <v>2995</v>
      </c>
      <c r="AC728" s="27" t="n">
        <f aca="false">COUNTIF(環境認証!$A$2:$A$849,A728)</f>
        <v>0</v>
      </c>
      <c r="AD728" s="6" t="n">
        <v>20.4</v>
      </c>
      <c r="AE728" s="6" t="n">
        <v>22.5</v>
      </c>
    </row>
    <row r="729" customFormat="false" ht="15" hidden="false" customHeight="true" outlineLevel="0" collapsed="false">
      <c r="A729" s="6" t="s">
        <v>2996</v>
      </c>
      <c r="B729" s="6" t="s">
        <v>531</v>
      </c>
      <c r="C729" s="9" t="s">
        <v>2997</v>
      </c>
      <c r="D729" s="9" t="s">
        <v>1894</v>
      </c>
      <c r="E729" s="9" t="s">
        <v>762</v>
      </c>
      <c r="F729" s="9" t="s">
        <v>905</v>
      </c>
      <c r="H729" s="9" t="s">
        <v>882</v>
      </c>
      <c r="M729" s="6" t="n">
        <v>3177.19</v>
      </c>
      <c r="Q729" s="1" t="str">
        <f aca="false">IF(OR($A729="",P729=""),"",ROUND(YEARFRAC(P729,README!$C$5),1))</f>
        <v/>
      </c>
      <c r="S729" s="6" t="n">
        <v>5300</v>
      </c>
      <c r="T729" s="6" t="n">
        <v>5640</v>
      </c>
      <c r="U729" s="6" t="n">
        <v>6330</v>
      </c>
      <c r="V729" s="6" t="n">
        <v>690</v>
      </c>
      <c r="W729" s="6" t="n">
        <v>0.8984</v>
      </c>
      <c r="X729" s="6" t="n">
        <v>57</v>
      </c>
      <c r="Y729" s="6" t="n">
        <v>3.4</v>
      </c>
      <c r="Z729" s="6" t="s">
        <v>2607</v>
      </c>
      <c r="AA729" s="9" t="s">
        <v>774</v>
      </c>
      <c r="AB729" s="6" t="s">
        <v>2998</v>
      </c>
      <c r="AC729" s="27" t="n">
        <f aca="false">COUNTIF(環境認証!$A$2:$A$849,A729)</f>
        <v>0</v>
      </c>
      <c r="AD729" s="6" t="n">
        <v>12.2</v>
      </c>
      <c r="AE729" s="6" t="n">
        <v>19.4</v>
      </c>
    </row>
    <row r="730" customFormat="false" ht="15" hidden="false" customHeight="true" outlineLevel="0" collapsed="false">
      <c r="A730" s="6" t="s">
        <v>2999</v>
      </c>
      <c r="B730" s="6" t="s">
        <v>531</v>
      </c>
      <c r="C730" s="9" t="s">
        <v>3000</v>
      </c>
      <c r="D730" s="9" t="s">
        <v>1894</v>
      </c>
      <c r="E730" s="9" t="s">
        <v>762</v>
      </c>
      <c r="F730" s="9" t="s">
        <v>2282</v>
      </c>
      <c r="H730" s="9" t="s">
        <v>882</v>
      </c>
      <c r="M730" s="6" t="n">
        <v>901.54</v>
      </c>
      <c r="Q730" s="1" t="str">
        <f aca="false">IF(OR($A730="",P730=""),"",ROUND(YEARFRAC(P730,README!$C$5),1))</f>
        <v/>
      </c>
      <c r="S730" s="6" t="n">
        <v>1040</v>
      </c>
      <c r="T730" s="6" t="n">
        <v>1074</v>
      </c>
      <c r="U730" s="6" t="n">
        <v>1270</v>
      </c>
      <c r="V730" s="6" t="n">
        <v>196</v>
      </c>
      <c r="W730" s="6" t="n">
        <v>0.8869</v>
      </c>
      <c r="X730" s="6" t="n">
        <v>29</v>
      </c>
      <c r="Y730" s="6" t="n">
        <v>1.2</v>
      </c>
      <c r="Z730" s="6" t="s">
        <v>2607</v>
      </c>
      <c r="AA730" s="9" t="s">
        <v>774</v>
      </c>
      <c r="AB730" s="6" t="s">
        <v>3001</v>
      </c>
      <c r="AC730" s="27" t="n">
        <f aca="false">COUNTIF(環境認証!$A$2:$A$849,A730)</f>
        <v>0</v>
      </c>
      <c r="AD730" s="6" t="n">
        <v>18.2</v>
      </c>
      <c r="AE730" s="6" t="n">
        <v>22.1</v>
      </c>
    </row>
    <row r="731" customFormat="false" ht="15" hidden="false" customHeight="true" outlineLevel="0" collapsed="false">
      <c r="A731" s="6" t="s">
        <v>3002</v>
      </c>
      <c r="B731" s="6" t="s">
        <v>531</v>
      </c>
      <c r="C731" s="9" t="s">
        <v>3003</v>
      </c>
      <c r="D731" s="9" t="s">
        <v>1894</v>
      </c>
      <c r="E731" s="9" t="s">
        <v>762</v>
      </c>
      <c r="F731" s="9" t="s">
        <v>2282</v>
      </c>
      <c r="H731" s="9" t="s">
        <v>882</v>
      </c>
      <c r="M731" s="6" t="n">
        <v>766.83</v>
      </c>
      <c r="Q731" s="1" t="str">
        <f aca="false">IF(OR($A731="",P731=""),"",ROUND(YEARFRAC(P731,README!$C$5),1))</f>
        <v/>
      </c>
      <c r="S731" s="6" t="n">
        <v>880</v>
      </c>
      <c r="T731" s="6" t="n">
        <v>909</v>
      </c>
      <c r="U731" s="6" t="n">
        <v>1080</v>
      </c>
      <c r="V731" s="6" t="n">
        <v>171</v>
      </c>
      <c r="W731" s="6" t="n">
        <v>0.9329</v>
      </c>
      <c r="X731" s="6" t="n">
        <v>28</v>
      </c>
      <c r="Y731" s="6" t="n">
        <v>0.9</v>
      </c>
      <c r="Z731" s="6" t="s">
        <v>2607</v>
      </c>
      <c r="AA731" s="9" t="s">
        <v>774</v>
      </c>
      <c r="AB731" s="6" t="s">
        <v>3004</v>
      </c>
      <c r="AC731" s="27" t="n">
        <f aca="false">COUNTIF(環境認証!$A$2:$A$849,A731)</f>
        <v>0</v>
      </c>
      <c r="AD731" s="6" t="n">
        <v>18.8</v>
      </c>
      <c r="AE731" s="6" t="n">
        <v>22.7</v>
      </c>
    </row>
    <row r="732" customFormat="false" ht="15" hidden="false" customHeight="true" outlineLevel="0" collapsed="false">
      <c r="A732" s="6" t="s">
        <v>3005</v>
      </c>
      <c r="B732" s="6" t="s">
        <v>531</v>
      </c>
      <c r="C732" s="9" t="s">
        <v>3006</v>
      </c>
      <c r="D732" s="9" t="s">
        <v>1894</v>
      </c>
      <c r="E732" s="9" t="s">
        <v>762</v>
      </c>
      <c r="F732" s="9" t="s">
        <v>2317</v>
      </c>
      <c r="H732" s="9" t="s">
        <v>882</v>
      </c>
      <c r="M732" s="6" t="n">
        <v>1088.72</v>
      </c>
      <c r="Q732" s="1" t="str">
        <f aca="false">IF(OR($A732="",P732=""),"",ROUND(YEARFRAC(P732,README!$C$5),1))</f>
        <v/>
      </c>
      <c r="S732" s="6" t="n">
        <v>1050</v>
      </c>
      <c r="T732" s="6" t="n">
        <v>1093</v>
      </c>
      <c r="U732" s="6" t="n">
        <v>1240</v>
      </c>
      <c r="V732" s="6" t="n">
        <v>147</v>
      </c>
      <c r="W732" s="6" t="n">
        <v>1</v>
      </c>
      <c r="X732" s="6" t="n">
        <v>34</v>
      </c>
      <c r="Y732" s="6" t="n">
        <v>2.3</v>
      </c>
      <c r="Z732" s="6" t="s">
        <v>2607</v>
      </c>
      <c r="AA732" s="9" t="s">
        <v>774</v>
      </c>
      <c r="AB732" s="6" t="s">
        <v>3007</v>
      </c>
      <c r="AC732" s="27" t="n">
        <f aca="false">COUNTIF(環境認証!$A$2:$A$849,A732)</f>
        <v>0</v>
      </c>
      <c r="AD732" s="6" t="n">
        <v>13.4</v>
      </c>
      <c r="AE732" s="6" t="n">
        <v>18.1</v>
      </c>
    </row>
    <row r="733" customFormat="false" ht="15" hidden="false" customHeight="true" outlineLevel="0" collapsed="false">
      <c r="A733" s="6" t="s">
        <v>3008</v>
      </c>
      <c r="B733" s="6" t="s">
        <v>531</v>
      </c>
      <c r="C733" s="9" t="s">
        <v>3009</v>
      </c>
      <c r="D733" s="9" t="s">
        <v>1894</v>
      </c>
      <c r="E733" s="9" t="s">
        <v>762</v>
      </c>
      <c r="F733" s="9" t="s">
        <v>1316</v>
      </c>
      <c r="H733" s="9" t="s">
        <v>882</v>
      </c>
      <c r="M733" s="6" t="n">
        <v>787.98</v>
      </c>
      <c r="Q733" s="1" t="str">
        <f aca="false">IF(OR($A733="",P733=""),"",ROUND(YEARFRAC(P733,README!$C$5),1))</f>
        <v/>
      </c>
      <c r="S733" s="6" t="n">
        <v>880</v>
      </c>
      <c r="T733" s="6" t="n">
        <v>913</v>
      </c>
      <c r="U733" s="6" t="n">
        <v>1070</v>
      </c>
      <c r="V733" s="6" t="n">
        <v>157</v>
      </c>
      <c r="W733" s="6" t="n">
        <v>1</v>
      </c>
      <c r="X733" s="6" t="n">
        <v>24</v>
      </c>
      <c r="Y733" s="6" t="n">
        <v>14</v>
      </c>
      <c r="Z733" s="6" t="s">
        <v>2607</v>
      </c>
      <c r="AA733" s="9" t="s">
        <v>774</v>
      </c>
      <c r="AB733" s="6" t="s">
        <v>3010</v>
      </c>
      <c r="AC733" s="27" t="n">
        <f aca="false">COUNTIF(環境認証!$A$2:$A$849,A733)</f>
        <v>0</v>
      </c>
      <c r="AD733" s="6" t="n">
        <v>17.2</v>
      </c>
      <c r="AE733" s="6" t="n">
        <v>21.6</v>
      </c>
    </row>
    <row r="734" customFormat="false" ht="15" hidden="false" customHeight="true" outlineLevel="0" collapsed="false">
      <c r="A734" s="6" t="s">
        <v>3011</v>
      </c>
      <c r="B734" s="6" t="s">
        <v>531</v>
      </c>
      <c r="C734" s="9" t="s">
        <v>3012</v>
      </c>
      <c r="D734" s="9" t="s">
        <v>1894</v>
      </c>
      <c r="E734" s="9" t="s">
        <v>762</v>
      </c>
      <c r="F734" s="9" t="s">
        <v>1316</v>
      </c>
      <c r="H734" s="9" t="s">
        <v>882</v>
      </c>
      <c r="M734" s="6" t="n">
        <v>3071.54</v>
      </c>
      <c r="Q734" s="1" t="str">
        <f aca="false">IF(OR($A734="",P734=""),"",ROUND(YEARFRAC(P734,README!$C$5),1))</f>
        <v/>
      </c>
      <c r="S734" s="6" t="n">
        <v>2140</v>
      </c>
      <c r="T734" s="6" t="n">
        <v>2269</v>
      </c>
      <c r="U734" s="6" t="n">
        <v>2850</v>
      </c>
      <c r="V734" s="6" t="n">
        <v>581</v>
      </c>
      <c r="W734" s="6" t="n">
        <v>0.9738</v>
      </c>
      <c r="X734" s="6" t="n">
        <v>72</v>
      </c>
      <c r="Y734" s="6" t="n">
        <v>7.6</v>
      </c>
      <c r="Z734" s="6" t="s">
        <v>2607</v>
      </c>
      <c r="AA734" s="9" t="s">
        <v>774</v>
      </c>
      <c r="AB734" s="6" t="s">
        <v>3013</v>
      </c>
      <c r="AC734" s="27" t="n">
        <f aca="false">COUNTIF(環境認証!$A$2:$A$849,A734)</f>
        <v>0</v>
      </c>
      <c r="AD734" s="6" t="n">
        <v>25.6</v>
      </c>
      <c r="AE734" s="6" t="n">
        <v>33.2</v>
      </c>
    </row>
    <row r="735" customFormat="false" ht="15" hidden="false" customHeight="true" outlineLevel="0" collapsed="false">
      <c r="A735" s="6" t="s">
        <v>3014</v>
      </c>
      <c r="B735" s="6" t="s">
        <v>531</v>
      </c>
      <c r="C735" s="9" t="s">
        <v>3015</v>
      </c>
      <c r="D735" s="9" t="s">
        <v>1894</v>
      </c>
      <c r="E735" s="9" t="s">
        <v>762</v>
      </c>
      <c r="F735" s="9" t="s">
        <v>1316</v>
      </c>
      <c r="H735" s="9" t="s">
        <v>882</v>
      </c>
      <c r="M735" s="6" t="n">
        <v>852.4</v>
      </c>
      <c r="Q735" s="1" t="str">
        <f aca="false">IF(OR($A735="",P735=""),"",ROUND(YEARFRAC(P735,README!$C$5),1))</f>
        <v/>
      </c>
      <c r="S735" s="6" t="n">
        <v>970</v>
      </c>
      <c r="T735" s="6" t="n">
        <v>1005</v>
      </c>
      <c r="U735" s="6" t="n">
        <v>1190</v>
      </c>
      <c r="V735" s="6" t="n">
        <v>185</v>
      </c>
      <c r="W735" s="6" t="n">
        <v>0.9701</v>
      </c>
      <c r="X735" s="6" t="n">
        <v>27</v>
      </c>
      <c r="Y735" s="6" t="n">
        <v>12</v>
      </c>
      <c r="Z735" s="6" t="s">
        <v>2607</v>
      </c>
      <c r="AA735" s="9" t="s">
        <v>774</v>
      </c>
      <c r="AB735" s="6" t="s">
        <v>3016</v>
      </c>
      <c r="AC735" s="27" t="n">
        <f aca="false">COUNTIF(環境認証!$A$2:$A$849,A735)</f>
        <v>0</v>
      </c>
      <c r="AD735" s="6" t="n">
        <v>18.4</v>
      </c>
      <c r="AE735" s="6" t="n">
        <v>22.7</v>
      </c>
    </row>
    <row r="736" customFormat="false" ht="15" hidden="false" customHeight="true" outlineLevel="0" collapsed="false">
      <c r="A736" s="6" t="s">
        <v>3017</v>
      </c>
      <c r="B736" s="6" t="s">
        <v>531</v>
      </c>
      <c r="C736" s="9" t="s">
        <v>3018</v>
      </c>
      <c r="D736" s="9" t="s">
        <v>1894</v>
      </c>
      <c r="E736" s="9" t="s">
        <v>762</v>
      </c>
      <c r="F736" s="9" t="s">
        <v>1148</v>
      </c>
      <c r="H736" s="9" t="s">
        <v>882</v>
      </c>
      <c r="M736" s="6" t="n">
        <v>1054.9</v>
      </c>
      <c r="Q736" s="1" t="str">
        <f aca="false">IF(OR($A736="",P736=""),"",ROUND(YEARFRAC(P736,README!$C$5),1))</f>
        <v/>
      </c>
      <c r="S736" s="6" t="n">
        <v>1300</v>
      </c>
      <c r="T736" s="6" t="n">
        <v>1356</v>
      </c>
      <c r="U736" s="6" t="n">
        <v>1610</v>
      </c>
      <c r="V736" s="6" t="n">
        <v>254</v>
      </c>
      <c r="W736" s="6" t="n">
        <v>0.923</v>
      </c>
      <c r="X736" s="6" t="n">
        <v>35</v>
      </c>
      <c r="Y736" s="6" t="n">
        <v>4</v>
      </c>
      <c r="Z736" s="6" t="s">
        <v>2607</v>
      </c>
      <c r="AA736" s="9" t="s">
        <v>774</v>
      </c>
      <c r="AB736" s="6" t="s">
        <v>3019</v>
      </c>
      <c r="AC736" s="27" t="n">
        <f aca="false">COUNTIF(環境認証!$A$2:$A$849,A736)</f>
        <v>0</v>
      </c>
      <c r="AD736" s="6" t="n">
        <v>18.7</v>
      </c>
      <c r="AE736" s="6" t="n">
        <v>23.8</v>
      </c>
    </row>
    <row r="737" customFormat="false" ht="15" hidden="false" customHeight="true" outlineLevel="0" collapsed="false">
      <c r="A737" s="6" t="s">
        <v>3020</v>
      </c>
      <c r="B737" s="6" t="s">
        <v>531</v>
      </c>
      <c r="C737" s="9" t="s">
        <v>3021</v>
      </c>
      <c r="D737" s="9" t="s">
        <v>1894</v>
      </c>
      <c r="E737" s="9" t="s">
        <v>762</v>
      </c>
      <c r="F737" s="9" t="s">
        <v>2366</v>
      </c>
      <c r="H737" s="9" t="s">
        <v>882</v>
      </c>
      <c r="M737" s="6" t="n">
        <v>1501.01</v>
      </c>
      <c r="Q737" s="1" t="str">
        <f aca="false">IF(OR($A737="",P737=""),"",ROUND(YEARFRAC(P737,README!$C$5),1))</f>
        <v/>
      </c>
      <c r="S737" s="6" t="n">
        <v>1600</v>
      </c>
      <c r="T737" s="6" t="n">
        <v>1708</v>
      </c>
      <c r="U737" s="6" t="n">
        <v>1920</v>
      </c>
      <c r="V737" s="6" t="n">
        <v>212</v>
      </c>
      <c r="W737" s="6" t="n">
        <v>0.875</v>
      </c>
      <c r="X737" s="6" t="n">
        <v>40</v>
      </c>
      <c r="Y737" s="6" t="n">
        <v>5.3</v>
      </c>
      <c r="Z737" s="6" t="s">
        <v>2607</v>
      </c>
      <c r="AA737" s="9" t="s">
        <v>774</v>
      </c>
      <c r="AB737" s="6" t="s">
        <v>3022</v>
      </c>
      <c r="AC737" s="27" t="n">
        <f aca="false">COUNTIF(環境認証!$A$2:$A$849,A737)</f>
        <v>0</v>
      </c>
      <c r="AD737" s="6" t="n">
        <v>12.4</v>
      </c>
      <c r="AE737" s="6" t="n">
        <v>20</v>
      </c>
    </row>
    <row r="738" customFormat="false" ht="15" hidden="false" customHeight="true" outlineLevel="0" collapsed="false">
      <c r="A738" s="6" t="s">
        <v>3023</v>
      </c>
      <c r="B738" s="6" t="s">
        <v>531</v>
      </c>
      <c r="C738" s="9" t="s">
        <v>3024</v>
      </c>
      <c r="D738" s="9" t="s">
        <v>1894</v>
      </c>
      <c r="E738" s="9" t="s">
        <v>762</v>
      </c>
      <c r="F738" s="9" t="s">
        <v>2317</v>
      </c>
      <c r="H738" s="9" t="s">
        <v>882</v>
      </c>
      <c r="M738" s="6" t="n">
        <v>1769.81</v>
      </c>
      <c r="Q738" s="1" t="str">
        <f aca="false">IF(OR($A738="",P738=""),"",ROUND(YEARFRAC(P738,README!$C$5),1))</f>
        <v/>
      </c>
      <c r="S738" s="6" t="n">
        <v>1980</v>
      </c>
      <c r="T738" s="6" t="n">
        <v>2107</v>
      </c>
      <c r="U738" s="6" t="n">
        <v>2470</v>
      </c>
      <c r="V738" s="6" t="n">
        <v>363</v>
      </c>
      <c r="W738" s="6" t="n">
        <v>0.9798</v>
      </c>
      <c r="X738" s="6" t="n">
        <v>52</v>
      </c>
      <c r="Y738" s="6" t="n">
        <v>5.8</v>
      </c>
      <c r="Z738" s="6" t="s">
        <v>2607</v>
      </c>
      <c r="AA738" s="9" t="s">
        <v>774</v>
      </c>
      <c r="AB738" s="6" t="s">
        <v>3025</v>
      </c>
      <c r="AC738" s="27" t="n">
        <f aca="false">COUNTIF(環境認証!$A$2:$A$849,A738)</f>
        <v>0</v>
      </c>
      <c r="AD738" s="6" t="n">
        <v>17.2</v>
      </c>
      <c r="AE738" s="6" t="n">
        <v>24.7</v>
      </c>
    </row>
    <row r="739" customFormat="false" ht="15" hidden="false" customHeight="true" outlineLevel="0" collapsed="false">
      <c r="A739" s="6" t="s">
        <v>3026</v>
      </c>
      <c r="B739" s="6" t="s">
        <v>531</v>
      </c>
      <c r="C739" s="9" t="s">
        <v>3027</v>
      </c>
      <c r="D739" s="9" t="s">
        <v>1894</v>
      </c>
      <c r="E739" s="9" t="s">
        <v>762</v>
      </c>
      <c r="F739" s="9" t="s">
        <v>3028</v>
      </c>
      <c r="H739" s="9" t="s">
        <v>882</v>
      </c>
      <c r="M739" s="6" t="n">
        <v>1185.36</v>
      </c>
      <c r="Q739" s="1" t="str">
        <f aca="false">IF(OR($A739="",P739=""),"",ROUND(YEARFRAC(P739,README!$C$5),1))</f>
        <v/>
      </c>
      <c r="S739" s="6" t="n">
        <v>1250</v>
      </c>
      <c r="T739" s="6" t="n">
        <v>1336</v>
      </c>
      <c r="U739" s="6" t="n">
        <v>1540</v>
      </c>
      <c r="V739" s="6" t="n">
        <v>204</v>
      </c>
      <c r="W739" s="6" t="n">
        <v>1</v>
      </c>
      <c r="X739" s="6" t="n">
        <v>44</v>
      </c>
      <c r="Y739" s="6" t="n">
        <v>8.8</v>
      </c>
      <c r="Z739" s="6" t="s">
        <v>2607</v>
      </c>
      <c r="AA739" s="9" t="s">
        <v>774</v>
      </c>
      <c r="AB739" s="6" t="s">
        <v>3029</v>
      </c>
      <c r="AC739" s="27" t="n">
        <f aca="false">COUNTIF(環境認証!$A$2:$A$849,A739)</f>
        <v>0</v>
      </c>
      <c r="AD739" s="6" t="n">
        <v>15.3</v>
      </c>
      <c r="AE739" s="6" t="n">
        <v>23.2</v>
      </c>
    </row>
    <row r="740" customFormat="false" ht="15" hidden="false" customHeight="true" outlineLevel="0" collapsed="false">
      <c r="A740" s="6" t="s">
        <v>3030</v>
      </c>
      <c r="B740" s="6" t="s">
        <v>538</v>
      </c>
      <c r="C740" s="9" t="s">
        <v>3031</v>
      </c>
      <c r="D740" s="9" t="s">
        <v>3032</v>
      </c>
      <c r="H740" s="6" t="s">
        <v>764</v>
      </c>
      <c r="I740" s="6" t="s">
        <v>3033</v>
      </c>
      <c r="M740" s="6" t="n">
        <v>598872.84</v>
      </c>
      <c r="Q740" s="1" t="str">
        <f aca="false">IF(OR($A601="",P601=""),"",ROUND(YEARFRAC(P601,README!$C$5),1))</f>
        <v/>
      </c>
      <c r="S740" s="6" t="n">
        <v>561102</v>
      </c>
      <c r="T740" s="6" t="n">
        <v>554197</v>
      </c>
      <c r="U740" s="6" t="n">
        <v>665515</v>
      </c>
      <c r="V740" s="1" t="n">
        <f aca="false">IF($A601="","",IF(OR(T601="",U601=""),"",U601-T601))</f>
        <v>70236.537</v>
      </c>
      <c r="W740" s="6" t="n">
        <v>0.962</v>
      </c>
      <c r="X740" s="6" t="n">
        <v>1051</v>
      </c>
      <c r="Y740" s="6" t="n">
        <v>2.7</v>
      </c>
      <c r="Z740" s="6" t="s">
        <v>3034</v>
      </c>
      <c r="AA740" s="49" t="s">
        <v>767</v>
      </c>
      <c r="AB740" s="9" t="s">
        <v>3035</v>
      </c>
      <c r="AC740" s="27" t="n">
        <f aca="false">COUNTIF(環境認証!$A$2:$A$849,A601)</f>
        <v>0</v>
      </c>
    </row>
    <row r="741" customFormat="false" ht="15" hidden="false" customHeight="true" outlineLevel="0" collapsed="false">
      <c r="A741" s="6" t="s">
        <v>3036</v>
      </c>
      <c r="B741" s="6" t="s">
        <v>538</v>
      </c>
      <c r="C741" s="9" t="s">
        <v>3037</v>
      </c>
      <c r="D741" s="9" t="s">
        <v>1894</v>
      </c>
      <c r="E741" s="9" t="s">
        <v>762</v>
      </c>
      <c r="F741" s="9" t="s">
        <v>820</v>
      </c>
      <c r="H741" s="9" t="s">
        <v>772</v>
      </c>
      <c r="M741" s="6" t="n">
        <v>5515.43</v>
      </c>
      <c r="P741" s="51" t="n">
        <v>38384</v>
      </c>
      <c r="Q741" s="1" t="n">
        <f aca="false">IF(OR($A451="",P451=""),"",ROUND(YEARFRAC(P451,README!$C$5),1))</f>
        <v>23.3</v>
      </c>
      <c r="S741" s="6" t="n">
        <v>6540</v>
      </c>
      <c r="T741" s="6" t="n">
        <v>6564</v>
      </c>
      <c r="U741" s="6" t="n">
        <v>8380</v>
      </c>
      <c r="V741" s="6" t="n">
        <v>1816</v>
      </c>
      <c r="W741" s="6" t="n">
        <v>0.963</v>
      </c>
      <c r="X741" s="6" t="n">
        <v>1</v>
      </c>
      <c r="Z741" s="6" t="s">
        <v>3034</v>
      </c>
      <c r="AA741" s="9" t="s">
        <v>774</v>
      </c>
      <c r="AB741" s="6" t="s">
        <v>3038</v>
      </c>
      <c r="AC741" s="27" t="n">
        <f aca="false">COUNTIF(環境認証!$A$2:$A$849,A451)</f>
        <v>1</v>
      </c>
      <c r="AD741" s="6" t="n">
        <v>27.7</v>
      </c>
      <c r="AE741" s="6" t="n">
        <v>28.1</v>
      </c>
    </row>
    <row r="742" customFormat="false" ht="15" hidden="false" customHeight="true" outlineLevel="0" collapsed="false">
      <c r="A742" s="6" t="s">
        <v>3039</v>
      </c>
      <c r="B742" s="6" t="s">
        <v>538</v>
      </c>
      <c r="C742" s="9" t="s">
        <v>3040</v>
      </c>
      <c r="D742" s="9" t="s">
        <v>1894</v>
      </c>
      <c r="E742" s="9" t="s">
        <v>762</v>
      </c>
      <c r="F742" s="9" t="s">
        <v>782</v>
      </c>
      <c r="H742" s="9" t="s">
        <v>772</v>
      </c>
      <c r="M742" s="6" t="n">
        <v>2019.1</v>
      </c>
      <c r="P742" s="51" t="n">
        <v>37987</v>
      </c>
      <c r="Q742" s="1" t="n">
        <f aca="false">IF(OR($A452="",P452=""),"",ROUND(YEARFRAC(P452,README!$C$5),1))</f>
        <v>40.9</v>
      </c>
      <c r="S742" s="6" t="n">
        <v>1790</v>
      </c>
      <c r="T742" s="6" t="n">
        <v>1751</v>
      </c>
      <c r="U742" s="6" t="n">
        <v>2010</v>
      </c>
      <c r="V742" s="6" t="n">
        <v>259</v>
      </c>
      <c r="W742" s="6" t="n">
        <v>0.874</v>
      </c>
      <c r="X742" s="6" t="n">
        <v>1</v>
      </c>
      <c r="Z742" s="6" t="s">
        <v>3034</v>
      </c>
      <c r="AA742" s="9" t="s">
        <v>774</v>
      </c>
      <c r="AB742" s="6" t="s">
        <v>3041</v>
      </c>
      <c r="AC742" s="27" t="n">
        <f aca="false">COUNTIF(環境認証!$A$2:$A$849,A452)</f>
        <v>1</v>
      </c>
      <c r="AD742" s="6" t="n">
        <v>14.8</v>
      </c>
      <c r="AE742" s="6" t="n">
        <v>12.3</v>
      </c>
    </row>
    <row r="743" customFormat="false" ht="15" hidden="false" customHeight="true" outlineLevel="0" collapsed="false">
      <c r="A743" s="6" t="s">
        <v>3042</v>
      </c>
      <c r="B743" s="6" t="s">
        <v>538</v>
      </c>
      <c r="C743" s="9" t="s">
        <v>3043</v>
      </c>
      <c r="D743" s="9" t="s">
        <v>1894</v>
      </c>
      <c r="E743" s="9" t="s">
        <v>762</v>
      </c>
      <c r="F743" s="9" t="s">
        <v>815</v>
      </c>
      <c r="H743" s="9" t="s">
        <v>772</v>
      </c>
      <c r="M743" s="6" t="n">
        <v>2062.1</v>
      </c>
      <c r="P743" s="51" t="n">
        <v>37773</v>
      </c>
      <c r="Q743" s="1" t="n">
        <f aca="false">IF(OR($A453="",P453=""),"",ROUND(YEARFRAC(P453,README!$C$5),1))</f>
        <v>36.4</v>
      </c>
      <c r="S743" s="6" t="n">
        <v>2040</v>
      </c>
      <c r="T743" s="6" t="n">
        <v>2013</v>
      </c>
      <c r="U743" s="6" t="n">
        <v>2630</v>
      </c>
      <c r="V743" s="6" t="n">
        <v>617</v>
      </c>
      <c r="W743" s="6" t="n">
        <v>0.916</v>
      </c>
      <c r="X743" s="6" t="n">
        <v>1</v>
      </c>
      <c r="Z743" s="6" t="s">
        <v>3034</v>
      </c>
      <c r="AA743" s="9" t="s">
        <v>774</v>
      </c>
      <c r="AB743" s="6" t="s">
        <v>3044</v>
      </c>
      <c r="AC743" s="27" t="n">
        <f aca="false">COUNTIF(環境認証!$A$2:$A$849,A453)</f>
        <v>0</v>
      </c>
      <c r="AD743" s="6" t="n">
        <v>30.7</v>
      </c>
      <c r="AE743" s="6" t="n">
        <v>28.9</v>
      </c>
    </row>
    <row r="744" customFormat="false" ht="15" hidden="false" customHeight="true" outlineLevel="0" collapsed="false">
      <c r="A744" s="6" t="s">
        <v>3045</v>
      </c>
      <c r="B744" s="6" t="s">
        <v>538</v>
      </c>
      <c r="C744" s="9" t="s">
        <v>3046</v>
      </c>
      <c r="D744" s="9" t="s">
        <v>1894</v>
      </c>
      <c r="H744" s="9" t="s">
        <v>837</v>
      </c>
      <c r="M744" s="1" t="n">
        <v>1810.19</v>
      </c>
      <c r="Q744" s="1" t="n">
        <f aca="false">IF(OR($A454="",P454=""),"",ROUND(YEARFRAC(P454,README!$C$5),1))</f>
        <v>16.4</v>
      </c>
      <c r="S744" s="1" t="n">
        <v>2270</v>
      </c>
      <c r="T744" s="1" t="n">
        <v>2194</v>
      </c>
      <c r="U744" s="1" t="n">
        <v>2850</v>
      </c>
      <c r="V744" s="1" t="n">
        <f aca="false">IF($A454="","",IF(OR(T454="",U454=""),"",U454-T454))</f>
        <v>9383.888</v>
      </c>
      <c r="W744" s="1" t="n">
        <v>0.767</v>
      </c>
      <c r="X744" s="1" t="n">
        <v>5</v>
      </c>
      <c r="Z744" s="6" t="s">
        <v>3034</v>
      </c>
      <c r="AA744" s="9" t="s">
        <v>774</v>
      </c>
      <c r="AB744" s="6" t="s">
        <v>3047</v>
      </c>
      <c r="AC744" s="27" t="n">
        <f aca="false">COUNTIF(環境認証!$A$2:$A$849,A454)</f>
        <v>1</v>
      </c>
      <c r="AD744" s="1" t="n">
        <v>29.9</v>
      </c>
      <c r="AE744" s="1" t="n">
        <v>25.6</v>
      </c>
    </row>
    <row r="745" customFormat="false" ht="15" hidden="false" customHeight="true" outlineLevel="0" collapsed="false">
      <c r="A745" s="6" t="s">
        <v>3048</v>
      </c>
      <c r="B745" s="6" t="s">
        <v>538</v>
      </c>
      <c r="C745" s="9" t="s">
        <v>3049</v>
      </c>
      <c r="D745" s="9" t="s">
        <v>1894</v>
      </c>
      <c r="E745" s="9" t="s">
        <v>762</v>
      </c>
      <c r="F745" s="9" t="s">
        <v>763</v>
      </c>
      <c r="H745" s="9" t="s">
        <v>772</v>
      </c>
      <c r="M745" s="6" t="n">
        <v>1706.54</v>
      </c>
      <c r="P745" s="51" t="n">
        <v>38018</v>
      </c>
      <c r="Q745" s="1" t="n">
        <f aca="false">IF(OR($A455="",P455=""),"",ROUND(YEARFRAC(P455,README!$C$5),1))</f>
        <v>34.7</v>
      </c>
      <c r="S745" s="6" t="n">
        <v>1610</v>
      </c>
      <c r="T745" s="6" t="n">
        <v>1505</v>
      </c>
      <c r="U745" s="6" t="n">
        <v>2060</v>
      </c>
      <c r="V745" s="6" t="n">
        <v>555</v>
      </c>
      <c r="W745" s="6" t="n">
        <v>0.923</v>
      </c>
      <c r="X745" s="6" t="n">
        <v>1</v>
      </c>
      <c r="Z745" s="6" t="s">
        <v>3034</v>
      </c>
      <c r="AA745" s="9" t="s">
        <v>774</v>
      </c>
      <c r="AB745" s="6" t="s">
        <v>3050</v>
      </c>
      <c r="AC745" s="27" t="n">
        <f aca="false">COUNTIF(環境認証!$A$2:$A$849,A455)</f>
        <v>1</v>
      </c>
      <c r="AD745" s="6" t="n">
        <v>36.9</v>
      </c>
      <c r="AE745" s="6" t="n">
        <v>28</v>
      </c>
    </row>
    <row r="746" customFormat="false" ht="15" hidden="false" customHeight="true" outlineLevel="0" collapsed="false">
      <c r="A746" s="6" t="s">
        <v>3051</v>
      </c>
      <c r="B746" s="6" t="s">
        <v>538</v>
      </c>
      <c r="C746" s="9" t="s">
        <v>3052</v>
      </c>
      <c r="D746" s="9" t="s">
        <v>1894</v>
      </c>
      <c r="E746" s="9" t="s">
        <v>762</v>
      </c>
      <c r="F746" s="9" t="s">
        <v>771</v>
      </c>
      <c r="H746" s="9" t="s">
        <v>772</v>
      </c>
      <c r="M746" s="6" t="n">
        <v>1881.19</v>
      </c>
      <c r="P746" s="51" t="n">
        <v>38200</v>
      </c>
      <c r="Q746" s="1" t="n">
        <f aca="false">IF(OR($A456="",P456=""),"",ROUND(YEARFRAC(P456,README!$C$5),1))</f>
        <v>14.9</v>
      </c>
      <c r="S746" s="6" t="n">
        <v>1590</v>
      </c>
      <c r="T746" s="6" t="n">
        <v>1492</v>
      </c>
      <c r="U746" s="6" t="n">
        <v>2040</v>
      </c>
      <c r="V746" s="6" t="n">
        <v>548</v>
      </c>
      <c r="W746" s="6" t="n">
        <v>0.861</v>
      </c>
      <c r="X746" s="6" t="n">
        <v>1</v>
      </c>
      <c r="Z746" s="6" t="s">
        <v>3034</v>
      </c>
      <c r="AA746" s="9" t="s">
        <v>774</v>
      </c>
      <c r="AB746" s="6" t="s">
        <v>3053</v>
      </c>
      <c r="AC746" s="27" t="n">
        <f aca="false">COUNTIF(環境認証!$A$2:$A$849,A456)</f>
        <v>1</v>
      </c>
      <c r="AD746" s="6" t="n">
        <v>36.7</v>
      </c>
      <c r="AE746" s="6" t="n">
        <v>28.3</v>
      </c>
    </row>
    <row r="747" customFormat="false" ht="15" hidden="false" customHeight="true" outlineLevel="0" collapsed="false">
      <c r="A747" s="6" t="s">
        <v>3054</v>
      </c>
      <c r="B747" s="6" t="s">
        <v>538</v>
      </c>
      <c r="C747" s="9" t="s">
        <v>3055</v>
      </c>
      <c r="D747" s="9" t="s">
        <v>1894</v>
      </c>
      <c r="E747" s="9" t="s">
        <v>762</v>
      </c>
      <c r="F747" s="9" t="s">
        <v>895</v>
      </c>
      <c r="H747" s="9" t="s">
        <v>882</v>
      </c>
      <c r="M747" s="6" t="n">
        <v>2978.28</v>
      </c>
      <c r="P747" s="51" t="n">
        <v>38169</v>
      </c>
      <c r="Q747" s="1" t="n">
        <f aca="false">IF(OR($A457="",P457=""),"",ROUND(YEARFRAC(P457,README!$C$5),1))</f>
        <v>34.4</v>
      </c>
      <c r="S747" s="6" t="n">
        <v>2190</v>
      </c>
      <c r="T747" s="6" t="n">
        <v>1997</v>
      </c>
      <c r="U747" s="6" t="n">
        <v>2730</v>
      </c>
      <c r="V747" s="6" t="n">
        <v>733</v>
      </c>
      <c r="W747" s="6" t="n">
        <v>0.961</v>
      </c>
      <c r="X747" s="6" t="n">
        <v>1</v>
      </c>
      <c r="Z747" s="6" t="s">
        <v>3034</v>
      </c>
      <c r="AA747" s="9" t="s">
        <v>774</v>
      </c>
      <c r="AB747" s="6" t="s">
        <v>3056</v>
      </c>
      <c r="AC747" s="27" t="n">
        <f aca="false">COUNTIF(環境認証!$A$2:$A$849,A457)</f>
        <v>0</v>
      </c>
      <c r="AD747" s="6" t="n">
        <v>36.7</v>
      </c>
      <c r="AE747" s="6" t="n">
        <v>24.7</v>
      </c>
    </row>
    <row r="748" customFormat="false" ht="15" hidden="false" customHeight="true" outlineLevel="0" collapsed="false">
      <c r="A748" s="6" t="s">
        <v>3057</v>
      </c>
      <c r="B748" s="6" t="s">
        <v>538</v>
      </c>
      <c r="C748" s="9" t="s">
        <v>3058</v>
      </c>
      <c r="D748" s="9" t="s">
        <v>1894</v>
      </c>
      <c r="H748" s="9" t="s">
        <v>837</v>
      </c>
      <c r="M748" s="1" t="n">
        <v>3845.9</v>
      </c>
      <c r="Q748" s="1" t="n">
        <f aca="false">IF(OR($A458="",P458=""),"",ROUND(YEARFRAC(P458,README!$C$5),1))</f>
        <v>38.4</v>
      </c>
      <c r="S748" s="1" t="n">
        <v>2252</v>
      </c>
      <c r="T748" s="1" t="n">
        <v>2068</v>
      </c>
      <c r="U748" s="1" t="n">
        <v>3460</v>
      </c>
      <c r="V748" s="1" t="n">
        <f aca="false">IF($A458="","",IF(OR(T458="",U458=""),"",U458-T458))</f>
        <v>3033.312</v>
      </c>
      <c r="W748" s="1" t="n">
        <v>1</v>
      </c>
      <c r="X748" s="1" t="n">
        <v>22</v>
      </c>
      <c r="Z748" s="6" t="s">
        <v>3034</v>
      </c>
      <c r="AA748" s="9" t="s">
        <v>774</v>
      </c>
      <c r="AB748" s="6" t="s">
        <v>3059</v>
      </c>
      <c r="AC748" s="27" t="n">
        <f aca="false">COUNTIF(環境認証!$A$2:$A$849,A458)</f>
        <v>1</v>
      </c>
      <c r="AD748" s="1" t="n">
        <v>67.3</v>
      </c>
      <c r="AE748" s="1" t="n">
        <v>53.6</v>
      </c>
    </row>
    <row r="749" customFormat="false" ht="15" hidden="false" customHeight="true" outlineLevel="0" collapsed="false">
      <c r="A749" s="6" t="s">
        <v>3060</v>
      </c>
      <c r="B749" s="6" t="s">
        <v>538</v>
      </c>
      <c r="C749" s="9" t="s">
        <v>3061</v>
      </c>
      <c r="D749" s="9" t="s">
        <v>1894</v>
      </c>
      <c r="E749" s="9" t="s">
        <v>762</v>
      </c>
      <c r="F749" s="9" t="s">
        <v>881</v>
      </c>
      <c r="H749" s="9" t="s">
        <v>882</v>
      </c>
      <c r="M749" s="6" t="n">
        <v>2279.21</v>
      </c>
      <c r="P749" s="51" t="n">
        <v>38657</v>
      </c>
      <c r="Q749" s="1" t="n">
        <f aca="false">IF(OR($A459="",P459=""),"",ROUND(YEARFRAC(P459,README!$C$5),1))</f>
        <v>44.2</v>
      </c>
      <c r="S749" s="6" t="n">
        <v>1580</v>
      </c>
      <c r="T749" s="6" t="n">
        <v>1411</v>
      </c>
      <c r="U749" s="6" t="n">
        <v>1940</v>
      </c>
      <c r="V749" s="6" t="n">
        <v>529</v>
      </c>
      <c r="W749" s="6" t="n">
        <v>0.989</v>
      </c>
      <c r="X749" s="6" t="n">
        <v>1</v>
      </c>
      <c r="Z749" s="6" t="s">
        <v>3034</v>
      </c>
      <c r="AA749" s="9" t="s">
        <v>774</v>
      </c>
      <c r="AB749" s="6" t="s">
        <v>3062</v>
      </c>
      <c r="AC749" s="27" t="n">
        <f aca="false">COUNTIF(環境認証!$A$2:$A$849,A459)</f>
        <v>0</v>
      </c>
      <c r="AD749" s="6" t="n">
        <v>37.5</v>
      </c>
      <c r="AE749" s="6" t="n">
        <v>22.8</v>
      </c>
    </row>
    <row r="750" customFormat="false" ht="15" hidden="false" customHeight="true" outlineLevel="0" collapsed="false">
      <c r="A750" s="6" t="s">
        <v>3063</v>
      </c>
      <c r="B750" s="6" t="s">
        <v>538</v>
      </c>
      <c r="C750" s="9" t="s">
        <v>3064</v>
      </c>
      <c r="D750" s="9" t="s">
        <v>1894</v>
      </c>
      <c r="E750" s="9" t="s">
        <v>762</v>
      </c>
      <c r="F750" s="9" t="s">
        <v>905</v>
      </c>
      <c r="H750" s="9" t="s">
        <v>882</v>
      </c>
      <c r="M750" s="6" t="n">
        <v>1070.13</v>
      </c>
      <c r="P750" s="51" t="n">
        <v>38657</v>
      </c>
      <c r="Q750" s="1" t="n">
        <f aca="false">IF(OR($A460="",P460=""),"",ROUND(YEARFRAC(P460,README!$C$5),1))</f>
        <v>18.4</v>
      </c>
      <c r="S750" s="6" t="n">
        <v>1060</v>
      </c>
      <c r="T750" s="6" t="n">
        <v>1043</v>
      </c>
      <c r="U750" s="6" t="n">
        <v>1470</v>
      </c>
      <c r="V750" s="6" t="n">
        <v>427</v>
      </c>
      <c r="W750" s="6" t="n">
        <v>0.93</v>
      </c>
      <c r="X750" s="6" t="n">
        <v>1</v>
      </c>
      <c r="Z750" s="6" t="s">
        <v>3034</v>
      </c>
      <c r="AA750" s="9" t="s">
        <v>774</v>
      </c>
      <c r="AB750" s="6" t="s">
        <v>3065</v>
      </c>
      <c r="AC750" s="27" t="n">
        <f aca="false">COUNTIF(環境認証!$A$2:$A$849,A460)</f>
        <v>2</v>
      </c>
      <c r="AD750" s="6" t="n">
        <v>40.9</v>
      </c>
      <c r="AE750" s="6" t="n">
        <v>38.7</v>
      </c>
    </row>
    <row r="751" customFormat="false" ht="15" hidden="false" customHeight="true" outlineLevel="0" collapsed="false">
      <c r="A751" s="6" t="s">
        <v>3066</v>
      </c>
      <c r="B751" s="6" t="s">
        <v>538</v>
      </c>
      <c r="C751" s="9" t="s">
        <v>3067</v>
      </c>
      <c r="D751" s="9" t="s">
        <v>1894</v>
      </c>
      <c r="E751" s="9" t="s">
        <v>762</v>
      </c>
      <c r="F751" s="9" t="s">
        <v>911</v>
      </c>
      <c r="H751" s="9" t="s">
        <v>882</v>
      </c>
      <c r="M751" s="6" t="n">
        <v>2619.17</v>
      </c>
      <c r="P751" s="51" t="n">
        <v>39114</v>
      </c>
      <c r="Q751" s="1" t="n">
        <f aca="false">IF(OR($A461="",P461=""),"",ROUND(YEARFRAC(P461,README!$C$5),1))</f>
        <v>37.9</v>
      </c>
      <c r="S751" s="6" t="n">
        <v>1630</v>
      </c>
      <c r="T751" s="6" t="n">
        <v>1566</v>
      </c>
      <c r="U751" s="6" t="n">
        <v>2200</v>
      </c>
      <c r="V751" s="6" t="n">
        <v>634</v>
      </c>
      <c r="W751" s="6" t="n">
        <v>0.87</v>
      </c>
      <c r="X751" s="6" t="n">
        <v>1</v>
      </c>
      <c r="Z751" s="6" t="s">
        <v>3034</v>
      </c>
      <c r="AA751" s="9" t="s">
        <v>774</v>
      </c>
      <c r="AB751" s="6" t="s">
        <v>3068</v>
      </c>
      <c r="AC751" s="27" t="n">
        <f aca="false">COUNTIF(環境認証!$A$2:$A$849,A461)</f>
        <v>1</v>
      </c>
      <c r="AD751" s="6" t="n">
        <v>40.5</v>
      </c>
      <c r="AE751" s="6" t="n">
        <v>35</v>
      </c>
    </row>
    <row r="752" customFormat="false" ht="15" hidden="false" customHeight="true" outlineLevel="0" collapsed="false">
      <c r="A752" s="6" t="s">
        <v>3069</v>
      </c>
      <c r="B752" s="6" t="s">
        <v>538</v>
      </c>
      <c r="C752" s="9" t="s">
        <v>3070</v>
      </c>
      <c r="D752" s="9" t="s">
        <v>1894</v>
      </c>
      <c r="H752" s="9" t="s">
        <v>837</v>
      </c>
      <c r="M752" s="1" t="n">
        <v>2724.35</v>
      </c>
      <c r="Q752" s="1" t="n">
        <f aca="false">IF(OR($A462="",P462=""),"",ROUND(YEARFRAC(P462,README!$C$5),1))</f>
        <v>31.4</v>
      </c>
      <c r="S752" s="1" t="n">
        <v>3460</v>
      </c>
      <c r="T752" s="1" t="n">
        <v>3029</v>
      </c>
      <c r="U752" s="1" t="n">
        <v>3470</v>
      </c>
      <c r="V752" s="1" t="n">
        <f aca="false">IF($A462="","",IF(OR(T462="",U462=""),"",U462-T462))</f>
        <v>64.366</v>
      </c>
      <c r="W752" s="1" t="n">
        <v>1</v>
      </c>
      <c r="X752" s="1" t="n">
        <v>9</v>
      </c>
      <c r="Z752" s="6" t="s">
        <v>3034</v>
      </c>
      <c r="AA752" s="9" t="s">
        <v>774</v>
      </c>
      <c r="AB752" s="6" t="s">
        <v>3071</v>
      </c>
      <c r="AC752" s="27" t="n">
        <f aca="false">COUNTIF(環境認証!$A$2:$A$849,A462)</f>
        <v>1</v>
      </c>
      <c r="AD752" s="1" t="n">
        <v>14.6</v>
      </c>
      <c r="AE752" s="1" t="n">
        <v>0.3</v>
      </c>
    </row>
    <row r="753" customFormat="false" ht="15" hidden="false" customHeight="true" outlineLevel="0" collapsed="false">
      <c r="A753" s="6" t="s">
        <v>3072</v>
      </c>
      <c r="B753" s="6" t="s">
        <v>538</v>
      </c>
      <c r="C753" s="9" t="s">
        <v>3073</v>
      </c>
      <c r="D753" s="9" t="s">
        <v>1894</v>
      </c>
      <c r="E753" s="9" t="s">
        <v>925</v>
      </c>
      <c r="F753" s="9" t="s">
        <v>926</v>
      </c>
      <c r="H753" s="9" t="s">
        <v>921</v>
      </c>
      <c r="M753" s="6" t="n">
        <v>1285.83</v>
      </c>
      <c r="P753" s="51" t="n">
        <v>38749</v>
      </c>
      <c r="Q753" s="1" t="n">
        <f aca="false">IF(OR($A463="",P463=""),"",ROUND(YEARFRAC(P463,README!$C$5),1))</f>
        <v>12</v>
      </c>
      <c r="S753" s="6" t="n">
        <v>931</v>
      </c>
      <c r="T753" s="6" t="n">
        <v>914</v>
      </c>
      <c r="U753" s="6" t="n">
        <v>1030</v>
      </c>
      <c r="V753" s="6" t="n">
        <v>116</v>
      </c>
      <c r="W753" s="6" t="n">
        <v>0.982</v>
      </c>
      <c r="X753" s="6" t="n">
        <v>1</v>
      </c>
      <c r="Z753" s="6" t="s">
        <v>3034</v>
      </c>
      <c r="AA753" s="9" t="s">
        <v>774</v>
      </c>
      <c r="AB753" s="6" t="s">
        <v>3074</v>
      </c>
      <c r="AC753" s="27" t="n">
        <f aca="false">COUNTIF(環境認証!$A$2:$A$849,A463)</f>
        <v>0</v>
      </c>
      <c r="AD753" s="6" t="n">
        <v>12.7</v>
      </c>
      <c r="AE753" s="6" t="n">
        <v>10.6</v>
      </c>
    </row>
    <row r="754" customFormat="false" ht="15" hidden="false" customHeight="true" outlineLevel="0" collapsed="false">
      <c r="A754" s="6" t="s">
        <v>3075</v>
      </c>
      <c r="B754" s="6" t="s">
        <v>538</v>
      </c>
      <c r="C754" s="9" t="s">
        <v>3076</v>
      </c>
      <c r="D754" s="9" t="s">
        <v>1894</v>
      </c>
      <c r="E754" s="9" t="s">
        <v>981</v>
      </c>
      <c r="F754" s="9" t="s">
        <v>982</v>
      </c>
      <c r="H754" s="9" t="s">
        <v>971</v>
      </c>
      <c r="M754" s="6" t="n">
        <v>1804.48</v>
      </c>
      <c r="P754" s="51" t="n">
        <v>39114</v>
      </c>
      <c r="Q754" s="1" t="n">
        <f aca="false">IF(OR($A464="",P464=""),"",ROUND(YEARFRAC(P464,README!$C$5),1))</f>
        <v>6.4</v>
      </c>
      <c r="S754" s="6" t="n">
        <v>1060</v>
      </c>
      <c r="T754" s="6" t="n">
        <v>1086</v>
      </c>
      <c r="U754" s="6" t="n">
        <v>1250</v>
      </c>
      <c r="V754" s="6" t="n">
        <v>164</v>
      </c>
      <c r="W754" s="6" t="n">
        <v>1</v>
      </c>
      <c r="X754" s="6" t="n">
        <v>1</v>
      </c>
      <c r="Z754" s="6" t="s">
        <v>3034</v>
      </c>
      <c r="AA754" s="9" t="s">
        <v>774</v>
      </c>
      <c r="AB754" s="6" t="s">
        <v>3077</v>
      </c>
      <c r="AC754" s="27" t="n">
        <f aca="false">COUNTIF(環境認証!$A$2:$A$849,A464)</f>
        <v>1</v>
      </c>
      <c r="AD754" s="6" t="n">
        <v>15.1</v>
      </c>
      <c r="AE754" s="6" t="n">
        <v>17.9</v>
      </c>
    </row>
    <row r="755" customFormat="false" ht="15" hidden="false" customHeight="true" outlineLevel="0" collapsed="false">
      <c r="A755" s="6" t="s">
        <v>3078</v>
      </c>
      <c r="B755" s="6" t="s">
        <v>538</v>
      </c>
      <c r="C755" s="9" t="s">
        <v>3079</v>
      </c>
      <c r="D755" s="9" t="s">
        <v>1894</v>
      </c>
      <c r="E755" s="9" t="s">
        <v>762</v>
      </c>
      <c r="F755" s="9" t="s">
        <v>848</v>
      </c>
      <c r="H755" s="9" t="s">
        <v>882</v>
      </c>
      <c r="M755" s="6" t="n">
        <v>3871.15</v>
      </c>
      <c r="P755" s="51" t="n">
        <v>38777</v>
      </c>
      <c r="Q755" s="1" t="n">
        <f aca="false">IF(OR($A465="",P465=""),"",ROUND(YEARFRAC(P465,README!$C$5),1))</f>
        <v>27.5</v>
      </c>
      <c r="S755" s="6" t="n">
        <v>3110</v>
      </c>
      <c r="T755" s="6" t="n">
        <v>2962</v>
      </c>
      <c r="U755" s="6" t="n">
        <v>3990</v>
      </c>
      <c r="V755" s="6" t="n">
        <v>1028</v>
      </c>
      <c r="W755" s="6" t="n">
        <v>0.931</v>
      </c>
      <c r="X755" s="6" t="n">
        <v>1</v>
      </c>
      <c r="Z755" s="6" t="s">
        <v>3034</v>
      </c>
      <c r="AA755" s="9" t="s">
        <v>774</v>
      </c>
      <c r="AB755" s="6" t="s">
        <v>3080</v>
      </c>
      <c r="AC755" s="27" t="n">
        <f aca="false">COUNTIF(環境認証!$A$2:$A$849,A465)</f>
        <v>0</v>
      </c>
      <c r="AD755" s="6" t="n">
        <v>34.7</v>
      </c>
      <c r="AE755" s="6" t="n">
        <v>28.3</v>
      </c>
    </row>
    <row r="756" customFormat="false" ht="15" hidden="false" customHeight="true" outlineLevel="0" collapsed="false">
      <c r="A756" s="6" t="s">
        <v>3081</v>
      </c>
      <c r="B756" s="6" t="s">
        <v>538</v>
      </c>
      <c r="C756" s="9" t="s">
        <v>3082</v>
      </c>
      <c r="D756" s="9" t="s">
        <v>1894</v>
      </c>
      <c r="E756" s="9" t="s">
        <v>762</v>
      </c>
      <c r="F756" s="9" t="s">
        <v>848</v>
      </c>
      <c r="H756" s="9" t="s">
        <v>882</v>
      </c>
      <c r="M756" s="6" t="n">
        <v>2979.85</v>
      </c>
      <c r="P756" s="51" t="n">
        <v>38930</v>
      </c>
      <c r="Q756" s="1" t="n">
        <f aca="false">IF(OR($A466="",P466=""),"",ROUND(YEARFRAC(P466,README!$C$5),1))</f>
        <v>20</v>
      </c>
      <c r="S756" s="6" t="n">
        <v>2720</v>
      </c>
      <c r="T756" s="6" t="n">
        <v>2606</v>
      </c>
      <c r="U756" s="6" t="n">
        <v>3160</v>
      </c>
      <c r="V756" s="6" t="n">
        <v>554</v>
      </c>
      <c r="W756" s="6" t="n">
        <v>0.979</v>
      </c>
      <c r="X756" s="6" t="n">
        <v>1</v>
      </c>
      <c r="Z756" s="6" t="s">
        <v>3034</v>
      </c>
      <c r="AA756" s="9" t="s">
        <v>774</v>
      </c>
      <c r="AB756" s="6" t="s">
        <v>3083</v>
      </c>
      <c r="AC756" s="27" t="n">
        <f aca="false">COUNTIF(環境認証!$A$2:$A$849,A466)</f>
        <v>2</v>
      </c>
      <c r="AD756" s="6" t="n">
        <v>21.3</v>
      </c>
      <c r="AE756" s="6" t="n">
        <v>16.2</v>
      </c>
    </row>
    <row r="757" customFormat="false" ht="15" hidden="false" customHeight="true" outlineLevel="0" collapsed="false">
      <c r="A757" s="6" t="s">
        <v>3084</v>
      </c>
      <c r="B757" s="6" t="s">
        <v>538</v>
      </c>
      <c r="C757" s="9" t="s">
        <v>3085</v>
      </c>
      <c r="D757" s="9" t="s">
        <v>1894</v>
      </c>
      <c r="H757" s="9" t="s">
        <v>837</v>
      </c>
      <c r="M757" s="1" t="n">
        <v>3881.99</v>
      </c>
      <c r="Q757" s="1" t="str">
        <f aca="false">IF(OR($A467="",P467=""),"",ROUND(YEARFRAC(P467,README!$C$5),1))</f>
        <v/>
      </c>
      <c r="S757" s="1" t="n">
        <v>4200</v>
      </c>
      <c r="T757" s="1" t="n">
        <v>3528</v>
      </c>
      <c r="U757" s="1" t="n">
        <v>3720</v>
      </c>
      <c r="V757" s="1" t="n">
        <f aca="false">IF($A467="","",IF(OR(T467="",U467=""),"",U467-T467))</f>
        <v>84676</v>
      </c>
      <c r="W757" s="1" t="n">
        <v>0.894</v>
      </c>
      <c r="X757" s="1" t="n">
        <v>10</v>
      </c>
      <c r="Z757" s="6" t="s">
        <v>3034</v>
      </c>
      <c r="AA757" s="9" t="s">
        <v>774</v>
      </c>
      <c r="AB757" s="6" t="s">
        <v>3086</v>
      </c>
      <c r="AC757" s="27" t="n">
        <f aca="false">COUNTIF(環境認証!$A$2:$A$849,A467)</f>
        <v>0</v>
      </c>
      <c r="AD757" s="1" t="n">
        <v>5.4</v>
      </c>
      <c r="AE757" s="1" t="n">
        <v>-11.4</v>
      </c>
    </row>
    <row r="758" customFormat="false" ht="15" hidden="false" customHeight="true" outlineLevel="0" collapsed="false">
      <c r="A758" s="6" t="s">
        <v>3087</v>
      </c>
      <c r="B758" s="6" t="s">
        <v>538</v>
      </c>
      <c r="C758" s="9" t="s">
        <v>3088</v>
      </c>
      <c r="D758" s="9" t="s">
        <v>1894</v>
      </c>
      <c r="E758" s="9" t="s">
        <v>762</v>
      </c>
      <c r="F758" s="9" t="s">
        <v>782</v>
      </c>
      <c r="H758" s="9" t="s">
        <v>772</v>
      </c>
      <c r="M758" s="6" t="n">
        <v>1082.12</v>
      </c>
      <c r="P758" s="51" t="n">
        <v>38930</v>
      </c>
      <c r="Q758" s="1" t="n">
        <f aca="false">IF(OR($A468="",P468=""),"",ROUND(YEARFRAC(P468,README!$C$5),1))</f>
        <v>41.4</v>
      </c>
      <c r="S758" s="6" t="n">
        <v>1250</v>
      </c>
      <c r="T758" s="6" t="n">
        <v>1278</v>
      </c>
      <c r="U758" s="6" t="n">
        <v>1500</v>
      </c>
      <c r="V758" s="6" t="n">
        <v>222</v>
      </c>
      <c r="W758" s="6" t="n">
        <v>0.962</v>
      </c>
      <c r="X758" s="6" t="n">
        <v>1</v>
      </c>
      <c r="Z758" s="6" t="s">
        <v>3034</v>
      </c>
      <c r="AA758" s="9" t="s">
        <v>774</v>
      </c>
      <c r="AB758" s="6" t="s">
        <v>3089</v>
      </c>
      <c r="AC758" s="27" t="n">
        <f aca="false">COUNTIF(環境認証!$A$2:$A$849,A468)</f>
        <v>1</v>
      </c>
      <c r="AD758" s="6" t="n">
        <v>17.4</v>
      </c>
      <c r="AE758" s="6" t="n">
        <v>20</v>
      </c>
    </row>
    <row r="759" customFormat="false" ht="15" hidden="false" customHeight="true" outlineLevel="0" collapsed="false">
      <c r="A759" s="6" t="s">
        <v>3090</v>
      </c>
      <c r="B759" s="6" t="s">
        <v>538</v>
      </c>
      <c r="C759" s="9" t="s">
        <v>3091</v>
      </c>
      <c r="D759" s="9" t="s">
        <v>1894</v>
      </c>
      <c r="E759" s="9" t="s">
        <v>925</v>
      </c>
      <c r="F759" s="9" t="s">
        <v>930</v>
      </c>
      <c r="H759" s="9" t="s">
        <v>921</v>
      </c>
      <c r="M759" s="6" t="n">
        <v>2824.86</v>
      </c>
      <c r="P759" s="51" t="n">
        <v>39114</v>
      </c>
      <c r="Q759" s="1" t="n">
        <f aca="false">IF(OR($A469="",P469=""),"",ROUND(YEARFRAC(P469,README!$C$5),1))</f>
        <v>19.5</v>
      </c>
      <c r="S759" s="6" t="n">
        <v>1910</v>
      </c>
      <c r="T759" s="6" t="n">
        <v>1794</v>
      </c>
      <c r="U759" s="6" t="n">
        <v>2680</v>
      </c>
      <c r="V759" s="6" t="n">
        <v>886</v>
      </c>
      <c r="W759" s="6" t="n">
        <v>0.992</v>
      </c>
      <c r="X759" s="6" t="n">
        <v>1</v>
      </c>
      <c r="Z759" s="6" t="s">
        <v>3034</v>
      </c>
      <c r="AA759" s="9" t="s">
        <v>774</v>
      </c>
      <c r="AB759" s="6" t="s">
        <v>3092</v>
      </c>
      <c r="AC759" s="27" t="n">
        <f aca="false">COUNTIF(環境認証!$A$2:$A$849,A469)</f>
        <v>0</v>
      </c>
      <c r="AD759" s="6" t="n">
        <v>49.4</v>
      </c>
      <c r="AE759" s="6" t="n">
        <v>40.3</v>
      </c>
    </row>
    <row r="760" customFormat="false" ht="15" hidden="false" customHeight="true" outlineLevel="0" collapsed="false">
      <c r="A760" s="6" t="s">
        <v>3093</v>
      </c>
      <c r="B760" s="6" t="s">
        <v>538</v>
      </c>
      <c r="C760" s="9" t="s">
        <v>3094</v>
      </c>
      <c r="D760" s="9" t="s">
        <v>1894</v>
      </c>
      <c r="E760" s="9" t="s">
        <v>762</v>
      </c>
      <c r="F760" s="9" t="s">
        <v>782</v>
      </c>
      <c r="H760" s="9" t="s">
        <v>772</v>
      </c>
      <c r="M760" s="6" t="n">
        <v>1755.31</v>
      </c>
      <c r="P760" s="51" t="n">
        <v>39114</v>
      </c>
      <c r="Q760" s="1" t="n">
        <f aca="false">IF(OR($A470="",P470=""),"",ROUND(YEARFRAC(P470,README!$C$5),1))</f>
        <v>16</v>
      </c>
      <c r="S760" s="6" t="n">
        <v>2690</v>
      </c>
      <c r="T760" s="6" t="n">
        <v>2690</v>
      </c>
      <c r="U760" s="6" t="n">
        <v>3320</v>
      </c>
      <c r="V760" s="6" t="n">
        <v>630</v>
      </c>
      <c r="W760" s="6" t="n">
        <v>0.961</v>
      </c>
      <c r="X760" s="6" t="n">
        <v>1</v>
      </c>
      <c r="Z760" s="6" t="s">
        <v>3034</v>
      </c>
      <c r="AA760" s="9" t="s">
        <v>774</v>
      </c>
      <c r="AB760" s="6" t="s">
        <v>3095</v>
      </c>
      <c r="AC760" s="27" t="n">
        <f aca="false">COUNTIF(環境認証!$A$2:$A$849,A470)</f>
        <v>2</v>
      </c>
      <c r="AD760" s="6" t="n">
        <v>23.4</v>
      </c>
      <c r="AE760" s="6" t="n">
        <v>23.4</v>
      </c>
    </row>
    <row r="761" customFormat="false" ht="15" hidden="false" customHeight="true" outlineLevel="0" collapsed="false">
      <c r="A761" s="6" t="s">
        <v>3096</v>
      </c>
      <c r="B761" s="6" t="s">
        <v>538</v>
      </c>
      <c r="C761" s="9" t="s">
        <v>3097</v>
      </c>
      <c r="D761" s="9" t="s">
        <v>1894</v>
      </c>
      <c r="H761" s="9" t="s">
        <v>837</v>
      </c>
      <c r="M761" s="1" t="n">
        <v>5869.26</v>
      </c>
      <c r="Q761" s="1" t="n">
        <f aca="false">IF(OR($A471="",P471=""),"",ROUND(YEARFRAC(P471,README!$C$5),1))</f>
        <v>29</v>
      </c>
      <c r="S761" s="1" t="n">
        <v>6400</v>
      </c>
      <c r="T761" s="1" t="n">
        <v>6318</v>
      </c>
      <c r="U761" s="1" t="n">
        <v>8920</v>
      </c>
      <c r="V761" s="1" t="n">
        <f aca="false">IF($A471="","",IF(OR(T471="",U471=""),"",U471-T471))</f>
        <v>3647</v>
      </c>
      <c r="W761" s="1" t="n">
        <v>1</v>
      </c>
      <c r="X761" s="1" t="n">
        <v>8</v>
      </c>
      <c r="Z761" s="6" t="s">
        <v>3034</v>
      </c>
      <c r="AA761" s="9" t="s">
        <v>774</v>
      </c>
      <c r="AB761" s="6" t="s">
        <v>3098</v>
      </c>
      <c r="AC761" s="27" t="n">
        <f aca="false">COUNTIF(環境認証!$A$2:$A$849,A471)</f>
        <v>0</v>
      </c>
      <c r="AD761" s="1" t="n">
        <v>41.2</v>
      </c>
      <c r="AE761" s="1" t="n">
        <v>39.4</v>
      </c>
    </row>
    <row r="762" customFormat="false" ht="15" hidden="false" customHeight="true" outlineLevel="0" collapsed="false">
      <c r="A762" s="6" t="s">
        <v>3099</v>
      </c>
      <c r="B762" s="6" t="s">
        <v>538</v>
      </c>
      <c r="C762" s="9" t="s">
        <v>3100</v>
      </c>
      <c r="D762" s="9" t="s">
        <v>1894</v>
      </c>
      <c r="E762" s="9" t="s">
        <v>762</v>
      </c>
      <c r="F762" s="9" t="s">
        <v>848</v>
      </c>
      <c r="H762" s="9" t="s">
        <v>882</v>
      </c>
      <c r="M762" s="6" t="n">
        <v>1176.78</v>
      </c>
      <c r="P762" s="51" t="n">
        <v>39387</v>
      </c>
      <c r="Q762" s="1" t="n">
        <f aca="false">IF(OR($A472="",P472=""),"",ROUND(YEARFRAC(P472,README!$C$5),1))</f>
        <v>32.8</v>
      </c>
      <c r="S762" s="6" t="n">
        <v>1050</v>
      </c>
      <c r="T762" s="6" t="n">
        <v>974</v>
      </c>
      <c r="U762" s="6" t="n">
        <v>1340</v>
      </c>
      <c r="V762" s="6" t="n">
        <v>366</v>
      </c>
      <c r="W762" s="6" t="n">
        <v>0.965</v>
      </c>
      <c r="X762" s="6" t="n">
        <v>1</v>
      </c>
      <c r="Z762" s="6" t="s">
        <v>3034</v>
      </c>
      <c r="AA762" s="9" t="s">
        <v>774</v>
      </c>
      <c r="AB762" s="6" t="s">
        <v>3101</v>
      </c>
      <c r="AC762" s="27" t="n">
        <f aca="false">COUNTIF(環境認証!$A$2:$A$849,A472)</f>
        <v>1</v>
      </c>
      <c r="AD762" s="6" t="n">
        <v>37.6</v>
      </c>
      <c r="AE762" s="6" t="n">
        <v>27.6</v>
      </c>
    </row>
    <row r="763" customFormat="false" ht="15" hidden="false" customHeight="true" outlineLevel="0" collapsed="false">
      <c r="A763" s="6" t="s">
        <v>3102</v>
      </c>
      <c r="B763" s="6" t="s">
        <v>538</v>
      </c>
      <c r="C763" s="9" t="s">
        <v>3103</v>
      </c>
      <c r="D763" s="9" t="s">
        <v>1894</v>
      </c>
      <c r="E763" s="9" t="s">
        <v>762</v>
      </c>
      <c r="F763" s="9" t="s">
        <v>1676</v>
      </c>
      <c r="H763" s="9" t="s">
        <v>882</v>
      </c>
      <c r="M763" s="6" t="n">
        <v>897.3</v>
      </c>
      <c r="P763" s="51" t="n">
        <v>39448</v>
      </c>
      <c r="Q763" s="1" t="n">
        <f aca="false">IF(OR($A473="",P473=""),"",ROUND(YEARFRAC(P473,README!$C$5),1))</f>
        <v>17.9</v>
      </c>
      <c r="S763" s="6" t="n">
        <v>698</v>
      </c>
      <c r="T763" s="6" t="n">
        <v>659</v>
      </c>
      <c r="U763" s="6" t="n">
        <v>904</v>
      </c>
      <c r="V763" s="6" t="n">
        <v>245</v>
      </c>
      <c r="W763" s="6" t="n">
        <v>1</v>
      </c>
      <c r="X763" s="6" t="n">
        <v>1</v>
      </c>
      <c r="Z763" s="6" t="s">
        <v>3034</v>
      </c>
      <c r="AA763" s="9" t="s">
        <v>774</v>
      </c>
      <c r="AB763" s="6" t="s">
        <v>3104</v>
      </c>
      <c r="AC763" s="27" t="n">
        <f aca="false">COUNTIF(環境認証!$A$2:$A$849,A473)</f>
        <v>2</v>
      </c>
      <c r="AD763" s="6" t="n">
        <v>37.2</v>
      </c>
      <c r="AE763" s="6" t="n">
        <v>29.5</v>
      </c>
    </row>
    <row r="764" customFormat="false" ht="15" hidden="false" customHeight="true" outlineLevel="0" collapsed="false">
      <c r="A764" s="6" t="s">
        <v>3105</v>
      </c>
      <c r="B764" s="6" t="s">
        <v>538</v>
      </c>
      <c r="C764" s="9" t="s">
        <v>3106</v>
      </c>
      <c r="D764" s="9" t="s">
        <v>1894</v>
      </c>
      <c r="E764" s="9" t="s">
        <v>1005</v>
      </c>
      <c r="F764" s="9" t="s">
        <v>1006</v>
      </c>
      <c r="H764" s="6" t="s">
        <v>952</v>
      </c>
      <c r="M764" s="6" t="n">
        <v>9106.08</v>
      </c>
      <c r="P764" s="51" t="n">
        <v>39387</v>
      </c>
      <c r="Q764" s="1" t="n">
        <f aca="false">IF(OR($A474="",P474=""),"",ROUND(YEARFRAC(P474,README!$C$5),1))</f>
        <v>25.2</v>
      </c>
      <c r="S764" s="6" t="n">
        <v>2400</v>
      </c>
      <c r="T764" s="6" t="n">
        <v>2038</v>
      </c>
      <c r="U764" s="6" t="n">
        <v>3070</v>
      </c>
      <c r="V764" s="6" t="n">
        <v>1032</v>
      </c>
      <c r="W764" s="6" t="n">
        <v>0.987</v>
      </c>
      <c r="X764" s="6" t="n">
        <v>1</v>
      </c>
      <c r="Z764" s="6" t="s">
        <v>3034</v>
      </c>
      <c r="AA764" s="9" t="s">
        <v>774</v>
      </c>
      <c r="AB764" s="6" t="s">
        <v>3107</v>
      </c>
      <c r="AC764" s="27" t="n">
        <f aca="false">COUNTIF(環境認証!$A$2:$A$849,A474)</f>
        <v>2</v>
      </c>
      <c r="AD764" s="6" t="n">
        <v>50.6</v>
      </c>
      <c r="AE764" s="6" t="n">
        <v>27.9</v>
      </c>
    </row>
    <row r="765" customFormat="false" ht="15" hidden="false" customHeight="true" outlineLevel="0" collapsed="false">
      <c r="A765" s="6" t="s">
        <v>3108</v>
      </c>
      <c r="B765" s="6" t="s">
        <v>538</v>
      </c>
      <c r="C765" s="9" t="s">
        <v>3109</v>
      </c>
      <c r="D765" s="9" t="s">
        <v>1894</v>
      </c>
      <c r="E765" s="9" t="s">
        <v>762</v>
      </c>
      <c r="F765" s="9" t="s">
        <v>3110</v>
      </c>
      <c r="H765" s="9" t="s">
        <v>921</v>
      </c>
      <c r="M765" s="6" t="n">
        <v>3924.58</v>
      </c>
      <c r="P765" s="51" t="n">
        <v>39417</v>
      </c>
      <c r="Q765" s="1" t="n">
        <f aca="false">IF(OR($A475="",P475=""),"",ROUND(YEARFRAC(P475,README!$C$5),1))</f>
        <v>33.4</v>
      </c>
      <c r="S765" s="6" t="n">
        <v>1850</v>
      </c>
      <c r="T765" s="6" t="n">
        <v>1867</v>
      </c>
      <c r="U765" s="6" t="n">
        <v>2580</v>
      </c>
      <c r="V765" s="6" t="n">
        <v>713</v>
      </c>
      <c r="W765" s="6" t="n">
        <v>1</v>
      </c>
      <c r="X765" s="6" t="n">
        <v>1</v>
      </c>
      <c r="Z765" s="6" t="s">
        <v>3034</v>
      </c>
      <c r="AA765" s="9" t="s">
        <v>774</v>
      </c>
      <c r="AB765" s="6" t="s">
        <v>3111</v>
      </c>
      <c r="AC765" s="27" t="n">
        <f aca="false">COUNTIF(環境認証!$A$2:$A$849,A475)</f>
        <v>1</v>
      </c>
      <c r="AD765" s="6" t="n">
        <v>38.2</v>
      </c>
      <c r="AE765" s="6" t="n">
        <v>39.5</v>
      </c>
    </row>
    <row r="766" customFormat="false" ht="15" hidden="false" customHeight="true" outlineLevel="0" collapsed="false">
      <c r="A766" s="6" t="s">
        <v>3112</v>
      </c>
      <c r="B766" s="6" t="s">
        <v>538</v>
      </c>
      <c r="C766" s="9" t="s">
        <v>3113</v>
      </c>
      <c r="D766" s="9" t="s">
        <v>1894</v>
      </c>
      <c r="H766" s="9" t="s">
        <v>837</v>
      </c>
      <c r="M766" s="1" t="n">
        <v>2323.44</v>
      </c>
      <c r="Q766" s="1" t="n">
        <f aca="false">IF(OR($A476="",P476=""),"",ROUND(YEARFRAC(P476,README!$C$5),1))</f>
        <v>13.5</v>
      </c>
      <c r="S766" s="1" t="n">
        <v>2760</v>
      </c>
      <c r="T766" s="1" t="n">
        <v>2752</v>
      </c>
      <c r="U766" s="1" t="n">
        <v>2480</v>
      </c>
      <c r="V766" s="1" t="n">
        <f aca="false">IF($A476="","",IF(OR(T476="",U476=""),"",U476-T476))</f>
        <v>10919</v>
      </c>
      <c r="W766" s="1" t="n">
        <v>1</v>
      </c>
      <c r="X766" s="1" t="n">
        <v>4</v>
      </c>
      <c r="Z766" s="6" t="s">
        <v>3034</v>
      </c>
      <c r="AA766" s="9" t="s">
        <v>774</v>
      </c>
      <c r="AB766" s="6" t="s">
        <v>3114</v>
      </c>
      <c r="AC766" s="27" t="n">
        <f aca="false">COUNTIF(環境認証!$A$2:$A$849,A476)</f>
        <v>2</v>
      </c>
      <c r="AD766" s="1" t="n">
        <v>-9.9</v>
      </c>
      <c r="AE766" s="1" t="n">
        <v>-10.1</v>
      </c>
    </row>
    <row r="767" customFormat="false" ht="15" hidden="false" customHeight="true" outlineLevel="0" collapsed="false">
      <c r="A767" s="6" t="s">
        <v>3115</v>
      </c>
      <c r="B767" s="6" t="s">
        <v>538</v>
      </c>
      <c r="C767" s="9" t="s">
        <v>3116</v>
      </c>
      <c r="D767" s="9" t="s">
        <v>1894</v>
      </c>
      <c r="E767" s="9" t="s">
        <v>969</v>
      </c>
      <c r="F767" s="9" t="s">
        <v>970</v>
      </c>
      <c r="H767" s="9" t="s">
        <v>971</v>
      </c>
      <c r="M767" s="6" t="n">
        <v>2163.98</v>
      </c>
      <c r="P767" s="51" t="n">
        <v>39022</v>
      </c>
      <c r="Q767" s="1" t="n">
        <f aca="false">IF(OR($A477="",P477=""),"",ROUND(YEARFRAC(P477,README!$C$5),1))</f>
        <v>38.1</v>
      </c>
      <c r="S767" s="6" t="n">
        <v>801</v>
      </c>
      <c r="T767" s="6" t="n">
        <v>776</v>
      </c>
      <c r="U767" s="6" t="n">
        <v>980</v>
      </c>
      <c r="V767" s="6" t="n">
        <v>204</v>
      </c>
      <c r="W767" s="6" t="n">
        <v>0.965</v>
      </c>
      <c r="X767" s="6" t="n">
        <v>1</v>
      </c>
      <c r="Z767" s="6" t="s">
        <v>3034</v>
      </c>
      <c r="AA767" s="9" t="s">
        <v>774</v>
      </c>
      <c r="AB767" s="6" t="s">
        <v>3117</v>
      </c>
      <c r="AC767" s="27" t="n">
        <f aca="false">COUNTIF(環境認証!$A$2:$A$849,A477)</f>
        <v>1</v>
      </c>
      <c r="AD767" s="6" t="n">
        <v>26.3</v>
      </c>
      <c r="AE767" s="6" t="n">
        <v>22.3</v>
      </c>
    </row>
    <row r="768" customFormat="false" ht="15" hidden="false" customHeight="true" outlineLevel="0" collapsed="false">
      <c r="A768" s="6" t="s">
        <v>3118</v>
      </c>
      <c r="B768" s="6" t="s">
        <v>538</v>
      </c>
      <c r="C768" s="9" t="s">
        <v>3119</v>
      </c>
      <c r="D768" s="9" t="s">
        <v>1894</v>
      </c>
      <c r="E768" s="9" t="s">
        <v>762</v>
      </c>
      <c r="F768" s="9" t="s">
        <v>2187</v>
      </c>
      <c r="H768" s="9" t="s">
        <v>882</v>
      </c>
      <c r="M768" s="6" t="n">
        <v>894.64</v>
      </c>
      <c r="P768" s="51" t="n">
        <v>39448</v>
      </c>
      <c r="Q768" s="1" t="n">
        <f aca="false">IF(OR($A478="",P478=""),"",ROUND(YEARFRAC(P478,README!$C$5),1))</f>
        <v>35.9</v>
      </c>
      <c r="S768" s="6" t="n">
        <v>785</v>
      </c>
      <c r="T768" s="6" t="n">
        <v>738</v>
      </c>
      <c r="U768" s="6" t="n">
        <v>1010</v>
      </c>
      <c r="V768" s="6" t="n">
        <v>272</v>
      </c>
      <c r="W768" s="6" t="n">
        <v>0.94</v>
      </c>
      <c r="X768" s="6" t="n">
        <v>1</v>
      </c>
      <c r="Z768" s="6" t="s">
        <v>3034</v>
      </c>
      <c r="AA768" s="9" t="s">
        <v>774</v>
      </c>
      <c r="AB768" s="6" t="s">
        <v>3120</v>
      </c>
      <c r="AC768" s="27" t="n">
        <f aca="false">COUNTIF(環境認証!$A$2:$A$849,A478)</f>
        <v>0</v>
      </c>
      <c r="AD768" s="6" t="n">
        <v>36.9</v>
      </c>
      <c r="AE768" s="6" t="n">
        <v>28.7</v>
      </c>
    </row>
    <row r="769" customFormat="false" ht="15" hidden="false" customHeight="true" outlineLevel="0" collapsed="false">
      <c r="A769" s="6" t="s">
        <v>3121</v>
      </c>
      <c r="B769" s="6" t="s">
        <v>538</v>
      </c>
      <c r="C769" s="9" t="s">
        <v>3122</v>
      </c>
      <c r="D769" s="9" t="s">
        <v>1894</v>
      </c>
      <c r="E769" s="9" t="s">
        <v>762</v>
      </c>
      <c r="F769" s="9" t="s">
        <v>2317</v>
      </c>
      <c r="H769" s="9" t="s">
        <v>882</v>
      </c>
      <c r="M769" s="6" t="n">
        <v>4036.66</v>
      </c>
      <c r="P769" s="51" t="n">
        <v>39508</v>
      </c>
      <c r="Q769" s="1" t="n">
        <f aca="false">IF(OR($A479="",P479=""),"",ROUND(YEARFRAC(P479,README!$C$5),1))</f>
        <v>11.3</v>
      </c>
      <c r="S769" s="6" t="n">
        <v>2560</v>
      </c>
      <c r="T769" s="6" t="n">
        <v>2335</v>
      </c>
      <c r="U769" s="6" t="n">
        <v>3190</v>
      </c>
      <c r="V769" s="6" t="n">
        <v>855</v>
      </c>
      <c r="W769" s="6" t="n">
        <v>0.983</v>
      </c>
      <c r="X769" s="6" t="n">
        <v>1</v>
      </c>
      <c r="Z769" s="6" t="s">
        <v>3034</v>
      </c>
      <c r="AA769" s="9" t="s">
        <v>774</v>
      </c>
      <c r="AB769" s="6" t="s">
        <v>3123</v>
      </c>
      <c r="AC769" s="27" t="n">
        <f aca="false">COUNTIF(環境認証!$A$2:$A$849,A479)</f>
        <v>2</v>
      </c>
      <c r="AD769" s="6" t="n">
        <v>36.6</v>
      </c>
      <c r="AE769" s="6" t="n">
        <v>24.6</v>
      </c>
    </row>
    <row r="770" customFormat="false" ht="15" hidden="false" customHeight="true" outlineLevel="0" collapsed="false">
      <c r="A770" s="6" t="s">
        <v>3124</v>
      </c>
      <c r="B770" s="6" t="s">
        <v>538</v>
      </c>
      <c r="C770" s="9" t="s">
        <v>3125</v>
      </c>
      <c r="D770" s="9" t="s">
        <v>1894</v>
      </c>
      <c r="E770" s="9" t="s">
        <v>1005</v>
      </c>
      <c r="F770" s="9" t="s">
        <v>1006</v>
      </c>
      <c r="H770" s="6" t="s">
        <v>952</v>
      </c>
      <c r="M770" s="6" t="n">
        <v>9614.8</v>
      </c>
      <c r="P770" s="51" t="n">
        <v>38353</v>
      </c>
      <c r="Q770" s="1" t="n">
        <f aca="false">IF(OR($A480="",P480=""),"",ROUND(YEARFRAC(P480,README!$C$5),1))</f>
        <v>33</v>
      </c>
      <c r="S770" s="6" t="n">
        <v>2360</v>
      </c>
      <c r="T770" s="6" t="n">
        <v>2132</v>
      </c>
      <c r="U770" s="6" t="n">
        <v>2640</v>
      </c>
      <c r="V770" s="6" t="n">
        <v>508</v>
      </c>
      <c r="W770" s="6" t="n">
        <v>0.993</v>
      </c>
      <c r="X770" s="6" t="n">
        <v>1</v>
      </c>
      <c r="Z770" s="6" t="s">
        <v>3034</v>
      </c>
      <c r="AA770" s="9" t="s">
        <v>774</v>
      </c>
      <c r="AB770" s="6" t="s">
        <v>3126</v>
      </c>
      <c r="AC770" s="27" t="n">
        <f aca="false">COUNTIF(環境認証!$A$2:$A$849,A480)</f>
        <v>1</v>
      </c>
      <c r="AD770" s="6" t="n">
        <v>23.8</v>
      </c>
      <c r="AE770" s="6" t="n">
        <v>11.9</v>
      </c>
    </row>
    <row r="771" customFormat="false" ht="15" hidden="false" customHeight="true" outlineLevel="0" collapsed="false">
      <c r="A771" s="6" t="s">
        <v>3127</v>
      </c>
      <c r="B771" s="6" t="s">
        <v>538</v>
      </c>
      <c r="C771" s="9" t="s">
        <v>3128</v>
      </c>
      <c r="D771" s="9" t="s">
        <v>1894</v>
      </c>
      <c r="H771" s="9" t="s">
        <v>837</v>
      </c>
      <c r="M771" s="1" t="n">
        <v>5806.23</v>
      </c>
      <c r="Q771" s="1" t="n">
        <f aca="false">IF(OR($A481="",P481=""),"",ROUND(YEARFRAC(P481,README!$C$5),1))</f>
        <v>36.9</v>
      </c>
      <c r="S771" s="1" t="n">
        <v>6800</v>
      </c>
      <c r="T771" s="1" t="n">
        <v>6967</v>
      </c>
      <c r="U771" s="1" t="n">
        <v>10000</v>
      </c>
      <c r="V771" s="1" t="n">
        <f aca="false">IF($A481="","",IF(OR(T481="",U481=""),"",U481-T481))</f>
        <v>233</v>
      </c>
      <c r="W771" s="1" t="n">
        <v>0.978</v>
      </c>
      <c r="X771" s="1" t="n">
        <v>22</v>
      </c>
      <c r="Z771" s="6" t="s">
        <v>3034</v>
      </c>
      <c r="AA771" s="9" t="s">
        <v>774</v>
      </c>
      <c r="AB771" s="6" t="s">
        <v>3129</v>
      </c>
      <c r="AC771" s="27" t="n">
        <f aca="false">COUNTIF(環境認証!$A$2:$A$849,A481)</f>
        <v>2</v>
      </c>
      <c r="AD771" s="1" t="n">
        <v>43.5</v>
      </c>
      <c r="AE771" s="1" t="n">
        <v>47.1</v>
      </c>
    </row>
    <row r="772" customFormat="false" ht="15" hidden="false" customHeight="true" outlineLevel="0" collapsed="false">
      <c r="A772" s="6" t="s">
        <v>3130</v>
      </c>
      <c r="B772" s="6" t="s">
        <v>538</v>
      </c>
      <c r="C772" s="9" t="s">
        <v>3131</v>
      </c>
      <c r="D772" s="9" t="s">
        <v>1894</v>
      </c>
      <c r="E772" s="9" t="s">
        <v>762</v>
      </c>
      <c r="F772" s="9" t="s">
        <v>3132</v>
      </c>
      <c r="H772" s="9" t="s">
        <v>921</v>
      </c>
      <c r="M772" s="6" t="n">
        <v>2275.24</v>
      </c>
      <c r="P772" s="51" t="n">
        <v>38384</v>
      </c>
      <c r="Q772" s="1" t="n">
        <f aca="false">IF(OR($A482="",P482=""),"",ROUND(YEARFRAC(P482,README!$C$5),1))</f>
        <v>30.4</v>
      </c>
      <c r="S772" s="6" t="n">
        <v>1790</v>
      </c>
      <c r="T772" s="6" t="n">
        <v>1705</v>
      </c>
      <c r="U772" s="6" t="n">
        <v>2310</v>
      </c>
      <c r="V772" s="6" t="n">
        <v>605</v>
      </c>
      <c r="W772" s="6" t="n">
        <v>0.912</v>
      </c>
      <c r="X772" s="6" t="n">
        <v>1</v>
      </c>
      <c r="Z772" s="6" t="s">
        <v>3034</v>
      </c>
      <c r="AA772" s="9" t="s">
        <v>774</v>
      </c>
      <c r="AB772" s="6" t="s">
        <v>3133</v>
      </c>
      <c r="AC772" s="27" t="n">
        <f aca="false">COUNTIF(環境認証!$A$2:$A$849,A482)</f>
        <v>1</v>
      </c>
      <c r="AD772" s="6" t="n">
        <v>35.5</v>
      </c>
      <c r="AE772" s="6" t="n">
        <v>29.1</v>
      </c>
    </row>
    <row r="773" customFormat="false" ht="15" hidden="false" customHeight="true" outlineLevel="0" collapsed="false">
      <c r="A773" s="6" t="s">
        <v>3134</v>
      </c>
      <c r="B773" s="6" t="s">
        <v>538</v>
      </c>
      <c r="C773" s="9" t="s">
        <v>3135</v>
      </c>
      <c r="D773" s="9" t="s">
        <v>1894</v>
      </c>
      <c r="E773" s="9" t="s">
        <v>969</v>
      </c>
      <c r="F773" s="9" t="s">
        <v>970</v>
      </c>
      <c r="H773" s="9" t="s">
        <v>971</v>
      </c>
      <c r="M773" s="6" t="n">
        <v>4427.65</v>
      </c>
      <c r="P773" s="51" t="n">
        <v>39722</v>
      </c>
      <c r="Q773" s="1" t="n">
        <f aca="false">IF(OR($A483="",P483=""),"",ROUND(YEARFRAC(P483,README!$C$5),1))</f>
        <v>37</v>
      </c>
      <c r="S773" s="6" t="n">
        <v>1950</v>
      </c>
      <c r="T773" s="6" t="n">
        <v>1831</v>
      </c>
      <c r="U773" s="6" t="n">
        <v>2300</v>
      </c>
      <c r="V773" s="6" t="n">
        <v>469</v>
      </c>
      <c r="W773" s="6" t="n">
        <v>0.934</v>
      </c>
      <c r="X773" s="6" t="n">
        <v>1</v>
      </c>
      <c r="Z773" s="6" t="s">
        <v>3034</v>
      </c>
      <c r="AA773" s="9" t="s">
        <v>774</v>
      </c>
      <c r="AB773" s="6" t="s">
        <v>3136</v>
      </c>
      <c r="AC773" s="27" t="n">
        <f aca="false">COUNTIF(環境認証!$A$2:$A$849,A483)</f>
        <v>1</v>
      </c>
      <c r="AD773" s="6" t="n">
        <v>25.6</v>
      </c>
      <c r="AE773" s="6" t="n">
        <v>17.9</v>
      </c>
    </row>
    <row r="774" customFormat="false" ht="15" hidden="false" customHeight="true" outlineLevel="0" collapsed="false">
      <c r="A774" s="6" t="s">
        <v>3137</v>
      </c>
      <c r="B774" s="6" t="s">
        <v>538</v>
      </c>
      <c r="C774" s="9" t="s">
        <v>3138</v>
      </c>
      <c r="D774" s="9" t="s">
        <v>1894</v>
      </c>
      <c r="E774" s="9" t="s">
        <v>981</v>
      </c>
      <c r="F774" s="9" t="s">
        <v>982</v>
      </c>
      <c r="H774" s="9" t="s">
        <v>971</v>
      </c>
      <c r="M774" s="6" t="n">
        <v>2040.35</v>
      </c>
      <c r="P774" s="51" t="n">
        <v>39114</v>
      </c>
      <c r="Q774" s="1" t="n">
        <f aca="false">IF(OR($A484="",P484=""),"",ROUND(YEARFRAC(P484,README!$C$5),1))</f>
        <v>33.9</v>
      </c>
      <c r="S774" s="6" t="n">
        <v>909</v>
      </c>
      <c r="T774" s="6" t="n">
        <v>874</v>
      </c>
      <c r="U774" s="6" t="n">
        <v>1200</v>
      </c>
      <c r="V774" s="6" t="n">
        <v>326</v>
      </c>
      <c r="W774" s="6" t="n">
        <v>1</v>
      </c>
      <c r="X774" s="6" t="n">
        <v>1</v>
      </c>
      <c r="Z774" s="6" t="s">
        <v>3034</v>
      </c>
      <c r="AA774" s="9" t="s">
        <v>774</v>
      </c>
      <c r="AB774" s="6" t="s">
        <v>3139</v>
      </c>
      <c r="AC774" s="27" t="n">
        <f aca="false">COUNTIF(環境認証!$A$2:$A$849,A484)</f>
        <v>0</v>
      </c>
      <c r="AD774" s="6" t="n">
        <v>37.3</v>
      </c>
      <c r="AE774" s="6" t="n">
        <v>32</v>
      </c>
    </row>
    <row r="775" customFormat="false" ht="15" hidden="false" customHeight="true" outlineLevel="0" collapsed="false">
      <c r="A775" s="6" t="s">
        <v>3140</v>
      </c>
      <c r="B775" s="6" t="s">
        <v>538</v>
      </c>
      <c r="C775" s="9" t="s">
        <v>3141</v>
      </c>
      <c r="D775" s="9" t="s">
        <v>1894</v>
      </c>
      <c r="E775" s="9" t="s">
        <v>981</v>
      </c>
      <c r="F775" s="9" t="s">
        <v>982</v>
      </c>
      <c r="H775" s="9" t="s">
        <v>971</v>
      </c>
      <c r="M775" s="6" t="n">
        <v>1798.97</v>
      </c>
      <c r="P775" s="51" t="n">
        <v>38869</v>
      </c>
      <c r="Q775" s="1" t="n">
        <f aca="false">IF(OR($A485="",P485=""),"",ROUND(YEARFRAC(P485,README!$C$5),1))</f>
        <v>35.5</v>
      </c>
      <c r="S775" s="6" t="n">
        <v>601</v>
      </c>
      <c r="T775" s="6" t="n">
        <v>577</v>
      </c>
      <c r="U775" s="6" t="n">
        <v>760</v>
      </c>
      <c r="V775" s="6" t="n">
        <v>183</v>
      </c>
      <c r="W775" s="6" t="n">
        <v>0.927</v>
      </c>
      <c r="X775" s="6" t="n">
        <v>1</v>
      </c>
      <c r="Z775" s="6" t="s">
        <v>3034</v>
      </c>
      <c r="AA775" s="9" t="s">
        <v>774</v>
      </c>
      <c r="AB775" s="6" t="s">
        <v>3142</v>
      </c>
      <c r="AC775" s="27" t="n">
        <f aca="false">COUNTIF(環境認証!$A$2:$A$849,A485)</f>
        <v>0</v>
      </c>
      <c r="AD775" s="6" t="n">
        <v>31.7</v>
      </c>
      <c r="AE775" s="6" t="n">
        <v>26.5</v>
      </c>
    </row>
    <row r="776" customFormat="false" ht="15" hidden="false" customHeight="true" outlineLevel="0" collapsed="false">
      <c r="A776" s="6" t="s">
        <v>3143</v>
      </c>
      <c r="B776" s="6" t="s">
        <v>538</v>
      </c>
      <c r="C776" s="9" t="s">
        <v>3144</v>
      </c>
      <c r="D776" s="9" t="s">
        <v>1894</v>
      </c>
      <c r="E776" s="9" t="s">
        <v>1005</v>
      </c>
      <c r="F776" s="9" t="s">
        <v>1006</v>
      </c>
      <c r="H776" s="6" t="s">
        <v>952</v>
      </c>
      <c r="M776" s="6" t="n">
        <v>7514.76</v>
      </c>
      <c r="P776" s="51" t="n">
        <v>35096</v>
      </c>
      <c r="Q776" s="1" t="n">
        <f aca="false">IF(OR($A486="",P486=""),"",ROUND(YEARFRAC(P486,README!$C$5),1))</f>
        <v>13.5</v>
      </c>
      <c r="S776" s="6" t="n">
        <v>1940</v>
      </c>
      <c r="T776" s="6" t="n">
        <v>1950</v>
      </c>
      <c r="U776" s="6" t="n">
        <v>2390</v>
      </c>
      <c r="V776" s="6" t="n">
        <v>440</v>
      </c>
      <c r="W776" s="6" t="n">
        <v>1</v>
      </c>
      <c r="X776" s="6" t="n">
        <v>1</v>
      </c>
      <c r="Z776" s="6" t="s">
        <v>3034</v>
      </c>
      <c r="AA776" s="9" t="s">
        <v>774</v>
      </c>
      <c r="AB776" s="6" t="s">
        <v>3145</v>
      </c>
      <c r="AC776" s="27" t="n">
        <f aca="false">COUNTIF(環境認証!$A$2:$A$849,A486)</f>
        <v>2</v>
      </c>
      <c r="AD776" s="6" t="n">
        <v>22.6</v>
      </c>
      <c r="AE776" s="6" t="n">
        <v>23.2</v>
      </c>
    </row>
    <row r="777" customFormat="false" ht="15" hidden="false" customHeight="true" outlineLevel="0" collapsed="false">
      <c r="A777" s="6" t="s">
        <v>3146</v>
      </c>
      <c r="B777" s="6" t="s">
        <v>538</v>
      </c>
      <c r="C777" s="9" t="s">
        <v>3147</v>
      </c>
      <c r="D777" s="9" t="s">
        <v>1894</v>
      </c>
      <c r="E777" s="9" t="s">
        <v>762</v>
      </c>
      <c r="F777" s="9" t="s">
        <v>895</v>
      </c>
      <c r="H777" s="9" t="s">
        <v>882</v>
      </c>
      <c r="M777" s="6" t="n">
        <v>2324.65</v>
      </c>
      <c r="P777" s="51" t="n">
        <v>38749</v>
      </c>
      <c r="Q777" s="1" t="n">
        <f aca="false">IF(OR($A487="",P487=""),"",ROUND(YEARFRAC(P487,README!$C$5),1))</f>
        <v>34.5</v>
      </c>
      <c r="S777" s="6" t="n">
        <v>1930</v>
      </c>
      <c r="T777" s="6" t="n">
        <v>1807</v>
      </c>
      <c r="U777" s="6" t="n">
        <v>2360</v>
      </c>
      <c r="V777" s="6" t="n">
        <v>553</v>
      </c>
      <c r="W777" s="6" t="n">
        <v>1</v>
      </c>
      <c r="X777" s="6" t="n">
        <v>1</v>
      </c>
      <c r="Z777" s="6" t="s">
        <v>3034</v>
      </c>
      <c r="AA777" s="9" t="s">
        <v>774</v>
      </c>
      <c r="AB777" s="6" t="s">
        <v>3148</v>
      </c>
      <c r="AC777" s="27" t="n">
        <f aca="false">COUNTIF(環境認証!$A$2:$A$849,A487)</f>
        <v>0</v>
      </c>
      <c r="AD777" s="6" t="n">
        <v>30.6</v>
      </c>
      <c r="AE777" s="6" t="n">
        <v>22.3</v>
      </c>
    </row>
    <row r="778" customFormat="false" ht="15" hidden="false" customHeight="true" outlineLevel="0" collapsed="false">
      <c r="A778" s="6" t="s">
        <v>3149</v>
      </c>
      <c r="B778" s="6" t="s">
        <v>538</v>
      </c>
      <c r="C778" s="9" t="s">
        <v>3150</v>
      </c>
      <c r="D778" s="9" t="s">
        <v>1894</v>
      </c>
      <c r="E778" s="9" t="s">
        <v>762</v>
      </c>
      <c r="F778" s="9" t="s">
        <v>815</v>
      </c>
      <c r="H778" s="9" t="s">
        <v>772</v>
      </c>
      <c r="M778" s="6" t="n">
        <v>3701.7</v>
      </c>
      <c r="P778" s="51" t="n">
        <v>38231</v>
      </c>
      <c r="Q778" s="1" t="n">
        <f aca="false">IF(OR($A488="",P488=""),"",ROUND(YEARFRAC(P488,README!$C$5),1))</f>
        <v>16.6</v>
      </c>
      <c r="S778" s="6" t="n">
        <v>3340</v>
      </c>
      <c r="T778" s="6" t="n">
        <v>3310</v>
      </c>
      <c r="U778" s="6" t="n">
        <v>3930</v>
      </c>
      <c r="V778" s="6" t="n">
        <v>620</v>
      </c>
      <c r="W778" s="6" t="n">
        <v>0.955</v>
      </c>
      <c r="X778" s="6" t="n">
        <v>1</v>
      </c>
      <c r="Z778" s="6" t="s">
        <v>3034</v>
      </c>
      <c r="AA778" s="9" t="s">
        <v>774</v>
      </c>
      <c r="AB778" s="6" t="s">
        <v>3151</v>
      </c>
      <c r="AC778" s="27" t="n">
        <f aca="false">COUNTIF(環境認証!$A$2:$A$849,A488)</f>
        <v>2</v>
      </c>
      <c r="AD778" s="6" t="n">
        <v>18.7</v>
      </c>
      <c r="AE778" s="6" t="n">
        <v>17.7</v>
      </c>
    </row>
    <row r="779" customFormat="false" ht="15" hidden="false" customHeight="true" outlineLevel="0" collapsed="false">
      <c r="A779" s="6" t="s">
        <v>3152</v>
      </c>
      <c r="B779" s="6" t="s">
        <v>538</v>
      </c>
      <c r="C779" s="9" t="s">
        <v>3153</v>
      </c>
      <c r="D779" s="9" t="s">
        <v>1894</v>
      </c>
      <c r="E779" s="9" t="s">
        <v>762</v>
      </c>
      <c r="F779" s="9" t="s">
        <v>820</v>
      </c>
      <c r="H779" s="9" t="s">
        <v>772</v>
      </c>
      <c r="M779" s="6" t="n">
        <v>6177.2</v>
      </c>
      <c r="P779" s="51" t="n">
        <v>38749</v>
      </c>
      <c r="Q779" s="1" t="n">
        <f aca="false">IF(OR($A489="",P489=""),"",ROUND(YEARFRAC(P489,README!$C$5),1))</f>
        <v>10.9</v>
      </c>
      <c r="S779" s="6" t="n">
        <v>6250</v>
      </c>
      <c r="T779" s="6" t="n">
        <v>6003</v>
      </c>
      <c r="U779" s="6" t="n">
        <v>7780</v>
      </c>
      <c r="V779" s="6" t="n">
        <v>1777</v>
      </c>
      <c r="W779" s="6" t="n">
        <v>0.972</v>
      </c>
      <c r="X779" s="6" t="n">
        <v>1</v>
      </c>
      <c r="Z779" s="6" t="s">
        <v>3034</v>
      </c>
      <c r="AA779" s="9" t="s">
        <v>774</v>
      </c>
      <c r="AB779" s="6" t="s">
        <v>3154</v>
      </c>
      <c r="AC779" s="27" t="n">
        <f aca="false">COUNTIF(環境認証!$A$2:$A$849,A489)</f>
        <v>1</v>
      </c>
      <c r="AD779" s="6" t="n">
        <v>29.6</v>
      </c>
      <c r="AE779" s="6" t="n">
        <v>24.5</v>
      </c>
    </row>
    <row r="780" customFormat="false" ht="15" hidden="false" customHeight="true" outlineLevel="0" collapsed="false">
      <c r="A780" s="6" t="s">
        <v>3155</v>
      </c>
      <c r="B780" s="6" t="s">
        <v>538</v>
      </c>
      <c r="C780" s="9" t="s">
        <v>3156</v>
      </c>
      <c r="D780" s="9" t="s">
        <v>1894</v>
      </c>
      <c r="E780" s="9" t="s">
        <v>969</v>
      </c>
      <c r="F780" s="9" t="s">
        <v>970</v>
      </c>
      <c r="H780" s="9" t="s">
        <v>971</v>
      </c>
      <c r="M780" s="6" t="n">
        <v>2016.79</v>
      </c>
      <c r="P780" s="51" t="n">
        <v>39661</v>
      </c>
      <c r="Q780" s="1" t="n">
        <f aca="false">IF(OR($A490="",P490=""),"",ROUND(YEARFRAC(P490,README!$C$5),1))</f>
        <v>31.9</v>
      </c>
      <c r="S780" s="6" t="n">
        <v>1050</v>
      </c>
      <c r="T780" s="6" t="n">
        <v>997</v>
      </c>
      <c r="U780" s="6" t="n">
        <v>1180</v>
      </c>
      <c r="V780" s="6" t="n">
        <v>183</v>
      </c>
      <c r="W780" s="6" t="n">
        <v>1</v>
      </c>
      <c r="X780" s="6" t="n">
        <v>1</v>
      </c>
      <c r="Z780" s="6" t="s">
        <v>3034</v>
      </c>
      <c r="AA780" s="9" t="s">
        <v>774</v>
      </c>
      <c r="AB780" s="6" t="s">
        <v>3157</v>
      </c>
      <c r="AC780" s="27" t="n">
        <f aca="false">COUNTIF(環境認証!$A$2:$A$849,A490)</f>
        <v>1</v>
      </c>
      <c r="AD780" s="6" t="n">
        <v>18.4</v>
      </c>
      <c r="AE780" s="6" t="n">
        <v>12.4</v>
      </c>
    </row>
    <row r="781" customFormat="false" ht="15" hidden="false" customHeight="true" outlineLevel="0" collapsed="false">
      <c r="A781" s="6" t="s">
        <v>3158</v>
      </c>
      <c r="B781" s="6" t="s">
        <v>538</v>
      </c>
      <c r="C781" s="9" t="s">
        <v>3159</v>
      </c>
      <c r="D781" s="9" t="s">
        <v>1894</v>
      </c>
      <c r="E781" s="9" t="s">
        <v>969</v>
      </c>
      <c r="F781" s="9" t="s">
        <v>970</v>
      </c>
      <c r="H781" s="9" t="s">
        <v>971</v>
      </c>
      <c r="M781" s="6" t="n">
        <v>2168.59</v>
      </c>
      <c r="P781" s="51" t="n">
        <v>39264</v>
      </c>
      <c r="Q781" s="1" t="n">
        <f aca="false">IF(OR($A491="",P491=""),"",ROUND(YEARFRAC(P491,README!$C$5),1))</f>
        <v>40.4</v>
      </c>
      <c r="S781" s="6" t="n">
        <v>812</v>
      </c>
      <c r="T781" s="6" t="n">
        <v>807</v>
      </c>
      <c r="U781" s="6" t="n">
        <v>968</v>
      </c>
      <c r="V781" s="6" t="n">
        <v>161</v>
      </c>
      <c r="W781" s="6" t="n">
        <v>1</v>
      </c>
      <c r="X781" s="6" t="n">
        <v>1</v>
      </c>
      <c r="Z781" s="6" t="s">
        <v>3034</v>
      </c>
      <c r="AA781" s="9" t="s">
        <v>774</v>
      </c>
      <c r="AB781" s="6" t="s">
        <v>3160</v>
      </c>
      <c r="AC781" s="27" t="n">
        <f aca="false">COUNTIF(環境認証!$A$2:$A$849,A491)</f>
        <v>0</v>
      </c>
      <c r="AD781" s="6" t="n">
        <v>20</v>
      </c>
      <c r="AE781" s="6" t="n">
        <v>19.2</v>
      </c>
    </row>
    <row r="782" customFormat="false" ht="15" hidden="false" customHeight="true" outlineLevel="0" collapsed="false">
      <c r="A782" s="6" t="s">
        <v>3161</v>
      </c>
      <c r="B782" s="6" t="s">
        <v>538</v>
      </c>
      <c r="C782" s="9" t="s">
        <v>3162</v>
      </c>
      <c r="D782" s="9" t="s">
        <v>1894</v>
      </c>
      <c r="E782" s="9" t="s">
        <v>1005</v>
      </c>
      <c r="F782" s="9" t="s">
        <v>1006</v>
      </c>
      <c r="H782" s="6" t="s">
        <v>952</v>
      </c>
      <c r="M782" s="6" t="n">
        <v>6728.2</v>
      </c>
      <c r="P782" s="51" t="n">
        <v>38565</v>
      </c>
      <c r="Q782" s="1" t="n">
        <f aca="false">IF(OR($A492="",P492=""),"",ROUND(YEARFRAC(P492,README!$C$5),1))</f>
        <v>15.9</v>
      </c>
      <c r="S782" s="6" t="n">
        <v>1260</v>
      </c>
      <c r="T782" s="6" t="n">
        <v>1113</v>
      </c>
      <c r="U782" s="6" t="n">
        <v>1380</v>
      </c>
      <c r="V782" s="6" t="n">
        <v>267</v>
      </c>
      <c r="W782" s="6" t="n">
        <v>1</v>
      </c>
      <c r="X782" s="6" t="n">
        <v>1</v>
      </c>
      <c r="Z782" s="6" t="s">
        <v>3034</v>
      </c>
      <c r="AA782" s="9" t="s">
        <v>774</v>
      </c>
      <c r="AB782" s="6" t="s">
        <v>3163</v>
      </c>
      <c r="AC782" s="27" t="n">
        <f aca="false">COUNTIF(環境認証!$A$2:$A$849,A492)</f>
        <v>1</v>
      </c>
      <c r="AD782" s="6" t="n">
        <v>24</v>
      </c>
      <c r="AE782" s="6" t="n">
        <v>9.5</v>
      </c>
    </row>
    <row r="783" customFormat="false" ht="15" hidden="false" customHeight="true" outlineLevel="0" collapsed="false">
      <c r="A783" s="6" t="s">
        <v>3164</v>
      </c>
      <c r="B783" s="6" t="s">
        <v>538</v>
      </c>
      <c r="C783" s="9" t="s">
        <v>3165</v>
      </c>
      <c r="D783" s="9" t="s">
        <v>1894</v>
      </c>
      <c r="H783" s="9" t="s">
        <v>837</v>
      </c>
      <c r="M783" s="1" t="n">
        <v>3272.19</v>
      </c>
      <c r="Q783" s="1" t="n">
        <f aca="false">IF(OR($A493="",P493=""),"",ROUND(YEARFRAC(P493,README!$C$5),1))</f>
        <v>45.9</v>
      </c>
      <c r="S783" s="1" t="n">
        <v>3180</v>
      </c>
      <c r="T783" s="1" t="n">
        <v>3054</v>
      </c>
      <c r="U783" s="1" t="n">
        <v>4120</v>
      </c>
      <c r="V783" s="1" t="n">
        <f aca="false">IF($A493="","",IF(OR(T493="",U493=""),"",U493-T493))</f>
        <v>1178</v>
      </c>
      <c r="W783" s="1" t="n">
        <v>1</v>
      </c>
      <c r="X783" s="1" t="n">
        <v>12</v>
      </c>
      <c r="Z783" s="6" t="s">
        <v>3034</v>
      </c>
      <c r="AA783" s="9" t="s">
        <v>774</v>
      </c>
      <c r="AB783" s="6" t="s">
        <v>3166</v>
      </c>
      <c r="AC783" s="27" t="n">
        <f aca="false">COUNTIF(環境認証!$A$2:$A$849,A493)</f>
        <v>0</v>
      </c>
      <c r="AD783" s="1" t="n">
        <v>34.9</v>
      </c>
      <c r="AE783" s="1" t="n">
        <v>29.6</v>
      </c>
    </row>
    <row r="784" customFormat="false" ht="15" hidden="false" customHeight="true" outlineLevel="0" collapsed="false">
      <c r="A784" s="6" t="s">
        <v>3167</v>
      </c>
      <c r="B784" s="6" t="s">
        <v>538</v>
      </c>
      <c r="C784" s="9" t="s">
        <v>3168</v>
      </c>
      <c r="D784" s="9" t="s">
        <v>1894</v>
      </c>
      <c r="E784" s="9" t="s">
        <v>762</v>
      </c>
      <c r="F784" s="9" t="s">
        <v>1676</v>
      </c>
      <c r="H784" s="9" t="s">
        <v>882</v>
      </c>
      <c r="M784" s="6" t="n">
        <v>1498.13</v>
      </c>
      <c r="P784" s="51" t="n">
        <v>40026</v>
      </c>
      <c r="Q784" s="1" t="n">
        <f aca="false">IF(OR($A494="",P494=""),"",ROUND(YEARFRAC(P494,README!$C$5),1))</f>
        <v>17.5</v>
      </c>
      <c r="S784" s="6" t="n">
        <v>1360</v>
      </c>
      <c r="T784" s="6" t="n">
        <v>1295</v>
      </c>
      <c r="U784" s="6" t="n">
        <v>1650</v>
      </c>
      <c r="V784" s="6" t="n">
        <v>355</v>
      </c>
      <c r="W784" s="6" t="n">
        <v>1</v>
      </c>
      <c r="X784" s="6" t="n">
        <v>1</v>
      </c>
      <c r="Z784" s="6" t="s">
        <v>3034</v>
      </c>
      <c r="AA784" s="9" t="s">
        <v>774</v>
      </c>
      <c r="AB784" s="6" t="s">
        <v>3169</v>
      </c>
      <c r="AC784" s="27" t="n">
        <f aca="false">COUNTIF(環境認証!$A$2:$A$849,A494)</f>
        <v>2</v>
      </c>
      <c r="AD784" s="6" t="n">
        <v>27.4</v>
      </c>
      <c r="AE784" s="6" t="n">
        <v>21.3</v>
      </c>
    </row>
    <row r="785" customFormat="false" ht="15" hidden="false" customHeight="true" outlineLevel="0" collapsed="false">
      <c r="A785" s="6" t="s">
        <v>3170</v>
      </c>
      <c r="B785" s="6" t="s">
        <v>538</v>
      </c>
      <c r="C785" s="9" t="s">
        <v>3171</v>
      </c>
      <c r="D785" s="9" t="s">
        <v>1894</v>
      </c>
      <c r="E785" s="9" t="s">
        <v>762</v>
      </c>
      <c r="F785" s="9" t="s">
        <v>2187</v>
      </c>
      <c r="H785" s="9" t="s">
        <v>882</v>
      </c>
      <c r="M785" s="6" t="n">
        <v>2352.9</v>
      </c>
      <c r="P785" s="51" t="n">
        <v>40210</v>
      </c>
      <c r="Q785" s="1" t="n">
        <f aca="false">IF(OR($A495="",P495=""),"",ROUND(YEARFRAC(P495,README!$C$5),1))</f>
        <v>35.9</v>
      </c>
      <c r="S785" s="6" t="n">
        <v>2270</v>
      </c>
      <c r="T785" s="6" t="n">
        <v>2274</v>
      </c>
      <c r="U785" s="6" t="n">
        <v>2730</v>
      </c>
      <c r="V785" s="6" t="n">
        <v>456</v>
      </c>
      <c r="W785" s="6" t="n">
        <v>0.978</v>
      </c>
      <c r="X785" s="6" t="n">
        <v>1</v>
      </c>
      <c r="Z785" s="6" t="s">
        <v>3034</v>
      </c>
      <c r="AA785" s="9" t="s">
        <v>774</v>
      </c>
      <c r="AB785" s="6" t="s">
        <v>3172</v>
      </c>
      <c r="AC785" s="27" t="n">
        <f aca="false">COUNTIF(環境認証!$A$2:$A$849,A495)</f>
        <v>0</v>
      </c>
      <c r="AD785" s="6" t="n">
        <v>20.1</v>
      </c>
      <c r="AE785" s="6" t="n">
        <v>20.3</v>
      </c>
    </row>
    <row r="786" customFormat="false" ht="15" hidden="false" customHeight="true" outlineLevel="0" collapsed="false">
      <c r="A786" s="6" t="s">
        <v>3173</v>
      </c>
      <c r="B786" s="6" t="s">
        <v>538</v>
      </c>
      <c r="C786" s="9" t="s">
        <v>3174</v>
      </c>
      <c r="D786" s="9" t="s">
        <v>1894</v>
      </c>
      <c r="E786" s="9" t="s">
        <v>762</v>
      </c>
      <c r="F786" s="9" t="s">
        <v>848</v>
      </c>
      <c r="H786" s="9" t="s">
        <v>882</v>
      </c>
      <c r="M786" s="6" t="n">
        <v>1943.17</v>
      </c>
      <c r="P786" s="51" t="n">
        <v>39965</v>
      </c>
      <c r="Q786" s="1" t="n">
        <f aca="false">IF(OR($A496="",P496=""),"",ROUND(YEARFRAC(P496,README!$C$5),1))</f>
        <v>40.3</v>
      </c>
      <c r="S786" s="6" t="n">
        <v>1770</v>
      </c>
      <c r="T786" s="6" t="n">
        <v>1658</v>
      </c>
      <c r="U786" s="6" t="n">
        <v>2310</v>
      </c>
      <c r="V786" s="6" t="n">
        <v>652</v>
      </c>
      <c r="W786" s="6" t="n">
        <v>0.928</v>
      </c>
      <c r="X786" s="6" t="n">
        <v>1</v>
      </c>
      <c r="Z786" s="6" t="s">
        <v>3034</v>
      </c>
      <c r="AA786" s="9" t="s">
        <v>774</v>
      </c>
      <c r="AB786" s="6" t="s">
        <v>3175</v>
      </c>
      <c r="AC786" s="27" t="n">
        <f aca="false">COUNTIF(環境認証!$A$2:$A$849,A496)</f>
        <v>0</v>
      </c>
      <c r="AD786" s="6" t="n">
        <v>39.3</v>
      </c>
      <c r="AE786" s="6" t="n">
        <v>30.5</v>
      </c>
    </row>
    <row r="787" customFormat="false" ht="15" hidden="false" customHeight="true" outlineLevel="0" collapsed="false">
      <c r="A787" s="6" t="s">
        <v>3176</v>
      </c>
      <c r="B787" s="6" t="s">
        <v>538</v>
      </c>
      <c r="C787" s="9" t="s">
        <v>3177</v>
      </c>
      <c r="D787" s="9" t="s">
        <v>1894</v>
      </c>
      <c r="E787" s="9" t="s">
        <v>981</v>
      </c>
      <c r="F787" s="9" t="s">
        <v>982</v>
      </c>
      <c r="H787" s="9" t="s">
        <v>971</v>
      </c>
      <c r="M787" s="6" t="n">
        <v>2877.9</v>
      </c>
      <c r="P787" s="51" t="n">
        <v>39387</v>
      </c>
      <c r="Q787" s="1" t="n">
        <f aca="false">IF(OR($A497="",P497=""),"",ROUND(YEARFRAC(P497,README!$C$5),1))</f>
        <v>6.6</v>
      </c>
      <c r="S787" s="6" t="n">
        <v>1680</v>
      </c>
      <c r="T787" s="6" t="n">
        <v>1534</v>
      </c>
      <c r="U787" s="6" t="n">
        <v>1830</v>
      </c>
      <c r="V787" s="6" t="n">
        <v>296</v>
      </c>
      <c r="W787" s="6" t="n">
        <v>0.955</v>
      </c>
      <c r="X787" s="6" t="n">
        <v>1</v>
      </c>
      <c r="Z787" s="6" t="s">
        <v>3034</v>
      </c>
      <c r="AA787" s="9" t="s">
        <v>774</v>
      </c>
      <c r="AB787" s="6" t="s">
        <v>3178</v>
      </c>
      <c r="AC787" s="27" t="n">
        <f aca="false">COUNTIF(環境認証!$A$2:$A$849,A497)</f>
        <v>1</v>
      </c>
      <c r="AD787" s="6" t="n">
        <v>19.3</v>
      </c>
      <c r="AE787" s="6" t="n">
        <v>8.9</v>
      </c>
    </row>
    <row r="788" customFormat="false" ht="15" hidden="false" customHeight="true" outlineLevel="0" collapsed="false">
      <c r="A788" s="6" t="s">
        <v>3179</v>
      </c>
      <c r="B788" s="6" t="s">
        <v>538</v>
      </c>
      <c r="C788" s="9" t="s">
        <v>3180</v>
      </c>
      <c r="D788" s="9" t="s">
        <v>1894</v>
      </c>
      <c r="E788" s="9" t="s">
        <v>762</v>
      </c>
      <c r="F788" s="9" t="s">
        <v>848</v>
      </c>
      <c r="H788" s="9" t="s">
        <v>882</v>
      </c>
      <c r="M788" s="6" t="n">
        <v>2675.11</v>
      </c>
      <c r="P788" s="51" t="n">
        <v>37865</v>
      </c>
      <c r="Q788" s="1" t="n">
        <f aca="false">IF(OR($A498="",P498=""),"",ROUND(YEARFRAC(P498,README!$C$5),1))</f>
        <v>32.3</v>
      </c>
      <c r="S788" s="6" t="n">
        <v>2400</v>
      </c>
      <c r="T788" s="6" t="n">
        <v>2333</v>
      </c>
      <c r="U788" s="6" t="n">
        <v>3580</v>
      </c>
      <c r="V788" s="6" t="n">
        <v>1247</v>
      </c>
      <c r="W788" s="6" t="n">
        <v>0.951</v>
      </c>
      <c r="X788" s="6" t="n">
        <v>1</v>
      </c>
      <c r="Z788" s="6" t="s">
        <v>3034</v>
      </c>
      <c r="AA788" s="9" t="s">
        <v>774</v>
      </c>
      <c r="AB788" s="6" t="s">
        <v>3181</v>
      </c>
      <c r="AC788" s="27" t="n">
        <f aca="false">COUNTIF(環境認証!$A$2:$A$849,A498)</f>
        <v>1</v>
      </c>
      <c r="AD788" s="6" t="n">
        <v>53.5</v>
      </c>
      <c r="AE788" s="6" t="n">
        <v>49.2</v>
      </c>
    </row>
    <row r="789" customFormat="false" ht="15" hidden="false" customHeight="true" outlineLevel="0" collapsed="false">
      <c r="A789" s="6" t="s">
        <v>3182</v>
      </c>
      <c r="B789" s="6" t="s">
        <v>538</v>
      </c>
      <c r="C789" s="9" t="s">
        <v>3183</v>
      </c>
      <c r="D789" s="9" t="s">
        <v>1894</v>
      </c>
      <c r="E789" s="9" t="s">
        <v>762</v>
      </c>
      <c r="F789" s="9" t="s">
        <v>771</v>
      </c>
      <c r="H789" s="9" t="s">
        <v>772</v>
      </c>
      <c r="M789" s="6" t="n">
        <v>1889.5</v>
      </c>
      <c r="P789" s="51" t="n">
        <v>39904</v>
      </c>
      <c r="Q789" s="1" t="n">
        <f aca="false">IF(OR($A499="",P499=""),"",ROUND(YEARFRAC(P499,README!$C$5),1))</f>
        <v>14.6</v>
      </c>
      <c r="S789" s="6" t="n">
        <v>1680</v>
      </c>
      <c r="T789" s="6" t="n">
        <v>1537</v>
      </c>
      <c r="U789" s="6" t="n">
        <v>2320</v>
      </c>
      <c r="V789" s="6" t="n">
        <v>783</v>
      </c>
      <c r="W789" s="6" t="n">
        <v>0.979</v>
      </c>
      <c r="X789" s="6" t="n">
        <v>1</v>
      </c>
      <c r="Z789" s="6" t="s">
        <v>3034</v>
      </c>
      <c r="AA789" s="9" t="s">
        <v>774</v>
      </c>
      <c r="AB789" s="6" t="s">
        <v>3184</v>
      </c>
      <c r="AC789" s="27" t="n">
        <f aca="false">COUNTIF(環境認証!$A$2:$A$849,A499)</f>
        <v>0</v>
      </c>
      <c r="AD789" s="6" t="n">
        <v>50.9</v>
      </c>
      <c r="AE789" s="6" t="n">
        <v>38.1</v>
      </c>
    </row>
    <row r="790" customFormat="false" ht="15" hidden="false" customHeight="true" outlineLevel="0" collapsed="false">
      <c r="A790" s="6" t="s">
        <v>3185</v>
      </c>
      <c r="B790" s="6" t="s">
        <v>538</v>
      </c>
      <c r="C790" s="9" t="s">
        <v>3186</v>
      </c>
      <c r="D790" s="9" t="s">
        <v>1894</v>
      </c>
      <c r="E790" s="9" t="s">
        <v>762</v>
      </c>
      <c r="F790" s="9" t="s">
        <v>782</v>
      </c>
      <c r="H790" s="9" t="s">
        <v>772</v>
      </c>
      <c r="M790" s="6" t="n">
        <v>1199.86</v>
      </c>
      <c r="P790" s="51" t="n">
        <v>40118</v>
      </c>
      <c r="Q790" s="1" t="n">
        <f aca="false">IF(OR($A500="",P500=""),"",ROUND(YEARFRAC(P500,README!$C$5),1))</f>
        <v>47</v>
      </c>
      <c r="S790" s="6" t="n">
        <v>1540</v>
      </c>
      <c r="T790" s="6" t="n">
        <v>1485</v>
      </c>
      <c r="U790" s="6" t="n">
        <v>2260</v>
      </c>
      <c r="V790" s="6" t="n">
        <v>775</v>
      </c>
      <c r="W790" s="6" t="n">
        <v>1</v>
      </c>
      <c r="X790" s="6" t="n">
        <v>1</v>
      </c>
      <c r="Z790" s="6" t="s">
        <v>3034</v>
      </c>
      <c r="AA790" s="9" t="s">
        <v>774</v>
      </c>
      <c r="AB790" s="6" t="s">
        <v>3187</v>
      </c>
      <c r="AC790" s="27" t="n">
        <f aca="false">COUNTIF(環境認証!$A$2:$A$849,A500)</f>
        <v>0</v>
      </c>
      <c r="AD790" s="6" t="n">
        <v>52.2</v>
      </c>
      <c r="AE790" s="6" t="n">
        <v>46.8</v>
      </c>
    </row>
    <row r="791" customFormat="false" ht="15" hidden="false" customHeight="true" outlineLevel="0" collapsed="false">
      <c r="A791" s="6" t="s">
        <v>3188</v>
      </c>
      <c r="B791" s="6" t="s">
        <v>538</v>
      </c>
      <c r="C791" s="9" t="s">
        <v>3189</v>
      </c>
      <c r="D791" s="9" t="s">
        <v>1894</v>
      </c>
      <c r="E791" s="9" t="s">
        <v>762</v>
      </c>
      <c r="F791" s="9" t="s">
        <v>905</v>
      </c>
      <c r="H791" s="9" t="s">
        <v>882</v>
      </c>
      <c r="M791" s="6" t="n">
        <v>1035.78</v>
      </c>
      <c r="P791" s="51" t="n">
        <v>39845</v>
      </c>
      <c r="Q791" s="1" t="n">
        <f aca="false">IF(OR($A501="",P501=""),"",ROUND(YEARFRAC(P501,README!$C$5),1))</f>
        <v>11.9</v>
      </c>
      <c r="S791" s="6" t="n">
        <v>861</v>
      </c>
      <c r="T791" s="6" t="n">
        <v>863</v>
      </c>
      <c r="U791" s="6" t="n">
        <v>1250</v>
      </c>
      <c r="V791" s="6" t="n">
        <v>387</v>
      </c>
      <c r="W791" s="6" t="n">
        <v>0.903</v>
      </c>
      <c r="X791" s="6" t="n">
        <v>1</v>
      </c>
      <c r="Z791" s="6" t="s">
        <v>3034</v>
      </c>
      <c r="AA791" s="9" t="s">
        <v>774</v>
      </c>
      <c r="AB791" s="6" t="s">
        <v>3190</v>
      </c>
      <c r="AC791" s="27" t="n">
        <f aca="false">COUNTIF(環境認証!$A$2:$A$849,A501)</f>
        <v>0</v>
      </c>
      <c r="AD791" s="6" t="n">
        <v>44.8</v>
      </c>
      <c r="AE791" s="6" t="n">
        <v>45.2</v>
      </c>
    </row>
    <row r="792" customFormat="false" ht="15" hidden="false" customHeight="true" outlineLevel="0" collapsed="false">
      <c r="A792" s="6" t="s">
        <v>3191</v>
      </c>
      <c r="B792" s="6" t="s">
        <v>538</v>
      </c>
      <c r="C792" s="9" t="s">
        <v>3192</v>
      </c>
      <c r="D792" s="9" t="s">
        <v>1894</v>
      </c>
      <c r="E792" s="9" t="s">
        <v>762</v>
      </c>
      <c r="F792" s="9" t="s">
        <v>848</v>
      </c>
      <c r="H792" s="9" t="s">
        <v>882</v>
      </c>
      <c r="M792" s="6" t="n">
        <v>1073.59</v>
      </c>
      <c r="P792" s="51" t="n">
        <v>39934</v>
      </c>
      <c r="Q792" s="1" t="n">
        <f aca="false">IF(OR($A502="",P502=""),"",ROUND(YEARFRAC(P502,README!$C$5),1))</f>
        <v>36.9</v>
      </c>
      <c r="S792" s="6" t="n">
        <v>1030</v>
      </c>
      <c r="T792" s="6" t="n">
        <v>957</v>
      </c>
      <c r="U792" s="6" t="n">
        <v>1250</v>
      </c>
      <c r="V792" s="6" t="n">
        <v>293</v>
      </c>
      <c r="W792" s="6" t="n">
        <v>0.974</v>
      </c>
      <c r="X792" s="6" t="n">
        <v>1</v>
      </c>
      <c r="Z792" s="6" t="s">
        <v>3034</v>
      </c>
      <c r="AA792" s="9" t="s">
        <v>774</v>
      </c>
      <c r="AB792" s="6" t="s">
        <v>3193</v>
      </c>
      <c r="AC792" s="27" t="n">
        <f aca="false">COUNTIF(環境認証!$A$2:$A$849,A502)</f>
        <v>2</v>
      </c>
      <c r="AD792" s="6" t="n">
        <v>30.6</v>
      </c>
      <c r="AE792" s="6" t="n">
        <v>21.4</v>
      </c>
    </row>
    <row r="793" customFormat="false" ht="15" hidden="false" customHeight="true" outlineLevel="0" collapsed="false">
      <c r="A793" s="6" t="s">
        <v>3194</v>
      </c>
      <c r="B793" s="6" t="s">
        <v>538</v>
      </c>
      <c r="C793" s="9" t="s">
        <v>3195</v>
      </c>
      <c r="D793" s="9" t="s">
        <v>1894</v>
      </c>
      <c r="E793" s="9" t="s">
        <v>762</v>
      </c>
      <c r="F793" s="9" t="s">
        <v>1152</v>
      </c>
      <c r="H793" s="9" t="s">
        <v>882</v>
      </c>
      <c r="M793" s="6" t="n">
        <v>2023.72</v>
      </c>
      <c r="P793" s="51" t="n">
        <v>39965</v>
      </c>
      <c r="Q793" s="1" t="n">
        <f aca="false">IF(OR($A503="",P503=""),"",ROUND(YEARFRAC(P503,README!$C$5),1))</f>
        <v>36.9</v>
      </c>
      <c r="S793" s="6" t="n">
        <v>1870</v>
      </c>
      <c r="T793" s="6" t="n">
        <v>1834</v>
      </c>
      <c r="U793" s="6" t="n">
        <v>2320</v>
      </c>
      <c r="V793" s="6" t="n">
        <v>486</v>
      </c>
      <c r="W793" s="6" t="n">
        <v>0.877</v>
      </c>
      <c r="X793" s="6" t="n">
        <v>1</v>
      </c>
      <c r="Z793" s="6" t="s">
        <v>3034</v>
      </c>
      <c r="AA793" s="9" t="s">
        <v>774</v>
      </c>
      <c r="AB793" s="6" t="s">
        <v>3196</v>
      </c>
      <c r="AC793" s="27" t="n">
        <f aca="false">COUNTIF(環境認証!$A$2:$A$849,A503)</f>
        <v>2</v>
      </c>
      <c r="AD793" s="6" t="n">
        <v>26.5</v>
      </c>
      <c r="AE793" s="6" t="n">
        <v>24.1</v>
      </c>
    </row>
    <row r="794" customFormat="false" ht="15" hidden="false" customHeight="true" outlineLevel="0" collapsed="false">
      <c r="A794" s="6" t="s">
        <v>3197</v>
      </c>
      <c r="B794" s="6" t="s">
        <v>538</v>
      </c>
      <c r="C794" s="9" t="s">
        <v>3198</v>
      </c>
      <c r="D794" s="9" t="s">
        <v>1894</v>
      </c>
      <c r="E794" s="9" t="s">
        <v>762</v>
      </c>
      <c r="F794" s="9" t="s">
        <v>1152</v>
      </c>
      <c r="H794" s="9" t="s">
        <v>882</v>
      </c>
      <c r="M794" s="6" t="n">
        <v>1107.57</v>
      </c>
      <c r="P794" s="51" t="n">
        <v>40087</v>
      </c>
      <c r="Q794" s="1" t="n">
        <f aca="false">IF(OR($A504="",P504=""),"",ROUND(YEARFRAC(P504,README!$C$5),1))</f>
        <v>25.9</v>
      </c>
      <c r="S794" s="6" t="n">
        <v>1020</v>
      </c>
      <c r="T794" s="6" t="n">
        <v>944</v>
      </c>
      <c r="U794" s="6" t="n">
        <v>1180</v>
      </c>
      <c r="V794" s="6" t="n">
        <v>236</v>
      </c>
      <c r="W794" s="6" t="n">
        <v>0.897</v>
      </c>
      <c r="X794" s="6" t="n">
        <v>1</v>
      </c>
      <c r="Z794" s="6" t="s">
        <v>3034</v>
      </c>
      <c r="AA794" s="9" t="s">
        <v>774</v>
      </c>
      <c r="AB794" s="6" t="s">
        <v>3199</v>
      </c>
      <c r="AC794" s="27" t="n">
        <f aca="false">COUNTIF(環境認証!$A$2:$A$849,A504)</f>
        <v>1</v>
      </c>
      <c r="AD794" s="6" t="n">
        <v>25</v>
      </c>
      <c r="AE794" s="6" t="n">
        <v>15.7</v>
      </c>
    </row>
    <row r="795" customFormat="false" ht="15" hidden="false" customHeight="true" outlineLevel="0" collapsed="false">
      <c r="A795" s="6" t="s">
        <v>3200</v>
      </c>
      <c r="B795" s="6" t="s">
        <v>538</v>
      </c>
      <c r="C795" s="9" t="s">
        <v>3201</v>
      </c>
      <c r="D795" s="9" t="s">
        <v>1894</v>
      </c>
      <c r="E795" s="9" t="s">
        <v>762</v>
      </c>
      <c r="F795" s="9" t="s">
        <v>1152</v>
      </c>
      <c r="H795" s="9" t="s">
        <v>882</v>
      </c>
      <c r="M795" s="6" t="n">
        <v>1299.6</v>
      </c>
      <c r="P795" s="51" t="n">
        <v>39845</v>
      </c>
      <c r="Q795" s="1" t="n">
        <f aca="false">IF(OR($A505="",P505=""),"",ROUND(YEARFRAC(P505,README!$C$5),1))</f>
        <v>36</v>
      </c>
      <c r="S795" s="6" t="n">
        <v>984</v>
      </c>
      <c r="T795" s="6" t="n">
        <v>981</v>
      </c>
      <c r="U795" s="6" t="n">
        <v>1220</v>
      </c>
      <c r="V795" s="6" t="n">
        <v>239</v>
      </c>
      <c r="W795" s="6" t="n">
        <v>0.881</v>
      </c>
      <c r="X795" s="6" t="n">
        <v>1</v>
      </c>
      <c r="Z795" s="6" t="s">
        <v>3034</v>
      </c>
      <c r="AA795" s="9" t="s">
        <v>774</v>
      </c>
      <c r="AB795" s="6" t="s">
        <v>3202</v>
      </c>
      <c r="AC795" s="27" t="n">
        <f aca="false">COUNTIF(環境認証!$A$2:$A$849,A505)</f>
        <v>0</v>
      </c>
      <c r="AD795" s="6" t="n">
        <v>24.4</v>
      </c>
      <c r="AE795" s="6" t="n">
        <v>24</v>
      </c>
    </row>
    <row r="796" customFormat="false" ht="15" hidden="false" customHeight="true" outlineLevel="0" collapsed="false">
      <c r="A796" s="6" t="s">
        <v>3203</v>
      </c>
      <c r="B796" s="6" t="s">
        <v>538</v>
      </c>
      <c r="C796" s="9" t="s">
        <v>3204</v>
      </c>
      <c r="D796" s="9" t="s">
        <v>1894</v>
      </c>
      <c r="E796" s="9" t="s">
        <v>762</v>
      </c>
      <c r="F796" s="9" t="s">
        <v>1152</v>
      </c>
      <c r="H796" s="9" t="s">
        <v>882</v>
      </c>
      <c r="M796" s="6" t="n">
        <v>1531.89</v>
      </c>
      <c r="P796" s="51" t="n">
        <v>40087</v>
      </c>
      <c r="Q796" s="1" t="n">
        <f aca="false">IF(OR($A506="",P506=""),"",ROUND(YEARFRAC(P506,README!$C$5),1))</f>
        <v>9.4</v>
      </c>
      <c r="S796" s="6" t="n">
        <v>1160</v>
      </c>
      <c r="T796" s="6" t="n">
        <v>1056</v>
      </c>
      <c r="U796" s="6" t="n">
        <v>1380</v>
      </c>
      <c r="V796" s="6" t="n">
        <v>324</v>
      </c>
      <c r="W796" s="6" t="n">
        <v>1</v>
      </c>
      <c r="X796" s="6" t="n">
        <v>1</v>
      </c>
      <c r="Z796" s="6" t="s">
        <v>3034</v>
      </c>
      <c r="AA796" s="9" t="s">
        <v>774</v>
      </c>
      <c r="AB796" s="6" t="s">
        <v>3205</v>
      </c>
      <c r="AC796" s="27" t="n">
        <f aca="false">COUNTIF(環境認証!$A$2:$A$849,A506)</f>
        <v>2</v>
      </c>
      <c r="AD796" s="6" t="n">
        <v>30.7</v>
      </c>
      <c r="AE796" s="6" t="n">
        <v>19</v>
      </c>
    </row>
    <row r="797" customFormat="false" ht="15" hidden="false" customHeight="true" outlineLevel="0" collapsed="false">
      <c r="A797" s="6" t="s">
        <v>3206</v>
      </c>
      <c r="B797" s="6" t="s">
        <v>538</v>
      </c>
      <c r="C797" s="9" t="s">
        <v>3207</v>
      </c>
      <c r="D797" s="9" t="s">
        <v>1894</v>
      </c>
      <c r="E797" s="9" t="s">
        <v>762</v>
      </c>
      <c r="F797" s="9" t="s">
        <v>1452</v>
      </c>
      <c r="H797" s="9" t="s">
        <v>882</v>
      </c>
      <c r="M797" s="6" t="n">
        <v>1527.52</v>
      </c>
      <c r="P797" s="51" t="n">
        <v>39873</v>
      </c>
      <c r="Q797" s="1" t="n">
        <f aca="false">IF(OR($A507="",P507=""),"",ROUND(YEARFRAC(P507,README!$C$5),1))</f>
        <v>9.4</v>
      </c>
      <c r="S797" s="6" t="n">
        <v>1160</v>
      </c>
      <c r="T797" s="6" t="n">
        <v>1093</v>
      </c>
      <c r="U797" s="6" t="n">
        <v>1530</v>
      </c>
      <c r="V797" s="6" t="n">
        <v>437</v>
      </c>
      <c r="W797" s="6" t="n">
        <v>0.964</v>
      </c>
      <c r="X797" s="6" t="n">
        <v>1</v>
      </c>
      <c r="Z797" s="6" t="s">
        <v>3034</v>
      </c>
      <c r="AA797" s="9" t="s">
        <v>774</v>
      </c>
      <c r="AB797" s="6" t="s">
        <v>3208</v>
      </c>
      <c r="AC797" s="27" t="n">
        <f aca="false">COUNTIF(環境認証!$A$2:$A$849,A507)</f>
        <v>0</v>
      </c>
      <c r="AD797" s="6" t="n">
        <v>40</v>
      </c>
      <c r="AE797" s="6" t="n">
        <v>31.9</v>
      </c>
    </row>
    <row r="798" customFormat="false" ht="15" hidden="false" customHeight="true" outlineLevel="0" collapsed="false">
      <c r="A798" s="6" t="s">
        <v>3209</v>
      </c>
      <c r="B798" s="6" t="s">
        <v>538</v>
      </c>
      <c r="C798" s="9" t="s">
        <v>3210</v>
      </c>
      <c r="D798" s="9" t="s">
        <v>1894</v>
      </c>
      <c r="E798" s="9" t="s">
        <v>762</v>
      </c>
      <c r="F798" s="9" t="s">
        <v>1316</v>
      </c>
      <c r="H798" s="9" t="s">
        <v>882</v>
      </c>
      <c r="M798" s="6" t="n">
        <v>3180.9</v>
      </c>
      <c r="P798" s="51" t="n">
        <v>40269</v>
      </c>
      <c r="Q798" s="1" t="n">
        <f aca="false">IF(OR($A508="",P508=""),"",ROUND(YEARFRAC(P508,README!$C$5),1))</f>
        <v>10.8</v>
      </c>
      <c r="S798" s="6" t="n">
        <v>2490</v>
      </c>
      <c r="T798" s="6" t="n">
        <v>2290</v>
      </c>
      <c r="U798" s="6" t="n">
        <v>3240</v>
      </c>
      <c r="V798" s="6" t="n">
        <v>950</v>
      </c>
      <c r="W798" s="6" t="n">
        <v>0.988</v>
      </c>
      <c r="X798" s="6" t="n">
        <v>1</v>
      </c>
      <c r="Z798" s="6" t="s">
        <v>3034</v>
      </c>
      <c r="AA798" s="9" t="s">
        <v>774</v>
      </c>
      <c r="AB798" s="6" t="s">
        <v>3211</v>
      </c>
      <c r="AC798" s="27" t="n">
        <f aca="false">COUNTIF(環境認証!$A$2:$A$849,A508)</f>
        <v>1</v>
      </c>
      <c r="AD798" s="6" t="n">
        <v>41.5</v>
      </c>
      <c r="AE798" s="6" t="n">
        <v>30.1</v>
      </c>
    </row>
    <row r="799" customFormat="false" ht="15" hidden="false" customHeight="true" outlineLevel="0" collapsed="false">
      <c r="A799" s="6" t="s">
        <v>3212</v>
      </c>
      <c r="B799" s="6" t="s">
        <v>538</v>
      </c>
      <c r="C799" s="9" t="s">
        <v>3213</v>
      </c>
      <c r="D799" s="9" t="s">
        <v>1894</v>
      </c>
      <c r="E799" s="9" t="s">
        <v>762</v>
      </c>
      <c r="F799" s="9" t="s">
        <v>2282</v>
      </c>
      <c r="H799" s="9" t="s">
        <v>882</v>
      </c>
      <c r="M799" s="6" t="n">
        <v>4302.84</v>
      </c>
      <c r="P799" s="51" t="n">
        <v>40118</v>
      </c>
      <c r="Q799" s="1" t="n">
        <f aca="false">IF(OR($A509="",P509=""),"",ROUND(YEARFRAC(P509,README!$C$5),1))</f>
        <v>7.9</v>
      </c>
      <c r="S799" s="6" t="n">
        <v>3290</v>
      </c>
      <c r="T799" s="6" t="n">
        <v>3079</v>
      </c>
      <c r="U799" s="6" t="n">
        <v>3930</v>
      </c>
      <c r="V799" s="6" t="n">
        <v>851</v>
      </c>
      <c r="W799" s="6" t="n">
        <v>0.946</v>
      </c>
      <c r="X799" s="6" t="n">
        <v>1</v>
      </c>
      <c r="Z799" s="6" t="s">
        <v>3034</v>
      </c>
      <c r="AA799" s="9" t="s">
        <v>774</v>
      </c>
      <c r="AB799" s="6" t="s">
        <v>3214</v>
      </c>
      <c r="AC799" s="27" t="n">
        <f aca="false">COUNTIF(環境認証!$A$2:$A$849,A509)</f>
        <v>2</v>
      </c>
      <c r="AD799" s="6" t="n">
        <v>27.6</v>
      </c>
      <c r="AE799" s="6" t="n">
        <v>19.5</v>
      </c>
    </row>
    <row r="800" customFormat="false" ht="15" hidden="false" customHeight="true" outlineLevel="0" collapsed="false">
      <c r="A800" s="6" t="s">
        <v>3215</v>
      </c>
      <c r="B800" s="6" t="s">
        <v>538</v>
      </c>
      <c r="C800" s="9" t="s">
        <v>3216</v>
      </c>
      <c r="D800" s="9" t="s">
        <v>1894</v>
      </c>
      <c r="E800" s="9" t="s">
        <v>762</v>
      </c>
      <c r="F800" s="9" t="s">
        <v>2282</v>
      </c>
      <c r="H800" s="9" t="s">
        <v>882</v>
      </c>
      <c r="M800" s="6" t="n">
        <v>2289.44</v>
      </c>
      <c r="P800" s="51" t="n">
        <v>40360</v>
      </c>
      <c r="Q800" s="1" t="n">
        <f aca="false">IF(OR($A510="",P510=""),"",ROUND(YEARFRAC(P510,README!$C$5),1))</f>
        <v>10</v>
      </c>
      <c r="S800" s="6" t="n">
        <v>1650</v>
      </c>
      <c r="T800" s="6" t="n">
        <v>1490</v>
      </c>
      <c r="U800" s="6" t="n">
        <v>1970</v>
      </c>
      <c r="V800" s="6" t="n">
        <v>480</v>
      </c>
      <c r="W800" s="6" t="n">
        <v>0.908</v>
      </c>
      <c r="X800" s="6" t="n">
        <v>1</v>
      </c>
      <c r="Z800" s="6" t="s">
        <v>3034</v>
      </c>
      <c r="AA800" s="9" t="s">
        <v>774</v>
      </c>
      <c r="AB800" s="6" t="s">
        <v>3217</v>
      </c>
      <c r="AC800" s="27" t="n">
        <f aca="false">COUNTIF(環境認証!$A$2:$A$849,A510)</f>
        <v>0</v>
      </c>
      <c r="AD800" s="6" t="n">
        <v>32.2</v>
      </c>
      <c r="AE800" s="6" t="n">
        <v>19.4</v>
      </c>
    </row>
    <row r="801" customFormat="false" ht="15" hidden="false" customHeight="true" outlineLevel="0" collapsed="false">
      <c r="A801" s="6" t="s">
        <v>3218</v>
      </c>
      <c r="B801" s="6" t="s">
        <v>538</v>
      </c>
      <c r="C801" s="9" t="s">
        <v>3219</v>
      </c>
      <c r="D801" s="9" t="s">
        <v>1894</v>
      </c>
      <c r="E801" s="9" t="s">
        <v>762</v>
      </c>
      <c r="F801" s="9" t="s">
        <v>771</v>
      </c>
      <c r="H801" s="9" t="s">
        <v>772</v>
      </c>
      <c r="M801" s="6" t="n">
        <v>1650.66</v>
      </c>
      <c r="P801" s="51" t="n">
        <v>41214</v>
      </c>
      <c r="Q801" s="1" t="n">
        <f aca="false">IF(OR($A511="",P511=""),"",ROUND(YEARFRAC(P511,README!$C$5),1))</f>
        <v>9</v>
      </c>
      <c r="S801" s="6" t="n">
        <v>1580</v>
      </c>
      <c r="T801" s="6" t="n">
        <v>1433</v>
      </c>
      <c r="U801" s="6" t="n">
        <v>2130</v>
      </c>
      <c r="V801" s="6" t="n">
        <v>697</v>
      </c>
      <c r="W801" s="6" t="n">
        <v>0.985</v>
      </c>
      <c r="X801" s="6" t="n">
        <v>1</v>
      </c>
      <c r="Z801" s="6" t="s">
        <v>3034</v>
      </c>
      <c r="AA801" s="9" t="s">
        <v>774</v>
      </c>
      <c r="AB801" s="6" t="s">
        <v>3220</v>
      </c>
      <c r="AC801" s="27" t="n">
        <f aca="false">COUNTIF(環境認証!$A$2:$A$849,A511)</f>
        <v>0</v>
      </c>
      <c r="AD801" s="6" t="n">
        <v>48.6</v>
      </c>
      <c r="AE801" s="6" t="n">
        <v>34.8</v>
      </c>
    </row>
    <row r="802" customFormat="false" ht="15" hidden="false" customHeight="true" outlineLevel="0" collapsed="false">
      <c r="A802" s="6" t="s">
        <v>3221</v>
      </c>
      <c r="B802" s="6" t="s">
        <v>538</v>
      </c>
      <c r="C802" s="9" t="s">
        <v>3222</v>
      </c>
      <c r="D802" s="9" t="s">
        <v>1894</v>
      </c>
      <c r="E802" s="9" t="s">
        <v>762</v>
      </c>
      <c r="F802" s="9" t="s">
        <v>820</v>
      </c>
      <c r="H802" s="9" t="s">
        <v>772</v>
      </c>
      <c r="M802" s="6" t="n">
        <v>1382.32</v>
      </c>
      <c r="P802" s="51" t="n">
        <v>41214</v>
      </c>
      <c r="Q802" s="1" t="n">
        <f aca="false">IF(OR($A512="",P512=""),"",ROUND(YEARFRAC(P512,README!$C$5),1))</f>
        <v>7.8</v>
      </c>
      <c r="S802" s="6" t="n">
        <v>1460</v>
      </c>
      <c r="T802" s="6" t="n">
        <v>1302</v>
      </c>
      <c r="U802" s="6" t="n">
        <v>1820</v>
      </c>
      <c r="V802" s="6" t="n">
        <v>518</v>
      </c>
      <c r="W802" s="6" t="n">
        <v>0.981</v>
      </c>
      <c r="X802" s="6" t="n">
        <v>1</v>
      </c>
      <c r="Z802" s="6" t="s">
        <v>3034</v>
      </c>
      <c r="AA802" s="9" t="s">
        <v>774</v>
      </c>
      <c r="AB802" s="6" t="s">
        <v>3223</v>
      </c>
      <c r="AC802" s="27" t="n">
        <f aca="false">COUNTIF(環境認証!$A$2:$A$849,A512)</f>
        <v>0</v>
      </c>
      <c r="AD802" s="6" t="n">
        <v>39.8</v>
      </c>
      <c r="AE802" s="6" t="n">
        <v>24.7</v>
      </c>
    </row>
    <row r="803" customFormat="false" ht="15" hidden="false" customHeight="true" outlineLevel="0" collapsed="false">
      <c r="A803" s="6" t="s">
        <v>3224</v>
      </c>
      <c r="B803" s="6" t="s">
        <v>538</v>
      </c>
      <c r="C803" s="9" t="s">
        <v>3225</v>
      </c>
      <c r="D803" s="9" t="s">
        <v>1894</v>
      </c>
      <c r="E803" s="9" t="s">
        <v>762</v>
      </c>
      <c r="F803" s="9" t="s">
        <v>763</v>
      </c>
      <c r="H803" s="9" t="s">
        <v>772</v>
      </c>
      <c r="M803" s="6" t="n">
        <v>1819.9</v>
      </c>
      <c r="P803" s="51" t="n">
        <v>41334</v>
      </c>
      <c r="Q803" s="1" t="n">
        <f aca="false">IF(OR($A513="",P513=""),"",ROUND(YEARFRAC(P513,README!$C$5),1))</f>
        <v>14.1</v>
      </c>
      <c r="S803" s="6" t="n">
        <v>1960</v>
      </c>
      <c r="T803" s="6" t="n">
        <v>1782</v>
      </c>
      <c r="U803" s="6" t="n">
        <v>2340</v>
      </c>
      <c r="V803" s="6" t="n">
        <v>558</v>
      </c>
      <c r="W803" s="6" t="n">
        <v>0.964</v>
      </c>
      <c r="X803" s="6" t="n">
        <v>1</v>
      </c>
      <c r="Z803" s="6" t="s">
        <v>3034</v>
      </c>
      <c r="AA803" s="9" t="s">
        <v>774</v>
      </c>
      <c r="AB803" s="6" t="s">
        <v>3226</v>
      </c>
      <c r="AC803" s="27" t="n">
        <f aca="false">COUNTIF(環境認証!$A$2:$A$849,A513)</f>
        <v>1</v>
      </c>
      <c r="AD803" s="6" t="n">
        <v>31.3</v>
      </c>
      <c r="AE803" s="6" t="n">
        <v>19.4</v>
      </c>
    </row>
    <row r="804" customFormat="false" ht="15" hidden="false" customHeight="true" outlineLevel="0" collapsed="false">
      <c r="A804" s="6" t="s">
        <v>3227</v>
      </c>
      <c r="B804" s="6" t="s">
        <v>538</v>
      </c>
      <c r="C804" s="9" t="s">
        <v>3228</v>
      </c>
      <c r="D804" s="9" t="s">
        <v>1894</v>
      </c>
      <c r="E804" s="9" t="s">
        <v>762</v>
      </c>
      <c r="F804" s="9" t="s">
        <v>848</v>
      </c>
      <c r="H804" s="9" t="s">
        <v>882</v>
      </c>
      <c r="M804" s="6" t="n">
        <v>2512.91</v>
      </c>
      <c r="P804" s="51" t="n">
        <v>40544</v>
      </c>
      <c r="Q804" s="1" t="n">
        <f aca="false">IF(OR($A514="",P514=""),"",ROUND(YEARFRAC(P514,README!$C$5),1))</f>
        <v>36.4</v>
      </c>
      <c r="S804" s="6" t="n">
        <v>2910</v>
      </c>
      <c r="T804" s="6" t="n">
        <v>2863</v>
      </c>
      <c r="U804" s="6" t="n">
        <v>3860</v>
      </c>
      <c r="V804" s="6" t="n">
        <v>997</v>
      </c>
      <c r="W804" s="6" t="n">
        <v>0.965</v>
      </c>
      <c r="X804" s="6" t="n">
        <v>1</v>
      </c>
      <c r="Z804" s="6" t="s">
        <v>3034</v>
      </c>
      <c r="AA804" s="9" t="s">
        <v>774</v>
      </c>
      <c r="AB804" s="6" t="s">
        <v>3229</v>
      </c>
      <c r="AC804" s="27" t="n">
        <f aca="false">COUNTIF(環境認証!$A$2:$A$849,A514)</f>
        <v>0</v>
      </c>
      <c r="AD804" s="6" t="n">
        <v>34.8</v>
      </c>
      <c r="AE804" s="6" t="n">
        <v>32.6</v>
      </c>
    </row>
    <row r="805" customFormat="false" ht="15" hidden="false" customHeight="true" outlineLevel="0" collapsed="false">
      <c r="A805" s="6" t="s">
        <v>3230</v>
      </c>
      <c r="B805" s="6" t="s">
        <v>538</v>
      </c>
      <c r="C805" s="9" t="s">
        <v>3231</v>
      </c>
      <c r="D805" s="9" t="s">
        <v>1894</v>
      </c>
      <c r="E805" s="9" t="s">
        <v>762</v>
      </c>
      <c r="F805" s="9" t="s">
        <v>763</v>
      </c>
      <c r="H805" s="9" t="s">
        <v>772</v>
      </c>
      <c r="M805" s="6" t="n">
        <v>803.36</v>
      </c>
      <c r="P805" s="51" t="n">
        <v>38991</v>
      </c>
      <c r="Q805" s="1" t="n">
        <f aca="false">IF(OR($A515="",P515=""),"",ROUND(YEARFRAC(P515,README!$C$5),1))</f>
        <v>41.1</v>
      </c>
      <c r="S805" s="6" t="n">
        <v>555</v>
      </c>
      <c r="T805" s="6" t="n">
        <v>573</v>
      </c>
      <c r="U805" s="6" t="n">
        <v>662</v>
      </c>
      <c r="V805" s="6" t="n">
        <v>89</v>
      </c>
      <c r="W805" s="6" t="n">
        <v>1</v>
      </c>
      <c r="X805" s="6" t="n">
        <v>1</v>
      </c>
      <c r="Z805" s="6" t="s">
        <v>3034</v>
      </c>
      <c r="AA805" s="9" t="s">
        <v>774</v>
      </c>
      <c r="AB805" s="6" t="s">
        <v>3232</v>
      </c>
      <c r="AC805" s="27" t="n">
        <f aca="false">COUNTIF(環境認証!$A$2:$A$849,A515)</f>
        <v>0</v>
      </c>
      <c r="AD805" s="6" t="n">
        <v>15.5</v>
      </c>
      <c r="AE805" s="6" t="n">
        <v>19.3</v>
      </c>
    </row>
    <row r="806" customFormat="false" ht="15" hidden="false" customHeight="true" outlineLevel="0" collapsed="false">
      <c r="A806" s="6" t="s">
        <v>3233</v>
      </c>
      <c r="B806" s="6" t="s">
        <v>538</v>
      </c>
      <c r="C806" s="9" t="s">
        <v>3234</v>
      </c>
      <c r="D806" s="9" t="s">
        <v>1894</v>
      </c>
      <c r="H806" s="9" t="s">
        <v>837</v>
      </c>
      <c r="M806" s="1" t="n">
        <v>23960.57</v>
      </c>
      <c r="Q806" s="1" t="n">
        <f aca="false">IF(OR($A516="",P516=""),"",ROUND(YEARFRAC(P516,README!$C$5),1))</f>
        <v>20.9</v>
      </c>
      <c r="S806" s="1" t="n">
        <v>11120</v>
      </c>
      <c r="T806" s="1" t="n">
        <v>11413</v>
      </c>
      <c r="U806" s="1" t="n">
        <v>12000</v>
      </c>
      <c r="V806" s="1" t="n">
        <f aca="false">IF($A516="","",IF(OR(T516="",U516=""),"",U516-T516))</f>
        <v>1475</v>
      </c>
      <c r="W806" s="1" t="n">
        <v>1</v>
      </c>
      <c r="X806" s="1" t="n">
        <v>9</v>
      </c>
      <c r="Z806" s="6" t="s">
        <v>3034</v>
      </c>
      <c r="AA806" s="9" t="s">
        <v>774</v>
      </c>
      <c r="AB806" s="6" t="s">
        <v>3235</v>
      </c>
      <c r="AC806" s="27" t="n">
        <f aca="false">COUNTIF(環境認証!$A$2:$A$849,A516)</f>
        <v>0</v>
      </c>
      <c r="AD806" s="1" t="n">
        <v>5.1</v>
      </c>
      <c r="AE806" s="1" t="n">
        <v>7.9</v>
      </c>
    </row>
    <row r="807" customFormat="false" ht="15" hidden="false" customHeight="true" outlineLevel="0" collapsed="false">
      <c r="A807" s="6" t="s">
        <v>3236</v>
      </c>
      <c r="B807" s="6" t="s">
        <v>538</v>
      </c>
      <c r="C807" s="9" t="s">
        <v>3237</v>
      </c>
      <c r="D807" s="9" t="s">
        <v>1894</v>
      </c>
      <c r="E807" s="9" t="s">
        <v>1005</v>
      </c>
      <c r="F807" s="9" t="s">
        <v>1006</v>
      </c>
      <c r="H807" s="6" t="s">
        <v>952</v>
      </c>
      <c r="M807" s="6" t="n">
        <v>5213.51</v>
      </c>
      <c r="P807" s="51" t="n">
        <v>38749</v>
      </c>
      <c r="Q807" s="1" t="n">
        <f aca="false">IF(OR($A517="",P517=""),"",ROUND(YEARFRAC(P517,README!$C$5),1))</f>
        <v>20.9</v>
      </c>
      <c r="S807" s="6" t="n">
        <v>2430</v>
      </c>
      <c r="T807" s="6" t="n">
        <v>2475</v>
      </c>
      <c r="U807" s="6" t="n">
        <v>2740</v>
      </c>
      <c r="V807" s="6" t="n">
        <v>265</v>
      </c>
      <c r="W807" s="6" t="n">
        <v>0.986</v>
      </c>
      <c r="X807" s="6" t="n">
        <v>1</v>
      </c>
      <c r="Z807" s="6" t="s">
        <v>3034</v>
      </c>
      <c r="AA807" s="9" t="s">
        <v>774</v>
      </c>
      <c r="AB807" s="6" t="s">
        <v>3238</v>
      </c>
      <c r="AC807" s="27" t="n">
        <f aca="false">COUNTIF(環境認証!$A$2:$A$849,A517)</f>
        <v>0</v>
      </c>
      <c r="AD807" s="6" t="n">
        <v>10.7</v>
      </c>
      <c r="AE807" s="6" t="n">
        <v>12.8</v>
      </c>
    </row>
    <row r="808" customFormat="false" ht="15" hidden="false" customHeight="true" outlineLevel="0" collapsed="false">
      <c r="A808" s="6" t="s">
        <v>3239</v>
      </c>
      <c r="B808" s="6" t="s">
        <v>538</v>
      </c>
      <c r="C808" s="9" t="s">
        <v>3240</v>
      </c>
      <c r="D808" s="9" t="s">
        <v>1894</v>
      </c>
      <c r="E808" s="9" t="s">
        <v>762</v>
      </c>
      <c r="F808" s="9" t="s">
        <v>1316</v>
      </c>
      <c r="H808" s="9" t="s">
        <v>882</v>
      </c>
      <c r="M808" s="6" t="n">
        <v>9469.65</v>
      </c>
      <c r="P808" s="51" t="n">
        <v>39448</v>
      </c>
      <c r="Q808" s="1" t="n">
        <f aca="false">IF(OR($A518="",P518=""),"",ROUND(YEARFRAC(P518,README!$C$5),1))</f>
        <v>21</v>
      </c>
      <c r="S808" s="6" t="n">
        <v>8250</v>
      </c>
      <c r="T808" s="6" t="n">
        <v>7910</v>
      </c>
      <c r="U808" s="6" t="n">
        <v>11900</v>
      </c>
      <c r="V808" s="6" t="n">
        <v>3990</v>
      </c>
      <c r="W808" s="6" t="n">
        <v>0.952</v>
      </c>
      <c r="X808" s="6" t="n">
        <v>1</v>
      </c>
      <c r="Z808" s="6" t="s">
        <v>3034</v>
      </c>
      <c r="AA808" s="9" t="s">
        <v>774</v>
      </c>
      <c r="AB808" s="6" t="s">
        <v>3241</v>
      </c>
      <c r="AC808" s="27" t="n">
        <f aca="false">COUNTIF(環境認証!$A$2:$A$849,A518)</f>
        <v>0</v>
      </c>
      <c r="AD808" s="6" t="n">
        <v>50.4</v>
      </c>
      <c r="AE808" s="6" t="n">
        <v>44.2</v>
      </c>
    </row>
    <row r="809" customFormat="false" ht="15" hidden="false" customHeight="true" outlineLevel="0" collapsed="false">
      <c r="A809" s="6" t="s">
        <v>3242</v>
      </c>
      <c r="B809" s="6" t="s">
        <v>538</v>
      </c>
      <c r="C809" s="9" t="s">
        <v>3243</v>
      </c>
      <c r="D809" s="9" t="s">
        <v>1894</v>
      </c>
      <c r="E809" s="9" t="s">
        <v>762</v>
      </c>
      <c r="F809" s="9" t="s">
        <v>881</v>
      </c>
      <c r="H809" s="9" t="s">
        <v>882</v>
      </c>
      <c r="M809" s="6" t="n">
        <v>9905.97</v>
      </c>
      <c r="P809" s="51" t="n">
        <v>39326</v>
      </c>
      <c r="Q809" s="1" t="n">
        <f aca="false">IF(OR($A519="",P519=""),"",ROUND(YEARFRAC(P519,README!$C$5),1))</f>
        <v>21.4</v>
      </c>
      <c r="S809" s="6" t="n">
        <v>8630</v>
      </c>
      <c r="T809" s="6" t="n">
        <v>8308</v>
      </c>
      <c r="U809" s="6" t="n">
        <v>12600</v>
      </c>
      <c r="V809" s="6" t="n">
        <v>4292</v>
      </c>
      <c r="W809" s="6" t="n">
        <v>0.968</v>
      </c>
      <c r="X809" s="6" t="n">
        <v>1</v>
      </c>
      <c r="Z809" s="6" t="s">
        <v>3034</v>
      </c>
      <c r="AA809" s="9" t="s">
        <v>774</v>
      </c>
      <c r="AB809" s="6" t="s">
        <v>3244</v>
      </c>
      <c r="AC809" s="27" t="n">
        <f aca="false">COUNTIF(環境認証!$A$2:$A$849,A519)</f>
        <v>0</v>
      </c>
      <c r="AD809" s="6" t="n">
        <v>51.7</v>
      </c>
      <c r="AE809" s="6" t="n">
        <v>46</v>
      </c>
    </row>
    <row r="810" customFormat="false" ht="15" hidden="false" customHeight="true" outlineLevel="0" collapsed="false">
      <c r="A810" s="6" t="s">
        <v>3245</v>
      </c>
      <c r="B810" s="6" t="s">
        <v>538</v>
      </c>
      <c r="C810" s="9" t="s">
        <v>3246</v>
      </c>
      <c r="D810" s="9" t="s">
        <v>1894</v>
      </c>
      <c r="E810" s="9" t="s">
        <v>969</v>
      </c>
      <c r="F810" s="9" t="s">
        <v>970</v>
      </c>
      <c r="H810" s="9" t="s">
        <v>971</v>
      </c>
      <c r="M810" s="6" t="n">
        <v>5704.63</v>
      </c>
      <c r="P810" s="51" t="n">
        <v>39173</v>
      </c>
      <c r="Q810" s="1" t="n">
        <f aca="false">IF(OR($A520="",P520=""),"",ROUND(YEARFRAC(P520,README!$C$5),1))</f>
        <v>10.6</v>
      </c>
      <c r="S810" s="6" t="n">
        <v>2070</v>
      </c>
      <c r="T810" s="6" t="n">
        <v>2064</v>
      </c>
      <c r="U810" s="6" t="n">
        <v>2290</v>
      </c>
      <c r="V810" s="6" t="n">
        <v>226</v>
      </c>
      <c r="W810" s="6" t="n">
        <v>0.93</v>
      </c>
      <c r="X810" s="6" t="n">
        <v>1</v>
      </c>
      <c r="Z810" s="6" t="s">
        <v>3034</v>
      </c>
      <c r="AA810" s="9" t="s">
        <v>774</v>
      </c>
      <c r="AB810" s="6" t="s">
        <v>3247</v>
      </c>
      <c r="AC810" s="27" t="n">
        <f aca="false">COUNTIF(環境認証!$A$2:$A$849,A520)</f>
        <v>0</v>
      </c>
      <c r="AD810" s="6" t="n">
        <v>10.9</v>
      </c>
      <c r="AE810" s="6" t="n">
        <v>10.6</v>
      </c>
    </row>
    <row r="811" customFormat="false" ht="15" hidden="false" customHeight="true" outlineLevel="0" collapsed="false">
      <c r="A811" s="6" t="s">
        <v>3248</v>
      </c>
      <c r="B811" s="6" t="s">
        <v>538</v>
      </c>
      <c r="C811" s="9" t="s">
        <v>3249</v>
      </c>
      <c r="D811" s="9" t="s">
        <v>1894</v>
      </c>
      <c r="E811" s="9" t="s">
        <v>969</v>
      </c>
      <c r="F811" s="9" t="s">
        <v>970</v>
      </c>
      <c r="H811" s="9" t="s">
        <v>971</v>
      </c>
      <c r="M811" s="6" t="n">
        <v>13812.4</v>
      </c>
      <c r="P811" s="51" t="n">
        <v>36465</v>
      </c>
      <c r="Q811" s="1" t="n">
        <f aca="false">IF(OR($A521="",P521=""),"",ROUND(YEARFRAC(P521,README!$C$5),1))</f>
        <v>17.4</v>
      </c>
      <c r="S811" s="6" t="n">
        <v>4490</v>
      </c>
      <c r="T811" s="6" t="n">
        <v>4317</v>
      </c>
      <c r="U811" s="6" t="n">
        <v>4860</v>
      </c>
      <c r="V811" s="6" t="n">
        <v>543</v>
      </c>
      <c r="W811" s="6" t="n">
        <v>1</v>
      </c>
      <c r="X811" s="6" t="n">
        <v>1</v>
      </c>
      <c r="Z811" s="6" t="s">
        <v>3034</v>
      </c>
      <c r="AA811" s="9" t="s">
        <v>774</v>
      </c>
      <c r="AB811" s="6" t="s">
        <v>3250</v>
      </c>
      <c r="AC811" s="27" t="n">
        <f aca="false">COUNTIF(環境認証!$A$2:$A$849,A521)</f>
        <v>0</v>
      </c>
      <c r="AD811" s="6" t="n">
        <v>12.6</v>
      </c>
      <c r="AE811" s="6" t="n">
        <v>8.2</v>
      </c>
    </row>
    <row r="812" customFormat="false" ht="15" hidden="false" customHeight="true" outlineLevel="0" collapsed="false">
      <c r="A812" s="6" t="s">
        <v>3251</v>
      </c>
      <c r="B812" s="6" t="s">
        <v>538</v>
      </c>
      <c r="C812" s="9" t="s">
        <v>3252</v>
      </c>
      <c r="D812" s="9" t="s">
        <v>1894</v>
      </c>
      <c r="E812" s="9" t="s">
        <v>762</v>
      </c>
      <c r="F812" s="9" t="s">
        <v>881</v>
      </c>
      <c r="H812" s="9" t="s">
        <v>882</v>
      </c>
      <c r="M812" s="6" t="n">
        <v>2180.78</v>
      </c>
      <c r="P812" s="51" t="n">
        <v>41395</v>
      </c>
      <c r="Q812" s="1" t="n">
        <f aca="false">IF(OR($A522="",P522=""),"",ROUND(YEARFRAC(P522,README!$C$5),1))</f>
        <v>11.2</v>
      </c>
      <c r="S812" s="6" t="n">
        <v>1930</v>
      </c>
      <c r="T812" s="6" t="n">
        <v>1732</v>
      </c>
      <c r="U812" s="6" t="n">
        <v>2310</v>
      </c>
      <c r="V812" s="6" t="n">
        <v>578</v>
      </c>
      <c r="W812" s="6" t="n">
        <v>0.919</v>
      </c>
      <c r="X812" s="6" t="n">
        <v>1</v>
      </c>
      <c r="Z812" s="6" t="s">
        <v>3034</v>
      </c>
      <c r="AA812" s="9" t="s">
        <v>774</v>
      </c>
      <c r="AB812" s="6" t="s">
        <v>3253</v>
      </c>
      <c r="AC812" s="27" t="n">
        <f aca="false">COUNTIF(環境認証!$A$2:$A$849,A522)</f>
        <v>0</v>
      </c>
      <c r="AD812" s="6" t="n">
        <v>33.4</v>
      </c>
      <c r="AE812" s="6" t="n">
        <v>19.7</v>
      </c>
    </row>
    <row r="813" customFormat="false" ht="15" hidden="false" customHeight="true" outlineLevel="0" collapsed="false">
      <c r="A813" s="6" t="s">
        <v>3254</v>
      </c>
      <c r="B813" s="6" t="s">
        <v>538</v>
      </c>
      <c r="C813" s="9" t="s">
        <v>3255</v>
      </c>
      <c r="D813" s="9" t="s">
        <v>1894</v>
      </c>
      <c r="E813" s="9" t="s">
        <v>762</v>
      </c>
      <c r="F813" s="9" t="s">
        <v>848</v>
      </c>
      <c r="H813" s="9" t="s">
        <v>882</v>
      </c>
      <c r="M813" s="6" t="n">
        <v>2107.88</v>
      </c>
      <c r="P813" s="51" t="n">
        <v>41671</v>
      </c>
      <c r="Q813" s="1" t="n">
        <f aca="false">IF(OR($A523="",P523=""),"",ROUND(YEARFRAC(P523,README!$C$5),1))</f>
        <v>12.2</v>
      </c>
      <c r="S813" s="6" t="n">
        <v>1960</v>
      </c>
      <c r="T813" s="6" t="n">
        <v>1807</v>
      </c>
      <c r="U813" s="6" t="n">
        <v>2330</v>
      </c>
      <c r="V813" s="6" t="n">
        <v>523</v>
      </c>
      <c r="W813" s="6" t="n">
        <v>0.919</v>
      </c>
      <c r="X813" s="6" t="n">
        <v>1</v>
      </c>
      <c r="Z813" s="6" t="s">
        <v>3034</v>
      </c>
      <c r="AA813" s="9" t="s">
        <v>774</v>
      </c>
      <c r="AB813" s="6" t="s">
        <v>3256</v>
      </c>
      <c r="AC813" s="27" t="n">
        <f aca="false">COUNTIF(環境認証!$A$2:$A$849,A523)</f>
        <v>0</v>
      </c>
      <c r="AD813" s="6" t="n">
        <v>28.9</v>
      </c>
      <c r="AE813" s="6" t="n">
        <v>18.9</v>
      </c>
    </row>
    <row r="814" customFormat="false" ht="15" hidden="false" customHeight="true" outlineLevel="0" collapsed="false">
      <c r="A814" s="6" t="s">
        <v>3257</v>
      </c>
      <c r="B814" s="6" t="s">
        <v>538</v>
      </c>
      <c r="C814" s="9" t="s">
        <v>3258</v>
      </c>
      <c r="D814" s="9" t="s">
        <v>1894</v>
      </c>
      <c r="E814" s="9" t="s">
        <v>950</v>
      </c>
      <c r="F814" s="9" t="s">
        <v>951</v>
      </c>
      <c r="H814" s="6" t="s">
        <v>952</v>
      </c>
      <c r="M814" s="6" t="n">
        <v>7360.37</v>
      </c>
      <c r="P814" s="51" t="n">
        <v>39783</v>
      </c>
      <c r="Q814" s="1" t="n">
        <f aca="false">IF(OR($A524="",P524=""),"",ROUND(YEARFRAC(P524,README!$C$5),1))</f>
        <v>9.4</v>
      </c>
      <c r="S814" s="6" t="n">
        <v>3160</v>
      </c>
      <c r="T814" s="6" t="n">
        <v>2903</v>
      </c>
      <c r="U814" s="6" t="n">
        <v>3570</v>
      </c>
      <c r="V814" s="6" t="n">
        <v>667</v>
      </c>
      <c r="W814" s="6" t="n">
        <v>0.931</v>
      </c>
      <c r="X814" s="6" t="n">
        <v>1</v>
      </c>
      <c r="Z814" s="6" t="s">
        <v>3034</v>
      </c>
      <c r="AA814" s="9" t="s">
        <v>774</v>
      </c>
      <c r="AB814" s="6" t="s">
        <v>3259</v>
      </c>
      <c r="AC814" s="27" t="n">
        <f aca="false">COUNTIF(環境認証!$A$2:$A$849,A524)</f>
        <v>0</v>
      </c>
      <c r="AD814" s="6" t="n">
        <v>23</v>
      </c>
      <c r="AE814" s="6" t="n">
        <v>13</v>
      </c>
    </row>
    <row r="815" customFormat="false" ht="15" hidden="false" customHeight="true" outlineLevel="0" collapsed="false">
      <c r="A815" s="6" t="s">
        <v>3260</v>
      </c>
      <c r="B815" s="6" t="s">
        <v>538</v>
      </c>
      <c r="C815" s="9" t="s">
        <v>3261</v>
      </c>
      <c r="D815" s="9" t="s">
        <v>1894</v>
      </c>
      <c r="E815" s="9" t="s">
        <v>950</v>
      </c>
      <c r="F815" s="9" t="s">
        <v>951</v>
      </c>
      <c r="H815" s="6" t="s">
        <v>952</v>
      </c>
      <c r="M815" s="6" t="n">
        <v>6019.09</v>
      </c>
      <c r="P815" s="51" t="n">
        <v>40118</v>
      </c>
      <c r="Q815" s="1" t="n">
        <f aca="false">IF(OR($A525="",P525=""),"",ROUND(YEARFRAC(P525,README!$C$5),1))</f>
        <v>14.3</v>
      </c>
      <c r="S815" s="6" t="n">
        <v>1930</v>
      </c>
      <c r="T815" s="6" t="n">
        <v>1693</v>
      </c>
      <c r="U815" s="6" t="n">
        <v>2320</v>
      </c>
      <c r="V815" s="6" t="n">
        <v>627</v>
      </c>
      <c r="W815" s="6" t="n">
        <v>0.958</v>
      </c>
      <c r="X815" s="6" t="n">
        <v>1</v>
      </c>
      <c r="Z815" s="6" t="s">
        <v>3034</v>
      </c>
      <c r="AA815" s="9" t="s">
        <v>774</v>
      </c>
      <c r="AB815" s="6" t="s">
        <v>3262</v>
      </c>
      <c r="AC815" s="27" t="n">
        <f aca="false">COUNTIF(環境認証!$A$2:$A$849,A525)</f>
        <v>0</v>
      </c>
      <c r="AD815" s="6" t="n">
        <v>37</v>
      </c>
      <c r="AE815" s="6" t="n">
        <v>20.2</v>
      </c>
    </row>
    <row r="816" customFormat="false" ht="15" hidden="false" customHeight="true" outlineLevel="0" collapsed="false">
      <c r="A816" s="6" t="s">
        <v>3263</v>
      </c>
      <c r="B816" s="6" t="s">
        <v>538</v>
      </c>
      <c r="C816" s="9" t="s">
        <v>3264</v>
      </c>
      <c r="D816" s="9" t="s">
        <v>1894</v>
      </c>
      <c r="E816" s="9" t="s">
        <v>950</v>
      </c>
      <c r="F816" s="9" t="s">
        <v>951</v>
      </c>
      <c r="H816" s="6" t="s">
        <v>952</v>
      </c>
      <c r="M816" s="6" t="n">
        <v>4102.08</v>
      </c>
      <c r="P816" s="51" t="n">
        <v>40087</v>
      </c>
      <c r="Q816" s="1" t="n">
        <f aca="false">IF(OR($A526="",P526=""),"",ROUND(YEARFRAC(P526,README!$C$5),1))</f>
        <v>13.4</v>
      </c>
      <c r="S816" s="6" t="n">
        <v>1250</v>
      </c>
      <c r="T816" s="6" t="n">
        <v>1333</v>
      </c>
      <c r="U816" s="6" t="n">
        <v>1430</v>
      </c>
      <c r="V816" s="6" t="n">
        <v>97</v>
      </c>
      <c r="W816" s="6" t="n">
        <v>0.97</v>
      </c>
      <c r="X816" s="6" t="n">
        <v>1</v>
      </c>
      <c r="Z816" s="6" t="s">
        <v>3034</v>
      </c>
      <c r="AA816" s="9" t="s">
        <v>774</v>
      </c>
      <c r="AB816" s="6" t="s">
        <v>3265</v>
      </c>
      <c r="AC816" s="27" t="n">
        <f aca="false">COUNTIF(環境認証!$A$2:$A$849,A526)</f>
        <v>0</v>
      </c>
      <c r="AD816" s="6" t="n">
        <v>7.3</v>
      </c>
      <c r="AE816" s="6" t="n">
        <v>14.4</v>
      </c>
    </row>
    <row r="817" customFormat="false" ht="15" hidden="false" customHeight="true" outlineLevel="0" collapsed="false">
      <c r="A817" s="6" t="s">
        <v>3266</v>
      </c>
      <c r="B817" s="6" t="s">
        <v>538</v>
      </c>
      <c r="C817" s="9" t="s">
        <v>3267</v>
      </c>
      <c r="D817" s="9" t="s">
        <v>1894</v>
      </c>
      <c r="E817" s="9" t="s">
        <v>1005</v>
      </c>
      <c r="F817" s="9" t="s">
        <v>1006</v>
      </c>
      <c r="H817" s="6" t="s">
        <v>952</v>
      </c>
      <c r="M817" s="6" t="n">
        <v>10268.74</v>
      </c>
      <c r="P817" s="51" t="n">
        <v>40575</v>
      </c>
      <c r="Q817" s="1" t="n">
        <f aca="false">IF(OR($A527="",P527=""),"",ROUND(YEARFRAC(P527,README!$C$5),1))</f>
        <v>8.5</v>
      </c>
      <c r="S817" s="6" t="n">
        <v>2309</v>
      </c>
      <c r="T817" s="6" t="n">
        <v>2319</v>
      </c>
      <c r="U817" s="6" t="n">
        <v>3055</v>
      </c>
      <c r="V817" s="6" t="n">
        <v>736</v>
      </c>
      <c r="W817" s="6" t="n">
        <v>0.966</v>
      </c>
      <c r="X817" s="6" t="n">
        <v>1</v>
      </c>
      <c r="Z817" s="6" t="s">
        <v>3034</v>
      </c>
      <c r="AA817" s="9" t="s">
        <v>774</v>
      </c>
      <c r="AB817" s="6" t="s">
        <v>3268</v>
      </c>
      <c r="AC817" s="27" t="n">
        <f aca="false">COUNTIF(環境認証!$A$2:$A$849,A527)</f>
        <v>0</v>
      </c>
      <c r="AD817" s="6" t="n">
        <v>31.7</v>
      </c>
      <c r="AE817" s="6" t="n">
        <v>32.3</v>
      </c>
    </row>
    <row r="818" customFormat="false" ht="15" hidden="false" customHeight="true" outlineLevel="0" collapsed="false">
      <c r="A818" s="6" t="s">
        <v>3269</v>
      </c>
      <c r="B818" s="6" t="s">
        <v>538</v>
      </c>
      <c r="C818" s="9" t="s">
        <v>3270</v>
      </c>
      <c r="D818" s="9" t="s">
        <v>1894</v>
      </c>
      <c r="E818" s="9" t="s">
        <v>762</v>
      </c>
      <c r="F818" s="9" t="s">
        <v>1316</v>
      </c>
      <c r="H818" s="9" t="s">
        <v>882</v>
      </c>
      <c r="M818" s="6" t="n">
        <v>3409.16</v>
      </c>
      <c r="P818" s="51" t="n">
        <v>40544</v>
      </c>
      <c r="Q818" s="1" t="n">
        <f aca="false">IF(OR($A528="",P528=""),"",ROUND(YEARFRAC(P528,README!$C$5),1))</f>
        <v>7.9</v>
      </c>
      <c r="S818" s="6" t="n">
        <v>1910</v>
      </c>
      <c r="T818" s="6" t="n">
        <v>1745</v>
      </c>
      <c r="U818" s="6" t="n">
        <v>2070</v>
      </c>
      <c r="V818" s="6" t="n">
        <v>325</v>
      </c>
      <c r="W818" s="6" t="n">
        <v>1</v>
      </c>
      <c r="X818" s="6" t="n">
        <v>1</v>
      </c>
      <c r="Z818" s="6" t="s">
        <v>3034</v>
      </c>
      <c r="AA818" s="9" t="s">
        <v>774</v>
      </c>
      <c r="AB818" s="6" t="s">
        <v>3271</v>
      </c>
      <c r="AC818" s="27" t="n">
        <f aca="false">COUNTIF(環境認証!$A$2:$A$849,A528)</f>
        <v>0</v>
      </c>
      <c r="AD818" s="6" t="n">
        <v>18.6</v>
      </c>
      <c r="AE818" s="6" t="n">
        <v>8.4</v>
      </c>
    </row>
    <row r="819" customFormat="false" ht="15" hidden="false" customHeight="true" outlineLevel="0" collapsed="false">
      <c r="A819" s="6" t="s">
        <v>3272</v>
      </c>
      <c r="B819" s="6" t="s">
        <v>538</v>
      </c>
      <c r="C819" s="9" t="s">
        <v>3273</v>
      </c>
      <c r="D819" s="9" t="s">
        <v>1894</v>
      </c>
      <c r="E819" s="9" t="s">
        <v>762</v>
      </c>
      <c r="F819" s="9" t="s">
        <v>815</v>
      </c>
      <c r="H819" s="9" t="s">
        <v>772</v>
      </c>
      <c r="M819" s="6" t="n">
        <v>3010.66</v>
      </c>
      <c r="P819" s="51" t="n">
        <v>41791</v>
      </c>
      <c r="Q819" s="1" t="n">
        <f aca="false">IF(OR($A529="",P529=""),"",ROUND(YEARFRAC(P529,README!$C$5),1))</f>
        <v>7.4</v>
      </c>
      <c r="S819" s="6" t="n">
        <v>4360</v>
      </c>
      <c r="T819" s="6" t="n">
        <v>4144</v>
      </c>
      <c r="U819" s="6" t="n">
        <v>5880</v>
      </c>
      <c r="V819" s="6" t="n">
        <v>1736</v>
      </c>
      <c r="W819" s="6" t="n">
        <v>0.95</v>
      </c>
      <c r="X819" s="6" t="n">
        <v>1</v>
      </c>
      <c r="Z819" s="6" t="s">
        <v>3034</v>
      </c>
      <c r="AA819" s="9" t="s">
        <v>774</v>
      </c>
      <c r="AB819" s="6" t="s">
        <v>3274</v>
      </c>
      <c r="AC819" s="27" t="n">
        <f aca="false">COUNTIF(環境認証!$A$2:$A$849,A529)</f>
        <v>0</v>
      </c>
      <c r="AD819" s="6" t="n">
        <v>41.9</v>
      </c>
      <c r="AE819" s="6" t="n">
        <v>34.9</v>
      </c>
    </row>
    <row r="820" customFormat="false" ht="15" hidden="false" customHeight="true" outlineLevel="0" collapsed="false">
      <c r="A820" s="6" t="s">
        <v>3275</v>
      </c>
      <c r="B820" s="6" t="s">
        <v>538</v>
      </c>
      <c r="C820" s="9" t="s">
        <v>3276</v>
      </c>
      <c r="D820" s="9" t="s">
        <v>1894</v>
      </c>
      <c r="H820" s="9" t="s">
        <v>837</v>
      </c>
      <c r="M820" s="1" t="n">
        <v>17443</v>
      </c>
      <c r="Q820" s="1" t="str">
        <f aca="false">IF(OR($A530="",P530=""),"",ROUND(YEARFRAC(P530,README!$C$5),1))</f>
        <v/>
      </c>
      <c r="S820" s="1" t="n">
        <v>13000</v>
      </c>
      <c r="T820" s="1" t="n">
        <v>11709</v>
      </c>
      <c r="U820" s="1" t="n">
        <v>14200</v>
      </c>
      <c r="V820" s="1" t="str">
        <f aca="false">IF($A530="","",IF(OR(T530="",U530=""),"",U530-T530))</f>
        <v/>
      </c>
      <c r="W820" s="1" t="n">
        <v>0.989</v>
      </c>
      <c r="X820" s="1" t="n">
        <v>64</v>
      </c>
      <c r="Z820" s="6" t="s">
        <v>3034</v>
      </c>
      <c r="AA820" s="9" t="s">
        <v>774</v>
      </c>
      <c r="AB820" s="6" t="s">
        <v>3277</v>
      </c>
      <c r="AC820" s="27" t="n">
        <f aca="false">COUNTIF(環境認証!$A$2:$A$849,A530)</f>
        <v>0</v>
      </c>
      <c r="AD820" s="1" t="n">
        <v>21.3</v>
      </c>
      <c r="AE820" s="1" t="n">
        <v>9.2</v>
      </c>
    </row>
    <row r="821" customFormat="false" ht="15" hidden="false" customHeight="true" outlineLevel="0" collapsed="false">
      <c r="A821" s="6" t="s">
        <v>3278</v>
      </c>
      <c r="B821" s="6" t="s">
        <v>538</v>
      </c>
      <c r="C821" s="9" t="s">
        <v>3279</v>
      </c>
      <c r="D821" s="9" t="s">
        <v>1894</v>
      </c>
      <c r="E821" s="9" t="s">
        <v>762</v>
      </c>
      <c r="F821" s="9" t="s">
        <v>3280</v>
      </c>
      <c r="H821" s="9" t="s">
        <v>921</v>
      </c>
      <c r="M821" s="6" t="n">
        <v>2827.55</v>
      </c>
      <c r="P821" s="51" t="n">
        <v>40179</v>
      </c>
      <c r="Q821" s="1" t="n">
        <f aca="false">IF(OR($A531="",P531=""),"",ROUND(YEARFRAC(P531,README!$C$5),1))</f>
        <v>28.4</v>
      </c>
      <c r="S821" s="6" t="n">
        <v>1390</v>
      </c>
      <c r="T821" s="6" t="n">
        <v>1304</v>
      </c>
      <c r="U821" s="6" t="n">
        <v>1840</v>
      </c>
      <c r="V821" s="6" t="n">
        <v>536</v>
      </c>
      <c r="W821" s="6" t="n">
        <v>0.962</v>
      </c>
      <c r="X821" s="6" t="n">
        <v>1</v>
      </c>
      <c r="Z821" s="6" t="s">
        <v>3034</v>
      </c>
      <c r="AA821" s="9" t="s">
        <v>774</v>
      </c>
      <c r="AB821" s="6" t="s">
        <v>3281</v>
      </c>
      <c r="AC821" s="27" t="n">
        <f aca="false">COUNTIF(環境認証!$A$2:$A$849,A531)</f>
        <v>0</v>
      </c>
      <c r="AD821" s="6" t="n">
        <v>41.1</v>
      </c>
      <c r="AE821" s="6" t="n">
        <v>32.4</v>
      </c>
    </row>
    <row r="822" customFormat="false" ht="15" hidden="false" customHeight="true" outlineLevel="0" collapsed="false">
      <c r="A822" s="6" t="s">
        <v>3282</v>
      </c>
      <c r="B822" s="6" t="s">
        <v>538</v>
      </c>
      <c r="C822" s="9" t="s">
        <v>3283</v>
      </c>
      <c r="D822" s="9" t="s">
        <v>1894</v>
      </c>
      <c r="E822" s="9" t="s">
        <v>925</v>
      </c>
      <c r="F822" s="9" t="s">
        <v>926</v>
      </c>
      <c r="H822" s="9" t="s">
        <v>921</v>
      </c>
      <c r="M822" s="6" t="n">
        <v>5461.13</v>
      </c>
      <c r="P822" s="51" t="n">
        <v>41791</v>
      </c>
      <c r="Q822" s="1" t="n">
        <f aca="false">IF(OR($A532="",P532=""),"",ROUND(YEARFRAC(P532,README!$C$5),1))</f>
        <v>24.9</v>
      </c>
      <c r="S822" s="6" t="n">
        <v>4870</v>
      </c>
      <c r="T822" s="6" t="n">
        <v>4364</v>
      </c>
      <c r="U822" s="6" t="n">
        <v>5480</v>
      </c>
      <c r="V822" s="6" t="n">
        <v>1116</v>
      </c>
      <c r="W822" s="6" t="n">
        <v>0.995</v>
      </c>
      <c r="X822" s="6" t="n">
        <v>1</v>
      </c>
      <c r="Z822" s="6" t="s">
        <v>3034</v>
      </c>
      <c r="AA822" s="9" t="s">
        <v>774</v>
      </c>
      <c r="AB822" s="6" t="s">
        <v>3284</v>
      </c>
      <c r="AC822" s="27" t="n">
        <f aca="false">COUNTIF(環境認証!$A$2:$A$849,A532)</f>
        <v>0</v>
      </c>
      <c r="AD822" s="6" t="n">
        <v>25.6</v>
      </c>
      <c r="AE822" s="6" t="n">
        <v>12.5</v>
      </c>
    </row>
    <row r="823" customFormat="false" ht="15" hidden="false" customHeight="true" outlineLevel="0" collapsed="false">
      <c r="A823" s="6" t="s">
        <v>3285</v>
      </c>
      <c r="B823" s="6" t="s">
        <v>538</v>
      </c>
      <c r="C823" s="9" t="s">
        <v>3286</v>
      </c>
      <c r="D823" s="9" t="s">
        <v>1894</v>
      </c>
      <c r="E823" s="9" t="s">
        <v>1242</v>
      </c>
      <c r="F823" s="9" t="s">
        <v>2095</v>
      </c>
      <c r="H823" s="9" t="s">
        <v>971</v>
      </c>
      <c r="M823" s="6" t="n">
        <v>15341.68</v>
      </c>
      <c r="P823" s="51" t="n">
        <v>37288</v>
      </c>
      <c r="Q823" s="1" t="n">
        <f aca="false">IF(OR($A533="",P533=""),"",ROUND(YEARFRAC(P533,README!$C$5),1))</f>
        <v>29.3</v>
      </c>
      <c r="S823" s="6" t="n">
        <v>5880</v>
      </c>
      <c r="T823" s="6" t="n">
        <v>5246</v>
      </c>
      <c r="U823" s="6" t="n">
        <v>6000</v>
      </c>
      <c r="V823" s="6" t="n">
        <v>754</v>
      </c>
      <c r="W823" s="6" t="n">
        <v>1</v>
      </c>
      <c r="X823" s="6" t="n">
        <v>1</v>
      </c>
      <c r="Z823" s="6" t="s">
        <v>3034</v>
      </c>
      <c r="AA823" s="9" t="s">
        <v>774</v>
      </c>
      <c r="AB823" s="6" t="s">
        <v>3287</v>
      </c>
      <c r="AC823" s="27" t="n">
        <f aca="false">COUNTIF(環境認証!$A$2:$A$849,A533)</f>
        <v>0</v>
      </c>
      <c r="AD823" s="6" t="n">
        <v>14.4</v>
      </c>
      <c r="AE823" s="6" t="n">
        <v>2</v>
      </c>
    </row>
    <row r="824" customFormat="false" ht="15" hidden="false" customHeight="true" outlineLevel="0" collapsed="false">
      <c r="A824" s="6" t="s">
        <v>3288</v>
      </c>
      <c r="B824" s="6" t="s">
        <v>538</v>
      </c>
      <c r="C824" s="9" t="s">
        <v>3289</v>
      </c>
      <c r="D824" s="9" t="s">
        <v>1894</v>
      </c>
      <c r="E824" s="9" t="s">
        <v>762</v>
      </c>
      <c r="F824" s="9" t="s">
        <v>815</v>
      </c>
      <c r="H824" s="9" t="s">
        <v>772</v>
      </c>
      <c r="M824" s="6" t="n">
        <v>1972.59</v>
      </c>
      <c r="P824" s="51" t="n">
        <v>41821</v>
      </c>
      <c r="Q824" s="1" t="n">
        <f aca="false">IF(OR($A534="",P534=""),"",ROUND(YEARFRAC(P534,README!$C$5),1))</f>
        <v>12.1</v>
      </c>
      <c r="S824" s="6" t="n">
        <v>2430</v>
      </c>
      <c r="T824" s="6" t="n">
        <v>2331</v>
      </c>
      <c r="U824" s="6" t="n">
        <v>3020</v>
      </c>
      <c r="V824" s="6" t="n">
        <v>689</v>
      </c>
      <c r="W824" s="6" t="n">
        <v>0.987</v>
      </c>
      <c r="X824" s="6" t="n">
        <v>1</v>
      </c>
      <c r="Z824" s="6" t="s">
        <v>3034</v>
      </c>
      <c r="AA824" s="9" t="s">
        <v>774</v>
      </c>
      <c r="AB824" s="6" t="s">
        <v>3290</v>
      </c>
      <c r="AC824" s="27" t="n">
        <f aca="false">COUNTIF(環境認証!$A$2:$A$849,A534)</f>
        <v>0</v>
      </c>
      <c r="AD824" s="6" t="n">
        <v>29.6</v>
      </c>
      <c r="AE824" s="6" t="n">
        <v>24.3</v>
      </c>
    </row>
    <row r="825" customFormat="false" ht="15" hidden="false" customHeight="true" outlineLevel="0" collapsed="false">
      <c r="A825" s="6" t="s">
        <v>3291</v>
      </c>
      <c r="B825" s="6" t="s">
        <v>538</v>
      </c>
      <c r="C825" s="9" t="s">
        <v>3292</v>
      </c>
      <c r="D825" s="9" t="s">
        <v>1894</v>
      </c>
      <c r="E825" s="9" t="s">
        <v>762</v>
      </c>
      <c r="F825" s="9" t="s">
        <v>815</v>
      </c>
      <c r="H825" s="9" t="s">
        <v>772</v>
      </c>
      <c r="M825" s="6" t="n">
        <v>2879.2</v>
      </c>
      <c r="P825" s="51" t="n">
        <v>41974</v>
      </c>
      <c r="Q825" s="1" t="n">
        <f aca="false">IF(OR($A535="",P535=""),"",ROUND(YEARFRAC(P535,README!$C$5),1))</f>
        <v>24.6</v>
      </c>
      <c r="S825" s="6" t="n">
        <v>3010</v>
      </c>
      <c r="T825" s="6" t="n">
        <v>2808</v>
      </c>
      <c r="U825" s="6" t="n">
        <v>3550</v>
      </c>
      <c r="V825" s="6" t="n">
        <v>742</v>
      </c>
      <c r="W825" s="6" t="n">
        <v>0.965</v>
      </c>
      <c r="X825" s="6" t="n">
        <v>1</v>
      </c>
      <c r="Z825" s="6" t="s">
        <v>3034</v>
      </c>
      <c r="AA825" s="9" t="s">
        <v>774</v>
      </c>
      <c r="AB825" s="6" t="s">
        <v>3293</v>
      </c>
      <c r="AC825" s="27" t="n">
        <f aca="false">COUNTIF(環境認証!$A$2:$A$849,A535)</f>
        <v>0</v>
      </c>
      <c r="AD825" s="6" t="n">
        <v>26.4</v>
      </c>
      <c r="AE825" s="6" t="n">
        <v>17.9</v>
      </c>
    </row>
    <row r="826" customFormat="false" ht="15" hidden="false" customHeight="true" outlineLevel="0" collapsed="false">
      <c r="A826" s="6" t="s">
        <v>3294</v>
      </c>
      <c r="B826" s="6" t="s">
        <v>538</v>
      </c>
      <c r="C826" s="9" t="s">
        <v>3295</v>
      </c>
      <c r="D826" s="9" t="s">
        <v>1894</v>
      </c>
      <c r="E826" s="9" t="s">
        <v>981</v>
      </c>
      <c r="F826" s="9" t="s">
        <v>982</v>
      </c>
      <c r="H826" s="9" t="s">
        <v>971</v>
      </c>
      <c r="M826" s="6" t="n">
        <v>2225.52</v>
      </c>
      <c r="P826" s="51" t="n">
        <v>38565</v>
      </c>
      <c r="Q826" s="1" t="n">
        <f aca="false">IF(OR($A536="",P536=""),"",ROUND(YEARFRAC(P536,README!$C$5),1))</f>
        <v>25.3</v>
      </c>
      <c r="S826" s="6" t="n">
        <v>1040</v>
      </c>
      <c r="T826" s="6" t="n">
        <v>1016</v>
      </c>
      <c r="U826" s="6" t="n">
        <v>1210</v>
      </c>
      <c r="V826" s="6" t="n">
        <v>194</v>
      </c>
      <c r="W826" s="6" t="n">
        <v>0.951</v>
      </c>
      <c r="X826" s="6" t="n">
        <v>1</v>
      </c>
      <c r="Z826" s="6" t="s">
        <v>3034</v>
      </c>
      <c r="AA826" s="9" t="s">
        <v>774</v>
      </c>
      <c r="AB826" s="6" t="s">
        <v>3296</v>
      </c>
      <c r="AC826" s="27" t="n">
        <f aca="false">COUNTIF(環境認証!$A$2:$A$849,A536)</f>
        <v>0</v>
      </c>
      <c r="AD826" s="6" t="n">
        <v>19.1</v>
      </c>
      <c r="AE826" s="6" t="n">
        <v>16.3</v>
      </c>
    </row>
    <row r="827" customFormat="false" ht="15" hidden="false" customHeight="true" outlineLevel="0" collapsed="false">
      <c r="A827" s="6" t="s">
        <v>3297</v>
      </c>
      <c r="B827" s="6" t="s">
        <v>538</v>
      </c>
      <c r="C827" s="9" t="s">
        <v>3298</v>
      </c>
      <c r="D827" s="9" t="s">
        <v>1894</v>
      </c>
      <c r="E827" s="9" t="s">
        <v>762</v>
      </c>
      <c r="F827" s="9" t="s">
        <v>782</v>
      </c>
      <c r="H827" s="9" t="s">
        <v>772</v>
      </c>
      <c r="M827" s="6" t="n">
        <v>3923.76</v>
      </c>
      <c r="P827" s="51" t="n">
        <v>42156</v>
      </c>
      <c r="Q827" s="1" t="n">
        <f aca="false">IF(OR($A537="",P537=""),"",ROUND(YEARFRAC(P537,README!$C$5),1))</f>
        <v>11.2</v>
      </c>
      <c r="S827" s="6" t="n">
        <v>4900</v>
      </c>
      <c r="T827" s="6" t="n">
        <v>4665</v>
      </c>
      <c r="U827" s="6" t="n">
        <v>5850</v>
      </c>
      <c r="V827" s="6" t="n">
        <v>1185</v>
      </c>
      <c r="W827" s="6" t="n">
        <v>0.982</v>
      </c>
      <c r="X827" s="6" t="n">
        <v>1</v>
      </c>
      <c r="Z827" s="6" t="s">
        <v>3034</v>
      </c>
      <c r="AA827" s="9" t="s">
        <v>774</v>
      </c>
      <c r="AB827" s="6" t="s">
        <v>3299</v>
      </c>
      <c r="AC827" s="27" t="n">
        <f aca="false">COUNTIF(環境認証!$A$2:$A$849,A537)</f>
        <v>0</v>
      </c>
      <c r="AD827" s="6" t="n">
        <v>25.4</v>
      </c>
      <c r="AE827" s="6" t="n">
        <v>19.4</v>
      </c>
    </row>
    <row r="828" customFormat="false" ht="15" hidden="false" customHeight="true" outlineLevel="0" collapsed="false">
      <c r="A828" s="6" t="s">
        <v>3300</v>
      </c>
      <c r="B828" s="6" t="s">
        <v>538</v>
      </c>
      <c r="C828" s="9" t="s">
        <v>3301</v>
      </c>
      <c r="D828" s="9" t="s">
        <v>1894</v>
      </c>
      <c r="E828" s="9" t="s">
        <v>762</v>
      </c>
      <c r="F828" s="9" t="s">
        <v>771</v>
      </c>
      <c r="H828" s="9" t="s">
        <v>772</v>
      </c>
      <c r="M828" s="6" t="n">
        <v>4099.04</v>
      </c>
      <c r="P828" s="51" t="n">
        <v>42278</v>
      </c>
      <c r="Q828" s="1" t="n">
        <f aca="false">IF(OR($A538="",P538=""),"",ROUND(YEARFRAC(P538,README!$C$5),1))</f>
        <v>10.9</v>
      </c>
      <c r="S828" s="6" t="n">
        <v>4220</v>
      </c>
      <c r="T828" s="6" t="n">
        <v>3983</v>
      </c>
      <c r="U828" s="6" t="n">
        <v>4640</v>
      </c>
      <c r="V828" s="6" t="n">
        <v>657</v>
      </c>
      <c r="W828" s="6" t="n">
        <v>0.955</v>
      </c>
      <c r="X828" s="6" t="n">
        <v>1</v>
      </c>
      <c r="Z828" s="6" t="s">
        <v>3034</v>
      </c>
      <c r="AA828" s="9" t="s">
        <v>774</v>
      </c>
      <c r="AB828" s="6" t="s">
        <v>3302</v>
      </c>
      <c r="AC828" s="27" t="n">
        <f aca="false">COUNTIF(環境認証!$A$2:$A$849,A538)</f>
        <v>1</v>
      </c>
      <c r="AD828" s="6" t="n">
        <v>16.5</v>
      </c>
      <c r="AE828" s="6" t="n">
        <v>10</v>
      </c>
    </row>
    <row r="829" customFormat="false" ht="15" hidden="false" customHeight="true" outlineLevel="0" collapsed="false">
      <c r="A829" s="6" t="s">
        <v>3303</v>
      </c>
      <c r="B829" s="6" t="s">
        <v>538</v>
      </c>
      <c r="C829" s="9" t="s">
        <v>3304</v>
      </c>
      <c r="D829" s="9" t="s">
        <v>1894</v>
      </c>
      <c r="E829" s="9" t="s">
        <v>762</v>
      </c>
      <c r="F829" s="9" t="s">
        <v>1316</v>
      </c>
      <c r="H829" s="9" t="s">
        <v>882</v>
      </c>
      <c r="I829" s="1" t="s">
        <v>3305</v>
      </c>
      <c r="M829" s="6" t="n">
        <v>748.92</v>
      </c>
      <c r="P829" s="51" t="n">
        <v>42767</v>
      </c>
      <c r="Q829" s="1" t="n">
        <f aca="false">IF(OR($A539="",P539=""),"",ROUND(YEARFRAC(P539,README!$C$5),1))</f>
        <v>9.5</v>
      </c>
      <c r="S829" s="6" t="n">
        <v>655</v>
      </c>
      <c r="T829" s="6" t="n">
        <v>606</v>
      </c>
      <c r="U829" s="6" t="n">
        <v>758</v>
      </c>
      <c r="V829" s="6" t="n">
        <v>152</v>
      </c>
      <c r="W829" s="6" t="n">
        <v>1</v>
      </c>
      <c r="X829" s="6" t="n">
        <v>1</v>
      </c>
      <c r="Z829" s="6" t="s">
        <v>3034</v>
      </c>
      <c r="AA829" s="49" t="s">
        <v>774</v>
      </c>
      <c r="AB829" s="6" t="s">
        <v>3306</v>
      </c>
      <c r="AC829" s="27" t="n">
        <f aca="false">COUNTIF(環境認証!$A$2:$A$849,A539)</f>
        <v>0</v>
      </c>
      <c r="AD829" s="6" t="n">
        <v>25.1</v>
      </c>
      <c r="AE829" s="6" t="n">
        <v>15.7</v>
      </c>
    </row>
    <row r="830" customFormat="false" ht="15" hidden="false" customHeight="true" outlineLevel="0" collapsed="false">
      <c r="A830" s="6" t="s">
        <v>3307</v>
      </c>
      <c r="B830" s="6" t="s">
        <v>538</v>
      </c>
      <c r="C830" s="9" t="s">
        <v>3308</v>
      </c>
      <c r="D830" s="9" t="s">
        <v>1894</v>
      </c>
      <c r="E830" s="9" t="s">
        <v>762</v>
      </c>
      <c r="F830" s="9" t="s">
        <v>848</v>
      </c>
      <c r="H830" s="9" t="s">
        <v>882</v>
      </c>
      <c r="M830" s="6" t="n">
        <v>6772.89</v>
      </c>
      <c r="P830" s="51" t="n">
        <v>42491</v>
      </c>
      <c r="Q830" s="1" t="n">
        <f aca="false">IF(OR($A540="",P540=""),"",ROUND(YEARFRAC(P540,README!$C$5),1))</f>
        <v>10.3</v>
      </c>
      <c r="S830" s="6" t="n">
        <v>7950</v>
      </c>
      <c r="T830" s="6" t="n">
        <v>7731</v>
      </c>
      <c r="U830" s="6" t="n">
        <v>11900</v>
      </c>
      <c r="V830" s="6" t="n">
        <v>4169</v>
      </c>
      <c r="W830" s="6" t="n">
        <v>0.951</v>
      </c>
      <c r="X830" s="6" t="n">
        <v>1</v>
      </c>
      <c r="Z830" s="6" t="s">
        <v>3034</v>
      </c>
      <c r="AA830" s="9" t="s">
        <v>774</v>
      </c>
      <c r="AB830" s="6" t="s">
        <v>3309</v>
      </c>
      <c r="AC830" s="27" t="n">
        <f aca="false">COUNTIF(環境認証!$A$2:$A$849,A540)</f>
        <v>1</v>
      </c>
      <c r="AD830" s="6" t="n">
        <v>53.9</v>
      </c>
      <c r="AE830" s="6" t="n">
        <v>49.7</v>
      </c>
    </row>
    <row r="831" customFormat="false" ht="15" hidden="false" customHeight="true" outlineLevel="0" collapsed="false">
      <c r="A831" s="6" t="s">
        <v>3310</v>
      </c>
      <c r="B831" s="6" t="s">
        <v>538</v>
      </c>
      <c r="C831" s="9" t="s">
        <v>3311</v>
      </c>
      <c r="D831" s="9" t="s">
        <v>1894</v>
      </c>
      <c r="E831" s="9" t="s">
        <v>762</v>
      </c>
      <c r="F831" s="9" t="s">
        <v>911</v>
      </c>
      <c r="H831" s="9" t="s">
        <v>882</v>
      </c>
      <c r="M831" s="6" t="n">
        <v>3921.35</v>
      </c>
      <c r="P831" s="51" t="n">
        <v>42736</v>
      </c>
      <c r="Q831" s="1" t="n">
        <f aca="false">IF(OR($A541="",P541=""),"",ROUND(YEARFRAC(P541,README!$C$5),1))</f>
        <v>9.6</v>
      </c>
      <c r="S831" s="6" t="n">
        <v>3700</v>
      </c>
      <c r="T831" s="6" t="n">
        <v>3555</v>
      </c>
      <c r="U831" s="6" t="n">
        <v>5000</v>
      </c>
      <c r="V831" s="6" t="n">
        <v>1445</v>
      </c>
      <c r="W831" s="6" t="n">
        <v>0.98</v>
      </c>
      <c r="X831" s="6" t="n">
        <v>1</v>
      </c>
      <c r="Z831" s="6" t="s">
        <v>3034</v>
      </c>
      <c r="AA831" s="9" t="s">
        <v>774</v>
      </c>
      <c r="AB831" s="6" t="s">
        <v>3312</v>
      </c>
      <c r="AC831" s="27" t="n">
        <f aca="false">COUNTIF(環境認証!$A$2:$A$849,A541)</f>
        <v>0</v>
      </c>
      <c r="AD831" s="6" t="n">
        <v>40.6</v>
      </c>
      <c r="AE831" s="6" t="n">
        <v>35.1</v>
      </c>
    </row>
    <row r="832" customFormat="false" ht="15" hidden="false" customHeight="true" outlineLevel="0" collapsed="false">
      <c r="A832" s="6" t="s">
        <v>3313</v>
      </c>
      <c r="B832" s="6" t="s">
        <v>538</v>
      </c>
      <c r="C832" s="9" t="s">
        <v>3314</v>
      </c>
      <c r="D832" s="9" t="s">
        <v>1894</v>
      </c>
      <c r="E832" s="9" t="s">
        <v>762</v>
      </c>
      <c r="F832" s="9" t="s">
        <v>895</v>
      </c>
      <c r="H832" s="9" t="s">
        <v>882</v>
      </c>
      <c r="M832" s="6" t="n">
        <v>2033.06</v>
      </c>
      <c r="P832" s="51" t="n">
        <v>42644</v>
      </c>
      <c r="Q832" s="1" t="n">
        <f aca="false">IF(OR($A542="",P542=""),"",ROUND(YEARFRAC(P542,README!$C$5),1))</f>
        <v>9.9</v>
      </c>
      <c r="S832" s="6" t="n">
        <v>1680</v>
      </c>
      <c r="T832" s="6" t="n">
        <v>1628</v>
      </c>
      <c r="U832" s="6" t="n">
        <v>2240</v>
      </c>
      <c r="V832" s="6" t="n">
        <v>612</v>
      </c>
      <c r="W832" s="6" t="n">
        <v>0.96</v>
      </c>
      <c r="X832" s="6" t="n">
        <v>1</v>
      </c>
      <c r="Z832" s="6" t="s">
        <v>3034</v>
      </c>
      <c r="AA832" s="9" t="s">
        <v>774</v>
      </c>
      <c r="AB832" s="6" t="s">
        <v>3315</v>
      </c>
      <c r="AC832" s="27" t="n">
        <f aca="false">COUNTIF(環境認証!$A$2:$A$849,A542)</f>
        <v>1</v>
      </c>
      <c r="AD832" s="6" t="n">
        <v>37.6</v>
      </c>
      <c r="AE832" s="6" t="n">
        <v>33.3</v>
      </c>
    </row>
    <row r="833" customFormat="false" ht="15" hidden="false" customHeight="true" outlineLevel="0" collapsed="false">
      <c r="A833" s="6" t="s">
        <v>3316</v>
      </c>
      <c r="B833" s="6" t="s">
        <v>538</v>
      </c>
      <c r="C833" s="9" t="s">
        <v>3317</v>
      </c>
      <c r="D833" s="9" t="s">
        <v>1894</v>
      </c>
      <c r="E833" s="9" t="s">
        <v>762</v>
      </c>
      <c r="F833" s="9" t="s">
        <v>905</v>
      </c>
      <c r="H833" s="9" t="s">
        <v>882</v>
      </c>
      <c r="M833" s="6" t="n">
        <v>1779.17</v>
      </c>
      <c r="P833" s="51" t="n">
        <v>42736</v>
      </c>
      <c r="Q833" s="1" t="n">
        <f aca="false">IF(OR($A543="",P543=""),"",ROUND(YEARFRAC(P543,README!$C$5),1))</f>
        <v>9.6</v>
      </c>
      <c r="S833" s="6" t="n">
        <v>2520</v>
      </c>
      <c r="T833" s="6" t="n">
        <v>2458</v>
      </c>
      <c r="U833" s="6" t="n">
        <v>3570</v>
      </c>
      <c r="V833" s="6" t="n">
        <v>1112</v>
      </c>
      <c r="W833" s="6" t="n">
        <v>1</v>
      </c>
      <c r="X833" s="6" t="n">
        <v>1</v>
      </c>
      <c r="Z833" s="6" t="s">
        <v>3034</v>
      </c>
      <c r="AA833" s="9" t="s">
        <v>774</v>
      </c>
      <c r="AB833" s="6" t="s">
        <v>3318</v>
      </c>
      <c r="AC833" s="27" t="n">
        <f aca="false">COUNTIF(環境認証!$A$2:$A$849,A543)</f>
        <v>1</v>
      </c>
      <c r="AD833" s="6" t="n">
        <v>45.2</v>
      </c>
      <c r="AE833" s="6" t="n">
        <v>41.7</v>
      </c>
    </row>
    <row r="834" customFormat="false" ht="15" hidden="false" customHeight="true" outlineLevel="0" collapsed="false">
      <c r="A834" s="6" t="s">
        <v>3319</v>
      </c>
      <c r="B834" s="6" t="s">
        <v>538</v>
      </c>
      <c r="C834" s="9" t="s">
        <v>3320</v>
      </c>
      <c r="D834" s="9" t="s">
        <v>1894</v>
      </c>
      <c r="E834" s="9" t="s">
        <v>762</v>
      </c>
      <c r="F834" s="9" t="s">
        <v>848</v>
      </c>
      <c r="H834" s="9" t="s">
        <v>882</v>
      </c>
      <c r="M834" s="6" t="n">
        <v>3569.73</v>
      </c>
      <c r="P834" s="51" t="n">
        <v>40544</v>
      </c>
      <c r="Q834" s="1" t="n">
        <f aca="false">IF(OR($A544="",P544=""),"",ROUND(YEARFRAC(P544,README!$C$5),1))</f>
        <v>15.6</v>
      </c>
      <c r="S834" s="6" t="n">
        <v>3400</v>
      </c>
      <c r="T834" s="6" t="n">
        <v>3356</v>
      </c>
      <c r="U834" s="6" t="n">
        <v>5690</v>
      </c>
      <c r="V834" s="6" t="n">
        <v>2334</v>
      </c>
      <c r="W834" s="6" t="n">
        <v>0.891</v>
      </c>
      <c r="X834" s="6" t="n">
        <v>1</v>
      </c>
      <c r="Z834" s="6" t="s">
        <v>3034</v>
      </c>
      <c r="AA834" s="9" t="s">
        <v>774</v>
      </c>
      <c r="AB834" s="6" t="s">
        <v>3321</v>
      </c>
      <c r="AC834" s="27" t="n">
        <f aca="false">COUNTIF(環境認証!$A$2:$A$849,A544)</f>
        <v>1</v>
      </c>
      <c r="AD834" s="6" t="n">
        <v>69.5</v>
      </c>
      <c r="AE834" s="6" t="n">
        <v>67.4</v>
      </c>
    </row>
    <row r="835" customFormat="false" ht="15" hidden="false" customHeight="true" outlineLevel="0" collapsed="false">
      <c r="A835" s="6" t="s">
        <v>3322</v>
      </c>
      <c r="B835" s="6" t="s">
        <v>538</v>
      </c>
      <c r="C835" s="9" t="s">
        <v>3323</v>
      </c>
      <c r="D835" s="9" t="s">
        <v>1894</v>
      </c>
      <c r="E835" s="9" t="s">
        <v>762</v>
      </c>
      <c r="F835" s="9" t="s">
        <v>881</v>
      </c>
      <c r="H835" s="9" t="s">
        <v>882</v>
      </c>
      <c r="M835" s="6" t="n">
        <v>23538.73</v>
      </c>
      <c r="P835" s="51" t="n">
        <v>39479</v>
      </c>
      <c r="Q835" s="1" t="n">
        <f aca="false">IF(OR($A545="",P545=""),"",ROUND(YEARFRAC(P545,README!$C$5),1))</f>
        <v>18.5</v>
      </c>
      <c r="S835" s="6" t="n">
        <v>6050</v>
      </c>
      <c r="T835" s="6" t="n">
        <v>6065</v>
      </c>
      <c r="U835" s="6" t="n">
        <v>8060</v>
      </c>
      <c r="V835" s="6" t="n">
        <v>1995</v>
      </c>
      <c r="W835" s="6" t="n">
        <v>0.928</v>
      </c>
      <c r="X835" s="6" t="n">
        <v>1</v>
      </c>
      <c r="Z835" s="6" t="s">
        <v>3034</v>
      </c>
      <c r="AA835" s="9" t="s">
        <v>774</v>
      </c>
      <c r="AB835" s="6" t="s">
        <v>3324</v>
      </c>
      <c r="AC835" s="27" t="n">
        <f aca="false">COUNTIF(環境認証!$A$2:$A$849,A545)</f>
        <v>1</v>
      </c>
      <c r="AD835" s="6" t="n">
        <v>32.9</v>
      </c>
      <c r="AE835" s="6" t="n">
        <v>33.2</v>
      </c>
    </row>
    <row r="836" customFormat="false" ht="15" hidden="false" customHeight="true" outlineLevel="0" collapsed="false">
      <c r="A836" s="6" t="s">
        <v>3325</v>
      </c>
      <c r="B836" s="6" t="s">
        <v>538</v>
      </c>
      <c r="C836" s="9" t="s">
        <v>3326</v>
      </c>
      <c r="D836" s="9" t="s">
        <v>1894</v>
      </c>
      <c r="E836" s="9" t="s">
        <v>1005</v>
      </c>
      <c r="F836" s="9" t="s">
        <v>1006</v>
      </c>
      <c r="H836" s="6" t="s">
        <v>952</v>
      </c>
      <c r="M836" s="6" t="n">
        <v>1430.6</v>
      </c>
      <c r="P836" s="51" t="n">
        <v>39448</v>
      </c>
      <c r="Q836" s="1" t="n">
        <f aca="false">IF(OR($A546="",P546=""),"",ROUND(YEARFRAC(P546,README!$C$5),1))</f>
        <v>18.6</v>
      </c>
      <c r="S836" s="6" t="n">
        <v>390</v>
      </c>
      <c r="T836" s="6" t="n">
        <v>424</v>
      </c>
      <c r="U836" s="6" t="n">
        <v>455</v>
      </c>
      <c r="V836" s="6" t="n">
        <v>31</v>
      </c>
      <c r="W836" s="6" t="n">
        <v>1</v>
      </c>
      <c r="X836" s="6" t="n">
        <v>1</v>
      </c>
      <c r="Z836" s="6" t="s">
        <v>3034</v>
      </c>
      <c r="AA836" s="9" t="s">
        <v>774</v>
      </c>
      <c r="AB836" s="6" t="s">
        <v>3327</v>
      </c>
      <c r="AC836" s="27" t="n">
        <f aca="false">COUNTIF(環境認証!$A$2:$A$849,A546)</f>
        <v>0</v>
      </c>
      <c r="AD836" s="6" t="n">
        <v>7.3</v>
      </c>
      <c r="AE836" s="6" t="n">
        <v>16.7</v>
      </c>
    </row>
    <row r="837" customFormat="false" ht="15" hidden="false" customHeight="true" outlineLevel="0" collapsed="false">
      <c r="A837" s="6" t="s">
        <v>3328</v>
      </c>
      <c r="B837" s="6" t="s">
        <v>538</v>
      </c>
      <c r="C837" s="9" t="s">
        <v>3329</v>
      </c>
      <c r="D837" s="9" t="s">
        <v>1894</v>
      </c>
      <c r="E837" s="9" t="s">
        <v>762</v>
      </c>
      <c r="F837" s="9" t="s">
        <v>782</v>
      </c>
      <c r="H837" s="9" t="s">
        <v>772</v>
      </c>
      <c r="M837" s="6" t="n">
        <v>1387.12</v>
      </c>
      <c r="P837" s="51" t="n">
        <v>43009</v>
      </c>
      <c r="Q837" s="1" t="n">
        <f aca="false">IF(OR($A547="",P547=""),"",ROUND(YEARFRAC(P547,README!$C$5),1))</f>
        <v>8.9</v>
      </c>
      <c r="S837" s="6" t="n">
        <v>2040</v>
      </c>
      <c r="T837" s="6" t="n">
        <v>1999</v>
      </c>
      <c r="U837" s="6" t="n">
        <v>2610</v>
      </c>
      <c r="V837" s="6" t="n">
        <v>611</v>
      </c>
      <c r="W837" s="6" t="n">
        <v>0.953</v>
      </c>
      <c r="X837" s="6" t="n">
        <v>1</v>
      </c>
      <c r="Z837" s="6" t="s">
        <v>3034</v>
      </c>
      <c r="AA837" s="9" t="s">
        <v>774</v>
      </c>
      <c r="AB837" s="6" t="s">
        <v>3330</v>
      </c>
      <c r="AC837" s="27" t="n">
        <f aca="false">COUNTIF(環境認証!$A$2:$A$849,A547)</f>
        <v>2</v>
      </c>
      <c r="AD837" s="6" t="n">
        <v>30.6</v>
      </c>
      <c r="AE837" s="6" t="n">
        <v>27.9</v>
      </c>
    </row>
    <row r="838" customFormat="false" ht="15" hidden="false" customHeight="true" outlineLevel="0" collapsed="false">
      <c r="A838" s="6" t="s">
        <v>3331</v>
      </c>
      <c r="B838" s="6" t="s">
        <v>538</v>
      </c>
      <c r="C838" s="9" t="s">
        <v>3332</v>
      </c>
      <c r="D838" s="9" t="s">
        <v>1894</v>
      </c>
      <c r="E838" s="9" t="s">
        <v>762</v>
      </c>
      <c r="F838" s="9" t="s">
        <v>1676</v>
      </c>
      <c r="H838" s="9" t="s">
        <v>882</v>
      </c>
      <c r="M838" s="6" t="n">
        <v>2423.46</v>
      </c>
      <c r="P838" s="51" t="n">
        <v>43160</v>
      </c>
      <c r="Q838" s="1" t="n">
        <f aca="false">IF(OR($A548="",P548=""),"",ROUND(YEARFRAC(P548,README!$C$5),1))</f>
        <v>8.4</v>
      </c>
      <c r="S838" s="6" t="n">
        <v>2600</v>
      </c>
      <c r="T838" s="6" t="n">
        <v>2530</v>
      </c>
      <c r="U838" s="6" t="n">
        <v>3200</v>
      </c>
      <c r="V838" s="6" t="n">
        <v>670</v>
      </c>
      <c r="W838" s="6" t="n">
        <v>0.947</v>
      </c>
      <c r="X838" s="6" t="n">
        <v>1</v>
      </c>
      <c r="Z838" s="6" t="s">
        <v>3034</v>
      </c>
      <c r="AA838" s="9" t="s">
        <v>774</v>
      </c>
      <c r="AB838" s="6" t="s">
        <v>3333</v>
      </c>
      <c r="AC838" s="27" t="n">
        <f aca="false">COUNTIF(環境認証!$A$2:$A$849,A548)</f>
        <v>0</v>
      </c>
      <c r="AD838" s="6" t="n">
        <v>26.5</v>
      </c>
      <c r="AE838" s="6" t="n">
        <v>23.1</v>
      </c>
    </row>
    <row r="839" customFormat="false" ht="15" hidden="false" customHeight="true" outlineLevel="0" collapsed="false">
      <c r="A839" s="6" t="s">
        <v>3334</v>
      </c>
      <c r="B839" s="6" t="s">
        <v>538</v>
      </c>
      <c r="C839" s="9" t="s">
        <v>3335</v>
      </c>
      <c r="D839" s="9" t="s">
        <v>1894</v>
      </c>
      <c r="E839" s="9" t="s">
        <v>762</v>
      </c>
      <c r="F839" s="9" t="s">
        <v>895</v>
      </c>
      <c r="H839" s="9" t="s">
        <v>882</v>
      </c>
      <c r="M839" s="6" t="n">
        <v>2259.4</v>
      </c>
      <c r="P839" s="51" t="n">
        <v>43405</v>
      </c>
      <c r="Q839" s="1" t="n">
        <f aca="false">IF(OR($A549="",P549=""),"",ROUND(YEARFRAC(P549,README!$C$5),1))</f>
        <v>7.8</v>
      </c>
      <c r="S839" s="6" t="n">
        <v>2190</v>
      </c>
      <c r="T839" s="6" t="n">
        <v>2116</v>
      </c>
      <c r="U839" s="6" t="n">
        <v>2620</v>
      </c>
      <c r="V839" s="6" t="n">
        <v>504</v>
      </c>
      <c r="W839" s="6" t="n">
        <v>0.978</v>
      </c>
      <c r="X839" s="6" t="n">
        <v>1</v>
      </c>
      <c r="Z839" s="6" t="s">
        <v>3034</v>
      </c>
      <c r="AA839" s="9" t="s">
        <v>774</v>
      </c>
      <c r="AB839" s="6" t="s">
        <v>3336</v>
      </c>
      <c r="AC839" s="27" t="n">
        <f aca="false">COUNTIF(環境認証!$A$2:$A$849,A549)</f>
        <v>1</v>
      </c>
      <c r="AD839" s="6" t="n">
        <v>23.8</v>
      </c>
      <c r="AE839" s="6" t="n">
        <v>19.6</v>
      </c>
    </row>
    <row r="840" customFormat="false" ht="15" hidden="false" customHeight="true" outlineLevel="0" collapsed="false">
      <c r="A840" s="6" t="s">
        <v>3337</v>
      </c>
      <c r="B840" s="6" t="s">
        <v>538</v>
      </c>
      <c r="C840" s="9" t="s">
        <v>3338</v>
      </c>
      <c r="D840" s="9" t="s">
        <v>1894</v>
      </c>
      <c r="E840" s="9" t="s">
        <v>925</v>
      </c>
      <c r="F840" s="9" t="s">
        <v>926</v>
      </c>
      <c r="H840" s="9" t="s">
        <v>921</v>
      </c>
      <c r="M840" s="6" t="n">
        <v>6808.84</v>
      </c>
      <c r="P840" s="51" t="n">
        <v>33055</v>
      </c>
      <c r="Q840" s="1" t="n">
        <f aca="false">IF(OR($A550="",P550=""),"",ROUND(YEARFRAC(P550,README!$C$5),1))</f>
        <v>36.1</v>
      </c>
      <c r="S840" s="6" t="n">
        <v>3020</v>
      </c>
      <c r="T840" s="6" t="n">
        <v>2926</v>
      </c>
      <c r="U840" s="6" t="n">
        <v>3670</v>
      </c>
      <c r="V840" s="6" t="n">
        <v>744</v>
      </c>
      <c r="W840" s="6" t="n">
        <v>1</v>
      </c>
      <c r="X840" s="6" t="n">
        <v>1</v>
      </c>
      <c r="Z840" s="6" t="s">
        <v>3034</v>
      </c>
      <c r="AA840" s="9" t="s">
        <v>774</v>
      </c>
      <c r="AB840" s="6" t="s">
        <v>3339</v>
      </c>
      <c r="AC840" s="27" t="n">
        <f aca="false">COUNTIF(環境認証!$A$2:$A$849,A550)</f>
        <v>1</v>
      </c>
      <c r="AD840" s="6" t="n">
        <v>25.4</v>
      </c>
      <c r="AE840" s="6" t="n">
        <v>21.5</v>
      </c>
    </row>
    <row r="841" customFormat="false" ht="15" hidden="false" customHeight="true" outlineLevel="0" collapsed="false">
      <c r="A841" s="6" t="s">
        <v>3340</v>
      </c>
      <c r="B841" s="6" t="s">
        <v>538</v>
      </c>
      <c r="C841" s="9" t="s">
        <v>3341</v>
      </c>
      <c r="D841" s="9" t="s">
        <v>1894</v>
      </c>
      <c r="H841" s="9" t="s">
        <v>837</v>
      </c>
      <c r="M841" s="1" t="n">
        <v>2889.66</v>
      </c>
      <c r="Q841" s="1" t="str">
        <f aca="false">IF(OR($A551="",P551=""),"",ROUND(YEARFRAC(P551,README!$C$5),1))</f>
        <v/>
      </c>
      <c r="S841" s="1" t="n">
        <v>4380</v>
      </c>
      <c r="T841" s="1" t="n">
        <v>4347</v>
      </c>
      <c r="U841" s="1" t="n">
        <v>4280</v>
      </c>
      <c r="V841" s="1" t="n">
        <f aca="false">IF($A551="","",IF(OR(T551="",U551=""),"",U551-T551))</f>
        <v>-783</v>
      </c>
      <c r="W841" s="1" t="n">
        <v>0.988</v>
      </c>
      <c r="X841" s="1" t="n">
        <v>1</v>
      </c>
      <c r="Z841" s="6" t="s">
        <v>3034</v>
      </c>
      <c r="AA841" s="9" t="s">
        <v>774</v>
      </c>
      <c r="AB841" s="6" t="s">
        <v>3342</v>
      </c>
      <c r="AC841" s="27" t="n">
        <f aca="false">COUNTIF(環境認証!$A$2:$A$849,A551)</f>
        <v>1</v>
      </c>
      <c r="AD841" s="1" t="n">
        <v>-1.5</v>
      </c>
      <c r="AE841" s="1" t="n">
        <v>-2.3</v>
      </c>
    </row>
    <row r="842" customFormat="false" ht="15" hidden="false" customHeight="true" outlineLevel="0" collapsed="false">
      <c r="A842" s="6" t="s">
        <v>3343</v>
      </c>
      <c r="B842" s="6" t="s">
        <v>538</v>
      </c>
      <c r="C842" s="9" t="s">
        <v>3344</v>
      </c>
      <c r="D842" s="9" t="s">
        <v>1894</v>
      </c>
      <c r="E842" s="9" t="s">
        <v>1197</v>
      </c>
      <c r="F842" s="9" t="s">
        <v>1198</v>
      </c>
      <c r="H842" s="6" t="s">
        <v>952</v>
      </c>
      <c r="M842" s="6" t="n">
        <v>2552.4</v>
      </c>
      <c r="P842" s="51" t="n">
        <v>38718</v>
      </c>
      <c r="Q842" s="1" t="n">
        <f aca="false">IF(OR($A552="",P552=""),"",ROUND(YEARFRAC(P552,README!$C$5),1))</f>
        <v>20.6</v>
      </c>
      <c r="S842" s="6" t="n">
        <v>865</v>
      </c>
      <c r="T842" s="6" t="n">
        <v>959</v>
      </c>
      <c r="U842" s="6" t="n">
        <v>997</v>
      </c>
      <c r="V842" s="6" t="n">
        <v>38</v>
      </c>
      <c r="W842" s="6" t="n">
        <v>1</v>
      </c>
      <c r="X842" s="6" t="n">
        <v>1</v>
      </c>
      <c r="Z842" s="6" t="s">
        <v>3034</v>
      </c>
      <c r="AA842" s="9" t="s">
        <v>774</v>
      </c>
      <c r="AB842" s="6" t="s">
        <v>3345</v>
      </c>
      <c r="AC842" s="27" t="n">
        <f aca="false">COUNTIF(環境認証!$A$2:$A$849,A552)</f>
        <v>1</v>
      </c>
      <c r="AD842" s="6" t="n">
        <v>4</v>
      </c>
      <c r="AE842" s="6" t="n">
        <v>15.3</v>
      </c>
    </row>
    <row r="843" customFormat="false" ht="15" hidden="false" customHeight="true" outlineLevel="0" collapsed="false">
      <c r="A843" s="6" t="s">
        <v>3346</v>
      </c>
      <c r="B843" s="6" t="s">
        <v>538</v>
      </c>
      <c r="C843" s="9" t="s">
        <v>3347</v>
      </c>
      <c r="D843" s="9" t="s">
        <v>1894</v>
      </c>
      <c r="H843" s="9" t="s">
        <v>837</v>
      </c>
      <c r="M843" s="1" t="n">
        <v>2785.42</v>
      </c>
      <c r="Q843" s="1" t="str">
        <f aca="false">IF(OR($A553="",P553=""),"",ROUND(YEARFRAC(P553,README!$C$5),1))</f>
        <v/>
      </c>
      <c r="S843" s="1" t="n">
        <v>3400</v>
      </c>
      <c r="T843" s="1" t="n">
        <v>3371</v>
      </c>
      <c r="U843" s="1" t="n">
        <v>3790</v>
      </c>
      <c r="V843" s="1" t="n">
        <f aca="false">IF($A553="","",IF(OR(T553="",U553=""),"",U553-T553))</f>
        <v>3187</v>
      </c>
      <c r="W843" s="1" t="n">
        <v>0.985</v>
      </c>
      <c r="X843" s="1" t="n">
        <v>1</v>
      </c>
      <c r="Z843" s="6" t="s">
        <v>3034</v>
      </c>
      <c r="AA843" s="9" t="s">
        <v>774</v>
      </c>
      <c r="AB843" s="6" t="s">
        <v>3348</v>
      </c>
      <c r="AC843" s="27" t="n">
        <f aca="false">COUNTIF(環境認証!$A$2:$A$849,A553)</f>
        <v>2</v>
      </c>
      <c r="AD843" s="1" t="n">
        <v>12.4</v>
      </c>
      <c r="AE843" s="1" t="n">
        <v>11.5</v>
      </c>
    </row>
    <row r="844" customFormat="false" ht="15" hidden="false" customHeight="true" outlineLevel="0" collapsed="false">
      <c r="A844" s="6" t="s">
        <v>3349</v>
      </c>
      <c r="B844" s="6" t="s">
        <v>538</v>
      </c>
      <c r="C844" s="9" t="s">
        <v>3350</v>
      </c>
      <c r="D844" s="9" t="s">
        <v>1894</v>
      </c>
      <c r="E844" s="9" t="s">
        <v>969</v>
      </c>
      <c r="F844" s="9" t="s">
        <v>970</v>
      </c>
      <c r="H844" s="9" t="s">
        <v>971</v>
      </c>
      <c r="M844" s="6" t="n">
        <v>2170.8</v>
      </c>
      <c r="P844" s="51" t="n">
        <v>40940</v>
      </c>
      <c r="Q844" s="1" t="n">
        <f aca="false">IF(OR($A554="",P554=""),"",ROUND(YEARFRAC(P554,README!$C$5),1))</f>
        <v>14.5</v>
      </c>
      <c r="S844" s="6" t="n">
        <v>900</v>
      </c>
      <c r="T844" s="6" t="n">
        <v>915</v>
      </c>
      <c r="U844" s="6" t="n">
        <v>965</v>
      </c>
      <c r="V844" s="6" t="n">
        <v>50</v>
      </c>
      <c r="W844" s="6" t="n">
        <v>1</v>
      </c>
      <c r="X844" s="6" t="n">
        <v>1</v>
      </c>
      <c r="Z844" s="6" t="s">
        <v>3034</v>
      </c>
      <c r="AA844" s="9" t="s">
        <v>774</v>
      </c>
      <c r="AB844" s="6" t="s">
        <v>3351</v>
      </c>
      <c r="AC844" s="27" t="n">
        <f aca="false">COUNTIF(環境認証!$A$2:$A$849,A554)</f>
        <v>1</v>
      </c>
      <c r="AD844" s="6" t="n">
        <v>5.5</v>
      </c>
      <c r="AE844" s="6" t="n">
        <v>7.2</v>
      </c>
    </row>
    <row r="845" customFormat="false" ht="15" hidden="false" customHeight="true" outlineLevel="0" collapsed="false">
      <c r="A845" s="6" t="s">
        <v>3352</v>
      </c>
      <c r="B845" s="6" t="s">
        <v>538</v>
      </c>
      <c r="C845" s="9" t="s">
        <v>3353</v>
      </c>
      <c r="D845" s="9" t="s">
        <v>1894</v>
      </c>
      <c r="E845" s="9" t="s">
        <v>969</v>
      </c>
      <c r="F845" s="9" t="s">
        <v>970</v>
      </c>
      <c r="H845" s="9" t="s">
        <v>971</v>
      </c>
      <c r="M845" s="6" t="n">
        <v>1240.28</v>
      </c>
      <c r="P845" s="51" t="n">
        <v>41640</v>
      </c>
      <c r="Q845" s="1" t="n">
        <f aca="false">IF(OR($A555="",P555=""),"",ROUND(YEARFRAC(P555,README!$C$5),1))</f>
        <v>12.6</v>
      </c>
      <c r="S845" s="6" t="n">
        <v>660</v>
      </c>
      <c r="T845" s="6" t="n">
        <v>668</v>
      </c>
      <c r="U845" s="6" t="n">
        <v>715</v>
      </c>
      <c r="V845" s="6" t="n">
        <v>47</v>
      </c>
      <c r="W845" s="6" t="n">
        <v>0.926</v>
      </c>
      <c r="X845" s="6" t="n">
        <v>1</v>
      </c>
      <c r="Z845" s="6" t="s">
        <v>3034</v>
      </c>
      <c r="AA845" s="9" t="s">
        <v>774</v>
      </c>
      <c r="AB845" s="6" t="s">
        <v>3354</v>
      </c>
      <c r="AC845" s="27" t="n">
        <f aca="false">COUNTIF(環境認証!$A$2:$A$849,A555)</f>
        <v>1</v>
      </c>
      <c r="AD845" s="6" t="n">
        <v>7</v>
      </c>
      <c r="AE845" s="6" t="n">
        <v>8.3</v>
      </c>
    </row>
    <row r="846" customFormat="false" ht="15" hidden="false" customHeight="true" outlineLevel="0" collapsed="false">
      <c r="A846" s="6" t="s">
        <v>3355</v>
      </c>
      <c r="B846" s="6" t="s">
        <v>538</v>
      </c>
      <c r="C846" s="9" t="s">
        <v>3356</v>
      </c>
      <c r="D846" s="9" t="s">
        <v>1894</v>
      </c>
      <c r="E846" s="9" t="s">
        <v>762</v>
      </c>
      <c r="F846" s="9" t="s">
        <v>2187</v>
      </c>
      <c r="H846" s="9" t="s">
        <v>882</v>
      </c>
      <c r="M846" s="6" t="n">
        <v>1991.72</v>
      </c>
      <c r="P846" s="51" t="n">
        <v>43800</v>
      </c>
      <c r="Q846" s="1" t="n">
        <f aca="false">IF(OR($A556="",P556=""),"",ROUND(YEARFRAC(P556,README!$C$5),1))</f>
        <v>6.7</v>
      </c>
      <c r="S846" s="6" t="n">
        <v>2580</v>
      </c>
      <c r="T846" s="6" t="n">
        <v>2585</v>
      </c>
      <c r="U846" s="6" t="n">
        <v>2940</v>
      </c>
      <c r="V846" s="6" t="n">
        <v>355</v>
      </c>
      <c r="W846" s="6" t="n">
        <v>0.942</v>
      </c>
      <c r="X846" s="6" t="n">
        <v>1</v>
      </c>
      <c r="Z846" s="6" t="s">
        <v>3034</v>
      </c>
      <c r="AA846" s="9" t="s">
        <v>774</v>
      </c>
      <c r="AB846" s="6" t="s">
        <v>3357</v>
      </c>
      <c r="AC846" s="27" t="n">
        <f aca="false">COUNTIF(環境認証!$A$2:$A$849,A556)</f>
        <v>0</v>
      </c>
      <c r="AD846" s="6" t="n">
        <v>13.7</v>
      </c>
      <c r="AE846" s="6" t="n">
        <v>14</v>
      </c>
    </row>
    <row r="847" customFormat="false" ht="15" hidden="false" customHeight="true" outlineLevel="0" collapsed="false">
      <c r="A847" s="6" t="s">
        <v>3358</v>
      </c>
      <c r="B847" s="6" t="s">
        <v>538</v>
      </c>
      <c r="C847" s="9" t="s">
        <v>3359</v>
      </c>
      <c r="D847" s="9" t="s">
        <v>1894</v>
      </c>
      <c r="E847" s="9" t="s">
        <v>762</v>
      </c>
      <c r="F847" s="9" t="s">
        <v>905</v>
      </c>
      <c r="H847" s="9" t="s">
        <v>882</v>
      </c>
      <c r="M847" s="6" t="n">
        <v>1335.62</v>
      </c>
      <c r="P847" s="51" t="n">
        <v>43313</v>
      </c>
      <c r="Q847" s="1" t="n">
        <f aca="false">IF(OR($A557="",P557=""),"",ROUND(YEARFRAC(P557,README!$C$5),1))</f>
        <v>8</v>
      </c>
      <c r="S847" s="6" t="n">
        <v>2310</v>
      </c>
      <c r="T847" s="6" t="n">
        <v>2308</v>
      </c>
      <c r="U847" s="6" t="n">
        <v>2620</v>
      </c>
      <c r="V847" s="6" t="n">
        <v>312</v>
      </c>
      <c r="W847" s="6" t="n">
        <v>0.931</v>
      </c>
      <c r="X847" s="6" t="n">
        <v>1</v>
      </c>
      <c r="Z847" s="6" t="s">
        <v>3034</v>
      </c>
      <c r="AA847" s="9" t="s">
        <v>774</v>
      </c>
      <c r="AB847" s="6" t="s">
        <v>3360</v>
      </c>
      <c r="AC847" s="27" t="n">
        <f aca="false">COUNTIF(環境認証!$A$2:$A$849,A557)</f>
        <v>2</v>
      </c>
      <c r="AD847" s="6" t="n">
        <v>13.5</v>
      </c>
      <c r="AE847" s="6" t="n">
        <v>13.4</v>
      </c>
    </row>
    <row r="848" customFormat="false" ht="15" hidden="false" customHeight="true" outlineLevel="0" collapsed="false">
      <c r="A848" s="6" t="s">
        <v>3361</v>
      </c>
      <c r="B848" s="6" t="s">
        <v>538</v>
      </c>
      <c r="C848" s="9" t="s">
        <v>3362</v>
      </c>
      <c r="D848" s="9" t="s">
        <v>1894</v>
      </c>
      <c r="E848" s="9" t="s">
        <v>762</v>
      </c>
      <c r="F848" s="9" t="s">
        <v>1316</v>
      </c>
      <c r="H848" s="9" t="s">
        <v>882</v>
      </c>
      <c r="M848" s="6" t="n">
        <v>1499.1</v>
      </c>
      <c r="P848" s="51" t="n">
        <v>43497</v>
      </c>
      <c r="Q848" s="1" t="n">
        <f aca="false">IF(OR($A558="",P558=""),"",ROUND(YEARFRAC(P558,README!$C$5),1))</f>
        <v>7.5</v>
      </c>
      <c r="S848" s="6" t="n">
        <v>1530</v>
      </c>
      <c r="T848" s="6" t="n">
        <v>1531</v>
      </c>
      <c r="U848" s="6" t="n">
        <v>1710</v>
      </c>
      <c r="V848" s="6" t="n">
        <v>179</v>
      </c>
      <c r="W848" s="6" t="n">
        <v>1</v>
      </c>
      <c r="X848" s="6" t="n">
        <v>1</v>
      </c>
      <c r="Z848" s="6" t="s">
        <v>3034</v>
      </c>
      <c r="AA848" s="9" t="s">
        <v>774</v>
      </c>
      <c r="AB848" s="6" t="s">
        <v>3363</v>
      </c>
      <c r="AC848" s="27" t="n">
        <f aca="false">COUNTIF(環境認証!$A$2:$A$849,A558)</f>
        <v>1</v>
      </c>
      <c r="AD848" s="6" t="n">
        <v>11.7</v>
      </c>
      <c r="AE848" s="6" t="n">
        <v>11.8</v>
      </c>
    </row>
    <row r="849" customFormat="false" ht="15" hidden="false" customHeight="true" outlineLevel="0" collapsed="false">
      <c r="A849" s="6" t="s">
        <v>3364</v>
      </c>
      <c r="B849" s="6" t="s">
        <v>538</v>
      </c>
      <c r="C849" s="9" t="s">
        <v>3365</v>
      </c>
      <c r="D849" s="9" t="s">
        <v>1894</v>
      </c>
      <c r="E849" s="9" t="s">
        <v>762</v>
      </c>
      <c r="F849" s="9" t="s">
        <v>905</v>
      </c>
      <c r="H849" s="9" t="s">
        <v>882</v>
      </c>
      <c r="M849" s="6" t="n">
        <v>6033.98</v>
      </c>
      <c r="P849" s="51" t="n">
        <v>43770</v>
      </c>
      <c r="Q849" s="1" t="n">
        <f aca="false">IF(OR($A559="",P559=""),"",ROUND(YEARFRAC(P559,README!$C$5),1))</f>
        <v>6.8</v>
      </c>
      <c r="S849" s="6" t="n">
        <v>10000</v>
      </c>
      <c r="T849" s="6" t="n">
        <v>10012</v>
      </c>
      <c r="U849" s="6" t="n">
        <v>11500</v>
      </c>
      <c r="V849" s="6" t="n">
        <v>1488</v>
      </c>
      <c r="W849" s="6" t="n">
        <v>0.964</v>
      </c>
      <c r="X849" s="6" t="n">
        <v>1</v>
      </c>
      <c r="Z849" s="6" t="s">
        <v>3034</v>
      </c>
      <c r="AA849" s="9" t="s">
        <v>774</v>
      </c>
      <c r="AB849" s="6" t="s">
        <v>3366</v>
      </c>
      <c r="AC849" s="27" t="n">
        <f aca="false">COUNTIF(環境認証!$A$2:$A$849,A559)</f>
        <v>1</v>
      </c>
      <c r="AD849" s="6" t="n">
        <v>14.9</v>
      </c>
      <c r="AE849" s="6" t="n">
        <v>15</v>
      </c>
    </row>
    <row r="850" customFormat="false" ht="15" hidden="false" customHeight="true" outlineLevel="0" collapsed="false">
      <c r="A850" s="6" t="s">
        <v>3367</v>
      </c>
      <c r="B850" s="6" t="s">
        <v>538</v>
      </c>
      <c r="C850" s="9" t="s">
        <v>3368</v>
      </c>
      <c r="D850" s="9" t="s">
        <v>1894</v>
      </c>
      <c r="E850" s="9" t="s">
        <v>762</v>
      </c>
      <c r="F850" s="9" t="s">
        <v>2317</v>
      </c>
      <c r="H850" s="9" t="s">
        <v>882</v>
      </c>
      <c r="M850" s="6" t="n">
        <v>4557.89</v>
      </c>
      <c r="P850" s="51" t="n">
        <v>43497</v>
      </c>
      <c r="Q850" s="1" t="n">
        <f aca="false">IF(OR($A560="",P560=""),"",ROUND(YEARFRAC(P560,README!$C$5),1))</f>
        <v>7.5</v>
      </c>
      <c r="S850" s="6" t="n">
        <v>4800</v>
      </c>
      <c r="T850" s="6" t="n">
        <v>4804</v>
      </c>
      <c r="U850" s="6" t="n">
        <v>5430</v>
      </c>
      <c r="V850" s="6" t="n">
        <v>626</v>
      </c>
      <c r="W850" s="6" t="n">
        <v>0.942</v>
      </c>
      <c r="X850" s="6" t="n">
        <v>1</v>
      </c>
      <c r="Z850" s="6" t="s">
        <v>3034</v>
      </c>
      <c r="AA850" s="9" t="s">
        <v>774</v>
      </c>
      <c r="AB850" s="6" t="s">
        <v>3369</v>
      </c>
      <c r="AC850" s="27" t="n">
        <f aca="false">COUNTIF(環境認証!$A$2:$A$849,A560)</f>
        <v>1</v>
      </c>
      <c r="AD850" s="6" t="n">
        <v>13</v>
      </c>
      <c r="AE850" s="6" t="n">
        <v>13.1</v>
      </c>
    </row>
    <row r="851" customFormat="false" ht="15" hidden="false" customHeight="true" outlineLevel="0" collapsed="false">
      <c r="A851" s="6" t="s">
        <v>3370</v>
      </c>
      <c r="B851" s="6" t="s">
        <v>538</v>
      </c>
      <c r="C851" s="9" t="s">
        <v>3371</v>
      </c>
      <c r="D851" s="9" t="s">
        <v>1894</v>
      </c>
      <c r="E851" s="9" t="s">
        <v>762</v>
      </c>
      <c r="F851" s="9" t="s">
        <v>1152</v>
      </c>
      <c r="H851" s="9" t="s">
        <v>882</v>
      </c>
      <c r="M851" s="6" t="n">
        <v>29048.95</v>
      </c>
      <c r="P851" s="51" t="n">
        <v>43282</v>
      </c>
      <c r="Q851" s="1" t="n">
        <f aca="false">IF(OR($A561="",P561=""),"",ROUND(YEARFRAC(P561,README!$C$5),1))</f>
        <v>8.1</v>
      </c>
      <c r="S851" s="6" t="n">
        <v>10500</v>
      </c>
      <c r="T851" s="6" t="n">
        <v>10372</v>
      </c>
      <c r="U851" s="6" t="n">
        <v>11900</v>
      </c>
      <c r="V851" s="6" t="n">
        <v>1528</v>
      </c>
      <c r="W851" s="6" t="n">
        <v>0.955</v>
      </c>
      <c r="X851" s="6" t="n">
        <v>1</v>
      </c>
      <c r="Z851" s="6" t="s">
        <v>3034</v>
      </c>
      <c r="AA851" s="9" t="s">
        <v>774</v>
      </c>
      <c r="AB851" s="6" t="s">
        <v>3372</v>
      </c>
      <c r="AC851" s="27" t="n">
        <f aca="false">COUNTIF(環境認証!$A$2:$A$849,A561)</f>
        <v>1</v>
      </c>
      <c r="AD851" s="6" t="n">
        <v>14.7</v>
      </c>
      <c r="AE851" s="6" t="n">
        <v>13.3</v>
      </c>
    </row>
    <row r="852" customFormat="false" ht="15" hidden="false" customHeight="true" outlineLevel="0" collapsed="false">
      <c r="A852" s="6" t="s">
        <v>3373</v>
      </c>
      <c r="B852" s="6" t="s">
        <v>538</v>
      </c>
      <c r="C852" s="9" t="s">
        <v>3374</v>
      </c>
      <c r="D852" s="9" t="s">
        <v>1894</v>
      </c>
      <c r="E852" s="9" t="s">
        <v>762</v>
      </c>
      <c r="F852" s="9" t="s">
        <v>771</v>
      </c>
      <c r="H852" s="9" t="s">
        <v>772</v>
      </c>
      <c r="M852" s="6" t="n">
        <v>1819.35</v>
      </c>
      <c r="P852" s="51" t="n">
        <v>43862</v>
      </c>
      <c r="Q852" s="1" t="n">
        <f aca="false">IF(OR($A562="",P562=""),"",ROUND(YEARFRAC(P562,README!$C$5),1))</f>
        <v>6.5</v>
      </c>
      <c r="S852" s="6" t="n">
        <v>2200</v>
      </c>
      <c r="T852" s="6" t="n">
        <v>2217</v>
      </c>
      <c r="U852" s="6" t="n">
        <v>2810</v>
      </c>
      <c r="V852" s="6" t="n">
        <v>593</v>
      </c>
      <c r="W852" s="6" t="n">
        <v>0.935</v>
      </c>
      <c r="X852" s="6" t="n">
        <v>1</v>
      </c>
      <c r="Z852" s="6" t="s">
        <v>3034</v>
      </c>
      <c r="AA852" s="9" t="s">
        <v>774</v>
      </c>
      <c r="AB852" s="6" t="s">
        <v>3375</v>
      </c>
      <c r="AC852" s="27" t="n">
        <f aca="false">COUNTIF(環境認証!$A$2:$A$849,A562)</f>
        <v>0</v>
      </c>
      <c r="AD852" s="6" t="n">
        <v>26.7</v>
      </c>
      <c r="AE852" s="6" t="n">
        <v>27.7</v>
      </c>
    </row>
    <row r="853" customFormat="false" ht="15" hidden="false" customHeight="true" outlineLevel="0" collapsed="false">
      <c r="A853" s="6" t="s">
        <v>3376</v>
      </c>
      <c r="B853" s="6" t="s">
        <v>538</v>
      </c>
      <c r="C853" s="9" t="s">
        <v>3377</v>
      </c>
      <c r="D853" s="9" t="s">
        <v>1894</v>
      </c>
      <c r="E853" s="9" t="s">
        <v>925</v>
      </c>
      <c r="F853" s="9" t="s">
        <v>930</v>
      </c>
      <c r="H853" s="9" t="s">
        <v>921</v>
      </c>
      <c r="M853" s="6" t="n">
        <v>657.79</v>
      </c>
      <c r="P853" s="51" t="n">
        <v>39448</v>
      </c>
      <c r="Q853" s="1" t="n">
        <f aca="false">IF(OR($A563="",P563=""),"",ROUND(YEARFRAC(P563,README!$C$5),1))</f>
        <v>18.6</v>
      </c>
      <c r="S853" s="6" t="n">
        <v>490</v>
      </c>
      <c r="T853" s="6" t="n">
        <v>519</v>
      </c>
      <c r="U853" s="6" t="n">
        <v>561</v>
      </c>
      <c r="V853" s="6" t="n">
        <v>42</v>
      </c>
      <c r="W853" s="6" t="n">
        <v>0.969</v>
      </c>
      <c r="X853" s="6" t="n">
        <v>1</v>
      </c>
      <c r="Z853" s="6" t="s">
        <v>3034</v>
      </c>
      <c r="AA853" s="9" t="s">
        <v>774</v>
      </c>
      <c r="AB853" s="6" t="s">
        <v>3378</v>
      </c>
      <c r="AC853" s="27" t="n">
        <f aca="false">COUNTIF(環境認証!$A$2:$A$849,A563)</f>
        <v>0</v>
      </c>
      <c r="AD853" s="6" t="n">
        <v>8.1</v>
      </c>
      <c r="AE853" s="6" t="n">
        <v>14.5</v>
      </c>
    </row>
    <row r="854" customFormat="false" ht="15" hidden="false" customHeight="true" outlineLevel="0" collapsed="false">
      <c r="A854" s="6" t="s">
        <v>3379</v>
      </c>
      <c r="B854" s="6" t="s">
        <v>538</v>
      </c>
      <c r="C854" s="9" t="s">
        <v>3380</v>
      </c>
      <c r="D854" s="9" t="s">
        <v>1894</v>
      </c>
      <c r="E854" s="9" t="s">
        <v>762</v>
      </c>
      <c r="F854" s="9" t="s">
        <v>1148</v>
      </c>
      <c r="H854" s="9" t="s">
        <v>882</v>
      </c>
      <c r="M854" s="6" t="n">
        <v>2457.68</v>
      </c>
      <c r="P854" s="51" t="n">
        <v>45292</v>
      </c>
      <c r="Q854" s="1" t="n">
        <f aca="false">IF(OR($A564="",P564=""),"",ROUND(YEARFRAC(P564,README!$C$5),1))</f>
        <v>2.6</v>
      </c>
      <c r="S854" s="6" t="n">
        <v>3600</v>
      </c>
      <c r="T854" s="6" t="n">
        <v>3786</v>
      </c>
      <c r="U854" s="6" t="n">
        <v>4040</v>
      </c>
      <c r="V854" s="6" t="n">
        <v>254</v>
      </c>
      <c r="W854" s="6" t="n">
        <v>0.969</v>
      </c>
      <c r="X854" s="6" t="n">
        <v>1</v>
      </c>
      <c r="Z854" s="6" t="s">
        <v>3034</v>
      </c>
      <c r="AA854" s="9" t="s">
        <v>774</v>
      </c>
      <c r="AB854" s="6" t="s">
        <v>3381</v>
      </c>
      <c r="AC854" s="27" t="n">
        <f aca="false">COUNTIF(環境認証!$A$2:$A$849,A564)</f>
        <v>1</v>
      </c>
      <c r="AD854" s="6" t="n">
        <v>6.7</v>
      </c>
      <c r="AE854" s="6" t="n">
        <v>12.2</v>
      </c>
    </row>
    <row r="855" customFormat="false" ht="15" hidden="false" customHeight="true" outlineLevel="0" collapsed="false">
      <c r="A855" s="6" t="s">
        <v>3382</v>
      </c>
      <c r="B855" s="6" t="s">
        <v>538</v>
      </c>
      <c r="C855" s="9" t="s">
        <v>3383</v>
      </c>
      <c r="D855" s="9" t="s">
        <v>1894</v>
      </c>
      <c r="E855" s="9" t="s">
        <v>762</v>
      </c>
      <c r="F855" s="9" t="s">
        <v>881</v>
      </c>
      <c r="H855" s="9" t="s">
        <v>882</v>
      </c>
      <c r="M855" s="6" t="n">
        <v>1121.12</v>
      </c>
      <c r="P855" s="51" t="n">
        <v>44927</v>
      </c>
      <c r="Q855" s="1" t="n">
        <f aca="false">IF(OR($A565="",P565=""),"",ROUND(YEARFRAC(P565,README!$C$5),1))</f>
        <v>3.6</v>
      </c>
      <c r="S855" s="6" t="n">
        <v>1570</v>
      </c>
      <c r="T855" s="6" t="n">
        <v>1657</v>
      </c>
      <c r="U855" s="6" t="n">
        <v>1770</v>
      </c>
      <c r="V855" s="6" t="n">
        <v>113</v>
      </c>
      <c r="W855" s="6" t="n">
        <v>0.909</v>
      </c>
      <c r="X855" s="6" t="n">
        <v>1</v>
      </c>
      <c r="Z855" s="6" t="s">
        <v>3034</v>
      </c>
      <c r="AA855" s="9" t="s">
        <v>774</v>
      </c>
      <c r="AB855" s="6" t="s">
        <v>3384</v>
      </c>
      <c r="AC855" s="27" t="n">
        <f aca="false">COUNTIF(環境認証!$A$2:$A$849,A565)</f>
        <v>1</v>
      </c>
      <c r="AD855" s="6" t="n">
        <v>6.8</v>
      </c>
      <c r="AE855" s="6" t="n">
        <v>12.7</v>
      </c>
    </row>
    <row r="856" customFormat="false" ht="15" hidden="false" customHeight="true" outlineLevel="0" collapsed="false">
      <c r="A856" s="6" t="s">
        <v>3385</v>
      </c>
      <c r="B856" s="6" t="s">
        <v>538</v>
      </c>
      <c r="C856" s="9" t="s">
        <v>3386</v>
      </c>
      <c r="D856" s="9" t="s">
        <v>1894</v>
      </c>
      <c r="E856" s="9" t="s">
        <v>762</v>
      </c>
      <c r="F856" s="9" t="s">
        <v>2282</v>
      </c>
      <c r="H856" s="9" t="s">
        <v>882</v>
      </c>
      <c r="M856" s="6" t="n">
        <v>757.8</v>
      </c>
      <c r="P856" s="51" t="n">
        <v>45017</v>
      </c>
      <c r="Q856" s="1" t="n">
        <f aca="false">IF(OR($A566="",P566=""),"",ROUND(YEARFRAC(P566,README!$C$5),1))</f>
        <v>3.4</v>
      </c>
      <c r="S856" s="6" t="n">
        <v>980</v>
      </c>
      <c r="T856" s="6" t="n">
        <v>1034</v>
      </c>
      <c r="U856" s="6" t="n">
        <v>1150</v>
      </c>
      <c r="V856" s="6" t="n">
        <v>116</v>
      </c>
      <c r="W856" s="6" t="n">
        <v>0.899</v>
      </c>
      <c r="X856" s="6" t="n">
        <v>1</v>
      </c>
      <c r="Z856" s="6" t="s">
        <v>3034</v>
      </c>
      <c r="AA856" s="9" t="s">
        <v>774</v>
      </c>
      <c r="AB856" s="6" t="s">
        <v>3387</v>
      </c>
      <c r="AC856" s="27" t="n">
        <f aca="false">COUNTIF(環境認証!$A$2:$A$849,A566)</f>
        <v>1</v>
      </c>
      <c r="AD856" s="6" t="n">
        <v>11.2</v>
      </c>
      <c r="AE856" s="6" t="n">
        <v>17.3</v>
      </c>
    </row>
    <row r="857" customFormat="false" ht="15" hidden="false" customHeight="true" outlineLevel="0" collapsed="false">
      <c r="A857" s="6" t="s">
        <v>3388</v>
      </c>
      <c r="B857" s="6" t="s">
        <v>538</v>
      </c>
      <c r="C857" s="9" t="s">
        <v>3389</v>
      </c>
      <c r="D857" s="9" t="s">
        <v>1894</v>
      </c>
      <c r="E857" s="9" t="s">
        <v>762</v>
      </c>
      <c r="F857" s="9" t="s">
        <v>1676</v>
      </c>
      <c r="H857" s="9" t="s">
        <v>882</v>
      </c>
      <c r="M857" s="6" t="n">
        <v>6671.59</v>
      </c>
      <c r="P857" s="51" t="n">
        <v>44593</v>
      </c>
      <c r="Q857" s="1" t="n">
        <f aca="false">IF(OR($A567="",P567=""),"",ROUND(YEARFRAC(P567,README!$C$5),1))</f>
        <v>4.5</v>
      </c>
      <c r="S857" s="6" t="n">
        <v>10000</v>
      </c>
      <c r="T857" s="6" t="n">
        <v>10139</v>
      </c>
      <c r="U857" s="6" t="n">
        <v>10800</v>
      </c>
      <c r="V857" s="6" t="n">
        <v>661</v>
      </c>
      <c r="W857" s="6" t="n">
        <v>0.97</v>
      </c>
      <c r="X857" s="6" t="n">
        <v>1</v>
      </c>
      <c r="Z857" s="6" t="s">
        <v>3034</v>
      </c>
      <c r="AA857" s="9" t="s">
        <v>774</v>
      </c>
      <c r="AB857" s="6" t="s">
        <v>3390</v>
      </c>
      <c r="AC857" s="27" t="n">
        <f aca="false">COUNTIF(環境認証!$A$2:$A$849,A567)</f>
        <v>1</v>
      </c>
      <c r="AD857" s="6" t="n">
        <v>6.5</v>
      </c>
      <c r="AE857" s="6" t="n">
        <v>8</v>
      </c>
    </row>
    <row r="858" customFormat="false" ht="15" hidden="false" customHeight="true" outlineLevel="0" collapsed="false">
      <c r="A858" s="6" t="s">
        <v>3391</v>
      </c>
      <c r="B858" s="6" t="s">
        <v>538</v>
      </c>
      <c r="C858" s="9" t="s">
        <v>3392</v>
      </c>
      <c r="D858" s="9" t="s">
        <v>1894</v>
      </c>
      <c r="E858" s="9" t="s">
        <v>762</v>
      </c>
      <c r="F858" s="9" t="s">
        <v>1152</v>
      </c>
      <c r="H858" s="9" t="s">
        <v>882</v>
      </c>
      <c r="M858" s="6" t="n">
        <v>3428.41</v>
      </c>
      <c r="P858" s="51" t="n">
        <v>44562</v>
      </c>
      <c r="Q858" s="1" t="n">
        <f aca="false">IF(OR($A568="",P568=""),"",ROUND(YEARFRAC(P568,README!$C$5),1))</f>
        <v>4.6</v>
      </c>
      <c r="S858" s="6" t="n">
        <v>5490</v>
      </c>
      <c r="T858" s="6" t="n">
        <v>5569</v>
      </c>
      <c r="U858" s="6" t="n">
        <v>5850</v>
      </c>
      <c r="V858" s="6" t="n">
        <v>281</v>
      </c>
      <c r="W858" s="6" t="n">
        <v>0.937</v>
      </c>
      <c r="X858" s="6" t="n">
        <v>1</v>
      </c>
      <c r="Z858" s="6" t="s">
        <v>3034</v>
      </c>
      <c r="AA858" s="9" t="s">
        <v>774</v>
      </c>
      <c r="AB858" s="6" t="s">
        <v>3393</v>
      </c>
      <c r="AC858" s="27" t="n">
        <f aca="false">COUNTIF(環境認証!$A$2:$A$849,A568)</f>
        <v>1</v>
      </c>
      <c r="AD858" s="6" t="n">
        <v>5</v>
      </c>
      <c r="AE858" s="6" t="n">
        <v>6.6</v>
      </c>
    </row>
    <row r="859" customFormat="false" ht="15" hidden="false" customHeight="true" outlineLevel="0" collapsed="false">
      <c r="A859" s="6" t="s">
        <v>3394</v>
      </c>
      <c r="B859" s="6" t="s">
        <v>538</v>
      </c>
      <c r="C859" s="9" t="s">
        <v>3395</v>
      </c>
      <c r="D859" s="9" t="s">
        <v>1894</v>
      </c>
      <c r="E859" s="9" t="s">
        <v>762</v>
      </c>
      <c r="F859" s="9" t="s">
        <v>1152</v>
      </c>
      <c r="H859" s="9" t="s">
        <v>882</v>
      </c>
      <c r="M859" s="6" t="n">
        <v>2556.36</v>
      </c>
      <c r="P859" s="51" t="n">
        <v>44256</v>
      </c>
      <c r="Q859" s="1" t="n">
        <f aca="false">IF(OR($A569="",P569=""),"",ROUND(YEARFRAC(P569,README!$C$5),1))</f>
        <v>5.4</v>
      </c>
      <c r="S859" s="6" t="n">
        <v>3220</v>
      </c>
      <c r="T859" s="6" t="n">
        <v>3265</v>
      </c>
      <c r="U859" s="6" t="n">
        <v>3480</v>
      </c>
      <c r="V859" s="6" t="n">
        <v>215</v>
      </c>
      <c r="W859" s="6" t="n">
        <v>0.935</v>
      </c>
      <c r="X859" s="6" t="n">
        <v>1</v>
      </c>
      <c r="Z859" s="6" t="s">
        <v>3034</v>
      </c>
      <c r="AA859" s="9" t="s">
        <v>774</v>
      </c>
      <c r="AB859" s="6" t="s">
        <v>3396</v>
      </c>
      <c r="AC859" s="27" t="n">
        <f aca="false">COUNTIF(環境認証!$A$2:$A$849,A569)</f>
        <v>1</v>
      </c>
      <c r="AD859" s="6" t="n">
        <v>6.6</v>
      </c>
      <c r="AE859" s="6" t="n">
        <v>8.1</v>
      </c>
    </row>
    <row r="860" customFormat="false" ht="15" hidden="false" customHeight="true" outlineLevel="0" collapsed="false">
      <c r="A860" s="6" t="s">
        <v>3397</v>
      </c>
      <c r="B860" s="6" t="s">
        <v>538</v>
      </c>
      <c r="C860" s="9" t="s">
        <v>3398</v>
      </c>
      <c r="D860" s="9" t="s">
        <v>1894</v>
      </c>
      <c r="E860" s="9" t="s">
        <v>762</v>
      </c>
      <c r="F860" s="9" t="s">
        <v>881</v>
      </c>
      <c r="H860" s="9" t="s">
        <v>882</v>
      </c>
      <c r="M860" s="6" t="n">
        <v>2357.28</v>
      </c>
      <c r="P860" s="51" t="n">
        <v>44470</v>
      </c>
      <c r="Q860" s="1" t="n">
        <f aca="false">IF(OR($A570="",P570=""),"",ROUND(YEARFRAC(P570,README!$C$5),1))</f>
        <v>4.9</v>
      </c>
      <c r="S860" s="6" t="n">
        <v>3200</v>
      </c>
      <c r="T860" s="6" t="n">
        <v>3251</v>
      </c>
      <c r="U860" s="6" t="n">
        <v>3420</v>
      </c>
      <c r="V860" s="6" t="n">
        <v>169</v>
      </c>
      <c r="W860" s="6" t="n">
        <v>0.947</v>
      </c>
      <c r="X860" s="6" t="n">
        <v>1</v>
      </c>
      <c r="Z860" s="6" t="s">
        <v>3034</v>
      </c>
      <c r="AA860" s="9" t="s">
        <v>774</v>
      </c>
      <c r="AB860" s="6" t="s">
        <v>3399</v>
      </c>
      <c r="AC860" s="27" t="n">
        <f aca="false">COUNTIF(環境認証!$A$2:$A$849,A570)</f>
        <v>0</v>
      </c>
      <c r="AD860" s="6" t="n">
        <v>5.2</v>
      </c>
      <c r="AE860" s="6" t="n">
        <v>6.9</v>
      </c>
    </row>
    <row r="861" customFormat="false" ht="15" hidden="false" customHeight="true" outlineLevel="0" collapsed="false">
      <c r="A861" s="6" t="s">
        <v>3400</v>
      </c>
      <c r="B861" s="6" t="s">
        <v>538</v>
      </c>
      <c r="C861" s="9" t="s">
        <v>3401</v>
      </c>
      <c r="D861" s="9" t="s">
        <v>1894</v>
      </c>
      <c r="E861" s="9" t="s">
        <v>762</v>
      </c>
      <c r="F861" s="9" t="s">
        <v>771</v>
      </c>
      <c r="H861" s="9" t="s">
        <v>772</v>
      </c>
      <c r="M861" s="6" t="n">
        <v>1725.98</v>
      </c>
      <c r="P861" s="51" t="n">
        <v>44774</v>
      </c>
      <c r="Q861" s="1" t="n">
        <f aca="false">IF(OR($A571="",P571=""),"",ROUND(YEARFRAC(P571,README!$C$5),1))</f>
        <v>4</v>
      </c>
      <c r="S861" s="6" t="n">
        <v>2570</v>
      </c>
      <c r="T861" s="6" t="n">
        <v>2608</v>
      </c>
      <c r="U861" s="6" t="n">
        <v>2600</v>
      </c>
      <c r="V861" s="6" t="n">
        <v>-8</v>
      </c>
      <c r="W861" s="6" t="n">
        <v>0.938</v>
      </c>
      <c r="X861" s="6" t="n">
        <v>1</v>
      </c>
      <c r="Z861" s="6" t="s">
        <v>3034</v>
      </c>
      <c r="AA861" s="9" t="s">
        <v>774</v>
      </c>
      <c r="AB861" s="6" t="s">
        <v>3402</v>
      </c>
      <c r="AC861" s="27" t="n">
        <f aca="false">COUNTIF(環境認証!$A$2:$A$849,A571)</f>
        <v>1</v>
      </c>
      <c r="AD861" s="6" t="n">
        <v>-0.3</v>
      </c>
      <c r="AE861" s="6" t="n">
        <v>1.2</v>
      </c>
    </row>
    <row r="862" customFormat="false" ht="15" hidden="false" customHeight="true" outlineLevel="0" collapsed="false">
      <c r="A862" s="6" t="s">
        <v>3403</v>
      </c>
      <c r="B862" s="6" t="s">
        <v>538</v>
      </c>
      <c r="C862" s="9" t="s">
        <v>3404</v>
      </c>
      <c r="D862" s="9" t="s">
        <v>1894</v>
      </c>
      <c r="E862" s="9" t="s">
        <v>762</v>
      </c>
      <c r="F862" s="9" t="s">
        <v>1316</v>
      </c>
      <c r="H862" s="9" t="s">
        <v>882</v>
      </c>
      <c r="M862" s="6" t="n">
        <v>1640.09</v>
      </c>
      <c r="P862" s="51" t="n">
        <v>44713</v>
      </c>
      <c r="Q862" s="1" t="n">
        <f aca="false">IF(OR($A572="",P572=""),"",ROUND(YEARFRAC(P572,README!$C$5),1))</f>
        <v>4.2</v>
      </c>
      <c r="S862" s="6" t="n">
        <v>2180</v>
      </c>
      <c r="T862" s="6" t="n">
        <v>2217</v>
      </c>
      <c r="U862" s="6" t="n">
        <v>2220</v>
      </c>
      <c r="V862" s="6" t="n">
        <v>3</v>
      </c>
      <c r="W862" s="6" t="n">
        <v>0.96</v>
      </c>
      <c r="X862" s="6" t="n">
        <v>1</v>
      </c>
      <c r="Z862" s="6" t="s">
        <v>3034</v>
      </c>
      <c r="AA862" s="9" t="s">
        <v>774</v>
      </c>
      <c r="AB862" s="6" t="s">
        <v>3405</v>
      </c>
      <c r="AC862" s="27" t="n">
        <f aca="false">COUNTIF(環境認証!$A$2:$A$849,A572)</f>
        <v>1</v>
      </c>
      <c r="AD862" s="6" t="n">
        <v>0.1</v>
      </c>
      <c r="AE862" s="6" t="n">
        <v>1.8</v>
      </c>
    </row>
    <row r="863" customFormat="false" ht="15" hidden="false" customHeight="true" outlineLevel="0" collapsed="false">
      <c r="A863" s="6" t="s">
        <v>3406</v>
      </c>
      <c r="B863" s="6" t="s">
        <v>538</v>
      </c>
      <c r="C863" s="9" t="s">
        <v>3407</v>
      </c>
      <c r="D863" s="9" t="s">
        <v>1894</v>
      </c>
      <c r="E863" s="9" t="s">
        <v>762</v>
      </c>
      <c r="F863" s="9" t="s">
        <v>2187</v>
      </c>
      <c r="H863" s="9" t="s">
        <v>882</v>
      </c>
      <c r="M863" s="6" t="n">
        <v>1364.84</v>
      </c>
      <c r="P863" s="51" t="n">
        <v>44774</v>
      </c>
      <c r="Q863" s="1" t="n">
        <f aca="false">IF(OR($A573="",P573=""),"",ROUND(YEARFRAC(P573,README!$C$5),1))</f>
        <v>4</v>
      </c>
      <c r="S863" s="6" t="n">
        <v>1840</v>
      </c>
      <c r="T863" s="6" t="n">
        <v>1875</v>
      </c>
      <c r="U863" s="6" t="n">
        <v>1900</v>
      </c>
      <c r="V863" s="6" t="n">
        <v>25</v>
      </c>
      <c r="W863" s="6" t="n">
        <v>1</v>
      </c>
      <c r="X863" s="6" t="n">
        <v>1</v>
      </c>
      <c r="Z863" s="6" t="s">
        <v>3034</v>
      </c>
      <c r="AA863" s="9" t="s">
        <v>774</v>
      </c>
      <c r="AB863" s="6" t="s">
        <v>3408</v>
      </c>
      <c r="AC863" s="27" t="n">
        <f aca="false">COUNTIF(環境認証!$A$2:$A$849,A573)</f>
        <v>1</v>
      </c>
      <c r="AD863" s="6" t="n">
        <v>1.3</v>
      </c>
      <c r="AE863" s="6" t="n">
        <v>3.3</v>
      </c>
    </row>
    <row r="864" customFormat="false" ht="15" hidden="false" customHeight="true" outlineLevel="0" collapsed="false">
      <c r="A864" s="6" t="s">
        <v>3409</v>
      </c>
      <c r="B864" s="6" t="s">
        <v>538</v>
      </c>
      <c r="C864" s="9" t="s">
        <v>3410</v>
      </c>
      <c r="D864" s="9" t="s">
        <v>1894</v>
      </c>
      <c r="E864" s="9" t="s">
        <v>946</v>
      </c>
      <c r="F864" s="9" t="s">
        <v>3411</v>
      </c>
      <c r="H864" s="9" t="s">
        <v>921</v>
      </c>
      <c r="M864" s="6" t="n">
        <v>1148.19</v>
      </c>
      <c r="P864" s="51" t="n">
        <v>39600</v>
      </c>
      <c r="Q864" s="1" t="n">
        <f aca="false">IF(OR($A574="",P574=""),"",ROUND(YEARFRAC(P574,README!$C$5),1))</f>
        <v>18.2</v>
      </c>
      <c r="S864" s="6" t="n">
        <v>950</v>
      </c>
      <c r="T864" s="6" t="n">
        <v>1007</v>
      </c>
      <c r="U864" s="6" t="n">
        <v>990</v>
      </c>
      <c r="V864" s="6" t="n">
        <v>-17</v>
      </c>
      <c r="W864" s="6" t="n">
        <v>0.955</v>
      </c>
      <c r="X864" s="6" t="n">
        <v>1</v>
      </c>
      <c r="Z864" s="6" t="s">
        <v>3034</v>
      </c>
      <c r="AA864" s="9" t="s">
        <v>774</v>
      </c>
      <c r="AB864" s="6" t="s">
        <v>3412</v>
      </c>
      <c r="AC864" s="27" t="n">
        <f aca="false">COUNTIF(環境認証!$A$2:$A$849,A574)</f>
        <v>1</v>
      </c>
      <c r="AD864" s="6" t="n">
        <v>-1.7</v>
      </c>
      <c r="AE864" s="6" t="n">
        <v>4.2</v>
      </c>
    </row>
    <row r="865" customFormat="false" ht="15" hidden="false" customHeight="true" outlineLevel="0" collapsed="false">
      <c r="A865" s="6" t="s">
        <v>3413</v>
      </c>
      <c r="B865" s="6" t="s">
        <v>538</v>
      </c>
      <c r="C865" s="9" t="s">
        <v>3414</v>
      </c>
      <c r="D865" s="9" t="s">
        <v>1894</v>
      </c>
      <c r="E865" s="9" t="s">
        <v>762</v>
      </c>
      <c r="F865" s="9" t="s">
        <v>881</v>
      </c>
      <c r="H865" s="9" t="s">
        <v>882</v>
      </c>
      <c r="M865" s="6" t="n">
        <v>5559.57</v>
      </c>
      <c r="P865" s="51" t="n">
        <v>44986</v>
      </c>
      <c r="Q865" s="1" t="n">
        <f aca="false">IF(OR($A575="",P575=""),"",ROUND(YEARFRAC(P575,README!$C$5),1))</f>
        <v>3.4</v>
      </c>
      <c r="S865" s="6" t="n">
        <v>8200</v>
      </c>
      <c r="T865" s="6" t="n">
        <v>8351</v>
      </c>
      <c r="U865" s="6" t="n">
        <v>8670</v>
      </c>
      <c r="V865" s="6" t="n">
        <v>319</v>
      </c>
      <c r="W865" s="6" t="n">
        <v>0.93</v>
      </c>
      <c r="X865" s="6" t="n">
        <v>1</v>
      </c>
      <c r="Z865" s="6" t="s">
        <v>3034</v>
      </c>
      <c r="AA865" s="9" t="s">
        <v>774</v>
      </c>
      <c r="AB865" s="6" t="s">
        <v>3415</v>
      </c>
      <c r="AC865" s="27" t="n">
        <f aca="false">COUNTIF(環境認証!$A$2:$A$849,A575)</f>
        <v>1</v>
      </c>
      <c r="AD865" s="6" t="n">
        <v>3.8</v>
      </c>
      <c r="AE865" s="6" t="n">
        <v>5.7</v>
      </c>
    </row>
    <row r="866" customFormat="false" ht="15" hidden="false" customHeight="true" outlineLevel="0" collapsed="false">
      <c r="A866" s="6" t="s">
        <v>3416</v>
      </c>
      <c r="B866" s="6" t="s">
        <v>538</v>
      </c>
      <c r="C866" s="9" t="s">
        <v>3417</v>
      </c>
      <c r="D866" s="9" t="s">
        <v>1894</v>
      </c>
      <c r="E866" s="9" t="s">
        <v>925</v>
      </c>
      <c r="F866" s="9" t="s">
        <v>926</v>
      </c>
      <c r="H866" s="9" t="s">
        <v>921</v>
      </c>
      <c r="M866" s="6" t="n">
        <v>5653.68</v>
      </c>
      <c r="P866" s="51" t="n">
        <v>44927</v>
      </c>
      <c r="Q866" s="1" t="n">
        <f aca="false">IF(OR($A576="",P576=""),"",ROUND(YEARFRAC(P576,README!$C$5),1))</f>
        <v>3.6</v>
      </c>
      <c r="S866" s="6" t="n">
        <v>7350</v>
      </c>
      <c r="T866" s="6" t="n">
        <v>7489</v>
      </c>
      <c r="U866" s="6" t="n">
        <v>7970</v>
      </c>
      <c r="V866" s="6" t="n">
        <v>481</v>
      </c>
      <c r="W866" s="6" t="n">
        <v>0.959</v>
      </c>
      <c r="X866" s="6" t="n">
        <v>1</v>
      </c>
      <c r="Z866" s="6" t="s">
        <v>3034</v>
      </c>
      <c r="AA866" s="9" t="s">
        <v>774</v>
      </c>
      <c r="AB866" s="6" t="s">
        <v>3418</v>
      </c>
      <c r="AC866" s="27" t="n">
        <f aca="false">COUNTIF(環境認証!$A$2:$A$849,A576)</f>
        <v>1</v>
      </c>
      <c r="AD866" s="6" t="n">
        <v>6.4</v>
      </c>
      <c r="AE866" s="6" t="n">
        <v>8.4</v>
      </c>
    </row>
    <row r="867" customFormat="false" ht="15" hidden="false" customHeight="true" outlineLevel="0" collapsed="false">
      <c r="A867" s="6" t="s">
        <v>3419</v>
      </c>
      <c r="B867" s="6" t="s">
        <v>538</v>
      </c>
      <c r="C867" s="9" t="s">
        <v>3420</v>
      </c>
      <c r="D867" s="9" t="s">
        <v>1894</v>
      </c>
      <c r="E867" s="9" t="s">
        <v>946</v>
      </c>
      <c r="F867" s="9" t="s">
        <v>3411</v>
      </c>
      <c r="H867" s="9" t="s">
        <v>921</v>
      </c>
      <c r="M867" s="6" t="n">
        <v>2433.74</v>
      </c>
      <c r="P867" s="51" t="n">
        <v>36739</v>
      </c>
      <c r="Q867" s="1" t="n">
        <f aca="false">IF(OR($A577="",P577=""),"",ROUND(YEARFRAC(P577,README!$C$5),1))</f>
        <v>26</v>
      </c>
      <c r="S867" s="6" t="n">
        <v>1450</v>
      </c>
      <c r="T867" s="6" t="n">
        <v>1522</v>
      </c>
      <c r="U867" s="6" t="n">
        <v>1550</v>
      </c>
      <c r="V867" s="6" t="n">
        <v>28</v>
      </c>
      <c r="W867" s="6" t="n">
        <v>0.975</v>
      </c>
      <c r="X867" s="6" t="n">
        <v>1</v>
      </c>
      <c r="Z867" s="6" t="s">
        <v>3034</v>
      </c>
      <c r="AA867" s="9" t="s">
        <v>774</v>
      </c>
      <c r="AB867" s="6" t="s">
        <v>3421</v>
      </c>
      <c r="AC867" s="27" t="n">
        <f aca="false">COUNTIF(環境認証!$A$2:$A$849,A577)</f>
        <v>1</v>
      </c>
      <c r="AD867" s="6" t="n">
        <v>1.8</v>
      </c>
      <c r="AE867" s="6" t="n">
        <v>6.9</v>
      </c>
    </row>
    <row r="868" customFormat="false" ht="15" hidden="false" customHeight="true" outlineLevel="0" collapsed="false">
      <c r="A868" s="6" t="s">
        <v>3422</v>
      </c>
      <c r="B868" s="6" t="s">
        <v>538</v>
      </c>
      <c r="C868" s="9" t="s">
        <v>3423</v>
      </c>
      <c r="D868" s="9" t="s">
        <v>1894</v>
      </c>
      <c r="E868" s="9" t="s">
        <v>939</v>
      </c>
      <c r="F868" s="9" t="s">
        <v>940</v>
      </c>
      <c r="H868" s="9" t="s">
        <v>921</v>
      </c>
      <c r="M868" s="6" t="n">
        <v>1153.67</v>
      </c>
      <c r="P868" s="51" t="n">
        <v>44866</v>
      </c>
      <c r="Q868" s="1" t="n">
        <f aca="false">IF(OR($A578="",P578=""),"",ROUND(YEARFRAC(P578,README!$C$5),1))</f>
        <v>3.8</v>
      </c>
      <c r="S868" s="6" t="n">
        <v>1210</v>
      </c>
      <c r="T868" s="6" t="n">
        <v>1280</v>
      </c>
      <c r="U868" s="6" t="n">
        <v>1280</v>
      </c>
      <c r="V868" s="6" t="n">
        <v>0</v>
      </c>
      <c r="W868" s="6" t="n">
        <v>0.962</v>
      </c>
      <c r="X868" s="6" t="n">
        <v>1</v>
      </c>
      <c r="Z868" s="6" t="s">
        <v>3034</v>
      </c>
      <c r="AA868" s="9" t="s">
        <v>774</v>
      </c>
      <c r="AB868" s="6" t="s">
        <v>3424</v>
      </c>
      <c r="AC868" s="27" t="n">
        <f aca="false">COUNTIF(環境認証!$A$2:$A$849,A578)</f>
        <v>0</v>
      </c>
      <c r="AD868" s="6" t="n">
        <v>0</v>
      </c>
      <c r="AE868" s="6" t="n">
        <v>5.8</v>
      </c>
    </row>
    <row r="869" customFormat="false" ht="15" hidden="false" customHeight="true" outlineLevel="0" collapsed="false">
      <c r="A869" s="6" t="s">
        <v>3425</v>
      </c>
      <c r="B869" s="6" t="s">
        <v>538</v>
      </c>
      <c r="C869" s="9" t="s">
        <v>3426</v>
      </c>
      <c r="D869" s="9" t="s">
        <v>1894</v>
      </c>
      <c r="E869" s="9" t="s">
        <v>925</v>
      </c>
      <c r="F869" s="9" t="s">
        <v>926</v>
      </c>
      <c r="H869" s="9" t="s">
        <v>921</v>
      </c>
      <c r="M869" s="6" t="n">
        <v>656.4</v>
      </c>
      <c r="P869" s="51" t="n">
        <v>38777</v>
      </c>
      <c r="Q869" s="1" t="n">
        <f aca="false">IF(OR($A579="",P579=""),"",ROUND(YEARFRAC(P579,README!$C$5),1))</f>
        <v>20.4</v>
      </c>
      <c r="S869" s="6" t="n">
        <v>580</v>
      </c>
      <c r="T869" s="6" t="n">
        <v>626</v>
      </c>
      <c r="U869" s="6" t="n">
        <v>645</v>
      </c>
      <c r="V869" s="6" t="n">
        <v>19</v>
      </c>
      <c r="W869" s="6" t="n">
        <v>0.967</v>
      </c>
      <c r="X869" s="6" t="n">
        <v>1</v>
      </c>
      <c r="Z869" s="6" t="s">
        <v>3034</v>
      </c>
      <c r="AA869" s="9" t="s">
        <v>774</v>
      </c>
      <c r="AB869" s="6" t="s">
        <v>3427</v>
      </c>
      <c r="AC869" s="27" t="n">
        <f aca="false">COUNTIF(環境認証!$A$2:$A$849,A579)</f>
        <v>1</v>
      </c>
      <c r="AD869" s="6" t="n">
        <v>3</v>
      </c>
      <c r="AE869" s="6" t="n">
        <v>11.2</v>
      </c>
    </row>
    <row r="870" customFormat="false" ht="15" hidden="false" customHeight="true" outlineLevel="0" collapsed="false">
      <c r="A870" s="6" t="s">
        <v>3428</v>
      </c>
      <c r="B870" s="6" t="s">
        <v>538</v>
      </c>
      <c r="C870" s="9" t="s">
        <v>3429</v>
      </c>
      <c r="D870" s="9" t="s">
        <v>1894</v>
      </c>
      <c r="E870" s="9" t="s">
        <v>762</v>
      </c>
      <c r="F870" s="9" t="s">
        <v>911</v>
      </c>
      <c r="H870" s="9" t="s">
        <v>882</v>
      </c>
      <c r="M870" s="6" t="n">
        <v>944.99</v>
      </c>
      <c r="P870" s="51" t="n">
        <v>38961</v>
      </c>
      <c r="Q870" s="1" t="n">
        <f aca="false">IF(OR($A580="",P580=""),"",ROUND(YEARFRAC(P580,README!$C$5),1))</f>
        <v>19.9</v>
      </c>
      <c r="S870" s="6" t="n">
        <v>1160</v>
      </c>
      <c r="T870" s="6" t="n">
        <v>1179</v>
      </c>
      <c r="U870" s="6" t="n">
        <v>1220</v>
      </c>
      <c r="V870" s="6" t="n">
        <v>41</v>
      </c>
      <c r="W870" s="6" t="n">
        <v>0.957</v>
      </c>
      <c r="X870" s="6" t="n">
        <v>1</v>
      </c>
      <c r="Z870" s="6" t="s">
        <v>3034</v>
      </c>
      <c r="AA870" s="9" t="s">
        <v>774</v>
      </c>
      <c r="AB870" s="6" t="s">
        <v>3430</v>
      </c>
      <c r="AC870" s="27" t="n">
        <f aca="false">COUNTIF(環境認証!$A$2:$A$849,A580)</f>
        <v>1</v>
      </c>
      <c r="AD870" s="6" t="n">
        <v>3.5</v>
      </c>
      <c r="AE870" s="6" t="n">
        <v>5.2</v>
      </c>
    </row>
    <row r="871" customFormat="false" ht="15" hidden="false" customHeight="true" outlineLevel="0" collapsed="false">
      <c r="A871" s="6" t="s">
        <v>3431</v>
      </c>
      <c r="B871" s="6" t="s">
        <v>538</v>
      </c>
      <c r="C871" s="9" t="s">
        <v>3432</v>
      </c>
      <c r="D871" s="9" t="s">
        <v>1894</v>
      </c>
      <c r="E871" s="9" t="s">
        <v>939</v>
      </c>
      <c r="F871" s="9" t="s">
        <v>940</v>
      </c>
      <c r="H871" s="9" t="s">
        <v>921</v>
      </c>
      <c r="M871" s="6" t="n">
        <v>1309.45</v>
      </c>
      <c r="P871" s="51" t="n">
        <v>45748</v>
      </c>
      <c r="Q871" s="1" t="n">
        <f aca="false">IF(OR($A581="",P581=""),"",ROUND(YEARFRAC(P581,README!$C$5),1))</f>
        <v>1.4</v>
      </c>
      <c r="S871" s="6" t="n">
        <v>1430</v>
      </c>
      <c r="T871" s="6" t="n">
        <v>1523</v>
      </c>
      <c r="U871" s="6" t="n">
        <v>1500</v>
      </c>
      <c r="V871" s="6" t="n">
        <v>-23</v>
      </c>
      <c r="W871" s="6" t="n">
        <v>1</v>
      </c>
      <c r="X871" s="6" t="n">
        <v>1</v>
      </c>
      <c r="Z871" s="6" t="s">
        <v>3034</v>
      </c>
      <c r="AA871" s="9" t="s">
        <v>774</v>
      </c>
      <c r="AB871" s="6" t="s">
        <v>3433</v>
      </c>
      <c r="AC871" s="27" t="n">
        <f aca="false">COUNTIF(環境認証!$A$2:$A$849,A581)</f>
        <v>1</v>
      </c>
      <c r="AD871" s="6" t="n">
        <v>-1.5</v>
      </c>
      <c r="AE871" s="6" t="n">
        <v>4.9</v>
      </c>
    </row>
    <row r="872" customFormat="false" ht="15" hidden="false" customHeight="true" outlineLevel="0" collapsed="false">
      <c r="A872" s="6" t="s">
        <v>3434</v>
      </c>
      <c r="B872" s="6" t="s">
        <v>538</v>
      </c>
      <c r="C872" s="9" t="s">
        <v>3435</v>
      </c>
      <c r="D872" s="9" t="s">
        <v>1894</v>
      </c>
      <c r="E872" s="9" t="s">
        <v>939</v>
      </c>
      <c r="F872" s="9" t="s">
        <v>3436</v>
      </c>
      <c r="H872" s="9" t="s">
        <v>921</v>
      </c>
      <c r="M872" s="6" t="n">
        <v>1215.78</v>
      </c>
      <c r="P872" s="51" t="n">
        <v>45658</v>
      </c>
      <c r="Q872" s="1" t="n">
        <f aca="false">IF(OR($A582="",P582=""),"",ROUND(YEARFRAC(P582,README!$C$5),1))</f>
        <v>1.6</v>
      </c>
      <c r="S872" s="6" t="n">
        <v>898</v>
      </c>
      <c r="T872" s="6" t="n">
        <v>974</v>
      </c>
      <c r="U872" s="6" t="n">
        <v>928</v>
      </c>
      <c r="V872" s="6" t="n">
        <v>-46</v>
      </c>
      <c r="W872" s="6" t="n">
        <v>0.898</v>
      </c>
      <c r="X872" s="6" t="n">
        <v>1</v>
      </c>
      <c r="Z872" s="6" t="s">
        <v>3034</v>
      </c>
      <c r="AA872" s="9" t="s">
        <v>774</v>
      </c>
      <c r="AB872" s="6" t="s">
        <v>3437</v>
      </c>
      <c r="AC872" s="27" t="n">
        <f aca="false">COUNTIF(環境認証!$A$2:$A$849,A582)</f>
        <v>1</v>
      </c>
      <c r="AD872" s="6" t="n">
        <v>-4.7</v>
      </c>
      <c r="AE872" s="6" t="n">
        <v>3.3</v>
      </c>
    </row>
    <row r="873" customFormat="false" ht="15" hidden="false" customHeight="true" outlineLevel="0" collapsed="false">
      <c r="A873" s="6" t="s">
        <v>3438</v>
      </c>
      <c r="B873" s="6" t="s">
        <v>538</v>
      </c>
      <c r="C873" s="9" t="s">
        <v>3439</v>
      </c>
      <c r="D873" s="9" t="s">
        <v>1894</v>
      </c>
      <c r="E873" s="9" t="s">
        <v>939</v>
      </c>
      <c r="F873" s="9" t="s">
        <v>3440</v>
      </c>
      <c r="H873" s="9" t="s">
        <v>921</v>
      </c>
      <c r="M873" s="6" t="n">
        <v>1496.46</v>
      </c>
      <c r="P873" s="51" t="n">
        <v>39114</v>
      </c>
      <c r="Q873" s="1" t="n">
        <f aca="false">IF(OR($A583="",P583=""),"",ROUND(YEARFRAC(P583,README!$C$5),1))</f>
        <v>19.5</v>
      </c>
      <c r="S873" s="6" t="n">
        <v>1000</v>
      </c>
      <c r="T873" s="6" t="n">
        <v>1032</v>
      </c>
      <c r="U873" s="6" t="n">
        <v>1080</v>
      </c>
      <c r="V873" s="6" t="n">
        <v>48</v>
      </c>
      <c r="W873" s="6" t="n">
        <v>0.981</v>
      </c>
      <c r="X873" s="6" t="n">
        <v>1</v>
      </c>
      <c r="Z873" s="6" t="s">
        <v>3034</v>
      </c>
      <c r="AA873" s="9" t="s">
        <v>774</v>
      </c>
      <c r="AB873" s="6" t="s">
        <v>3441</v>
      </c>
      <c r="AC873" s="27" t="n">
        <f aca="false">COUNTIF(環境認証!$A$2:$A$849,A583)</f>
        <v>0</v>
      </c>
      <c r="AD873" s="6" t="n">
        <v>4.7</v>
      </c>
      <c r="AE873" s="6" t="n">
        <v>8</v>
      </c>
    </row>
    <row r="874" customFormat="false" ht="15" hidden="false" customHeight="true" outlineLevel="0" collapsed="false">
      <c r="A874" s="6" t="s">
        <v>3442</v>
      </c>
      <c r="B874" s="6" t="s">
        <v>538</v>
      </c>
      <c r="C874" s="9" t="s">
        <v>3443</v>
      </c>
      <c r="D874" s="9" t="s">
        <v>1894</v>
      </c>
      <c r="E874" s="9" t="s">
        <v>925</v>
      </c>
      <c r="F874" s="9" t="s">
        <v>930</v>
      </c>
      <c r="H874" s="9" t="s">
        <v>921</v>
      </c>
      <c r="M874" s="6" t="n">
        <v>1318.72</v>
      </c>
      <c r="P874" s="51" t="n">
        <v>44958</v>
      </c>
      <c r="Q874" s="1" t="n">
        <f aca="false">IF(OR($A584="",P584=""),"",ROUND(YEARFRAC(P584,README!$C$5),1))</f>
        <v>3.5</v>
      </c>
      <c r="S874" s="6" t="n">
        <v>1410</v>
      </c>
      <c r="T874" s="6" t="n">
        <v>1501</v>
      </c>
      <c r="U874" s="6" t="n">
        <v>1530</v>
      </c>
      <c r="V874" s="6" t="n">
        <v>29</v>
      </c>
      <c r="W874" s="6" t="n">
        <v>1</v>
      </c>
      <c r="X874" s="6" t="n">
        <v>1</v>
      </c>
      <c r="Z874" s="6" t="s">
        <v>3034</v>
      </c>
      <c r="AA874" s="9" t="s">
        <v>774</v>
      </c>
      <c r="AB874" s="6" t="s">
        <v>3444</v>
      </c>
      <c r="AC874" s="27" t="n">
        <f aca="false">COUNTIF(環境認証!$A$2:$A$849,A584)</f>
        <v>0</v>
      </c>
      <c r="AD874" s="6" t="n">
        <v>1.9</v>
      </c>
      <c r="AE874" s="6" t="n">
        <v>8.5</v>
      </c>
    </row>
    <row r="875" customFormat="false" ht="15" hidden="false" customHeight="true" outlineLevel="0" collapsed="false">
      <c r="A875" s="6" t="s">
        <v>3445</v>
      </c>
      <c r="B875" s="6" t="s">
        <v>538</v>
      </c>
      <c r="C875" s="9" t="s">
        <v>3446</v>
      </c>
      <c r="D875" s="9" t="s">
        <v>1894</v>
      </c>
      <c r="E875" s="9" t="s">
        <v>762</v>
      </c>
      <c r="F875" s="9" t="s">
        <v>2187</v>
      </c>
      <c r="H875" s="9" t="s">
        <v>882</v>
      </c>
      <c r="M875" s="6" t="n">
        <v>5029.64</v>
      </c>
      <c r="P875" s="51" t="n">
        <v>45200</v>
      </c>
      <c r="Q875" s="1" t="n">
        <f aca="false">IF(OR($A585="",P585=""),"",ROUND(YEARFRAC(P585,README!$C$5),1))</f>
        <v>2.9</v>
      </c>
      <c r="S875" s="6" t="n">
        <v>7090</v>
      </c>
      <c r="T875" s="6" t="n">
        <v>7247</v>
      </c>
      <c r="U875" s="6" t="n">
        <v>7540</v>
      </c>
      <c r="V875" s="6" t="n">
        <v>293</v>
      </c>
      <c r="W875" s="6" t="n">
        <v>0.928</v>
      </c>
      <c r="X875" s="6" t="n">
        <v>1</v>
      </c>
      <c r="Z875" s="6" t="s">
        <v>3034</v>
      </c>
      <c r="AA875" s="9" t="s">
        <v>774</v>
      </c>
      <c r="AB875" s="6" t="s">
        <v>3447</v>
      </c>
      <c r="AC875" s="27" t="n">
        <f aca="false">COUNTIF(環境認証!$A$2:$A$849,A585)</f>
        <v>1</v>
      </c>
      <c r="AD875" s="6" t="n">
        <v>4</v>
      </c>
      <c r="AE875" s="6" t="n">
        <v>6.3</v>
      </c>
    </row>
    <row r="876" customFormat="false" ht="15" hidden="false" customHeight="true" outlineLevel="0" collapsed="false">
      <c r="A876" s="6" t="s">
        <v>3448</v>
      </c>
      <c r="B876" s="6" t="s">
        <v>538</v>
      </c>
      <c r="C876" s="9" t="s">
        <v>3449</v>
      </c>
      <c r="D876" s="9" t="s">
        <v>1894</v>
      </c>
      <c r="E876" s="9" t="s">
        <v>762</v>
      </c>
      <c r="F876" s="9" t="s">
        <v>1148</v>
      </c>
      <c r="H876" s="9" t="s">
        <v>882</v>
      </c>
      <c r="M876" s="6" t="n">
        <v>3927.51</v>
      </c>
      <c r="P876" s="51" t="n">
        <v>45047</v>
      </c>
      <c r="Q876" s="1" t="n">
        <f aca="false">IF(OR($A586="",P586=""),"",ROUND(YEARFRAC(P586,README!$C$5),1))</f>
        <v>3.3</v>
      </c>
      <c r="S876" s="6" t="n">
        <v>5640</v>
      </c>
      <c r="T876" s="6" t="n">
        <v>5782</v>
      </c>
      <c r="U876" s="6" t="n">
        <v>6140</v>
      </c>
      <c r="V876" s="6" t="n">
        <v>358</v>
      </c>
      <c r="W876" s="6" t="n">
        <v>0.925</v>
      </c>
      <c r="X876" s="6" t="n">
        <v>1</v>
      </c>
      <c r="Z876" s="6" t="s">
        <v>3034</v>
      </c>
      <c r="AA876" s="9" t="s">
        <v>774</v>
      </c>
      <c r="AB876" s="6" t="s">
        <v>3450</v>
      </c>
      <c r="AC876" s="27" t="n">
        <f aca="false">COUNTIF(環境認証!$A$2:$A$849,A586)</f>
        <v>1</v>
      </c>
      <c r="AD876" s="6" t="n">
        <v>6.2</v>
      </c>
      <c r="AE876" s="6" t="n">
        <v>8.9</v>
      </c>
    </row>
    <row r="877" customFormat="false" ht="15" hidden="false" customHeight="true" outlineLevel="0" collapsed="false">
      <c r="A877" s="6" t="s">
        <v>3451</v>
      </c>
      <c r="B877" s="6" t="s">
        <v>538</v>
      </c>
      <c r="C877" s="9" t="s">
        <v>3452</v>
      </c>
      <c r="D877" s="9" t="s">
        <v>1894</v>
      </c>
      <c r="E877" s="9" t="s">
        <v>946</v>
      </c>
      <c r="F877" s="9" t="s">
        <v>1996</v>
      </c>
      <c r="H877" s="9" t="s">
        <v>921</v>
      </c>
      <c r="M877" s="6" t="n">
        <v>6444.69</v>
      </c>
      <c r="P877" s="51" t="n">
        <v>45292</v>
      </c>
      <c r="Q877" s="1" t="n">
        <f aca="false">IF(OR($A587="",P587=""),"",ROUND(YEARFRAC(P587,README!$C$5),1))</f>
        <v>2.6</v>
      </c>
      <c r="S877" s="6" t="n">
        <v>6160</v>
      </c>
      <c r="T877" s="6" t="n">
        <v>6393</v>
      </c>
      <c r="U877" s="6" t="n">
        <v>6200</v>
      </c>
      <c r="V877" s="6" t="n">
        <v>-193</v>
      </c>
      <c r="W877" s="6" t="n">
        <v>1</v>
      </c>
      <c r="X877" s="6" t="n">
        <v>1</v>
      </c>
      <c r="Z877" s="6" t="s">
        <v>3034</v>
      </c>
      <c r="AA877" s="9" t="s">
        <v>774</v>
      </c>
      <c r="AB877" s="6" t="s">
        <v>3453</v>
      </c>
      <c r="AC877" s="27" t="n">
        <f aca="false">COUNTIF(環境認証!$A$2:$A$849,A587)</f>
        <v>0</v>
      </c>
      <c r="AD877" s="6" t="n">
        <v>-3</v>
      </c>
      <c r="AE877" s="6" t="n">
        <v>0.6</v>
      </c>
    </row>
    <row r="878" customFormat="false" ht="15" hidden="false" customHeight="true" outlineLevel="0" collapsed="false">
      <c r="A878" s="6" t="s">
        <v>3454</v>
      </c>
      <c r="B878" s="6" t="s">
        <v>538</v>
      </c>
      <c r="C878" s="9" t="s">
        <v>3455</v>
      </c>
      <c r="D878" s="9" t="s">
        <v>1894</v>
      </c>
      <c r="E878" s="9" t="s">
        <v>762</v>
      </c>
      <c r="F878" s="9" t="s">
        <v>895</v>
      </c>
      <c r="H878" s="9" t="s">
        <v>882</v>
      </c>
      <c r="M878" s="6" t="n">
        <v>2736.6</v>
      </c>
      <c r="P878" s="51" t="n">
        <v>45292</v>
      </c>
      <c r="Q878" s="1" t="n">
        <f aca="false">IF(OR($A588="",P588=""),"",ROUND(YEARFRAC(P588,README!$C$5),1))</f>
        <v>2.6</v>
      </c>
      <c r="S878" s="6" t="n">
        <v>4010</v>
      </c>
      <c r="T878" s="6" t="n">
        <v>4111</v>
      </c>
      <c r="U878" s="6" t="n">
        <v>4140</v>
      </c>
      <c r="V878" s="6" t="n">
        <v>29</v>
      </c>
      <c r="W878" s="6" t="n">
        <v>0.921</v>
      </c>
      <c r="X878" s="6" t="n">
        <v>1</v>
      </c>
      <c r="Z878" s="6" t="s">
        <v>3034</v>
      </c>
      <c r="AA878" s="9" t="s">
        <v>774</v>
      </c>
      <c r="AB878" s="6" t="s">
        <v>3456</v>
      </c>
      <c r="AC878" s="27" t="n">
        <f aca="false">COUNTIF(環境認証!$A$2:$A$849,A588)</f>
        <v>1</v>
      </c>
      <c r="AD878" s="6" t="n">
        <v>0.7</v>
      </c>
      <c r="AE878" s="6" t="n">
        <v>3.2</v>
      </c>
    </row>
    <row r="879" customFormat="false" ht="15" hidden="false" customHeight="true" outlineLevel="0" collapsed="false">
      <c r="A879" s="6" t="s">
        <v>3457</v>
      </c>
      <c r="B879" s="6" t="s">
        <v>538</v>
      </c>
      <c r="C879" s="9" t="s">
        <v>3458</v>
      </c>
      <c r="D879" s="9" t="s">
        <v>1894</v>
      </c>
      <c r="E879" s="9" t="s">
        <v>762</v>
      </c>
      <c r="F879" s="9" t="s">
        <v>881</v>
      </c>
      <c r="H879" s="9" t="s">
        <v>882</v>
      </c>
      <c r="M879" s="6" t="n">
        <v>2129.76</v>
      </c>
      <c r="P879" s="51" t="n">
        <v>45047</v>
      </c>
      <c r="Q879" s="1" t="n">
        <f aca="false">IF(OR($A589="",P589=""),"",ROUND(YEARFRAC(P589,README!$C$5),1))</f>
        <v>3.3</v>
      </c>
      <c r="S879" s="6" t="n">
        <v>3200</v>
      </c>
      <c r="T879" s="6" t="n">
        <v>3282</v>
      </c>
      <c r="U879" s="6" t="n">
        <v>3260</v>
      </c>
      <c r="V879" s="6" t="n">
        <v>-22</v>
      </c>
      <c r="W879" s="6" t="n">
        <v>0.93</v>
      </c>
      <c r="X879" s="6" t="n">
        <v>1</v>
      </c>
      <c r="Z879" s="6" t="s">
        <v>3034</v>
      </c>
      <c r="AA879" s="9" t="s">
        <v>774</v>
      </c>
      <c r="AB879" s="6" t="s">
        <v>3459</v>
      </c>
      <c r="AC879" s="27" t="n">
        <f aca="false">COUNTIF(環境認証!$A$2:$A$849,A589)</f>
        <v>1</v>
      </c>
      <c r="AD879" s="6" t="n">
        <v>-0.7</v>
      </c>
      <c r="AE879" s="6" t="n">
        <v>1.9</v>
      </c>
    </row>
    <row r="880" customFormat="false" ht="15" hidden="false" customHeight="true" outlineLevel="0" collapsed="false">
      <c r="A880" s="6" t="s">
        <v>3460</v>
      </c>
      <c r="B880" s="6" t="s">
        <v>538</v>
      </c>
      <c r="C880" s="9" t="s">
        <v>3461</v>
      </c>
      <c r="D880" s="9" t="s">
        <v>1894</v>
      </c>
      <c r="E880" s="9" t="s">
        <v>762</v>
      </c>
      <c r="F880" s="9" t="s">
        <v>820</v>
      </c>
      <c r="H880" s="9" t="s">
        <v>772</v>
      </c>
      <c r="M880" s="6" t="n">
        <v>1551.15</v>
      </c>
      <c r="P880" s="51" t="n">
        <v>45139</v>
      </c>
      <c r="Q880" s="1" t="n">
        <f aca="false">IF(OR($A590="",P590=""),"",ROUND(YEARFRAC(P590,README!$C$5),1))</f>
        <v>3</v>
      </c>
      <c r="S880" s="6" t="n">
        <v>2330</v>
      </c>
      <c r="T880" s="6" t="n">
        <v>2390</v>
      </c>
      <c r="U880" s="6" t="n">
        <v>2430</v>
      </c>
      <c r="V880" s="6" t="n">
        <v>40</v>
      </c>
      <c r="W880" s="6" t="n">
        <v>0.867</v>
      </c>
      <c r="X880" s="6" t="n">
        <v>1</v>
      </c>
      <c r="Z880" s="6" t="s">
        <v>3034</v>
      </c>
      <c r="AA880" s="9" t="s">
        <v>774</v>
      </c>
      <c r="AB880" s="6" t="s">
        <v>3462</v>
      </c>
      <c r="AC880" s="27" t="n">
        <f aca="false">COUNTIF(環境認証!$A$2:$A$849,A590)</f>
        <v>0</v>
      </c>
      <c r="AD880" s="6" t="n">
        <v>1.7</v>
      </c>
      <c r="AE880" s="6" t="n">
        <v>4.3</v>
      </c>
    </row>
    <row r="881" customFormat="false" ht="15" hidden="false" customHeight="true" outlineLevel="0" collapsed="false">
      <c r="A881" s="6" t="s">
        <v>3463</v>
      </c>
      <c r="B881" s="6" t="s">
        <v>538</v>
      </c>
      <c r="C881" s="9" t="s">
        <v>3464</v>
      </c>
      <c r="D881" s="9" t="s">
        <v>1894</v>
      </c>
      <c r="E881" s="9" t="s">
        <v>762</v>
      </c>
      <c r="F881" s="9" t="s">
        <v>881</v>
      </c>
      <c r="H881" s="9" t="s">
        <v>882</v>
      </c>
      <c r="M881" s="6" t="n">
        <v>1074.64</v>
      </c>
      <c r="P881" s="51" t="n">
        <v>45536</v>
      </c>
      <c r="Q881" s="1" t="n">
        <f aca="false">IF(OR($A591="",P591=""),"",ROUND(YEARFRAC(P591,README!$C$5),1))</f>
        <v>1.9</v>
      </c>
      <c r="S881" s="6" t="n">
        <v>1610</v>
      </c>
      <c r="T881" s="6" t="n">
        <v>1658</v>
      </c>
      <c r="U881" s="6" t="n">
        <v>1670</v>
      </c>
      <c r="V881" s="6" t="n">
        <v>12</v>
      </c>
      <c r="W881" s="6" t="n">
        <v>1</v>
      </c>
      <c r="X881" s="6" t="n">
        <v>1</v>
      </c>
      <c r="Z881" s="6" t="s">
        <v>3034</v>
      </c>
      <c r="AA881" s="9" t="s">
        <v>774</v>
      </c>
      <c r="AB881" s="6" t="s">
        <v>3465</v>
      </c>
      <c r="AC881" s="27" t="n">
        <f aca="false">COUNTIF(環境認証!$A$2:$A$849,A591)</f>
        <v>1</v>
      </c>
      <c r="AD881" s="6" t="n">
        <v>0.7</v>
      </c>
      <c r="AE881" s="6" t="n">
        <v>3.7</v>
      </c>
    </row>
    <row r="882" customFormat="false" ht="15" hidden="false" customHeight="true" outlineLevel="0" collapsed="false">
      <c r="A882" s="6" t="s">
        <v>3466</v>
      </c>
      <c r="B882" s="6" t="s">
        <v>538</v>
      </c>
      <c r="C882" s="9" t="s">
        <v>3467</v>
      </c>
      <c r="D882" s="9" t="s">
        <v>1894</v>
      </c>
      <c r="E882" s="9" t="s">
        <v>939</v>
      </c>
      <c r="F882" s="9" t="s">
        <v>2007</v>
      </c>
      <c r="H882" s="9" t="s">
        <v>921</v>
      </c>
      <c r="M882" s="6" t="n">
        <v>2322.28</v>
      </c>
      <c r="P882" s="51" t="n">
        <v>40210</v>
      </c>
      <c r="Q882" s="1" t="n">
        <f aca="false">IF(OR($A592="",P592=""),"",ROUND(YEARFRAC(P592,README!$C$5),1))</f>
        <v>16.5</v>
      </c>
      <c r="S882" s="6" t="n">
        <v>2590</v>
      </c>
      <c r="T882" s="6" t="n">
        <v>2641</v>
      </c>
      <c r="U882" s="6" t="n">
        <v>2690</v>
      </c>
      <c r="V882" s="6" t="n">
        <v>49</v>
      </c>
      <c r="W882" s="6" t="n">
        <v>0.942</v>
      </c>
      <c r="X882" s="6" t="n">
        <v>1</v>
      </c>
      <c r="Z882" s="6" t="s">
        <v>3034</v>
      </c>
      <c r="AA882" s="9" t="s">
        <v>774</v>
      </c>
      <c r="AB882" s="6" t="s">
        <v>3468</v>
      </c>
      <c r="AC882" s="27" t="n">
        <f aca="false">COUNTIF(環境認証!$A$2:$A$849,A592)</f>
        <v>1</v>
      </c>
      <c r="AD882" s="6" t="n">
        <v>1.9</v>
      </c>
      <c r="AE882" s="6" t="n">
        <v>3.9</v>
      </c>
    </row>
    <row r="883" customFormat="false" ht="15" hidden="false" customHeight="true" outlineLevel="0" collapsed="false">
      <c r="A883" s="6" t="s">
        <v>3469</v>
      </c>
      <c r="B883" s="6" t="s">
        <v>538</v>
      </c>
      <c r="C883" s="9" t="s">
        <v>3470</v>
      </c>
      <c r="D883" s="9" t="s">
        <v>1894</v>
      </c>
      <c r="E883" s="9" t="s">
        <v>925</v>
      </c>
      <c r="F883" s="9" t="s">
        <v>930</v>
      </c>
      <c r="H883" s="9" t="s">
        <v>921</v>
      </c>
      <c r="M883" s="6" t="n">
        <v>1872.1</v>
      </c>
      <c r="P883" s="51" t="n">
        <v>40210</v>
      </c>
      <c r="Q883" s="1" t="n">
        <f aca="false">IF(OR($A593="",P593=""),"",ROUND(YEARFRAC(P593,README!$C$5),1))</f>
        <v>16.5</v>
      </c>
      <c r="S883" s="6" t="n">
        <v>1810</v>
      </c>
      <c r="T883" s="6" t="n">
        <v>1918</v>
      </c>
      <c r="U883" s="6" t="n">
        <v>2000</v>
      </c>
      <c r="V883" s="6" t="n">
        <v>82</v>
      </c>
      <c r="W883" s="6" t="n">
        <v>0.971</v>
      </c>
      <c r="X883" s="6" t="n">
        <v>1</v>
      </c>
      <c r="Z883" s="6" t="s">
        <v>3034</v>
      </c>
      <c r="AA883" s="9" t="s">
        <v>774</v>
      </c>
      <c r="AB883" s="6" t="s">
        <v>3471</v>
      </c>
      <c r="AC883" s="27" t="n">
        <f aca="false">COUNTIF(環境認証!$A$2:$A$849,A593)</f>
        <v>0</v>
      </c>
      <c r="AD883" s="6" t="n">
        <v>4.3</v>
      </c>
      <c r="AE883" s="6" t="n">
        <v>10.5</v>
      </c>
    </row>
    <row r="884" customFormat="false" ht="15" hidden="false" customHeight="true" outlineLevel="0" collapsed="false">
      <c r="A884" s="6" t="s">
        <v>3472</v>
      </c>
      <c r="B884" s="6" t="s">
        <v>538</v>
      </c>
      <c r="C884" s="9" t="s">
        <v>3473</v>
      </c>
      <c r="D884" s="9" t="s">
        <v>1894</v>
      </c>
      <c r="E884" s="9" t="s">
        <v>3474</v>
      </c>
      <c r="G884" s="9" t="s">
        <v>2581</v>
      </c>
      <c r="H884" s="9" t="s">
        <v>3475</v>
      </c>
      <c r="M884" s="6" t="n">
        <v>31989.96</v>
      </c>
      <c r="P884" s="51" t="n">
        <v>44835</v>
      </c>
      <c r="Q884" s="1" t="n">
        <f aca="false">IF(OR($A594="",P594=""),"",ROUND(YEARFRAC(P594,README!$C$5),1))</f>
        <v>3.9</v>
      </c>
      <c r="S884" s="6" t="n">
        <v>51479</v>
      </c>
      <c r="T884" s="6" t="n">
        <v>54069</v>
      </c>
      <c r="U884" s="6" t="n">
        <v>57419</v>
      </c>
      <c r="V884" s="6" t="n">
        <v>3350</v>
      </c>
      <c r="W884" s="6" t="n">
        <v>0.969</v>
      </c>
      <c r="X884" s="6" t="n">
        <v>393</v>
      </c>
      <c r="Z884" s="6" t="s">
        <v>3034</v>
      </c>
      <c r="AA884" s="9" t="s">
        <v>774</v>
      </c>
      <c r="AB884" s="6" t="s">
        <v>3476</v>
      </c>
      <c r="AC884" s="27" t="n">
        <f aca="false">COUNTIF(環境認証!$A$2:$A$849,A594)</f>
        <v>1</v>
      </c>
      <c r="AD884" s="6" t="n">
        <v>6.2</v>
      </c>
      <c r="AE884" s="6" t="n">
        <v>11.5</v>
      </c>
    </row>
    <row r="885" customFormat="false" ht="15" hidden="false" customHeight="true" outlineLevel="0" collapsed="false">
      <c r="A885" s="6" t="s">
        <v>3477</v>
      </c>
      <c r="B885" s="6" t="s">
        <v>538</v>
      </c>
      <c r="C885" s="9" t="s">
        <v>3478</v>
      </c>
      <c r="D885" s="9" t="s">
        <v>1894</v>
      </c>
      <c r="E885" s="9" t="s">
        <v>3474</v>
      </c>
      <c r="G885" s="9" t="s">
        <v>2585</v>
      </c>
      <c r="H885" s="9" t="s">
        <v>3475</v>
      </c>
      <c r="M885" s="6" t="n">
        <v>59468.66</v>
      </c>
      <c r="P885" s="51" t="n">
        <v>44896</v>
      </c>
      <c r="Q885" s="1" t="n">
        <f aca="false">IF(OR($A595="",P595=""),"",ROUND(YEARFRAC(P595,README!$C$5),1))</f>
        <v>3.7</v>
      </c>
      <c r="S885" s="6" t="n">
        <v>84378</v>
      </c>
      <c r="T885" s="6" t="n">
        <v>86838</v>
      </c>
      <c r="U885" s="6" t="n">
        <v>95913</v>
      </c>
      <c r="V885" s="6" t="n">
        <v>9075</v>
      </c>
      <c r="W885" s="6" t="n">
        <v>0.928</v>
      </c>
      <c r="X885" s="6" t="n">
        <v>640</v>
      </c>
      <c r="Z885" s="6" t="s">
        <v>3034</v>
      </c>
      <c r="AA885" s="9" t="s">
        <v>774</v>
      </c>
      <c r="AB885" s="6" t="s">
        <v>3479</v>
      </c>
      <c r="AC885" s="27" t="n">
        <f aca="false">COUNTIF(環境認証!$A$2:$A$849,A595)</f>
        <v>0</v>
      </c>
      <c r="AD885" s="6" t="n">
        <v>10.5</v>
      </c>
      <c r="AE885" s="6" t="n">
        <v>13.7</v>
      </c>
    </row>
    <row r="886" customFormat="false" ht="15" hidden="false" customHeight="true" outlineLevel="0" collapsed="false">
      <c r="A886" s="6" t="s">
        <v>3480</v>
      </c>
      <c r="B886" s="6" t="s">
        <v>538</v>
      </c>
      <c r="C886" s="9" t="s">
        <v>3481</v>
      </c>
      <c r="D886" s="9" t="s">
        <v>761</v>
      </c>
      <c r="E886" s="9" t="s">
        <v>762</v>
      </c>
      <c r="F886" s="9" t="s">
        <v>848</v>
      </c>
      <c r="H886" s="9" t="s">
        <v>882</v>
      </c>
      <c r="M886" s="6" t="n">
        <v>7999.99</v>
      </c>
      <c r="P886" s="51" t="n">
        <v>40575</v>
      </c>
      <c r="Q886" s="1" t="n">
        <f aca="false">IF(OR($A596="",P596=""),"",ROUND(YEARFRAC(P596,README!$C$5),1))</f>
        <v>15.5</v>
      </c>
      <c r="S886" s="6" t="n">
        <v>20600</v>
      </c>
      <c r="T886" s="6" t="n">
        <v>19349</v>
      </c>
      <c r="U886" s="6" t="n">
        <v>25100</v>
      </c>
      <c r="V886" s="6" t="n">
        <v>5751</v>
      </c>
      <c r="W886" s="6" t="n">
        <v>1</v>
      </c>
      <c r="X886" s="6" t="n">
        <v>1</v>
      </c>
      <c r="Z886" s="6" t="s">
        <v>3034</v>
      </c>
      <c r="AA886" s="9" t="s">
        <v>774</v>
      </c>
      <c r="AB886" s="6" t="s">
        <v>3482</v>
      </c>
      <c r="AC886" s="27" t="n">
        <f aca="false">COUNTIF(環境認証!$A$2:$A$849,A596)</f>
        <v>0</v>
      </c>
      <c r="AD886" s="6" t="n">
        <v>29.7</v>
      </c>
      <c r="AE886" s="6" t="n">
        <v>21.8</v>
      </c>
    </row>
    <row r="887" customFormat="false" ht="15" hidden="false" customHeight="true" outlineLevel="0" collapsed="false">
      <c r="A887" s="6" t="s">
        <v>3483</v>
      </c>
      <c r="B887" s="6" t="s">
        <v>538</v>
      </c>
      <c r="C887" s="9" t="s">
        <v>3484</v>
      </c>
      <c r="D887" s="9" t="s">
        <v>761</v>
      </c>
      <c r="E887" s="9" t="s">
        <v>981</v>
      </c>
      <c r="F887" s="9" t="s">
        <v>982</v>
      </c>
      <c r="H887" s="9" t="s">
        <v>971</v>
      </c>
      <c r="M887" s="6" t="n">
        <v>29657.53</v>
      </c>
      <c r="P887" s="51" t="n">
        <v>40575</v>
      </c>
      <c r="Q887" s="1" t="n">
        <f aca="false">IF(OR($A597="",P597=""),"",ROUND(YEARFRAC(P597,README!$C$5),1))</f>
        <v>15.5</v>
      </c>
      <c r="S887" s="6" t="n">
        <v>44000</v>
      </c>
      <c r="T887" s="6" t="n">
        <v>40915</v>
      </c>
      <c r="U887" s="6" t="n">
        <v>54800</v>
      </c>
      <c r="V887" s="6" t="n">
        <v>13885</v>
      </c>
      <c r="W887" s="6" t="n">
        <v>1</v>
      </c>
      <c r="X887" s="6" t="n">
        <v>1</v>
      </c>
      <c r="Z887" s="6" t="s">
        <v>3034</v>
      </c>
      <c r="AA887" s="9" t="s">
        <v>774</v>
      </c>
      <c r="AB887" s="6" t="s">
        <v>3485</v>
      </c>
      <c r="AC887" s="27" t="n">
        <f aca="false">COUNTIF(環境認証!$A$2:$A$849,A597)</f>
        <v>0</v>
      </c>
      <c r="AD887" s="6" t="n">
        <v>33.9</v>
      </c>
      <c r="AE887" s="6" t="n">
        <v>24.5</v>
      </c>
    </row>
    <row r="888" customFormat="false" ht="15" hidden="false" customHeight="true" outlineLevel="0" collapsed="false">
      <c r="A888" s="6" t="s">
        <v>3486</v>
      </c>
      <c r="B888" s="6" t="s">
        <v>538</v>
      </c>
      <c r="C888" s="9" t="s">
        <v>3487</v>
      </c>
      <c r="D888" s="9" t="s">
        <v>761</v>
      </c>
      <c r="E888" s="9" t="s">
        <v>981</v>
      </c>
      <c r="F888" s="9" t="s">
        <v>982</v>
      </c>
      <c r="H888" s="9" t="s">
        <v>971</v>
      </c>
      <c r="M888" s="6" t="n">
        <v>4554.52</v>
      </c>
      <c r="P888" s="51" t="n">
        <v>42186</v>
      </c>
      <c r="Q888" s="1" t="n">
        <f aca="false">IF(OR($A598="",P598=""),"",ROUND(YEARFRAC(P598,README!$C$5),1))</f>
        <v>11.1</v>
      </c>
      <c r="S888" s="6" t="n">
        <v>4400</v>
      </c>
      <c r="T888" s="6" t="n">
        <v>4106</v>
      </c>
      <c r="U888" s="6" t="n">
        <v>7020</v>
      </c>
      <c r="V888" s="6" t="n">
        <v>2914</v>
      </c>
      <c r="W888" s="6" t="n">
        <v>1</v>
      </c>
      <c r="X888" s="6" t="n">
        <v>1</v>
      </c>
      <c r="Z888" s="6" t="s">
        <v>3034</v>
      </c>
      <c r="AA888" s="9" t="s">
        <v>774</v>
      </c>
      <c r="AB888" s="6" t="s">
        <v>3488</v>
      </c>
      <c r="AC888" s="27" t="n">
        <f aca="false">COUNTIF(環境認証!$A$2:$A$849,A598)</f>
        <v>0</v>
      </c>
      <c r="AD888" s="6" t="n">
        <v>71</v>
      </c>
      <c r="AE888" s="6" t="n">
        <v>59.5</v>
      </c>
    </row>
    <row r="889" customFormat="false" ht="15" hidden="false" customHeight="true" outlineLevel="0" collapsed="false">
      <c r="A889" s="6" t="s">
        <v>3489</v>
      </c>
      <c r="B889" s="6" t="s">
        <v>538</v>
      </c>
      <c r="C889" s="9" t="s">
        <v>3490</v>
      </c>
      <c r="D889" s="9" t="s">
        <v>761</v>
      </c>
      <c r="E889" s="9" t="s">
        <v>969</v>
      </c>
      <c r="F889" s="9" t="s">
        <v>970</v>
      </c>
      <c r="H889" s="9" t="s">
        <v>971</v>
      </c>
      <c r="M889" s="6" t="n">
        <v>4442.75</v>
      </c>
      <c r="P889" s="51" t="n">
        <v>40603</v>
      </c>
      <c r="Q889" s="1" t="n">
        <f aca="false">IF(OR($A599="",P599=""),"",ROUND(YEARFRAC(P599,README!$C$5),1))</f>
        <v>15.4</v>
      </c>
      <c r="S889" s="6" t="n">
        <v>6350</v>
      </c>
      <c r="T889" s="6" t="n">
        <v>5980</v>
      </c>
      <c r="U889" s="6" t="n">
        <v>7270</v>
      </c>
      <c r="V889" s="6" t="n">
        <v>1290</v>
      </c>
      <c r="W889" s="6" t="n">
        <v>1</v>
      </c>
      <c r="X889" s="6" t="n">
        <v>1</v>
      </c>
      <c r="Z889" s="6" t="s">
        <v>3034</v>
      </c>
      <c r="AA889" s="9" t="s">
        <v>774</v>
      </c>
      <c r="AB889" s="6" t="s">
        <v>3491</v>
      </c>
      <c r="AC889" s="27" t="n">
        <f aca="false">COUNTIF(環境認証!$A$2:$A$849,A599)</f>
        <v>0</v>
      </c>
      <c r="AD889" s="6" t="n">
        <v>21.6</v>
      </c>
      <c r="AE889" s="6" t="n">
        <v>14.5</v>
      </c>
    </row>
    <row r="890" customFormat="false" ht="15" hidden="false" customHeight="true" outlineLevel="0" collapsed="false">
      <c r="A890" s="6" t="s">
        <v>3492</v>
      </c>
      <c r="B890" s="6" t="s">
        <v>538</v>
      </c>
      <c r="C890" s="9" t="s">
        <v>3493</v>
      </c>
      <c r="D890" s="9" t="s">
        <v>761</v>
      </c>
      <c r="E890" s="9" t="s">
        <v>762</v>
      </c>
      <c r="F890" s="9" t="s">
        <v>771</v>
      </c>
      <c r="H890" s="9" t="s">
        <v>772</v>
      </c>
      <c r="M890" s="6" t="n">
        <v>3120.48</v>
      </c>
      <c r="P890" s="51" t="n">
        <v>31199</v>
      </c>
      <c r="Q890" s="1" t="n">
        <f aca="false">IF(OR($A600="",P600=""),"",ROUND(YEARFRAC(P600,README!$C$5),1))</f>
        <v>41.2</v>
      </c>
      <c r="S890" s="6" t="n">
        <v>5000</v>
      </c>
      <c r="T890" s="6" t="n">
        <v>5001</v>
      </c>
      <c r="U890" s="6" t="n">
        <v>5040</v>
      </c>
      <c r="V890" s="6" t="n">
        <v>39</v>
      </c>
      <c r="W890" s="6" t="n">
        <v>1</v>
      </c>
      <c r="X890" s="6" t="n">
        <v>3</v>
      </c>
      <c r="Z890" s="6" t="s">
        <v>3034</v>
      </c>
      <c r="AA890" s="9" t="s">
        <v>774</v>
      </c>
      <c r="AB890" s="6" t="s">
        <v>3494</v>
      </c>
      <c r="AC890" s="27" t="n">
        <f aca="false">COUNTIF(環境認証!$A$2:$A$849,A600)</f>
        <v>1</v>
      </c>
      <c r="AD890" s="6" t="n">
        <v>0.8</v>
      </c>
      <c r="AE890" s="6" t="n">
        <v>0.8</v>
      </c>
    </row>
    <row r="891" customFormat="false" ht="15" hidden="false" customHeight="true" outlineLevel="0" collapsed="false">
      <c r="A891" s="6" t="s">
        <v>3495</v>
      </c>
      <c r="B891" s="6" t="s">
        <v>544</v>
      </c>
      <c r="C891" s="9" t="s">
        <v>3496</v>
      </c>
      <c r="D891" s="9" t="s">
        <v>2191</v>
      </c>
      <c r="H891" s="9" t="s">
        <v>1013</v>
      </c>
      <c r="M891" s="1" t="n">
        <v>939.89</v>
      </c>
      <c r="Q891" s="1" t="str">
        <f aca="false">IF(OR($A1274="",P1274=""),"",ROUND(YEARFRAC(P1274,README!$C$5),1))</f>
        <v/>
      </c>
      <c r="S891" s="6" t="n">
        <v>463522</v>
      </c>
      <c r="T891" s="6" t="n">
        <v>441966</v>
      </c>
      <c r="U891" s="6" t="n">
        <v>536419</v>
      </c>
      <c r="V891" s="1" t="n">
        <f aca="false">IF($A1274="","",IF(OR(T1274="",U1274=""),"",U1274-T1274))</f>
        <v>66</v>
      </c>
      <c r="W891" s="6" t="n">
        <v>0.996</v>
      </c>
      <c r="X891" s="6" t="n">
        <v>122</v>
      </c>
      <c r="Z891" s="6" t="s">
        <v>3497</v>
      </c>
      <c r="AA891" s="9" t="s">
        <v>767</v>
      </c>
      <c r="AB891" s="6" t="s">
        <v>3498</v>
      </c>
      <c r="AC891" s="27" t="n">
        <f aca="false">COUNTIF(環境認証!$A$2:$A$849,A1274)</f>
        <v>0</v>
      </c>
      <c r="AD891" s="1" t="n">
        <v>4.1</v>
      </c>
      <c r="AE891" s="1" t="n">
        <v>2.8</v>
      </c>
    </row>
    <row r="892" customFormat="false" ht="15" hidden="false" customHeight="true" outlineLevel="0" collapsed="false">
      <c r="A892" s="6" t="s">
        <v>3499</v>
      </c>
      <c r="B892" s="6" t="s">
        <v>544</v>
      </c>
      <c r="C892" s="9" t="s">
        <v>3500</v>
      </c>
      <c r="D892" s="9" t="s">
        <v>761</v>
      </c>
      <c r="E892" s="9" t="s">
        <v>762</v>
      </c>
      <c r="F892" s="9" t="s">
        <v>782</v>
      </c>
      <c r="H892" s="9" t="s">
        <v>772</v>
      </c>
      <c r="M892" s="6" t="n">
        <v>71806.84</v>
      </c>
      <c r="P892" s="51" t="n">
        <v>38353</v>
      </c>
      <c r="Q892" s="1" t="n">
        <f aca="false">IF(OR($A1254="",P1254=""),"",ROUND(YEARFRAC(P1254,README!$C$5),1))</f>
        <v>21.6</v>
      </c>
      <c r="S892" s="6" t="n">
        <v>82539</v>
      </c>
      <c r="T892" s="6" t="n">
        <v>74421</v>
      </c>
      <c r="U892" s="6" t="n">
        <v>82300</v>
      </c>
      <c r="V892" s="6" t="n">
        <v>7879</v>
      </c>
      <c r="W892" s="6" t="n">
        <v>1</v>
      </c>
      <c r="X892" s="6" t="n">
        <v>1</v>
      </c>
      <c r="Z892" s="6" t="s">
        <v>3497</v>
      </c>
      <c r="AA892" s="9" t="s">
        <v>774</v>
      </c>
      <c r="AB892" s="9" t="s">
        <v>3501</v>
      </c>
      <c r="AC892" s="27" t="n">
        <f aca="false">COUNTIF(環境認証!$A$2:$A$849,A1254)</f>
        <v>0</v>
      </c>
      <c r="AD892" s="6" t="n">
        <v>10.6</v>
      </c>
      <c r="AE892" s="6" t="n">
        <v>-0.3</v>
      </c>
    </row>
    <row r="893" customFormat="false" ht="15" hidden="false" customHeight="true" outlineLevel="0" collapsed="false">
      <c r="A893" s="6" t="s">
        <v>3502</v>
      </c>
      <c r="B893" s="6" t="s">
        <v>544</v>
      </c>
      <c r="C893" s="9" t="s">
        <v>3503</v>
      </c>
      <c r="D893" s="9" t="s">
        <v>761</v>
      </c>
      <c r="E893" s="9" t="s">
        <v>762</v>
      </c>
      <c r="F893" s="9" t="s">
        <v>782</v>
      </c>
      <c r="H893" s="9" t="s">
        <v>772</v>
      </c>
      <c r="M893" s="6" t="n">
        <v>13479.44</v>
      </c>
      <c r="P893" s="51" t="n">
        <v>43891</v>
      </c>
      <c r="Q893" s="1" t="n">
        <f aca="false">IF(OR($A1255="",P1255=""),"",ROUND(YEARFRAC(P1255,README!$C$5),1))</f>
        <v>6.4</v>
      </c>
      <c r="S893" s="6" t="n">
        <v>51660</v>
      </c>
      <c r="T893" s="6" t="n">
        <v>50769</v>
      </c>
      <c r="U893" s="6" t="n">
        <v>56900</v>
      </c>
      <c r="V893" s="6" t="n">
        <v>6131</v>
      </c>
      <c r="W893" s="6" t="n">
        <v>1</v>
      </c>
      <c r="X893" s="6" t="n">
        <v>1</v>
      </c>
      <c r="Z893" s="6" t="s">
        <v>3497</v>
      </c>
      <c r="AA893" s="9" t="s">
        <v>774</v>
      </c>
      <c r="AB893" s="9" t="s">
        <v>3504</v>
      </c>
      <c r="AC893" s="27" t="n">
        <f aca="false">COUNTIF(環境認証!$A$2:$A$849,A1255)</f>
        <v>0</v>
      </c>
      <c r="AD893" s="6" t="n">
        <v>12.1</v>
      </c>
      <c r="AE893" s="6" t="n">
        <v>10.1</v>
      </c>
    </row>
    <row r="894" customFormat="false" ht="15" hidden="false" customHeight="true" outlineLevel="0" collapsed="false">
      <c r="A894" s="6" t="s">
        <v>3505</v>
      </c>
      <c r="B894" s="6" t="s">
        <v>544</v>
      </c>
      <c r="C894" s="6" t="s">
        <v>3506</v>
      </c>
      <c r="D894" s="9" t="s">
        <v>761</v>
      </c>
      <c r="E894" s="9" t="s">
        <v>762</v>
      </c>
      <c r="F894" s="9" t="s">
        <v>848</v>
      </c>
      <c r="H894" s="9" t="s">
        <v>882</v>
      </c>
      <c r="M894" s="6" t="n">
        <v>20654.6</v>
      </c>
      <c r="P894" s="51" t="n">
        <v>33178</v>
      </c>
      <c r="Q894" s="1" t="n">
        <f aca="false">IF(OR($A1256="",P1256=""),"",ROUND(YEARFRAC(P1256,README!$C$5),1))</f>
        <v>35.8</v>
      </c>
      <c r="S894" s="6" t="n">
        <v>39900</v>
      </c>
      <c r="T894" s="6" t="n">
        <v>38531</v>
      </c>
      <c r="U894" s="6" t="n">
        <v>35500</v>
      </c>
      <c r="V894" s="6" t="n">
        <v>-3031</v>
      </c>
      <c r="W894" s="6" t="n">
        <v>1</v>
      </c>
      <c r="X894" s="6" t="n">
        <v>1</v>
      </c>
      <c r="Z894" s="6" t="s">
        <v>3497</v>
      </c>
      <c r="AA894" s="9" t="s">
        <v>774</v>
      </c>
      <c r="AB894" s="9" t="s">
        <v>3507</v>
      </c>
      <c r="AC894" s="27" t="n">
        <f aca="false">COUNTIF(環境認証!$A$2:$A$849,A1256)</f>
        <v>0</v>
      </c>
      <c r="AD894" s="6" t="n">
        <v>-7.9</v>
      </c>
      <c r="AE894" s="6" t="n">
        <v>-11</v>
      </c>
    </row>
    <row r="895" customFormat="false" ht="15" hidden="false" customHeight="true" outlineLevel="0" collapsed="false">
      <c r="A895" s="6" t="s">
        <v>3508</v>
      </c>
      <c r="B895" s="6" t="s">
        <v>544</v>
      </c>
      <c r="C895" s="9" t="s">
        <v>3509</v>
      </c>
      <c r="D895" s="9" t="s">
        <v>761</v>
      </c>
      <c r="E895" s="9" t="s">
        <v>762</v>
      </c>
      <c r="F895" s="9" t="s">
        <v>763</v>
      </c>
      <c r="H895" s="9" t="s">
        <v>772</v>
      </c>
      <c r="M895" s="6" t="n">
        <v>24748.47</v>
      </c>
      <c r="P895" s="51" t="n">
        <v>32813</v>
      </c>
      <c r="Q895" s="1" t="n">
        <f aca="false">IF(OR($A1257="",P1257=""),"",ROUND(YEARFRAC(P1257,README!$C$5),1))</f>
        <v>36.8</v>
      </c>
      <c r="S895" s="6" t="n">
        <v>34300</v>
      </c>
      <c r="T895" s="6" t="n">
        <v>32640</v>
      </c>
      <c r="U895" s="6" t="n">
        <v>39000</v>
      </c>
      <c r="V895" s="6" t="n">
        <v>6360</v>
      </c>
      <c r="W895" s="6" t="n">
        <v>0.9875</v>
      </c>
      <c r="X895" s="6" t="n">
        <v>42</v>
      </c>
      <c r="Z895" s="6" t="s">
        <v>3497</v>
      </c>
      <c r="AA895" s="9" t="s">
        <v>774</v>
      </c>
      <c r="AB895" s="9" t="s">
        <v>3510</v>
      </c>
      <c r="AC895" s="27" t="n">
        <f aca="false">COUNTIF(環境認証!$A$2:$A$849,A1257)</f>
        <v>0</v>
      </c>
      <c r="AD895" s="6" t="n">
        <v>19.5</v>
      </c>
      <c r="AE895" s="6" t="n">
        <v>13.7</v>
      </c>
    </row>
    <row r="896" customFormat="false" ht="15" hidden="false" customHeight="true" outlineLevel="0" collapsed="false">
      <c r="A896" s="6" t="s">
        <v>3511</v>
      </c>
      <c r="B896" s="6" t="s">
        <v>544</v>
      </c>
      <c r="C896" s="9" t="s">
        <v>3512</v>
      </c>
      <c r="D896" s="9" t="s">
        <v>761</v>
      </c>
      <c r="E896" s="9" t="s">
        <v>762</v>
      </c>
      <c r="F896" s="9" t="s">
        <v>848</v>
      </c>
      <c r="H896" s="9" t="s">
        <v>882</v>
      </c>
      <c r="M896" s="6" t="n">
        <v>24495.21</v>
      </c>
      <c r="P896" s="51" t="n">
        <v>34516</v>
      </c>
      <c r="Q896" s="1" t="n">
        <f aca="false">IF(OR($A1258="",P1258=""),"",ROUND(YEARFRAC(P1258,README!$C$5),1))</f>
        <v>32.1</v>
      </c>
      <c r="S896" s="6" t="n">
        <v>14386</v>
      </c>
      <c r="T896" s="6" t="n">
        <v>12790</v>
      </c>
      <c r="U896" s="6" t="n">
        <v>16800</v>
      </c>
      <c r="V896" s="6" t="n">
        <v>4010</v>
      </c>
      <c r="W896" s="6" t="n">
        <v>1</v>
      </c>
      <c r="X896" s="6" t="n">
        <v>1</v>
      </c>
      <c r="Z896" s="6" t="s">
        <v>3497</v>
      </c>
      <c r="AA896" s="9" t="s">
        <v>774</v>
      </c>
      <c r="AB896" s="9" t="s">
        <v>3513</v>
      </c>
      <c r="AC896" s="27" t="n">
        <f aca="false">COUNTIF(環境認証!$A$2:$A$849,A1258)</f>
        <v>0</v>
      </c>
      <c r="AD896" s="6" t="n">
        <v>31.4</v>
      </c>
      <c r="AE896" s="6" t="n">
        <v>16.8</v>
      </c>
    </row>
    <row r="897" customFormat="false" ht="15" hidden="false" customHeight="true" outlineLevel="0" collapsed="false">
      <c r="A897" s="6" t="s">
        <v>3514</v>
      </c>
      <c r="B897" s="6" t="s">
        <v>544</v>
      </c>
      <c r="C897" s="9" t="s">
        <v>3515</v>
      </c>
      <c r="D897" s="9" t="s">
        <v>761</v>
      </c>
      <c r="E897" s="9" t="s">
        <v>762</v>
      </c>
      <c r="F897" s="9" t="s">
        <v>815</v>
      </c>
      <c r="H897" s="9" t="s">
        <v>772</v>
      </c>
      <c r="M897" s="6" t="n">
        <v>4946.36</v>
      </c>
      <c r="P897" s="51" t="n">
        <v>33909</v>
      </c>
      <c r="Q897" s="1" t="n">
        <f aca="false">IF(OR($A1259="",P1259=""),"",ROUND(YEARFRAC(P1259,README!$C$5),1))</f>
        <v>33.8</v>
      </c>
      <c r="S897" s="6" t="n">
        <v>8100</v>
      </c>
      <c r="T897" s="6" t="n">
        <v>8282</v>
      </c>
      <c r="U897" s="6" t="n">
        <v>8400</v>
      </c>
      <c r="V897" s="6" t="n">
        <v>118</v>
      </c>
      <c r="W897" s="6" t="n">
        <v>1</v>
      </c>
      <c r="X897" s="6" t="n">
        <v>9</v>
      </c>
      <c r="Z897" s="6" t="s">
        <v>3497</v>
      </c>
      <c r="AA897" s="9" t="s">
        <v>774</v>
      </c>
      <c r="AB897" s="1" t="s">
        <v>3516</v>
      </c>
      <c r="AC897" s="27" t="n">
        <f aca="false">COUNTIF(環境認証!$A$2:$A$849,A1259)</f>
        <v>0</v>
      </c>
      <c r="AD897" s="6" t="n">
        <v>1.4</v>
      </c>
      <c r="AE897" s="6" t="n">
        <v>3.7</v>
      </c>
    </row>
    <row r="898" customFormat="false" ht="15" hidden="false" customHeight="true" outlineLevel="0" collapsed="false">
      <c r="A898" s="6" t="s">
        <v>3517</v>
      </c>
      <c r="B898" s="6" t="s">
        <v>544</v>
      </c>
      <c r="C898" s="9" t="s">
        <v>3518</v>
      </c>
      <c r="D898" s="9" t="s">
        <v>761</v>
      </c>
      <c r="E898" s="9" t="s">
        <v>1197</v>
      </c>
      <c r="F898" s="9" t="s">
        <v>3519</v>
      </c>
      <c r="H898" s="6" t="s">
        <v>952</v>
      </c>
      <c r="M898" s="6" t="n">
        <v>42941.53</v>
      </c>
      <c r="P898" s="51" t="n">
        <v>36220</v>
      </c>
      <c r="Q898" s="1" t="n">
        <f aca="false">IF(OR($A1260="",P1260=""),"",ROUND(YEARFRAC(P1260,README!$C$5),1))</f>
        <v>27.4</v>
      </c>
      <c r="S898" s="6" t="n">
        <v>17360</v>
      </c>
      <c r="T898" s="6" t="n">
        <v>17347</v>
      </c>
      <c r="U898" s="6" t="n">
        <v>17000</v>
      </c>
      <c r="V898" s="6" t="n">
        <v>-347</v>
      </c>
      <c r="W898" s="6" t="n">
        <v>1</v>
      </c>
      <c r="X898" s="6" t="n">
        <v>1</v>
      </c>
      <c r="Z898" s="6" t="s">
        <v>3497</v>
      </c>
      <c r="AA898" s="9" t="s">
        <v>774</v>
      </c>
      <c r="AB898" s="9" t="s">
        <v>3520</v>
      </c>
      <c r="AC898" s="27" t="n">
        <f aca="false">COUNTIF(環境認証!$A$2:$A$849,A1260)</f>
        <v>0</v>
      </c>
      <c r="AD898" s="6" t="n">
        <v>-2</v>
      </c>
      <c r="AE898" s="6" t="n">
        <v>-2.1</v>
      </c>
    </row>
    <row r="899" customFormat="false" ht="15" hidden="false" customHeight="true" outlineLevel="0" collapsed="false">
      <c r="A899" s="6" t="s">
        <v>3521</v>
      </c>
      <c r="B899" s="6" t="s">
        <v>544</v>
      </c>
      <c r="C899" s="9" t="s">
        <v>3522</v>
      </c>
      <c r="D899" s="9" t="s">
        <v>761</v>
      </c>
      <c r="E899" s="9" t="s">
        <v>981</v>
      </c>
      <c r="F899" s="9" t="s">
        <v>1305</v>
      </c>
      <c r="H899" s="9" t="s">
        <v>971</v>
      </c>
      <c r="M899" s="6" t="n">
        <v>15129.16</v>
      </c>
      <c r="P899" s="51" t="n">
        <v>36220</v>
      </c>
      <c r="Q899" s="1" t="n">
        <f aca="false">IF(OR($A1261="",P1261=""),"",ROUND(YEARFRAC(P1261,README!$C$5),1))</f>
        <v>27.4</v>
      </c>
      <c r="S899" s="6" t="n">
        <v>10170</v>
      </c>
      <c r="T899" s="6" t="n">
        <v>9881</v>
      </c>
      <c r="U899" s="6" t="n">
        <v>10800</v>
      </c>
      <c r="V899" s="6" t="n">
        <v>919</v>
      </c>
      <c r="W899" s="6" t="n">
        <v>1</v>
      </c>
      <c r="X899" s="6" t="n">
        <v>1</v>
      </c>
      <c r="Z899" s="6" t="s">
        <v>3497</v>
      </c>
      <c r="AA899" s="9" t="s">
        <v>774</v>
      </c>
      <c r="AB899" s="9" t="s">
        <v>3523</v>
      </c>
      <c r="AC899" s="27" t="n">
        <f aca="false">COUNTIF(環境認証!$A$2:$A$849,A1261)</f>
        <v>0</v>
      </c>
      <c r="AD899" s="6" t="n">
        <v>9.3</v>
      </c>
      <c r="AE899" s="6" t="n">
        <v>6.2</v>
      </c>
    </row>
    <row r="900" customFormat="false" ht="15" hidden="false" customHeight="true" outlineLevel="0" collapsed="false">
      <c r="A900" s="6" t="s">
        <v>3524</v>
      </c>
      <c r="B900" s="6" t="s">
        <v>544</v>
      </c>
      <c r="C900" s="9" t="s">
        <v>3525</v>
      </c>
      <c r="D900" s="9" t="s">
        <v>761</v>
      </c>
      <c r="E900" s="9" t="s">
        <v>1005</v>
      </c>
      <c r="F900" s="9" t="s">
        <v>3526</v>
      </c>
      <c r="H900" s="6" t="s">
        <v>952</v>
      </c>
      <c r="M900" s="6" t="n">
        <v>5909.4</v>
      </c>
      <c r="P900" s="51" t="n">
        <v>39508</v>
      </c>
      <c r="Q900" s="1" t="n">
        <f aca="false">IF(OR($A1262="",P1262=""),"",ROUND(YEARFRAC(P1262,README!$C$5),1))</f>
        <v>18.4</v>
      </c>
      <c r="S900" s="6" t="n">
        <v>7050</v>
      </c>
      <c r="T900" s="6" t="n">
        <v>6548</v>
      </c>
      <c r="U900" s="6" t="n">
        <v>9850</v>
      </c>
      <c r="V900" s="6" t="n">
        <v>3302</v>
      </c>
      <c r="W900" s="6" t="n">
        <v>0.9631</v>
      </c>
      <c r="X900" s="6" t="n">
        <v>14</v>
      </c>
      <c r="Z900" s="6" t="s">
        <v>3497</v>
      </c>
      <c r="AA900" s="9" t="s">
        <v>774</v>
      </c>
      <c r="AB900" s="1" t="s">
        <v>3527</v>
      </c>
      <c r="AC900" s="27" t="n">
        <f aca="false">COUNTIF(環境認証!$A$2:$A$849,A1262)</f>
        <v>0</v>
      </c>
      <c r="AD900" s="6" t="n">
        <v>50.4</v>
      </c>
      <c r="AE900" s="6" t="n">
        <v>39.7</v>
      </c>
    </row>
    <row r="901" customFormat="false" ht="15" hidden="false" customHeight="true" outlineLevel="0" collapsed="false">
      <c r="A901" s="6" t="s">
        <v>3528</v>
      </c>
      <c r="B901" s="6" t="s">
        <v>544</v>
      </c>
      <c r="C901" s="9" t="s">
        <v>3529</v>
      </c>
      <c r="D901" s="9" t="s">
        <v>761</v>
      </c>
      <c r="E901" s="9" t="s">
        <v>925</v>
      </c>
      <c r="F901" s="9" t="s">
        <v>3530</v>
      </c>
      <c r="H901" s="9" t="s">
        <v>921</v>
      </c>
      <c r="M901" s="6" t="n">
        <v>18117.03</v>
      </c>
      <c r="P901" s="51" t="n">
        <v>31444</v>
      </c>
      <c r="Q901" s="1" t="n">
        <f aca="false">IF(OR($A1263="",P1263=""),"",ROUND(YEARFRAC(P1263,README!$C$5),1))</f>
        <v>40.5</v>
      </c>
      <c r="S901" s="6" t="n">
        <v>6900</v>
      </c>
      <c r="T901" s="6" t="n">
        <v>6359</v>
      </c>
      <c r="U901" s="6" t="n">
        <v>9150</v>
      </c>
      <c r="V901" s="6" t="n">
        <v>2791</v>
      </c>
      <c r="W901" s="6" t="n">
        <v>0.9607</v>
      </c>
      <c r="X901" s="6" t="n">
        <v>21</v>
      </c>
      <c r="Z901" s="6" t="s">
        <v>3497</v>
      </c>
      <c r="AA901" s="9" t="s">
        <v>774</v>
      </c>
      <c r="AB901" s="6" t="s">
        <v>3531</v>
      </c>
      <c r="AC901" s="27" t="n">
        <f aca="false">COUNTIF(環境認証!$A$2:$A$849,A1263)</f>
        <v>0</v>
      </c>
      <c r="AD901" s="6" t="n">
        <v>43.9</v>
      </c>
      <c r="AE901" s="6" t="n">
        <v>32.6</v>
      </c>
    </row>
    <row r="902" customFormat="false" ht="15" hidden="false" customHeight="true" outlineLevel="0" collapsed="false">
      <c r="A902" s="6" t="s">
        <v>3532</v>
      </c>
      <c r="B902" s="6" t="s">
        <v>544</v>
      </c>
      <c r="C902" s="9" t="s">
        <v>3533</v>
      </c>
      <c r="D902" s="9" t="s">
        <v>2051</v>
      </c>
      <c r="E902" s="9" t="s">
        <v>762</v>
      </c>
      <c r="F902" s="9" t="s">
        <v>763</v>
      </c>
      <c r="H902" s="9" t="s">
        <v>772</v>
      </c>
      <c r="M902" s="6" t="n">
        <v>22755.55</v>
      </c>
      <c r="P902" s="51" t="n">
        <v>39753</v>
      </c>
      <c r="Q902" s="1" t="n">
        <f aca="false">IF(OR($A1264="",P1264=""),"",ROUND(YEARFRAC(P1264,README!$C$5),1))</f>
        <v>17.8</v>
      </c>
      <c r="S902" s="6" t="n">
        <v>49200</v>
      </c>
      <c r="T902" s="6" t="n">
        <v>48817</v>
      </c>
      <c r="U902" s="6" t="n">
        <v>60600</v>
      </c>
      <c r="V902" s="6" t="n">
        <v>11783</v>
      </c>
      <c r="W902" s="6" t="n">
        <v>1</v>
      </c>
      <c r="X902" s="6" t="n">
        <v>1</v>
      </c>
      <c r="Z902" s="6" t="s">
        <v>3497</v>
      </c>
      <c r="AA902" s="9" t="s">
        <v>774</v>
      </c>
      <c r="AB902" s="9" t="s">
        <v>3534</v>
      </c>
      <c r="AC902" s="27" t="n">
        <f aca="false">COUNTIF(環境認証!$A$2:$A$849,A1264)</f>
        <v>0</v>
      </c>
      <c r="AD902" s="6" t="n">
        <v>24.1</v>
      </c>
      <c r="AE902" s="6" t="n">
        <v>23.2</v>
      </c>
    </row>
    <row r="903" customFormat="false" ht="15" hidden="false" customHeight="true" outlineLevel="0" collapsed="false">
      <c r="A903" s="6" t="s">
        <v>3535</v>
      </c>
      <c r="B903" s="6" t="s">
        <v>544</v>
      </c>
      <c r="C903" s="9" t="s">
        <v>3536</v>
      </c>
      <c r="D903" s="9" t="s">
        <v>2051</v>
      </c>
      <c r="E903" s="9" t="s">
        <v>1242</v>
      </c>
      <c r="F903" s="9" t="s">
        <v>3537</v>
      </c>
      <c r="H903" s="9" t="s">
        <v>971</v>
      </c>
      <c r="M903" s="6" t="n">
        <v>72246.86</v>
      </c>
      <c r="P903" s="51" t="n">
        <v>32568</v>
      </c>
      <c r="Q903" s="1" t="n">
        <f aca="false">IF(OR($A1265="",P1265=""),"",ROUND(YEARFRAC(P1265,README!$C$5),1))</f>
        <v>37.4</v>
      </c>
      <c r="S903" s="6" t="n">
        <v>19000</v>
      </c>
      <c r="T903" s="6" t="n">
        <v>15139</v>
      </c>
      <c r="U903" s="6" t="n">
        <v>17100</v>
      </c>
      <c r="V903" s="6" t="n">
        <v>1961</v>
      </c>
      <c r="W903" s="6" t="n">
        <v>1</v>
      </c>
      <c r="X903" s="6" t="n">
        <v>1</v>
      </c>
      <c r="Z903" s="6" t="s">
        <v>3497</v>
      </c>
      <c r="AA903" s="9" t="s">
        <v>774</v>
      </c>
      <c r="AB903" s="6" t="s">
        <v>3538</v>
      </c>
      <c r="AC903" s="27" t="n">
        <f aca="false">COUNTIF(環境認証!$A$2:$A$849,A1265)</f>
        <v>0</v>
      </c>
      <c r="AD903" s="6" t="n">
        <v>13</v>
      </c>
      <c r="AE903" s="6" t="n">
        <v>-10</v>
      </c>
    </row>
    <row r="904" customFormat="false" ht="15" hidden="false" customHeight="true" outlineLevel="0" collapsed="false">
      <c r="A904" s="6" t="s">
        <v>3539</v>
      </c>
      <c r="B904" s="6" t="s">
        <v>544</v>
      </c>
      <c r="C904" s="9" t="s">
        <v>3540</v>
      </c>
      <c r="D904" s="9" t="s">
        <v>2051</v>
      </c>
      <c r="E904" s="9" t="s">
        <v>925</v>
      </c>
      <c r="F904" s="9" t="s">
        <v>3541</v>
      </c>
      <c r="H904" s="9" t="s">
        <v>921</v>
      </c>
      <c r="M904" s="6" t="n">
        <v>25302.83</v>
      </c>
      <c r="P904" s="51" t="n">
        <v>35704</v>
      </c>
      <c r="Q904" s="1" t="n">
        <f aca="false">IF(OR($A1266="",P1266=""),"",ROUND(YEARFRAC(P1266,README!$C$5),1))</f>
        <v>28.9</v>
      </c>
      <c r="S904" s="6" t="n">
        <v>7100</v>
      </c>
      <c r="T904" s="6" t="n">
        <v>7079</v>
      </c>
      <c r="U904" s="6" t="n">
        <v>7250</v>
      </c>
      <c r="V904" s="6" t="n">
        <v>171</v>
      </c>
      <c r="W904" s="6" t="n">
        <v>1</v>
      </c>
      <c r="X904" s="6" t="n">
        <v>1</v>
      </c>
      <c r="Z904" s="6" t="s">
        <v>3497</v>
      </c>
      <c r="AA904" s="9" t="s">
        <v>774</v>
      </c>
      <c r="AB904" s="9" t="s">
        <v>3542</v>
      </c>
      <c r="AC904" s="27" t="n">
        <f aca="false">COUNTIF(環境認証!$A$2:$A$849,A1266)</f>
        <v>0</v>
      </c>
      <c r="AD904" s="6" t="n">
        <v>2.4</v>
      </c>
      <c r="AE904" s="6" t="n">
        <v>2.1</v>
      </c>
    </row>
    <row r="905" customFormat="false" ht="15" hidden="false" customHeight="true" outlineLevel="0" collapsed="false">
      <c r="A905" s="6" t="s">
        <v>3543</v>
      </c>
      <c r="B905" s="6" t="s">
        <v>544</v>
      </c>
      <c r="C905" s="9" t="s">
        <v>3544</v>
      </c>
      <c r="D905" s="9" t="s">
        <v>2051</v>
      </c>
      <c r="E905" s="9" t="s">
        <v>981</v>
      </c>
      <c r="F905" s="9" t="s">
        <v>3545</v>
      </c>
      <c r="H905" s="9" t="s">
        <v>971</v>
      </c>
      <c r="M905" s="6" t="n">
        <v>13881.47</v>
      </c>
      <c r="P905" s="51" t="n">
        <v>35490</v>
      </c>
      <c r="Q905" s="1" t="n">
        <f aca="false">IF(OR($A1267="",P1267=""),"",ROUND(YEARFRAC(P1267,README!$C$5),1))</f>
        <v>29.4</v>
      </c>
      <c r="S905" s="6" t="n">
        <v>17400</v>
      </c>
      <c r="T905" s="6" t="n">
        <v>17325</v>
      </c>
      <c r="U905" s="6" t="n">
        <v>19300</v>
      </c>
      <c r="V905" s="6" t="n">
        <v>1975</v>
      </c>
      <c r="W905" s="6" t="n">
        <v>1</v>
      </c>
      <c r="X905" s="6" t="n">
        <v>1</v>
      </c>
      <c r="Z905" s="6" t="s">
        <v>3497</v>
      </c>
      <c r="AA905" s="9" t="s">
        <v>774</v>
      </c>
      <c r="AB905" s="9" t="s">
        <v>3546</v>
      </c>
      <c r="AC905" s="27" t="n">
        <f aca="false">COUNTIF(環境認証!$A$2:$A$849,A1267)</f>
        <v>0</v>
      </c>
      <c r="AD905" s="6" t="n">
        <v>11.4</v>
      </c>
      <c r="AE905" s="6" t="n">
        <v>10.9</v>
      </c>
    </row>
    <row r="906" customFormat="false" ht="15" hidden="false" customHeight="true" outlineLevel="0" collapsed="false">
      <c r="A906" s="6" t="s">
        <v>3547</v>
      </c>
      <c r="B906" s="6" t="s">
        <v>544</v>
      </c>
      <c r="C906" s="9" t="s">
        <v>3548</v>
      </c>
      <c r="D906" s="9" t="s">
        <v>2051</v>
      </c>
      <c r="E906" s="9" t="s">
        <v>762</v>
      </c>
      <c r="F906" s="9" t="s">
        <v>820</v>
      </c>
      <c r="H906" s="9" t="s">
        <v>772</v>
      </c>
      <c r="M906" s="6" t="n">
        <v>5255.05</v>
      </c>
      <c r="P906" s="51" t="n">
        <v>41671</v>
      </c>
      <c r="Q906" s="1" t="n">
        <f aca="false">IF(OR($A1268="",P1268=""),"",ROUND(YEARFRAC(P1268,README!$C$5),1))</f>
        <v>12.5</v>
      </c>
      <c r="S906" s="6" t="n">
        <v>17017</v>
      </c>
      <c r="T906" s="6" t="n">
        <v>16865</v>
      </c>
      <c r="U906" s="6" t="n">
        <v>20289</v>
      </c>
      <c r="V906" s="6" t="n">
        <v>3424</v>
      </c>
      <c r="W906" s="6" t="n">
        <v>1</v>
      </c>
      <c r="X906" s="6" t="n">
        <v>1</v>
      </c>
      <c r="Z906" s="6" t="s">
        <v>3497</v>
      </c>
      <c r="AA906" s="9" t="s">
        <v>774</v>
      </c>
      <c r="AB906" s="9" t="s">
        <v>3549</v>
      </c>
      <c r="AC906" s="27" t="n">
        <f aca="false">COUNTIF(環境認証!$A$2:$A$849,A1268)</f>
        <v>0</v>
      </c>
      <c r="AD906" s="6" t="n">
        <v>20.3</v>
      </c>
      <c r="AE906" s="6" t="n">
        <v>19.2</v>
      </c>
    </row>
    <row r="907" customFormat="false" ht="15" hidden="false" customHeight="true" outlineLevel="0" collapsed="false">
      <c r="A907" s="6" t="s">
        <v>3550</v>
      </c>
      <c r="B907" s="6" t="s">
        <v>544</v>
      </c>
      <c r="C907" s="9" t="s">
        <v>3551</v>
      </c>
      <c r="D907" s="9" t="s">
        <v>2051</v>
      </c>
      <c r="E907" s="9" t="s">
        <v>762</v>
      </c>
      <c r="F907" s="9" t="s">
        <v>815</v>
      </c>
      <c r="H907" s="9" t="s">
        <v>772</v>
      </c>
      <c r="M907" s="6" t="n">
        <v>21248.23</v>
      </c>
      <c r="P907" s="51" t="n">
        <v>39295</v>
      </c>
      <c r="Q907" s="1" t="n">
        <f aca="false">IF(OR($A1269="",P1269=""),"",ROUND(YEARFRAC(P1269,README!$C$5),1))</f>
        <v>19</v>
      </c>
      <c r="S907" s="6" t="n">
        <v>32500</v>
      </c>
      <c r="T907" s="6" t="n">
        <v>32187</v>
      </c>
      <c r="U907" s="6" t="n">
        <v>65500</v>
      </c>
      <c r="V907" s="6" t="n">
        <v>33313</v>
      </c>
      <c r="W907" s="6" t="n">
        <v>1</v>
      </c>
      <c r="X907" s="6" t="n">
        <v>1</v>
      </c>
      <c r="Z907" s="6" t="s">
        <v>3497</v>
      </c>
      <c r="AA907" s="9" t="s">
        <v>774</v>
      </c>
      <c r="AB907" s="9" t="s">
        <v>3552</v>
      </c>
      <c r="AC907" s="27" t="n">
        <f aca="false">COUNTIF(環境認証!$A$2:$A$849,A1269)</f>
        <v>0</v>
      </c>
      <c r="AD907" s="6" t="n">
        <v>103.5</v>
      </c>
      <c r="AE907" s="6" t="n">
        <v>101.5</v>
      </c>
    </row>
    <row r="908" customFormat="false" ht="15" hidden="false" customHeight="true" outlineLevel="0" collapsed="false">
      <c r="A908" s="6" t="s">
        <v>3553</v>
      </c>
      <c r="B908" s="6" t="s">
        <v>544</v>
      </c>
      <c r="C908" s="9" t="s">
        <v>3554</v>
      </c>
      <c r="D908" s="9" t="s">
        <v>2298</v>
      </c>
      <c r="E908" s="9" t="s">
        <v>762</v>
      </c>
      <c r="F908" s="9" t="s">
        <v>815</v>
      </c>
      <c r="H908" s="9" t="s">
        <v>772</v>
      </c>
      <c r="M908" s="6" t="n">
        <v>5983.86</v>
      </c>
      <c r="P908" s="51" t="n">
        <v>40026</v>
      </c>
      <c r="Q908" s="1" t="n">
        <f aca="false">IF(OR($A1270="",P1270=""),"",ROUND(YEARFRAC(P1270,README!$C$5),1))</f>
        <v>17</v>
      </c>
      <c r="S908" s="6" t="n">
        <v>32040</v>
      </c>
      <c r="T908" s="6" t="n">
        <v>32270</v>
      </c>
      <c r="U908" s="6" t="n">
        <v>41900</v>
      </c>
      <c r="V908" s="6" t="n">
        <v>9630</v>
      </c>
      <c r="W908" s="6" t="n">
        <v>1</v>
      </c>
      <c r="X908" s="6" t="n">
        <v>4</v>
      </c>
      <c r="Z908" s="6" t="s">
        <v>3497</v>
      </c>
      <c r="AA908" s="9" t="s">
        <v>774</v>
      </c>
      <c r="AB908" s="9" t="s">
        <v>3555</v>
      </c>
      <c r="AC908" s="27" t="n">
        <f aca="false">COUNTIF(環境認証!$A$2:$A$849,A1270)</f>
        <v>0</v>
      </c>
      <c r="AD908" s="6" t="n">
        <v>29.8</v>
      </c>
      <c r="AE908" s="6" t="n">
        <v>30.8</v>
      </c>
    </row>
    <row r="909" customFormat="false" ht="15" hidden="false" customHeight="true" outlineLevel="0" collapsed="false">
      <c r="A909" s="6" t="s">
        <v>3556</v>
      </c>
      <c r="B909" s="6" t="s">
        <v>544</v>
      </c>
      <c r="C909" s="9" t="s">
        <v>3557</v>
      </c>
      <c r="D909" s="9" t="s">
        <v>2298</v>
      </c>
      <c r="E909" s="9" t="s">
        <v>925</v>
      </c>
      <c r="F909" s="9" t="s">
        <v>2966</v>
      </c>
      <c r="H909" s="9" t="s">
        <v>921</v>
      </c>
      <c r="M909" s="6" t="n">
        <v>53393.66</v>
      </c>
      <c r="P909" s="51" t="n">
        <v>37561</v>
      </c>
      <c r="Q909" s="1" t="n">
        <f aca="false">IF(OR($A1271="",P1271=""),"",ROUND(YEARFRAC(P1271,README!$C$5),1))</f>
        <v>23.8</v>
      </c>
      <c r="S909" s="6" t="n">
        <v>11600</v>
      </c>
      <c r="T909" s="6" t="n">
        <v>9430</v>
      </c>
      <c r="U909" s="6" t="n">
        <v>10800</v>
      </c>
      <c r="V909" s="6" t="n">
        <v>1370</v>
      </c>
      <c r="W909" s="6" t="n">
        <v>1</v>
      </c>
      <c r="X909" s="6" t="n">
        <v>1</v>
      </c>
      <c r="Z909" s="6" t="s">
        <v>3497</v>
      </c>
      <c r="AA909" s="9" t="s">
        <v>774</v>
      </c>
      <c r="AB909" s="9" t="s">
        <v>3558</v>
      </c>
      <c r="AC909" s="27" t="n">
        <f aca="false">COUNTIF(環境認証!$A$2:$A$849,A1271)</f>
        <v>0</v>
      </c>
      <c r="AD909" s="6" t="n">
        <v>14.5</v>
      </c>
      <c r="AE909" s="6" t="n">
        <v>-6.9</v>
      </c>
    </row>
    <row r="910" customFormat="false" ht="15" hidden="false" customHeight="true" outlineLevel="0" collapsed="false">
      <c r="A910" s="6" t="s">
        <v>3559</v>
      </c>
      <c r="B910" s="6" t="s">
        <v>544</v>
      </c>
      <c r="C910" s="9" t="s">
        <v>3560</v>
      </c>
      <c r="D910" s="9" t="s">
        <v>2298</v>
      </c>
      <c r="E910" s="9" t="s">
        <v>946</v>
      </c>
      <c r="F910" s="9" t="s">
        <v>3561</v>
      </c>
      <c r="H910" s="9" t="s">
        <v>921</v>
      </c>
      <c r="M910" s="6" t="n">
        <v>39556.71</v>
      </c>
      <c r="Q910" s="1" t="str">
        <f aca="false">IF(OR($A1272="",P1272=""),"",ROUND(YEARFRAC(P1272,README!$C$5),1))</f>
        <v/>
      </c>
      <c r="S910" s="6" t="n">
        <v>2100</v>
      </c>
      <c r="T910" s="6" t="n">
        <v>2193</v>
      </c>
      <c r="U910" s="6" t="n">
        <v>3060</v>
      </c>
      <c r="V910" s="6" t="n">
        <v>867</v>
      </c>
      <c r="W910" s="6" t="n">
        <v>1</v>
      </c>
      <c r="X910" s="6" t="n">
        <v>1</v>
      </c>
      <c r="Z910" s="6" t="s">
        <v>3497</v>
      </c>
      <c r="AA910" s="9" t="s">
        <v>774</v>
      </c>
      <c r="AB910" s="9" t="s">
        <v>3562</v>
      </c>
      <c r="AC910" s="27" t="n">
        <f aca="false">COUNTIF(環境認証!$A$2:$A$849,A1272)</f>
        <v>0</v>
      </c>
      <c r="AD910" s="6" t="n">
        <v>39.5</v>
      </c>
      <c r="AE910" s="6" t="n">
        <v>45.7</v>
      </c>
    </row>
    <row r="911" customFormat="false" ht="15" hidden="false" customHeight="true" outlineLevel="0" collapsed="false">
      <c r="A911" s="6" t="s">
        <v>3563</v>
      </c>
      <c r="B911" s="6" t="s">
        <v>544</v>
      </c>
      <c r="C911" s="9" t="s">
        <v>3564</v>
      </c>
      <c r="D911" s="9" t="s">
        <v>1894</v>
      </c>
      <c r="E911" s="9" t="s">
        <v>762</v>
      </c>
      <c r="F911" s="9" t="s">
        <v>815</v>
      </c>
      <c r="H911" s="9" t="s">
        <v>772</v>
      </c>
      <c r="M911" s="6" t="n">
        <v>4443.03</v>
      </c>
      <c r="P911" s="51" t="n">
        <v>32295</v>
      </c>
      <c r="Q911" s="1" t="n">
        <f aca="false">IF(OR($A1273="",P1273=""),"",ROUND(YEARFRAC(P1273,README!$C$5),1))</f>
        <v>38.2</v>
      </c>
      <c r="S911" s="6" t="n">
        <v>3200</v>
      </c>
      <c r="T911" s="6" t="n">
        <v>3084</v>
      </c>
      <c r="U911" s="6" t="n">
        <v>4920</v>
      </c>
      <c r="V911" s="6" t="n">
        <v>1836</v>
      </c>
      <c r="W911" s="6" t="n">
        <v>0.85</v>
      </c>
      <c r="X911" s="6" t="n">
        <v>18</v>
      </c>
      <c r="Z911" s="6" t="s">
        <v>3497</v>
      </c>
      <c r="AA911" s="9" t="s">
        <v>774</v>
      </c>
      <c r="AB911" s="9" t="s">
        <v>3565</v>
      </c>
      <c r="AC911" s="27" t="n">
        <f aca="false">COUNTIF(環境認証!$A$2:$A$849,A1273)</f>
        <v>0</v>
      </c>
      <c r="AD911" s="6" t="n">
        <v>59.5</v>
      </c>
      <c r="AE911" s="6" t="n">
        <v>53.8</v>
      </c>
    </row>
    <row r="912" customFormat="false" ht="15" hidden="false" customHeight="true" outlineLevel="0" collapsed="false">
      <c r="A912" s="6" t="s">
        <v>3566</v>
      </c>
      <c r="B912" s="6" t="s">
        <v>551</v>
      </c>
      <c r="C912" s="9" t="s">
        <v>3567</v>
      </c>
      <c r="D912" s="9" t="s">
        <v>2191</v>
      </c>
      <c r="H912" s="9" t="s">
        <v>1013</v>
      </c>
      <c r="M912" s="1" t="n">
        <v>1972.49</v>
      </c>
      <c r="Q912" s="1" t="str">
        <f aca="false">IF(OR($A1173="",P1173=""),"",ROUND(YEARFRAC(P1173,README!$C$5),1))</f>
        <v/>
      </c>
      <c r="S912" s="6" t="n">
        <v>93938</v>
      </c>
      <c r="T912" s="6" t="n">
        <v>88790</v>
      </c>
      <c r="U912" s="6" t="n">
        <v>96660</v>
      </c>
      <c r="V912" s="1" t="n">
        <f aca="false">IF($A1173="","",IF(OR(T1173="",U1173=""),"",U1173-T1173))</f>
        <v>230</v>
      </c>
      <c r="W912" s="6" t="n">
        <v>0.817</v>
      </c>
      <c r="X912" s="1" t="n">
        <v>1</v>
      </c>
      <c r="Z912" s="6" t="s">
        <v>3568</v>
      </c>
      <c r="AA912" s="9" t="s">
        <v>767</v>
      </c>
      <c r="AB912" s="6" t="s">
        <v>3569</v>
      </c>
      <c r="AC912" s="27" t="n">
        <f aca="false">COUNTIF(環境認証!$A$2:$A$849,A1173)</f>
        <v>0</v>
      </c>
      <c r="AD912" s="1" t="n">
        <v>6.1</v>
      </c>
      <c r="AE912" s="1" t="n">
        <v>4.4</v>
      </c>
    </row>
    <row r="913" customFormat="false" ht="15" hidden="false" customHeight="true" outlineLevel="0" collapsed="false">
      <c r="A913" s="6" t="s">
        <v>3570</v>
      </c>
      <c r="B913" s="6" t="s">
        <v>551</v>
      </c>
      <c r="C913" s="6" t="s">
        <v>3571</v>
      </c>
      <c r="D913" s="9" t="s">
        <v>761</v>
      </c>
      <c r="E913" s="9" t="s">
        <v>762</v>
      </c>
      <c r="F913" s="9" t="s">
        <v>820</v>
      </c>
      <c r="H913" s="9" t="s">
        <v>772</v>
      </c>
      <c r="M913" s="6" t="n">
        <v>6219.28</v>
      </c>
      <c r="P913" s="51" t="n">
        <v>43374</v>
      </c>
      <c r="Q913" s="1" t="n">
        <f aca="false">IF(OR($A1157="",P1157=""),"",ROUND(YEARFRAC(P1157,README!$C$5),1))</f>
        <v>7.9</v>
      </c>
      <c r="S913" s="6" t="n">
        <v>14148</v>
      </c>
      <c r="T913" s="6" t="n">
        <v>14027</v>
      </c>
      <c r="U913" s="6" t="n">
        <v>15800</v>
      </c>
      <c r="V913" s="6" t="n">
        <v>1773</v>
      </c>
      <c r="W913" s="6" t="n">
        <v>1</v>
      </c>
      <c r="X913" s="1" t="n">
        <v>1</v>
      </c>
      <c r="Z913" s="6" t="s">
        <v>3568</v>
      </c>
      <c r="AA913" s="9" t="s">
        <v>774</v>
      </c>
      <c r="AB913" s="1" t="s">
        <v>3572</v>
      </c>
      <c r="AC913" s="27" t="n">
        <f aca="false">COUNTIF(環境認証!$A$2:$A$849,A1157)</f>
        <v>1</v>
      </c>
      <c r="AD913" s="6" t="n">
        <v>12.6</v>
      </c>
      <c r="AE913" s="6" t="n">
        <v>11.7</v>
      </c>
    </row>
    <row r="914" customFormat="false" ht="15" hidden="false" customHeight="true" outlineLevel="0" collapsed="false">
      <c r="A914" s="6" t="s">
        <v>3573</v>
      </c>
      <c r="B914" s="6" t="s">
        <v>551</v>
      </c>
      <c r="C914" s="6" t="s">
        <v>3574</v>
      </c>
      <c r="D914" s="9" t="s">
        <v>761</v>
      </c>
      <c r="E914" s="9" t="s">
        <v>762</v>
      </c>
      <c r="F914" s="9" t="s">
        <v>763</v>
      </c>
      <c r="H914" s="9" t="s">
        <v>772</v>
      </c>
      <c r="M914" s="6" t="n">
        <v>1681.55</v>
      </c>
      <c r="P914" s="51" t="n">
        <v>42979</v>
      </c>
      <c r="Q914" s="1" t="n">
        <f aca="false">IF(OR($A1158="",P1158=""),"",ROUND(YEARFRAC(P1158,README!$C$5),1))</f>
        <v>8.9</v>
      </c>
      <c r="S914" s="6" t="n">
        <v>2055</v>
      </c>
      <c r="T914" s="6" t="n">
        <v>1983</v>
      </c>
      <c r="U914" s="6" t="n">
        <v>2940</v>
      </c>
      <c r="V914" s="6" t="n">
        <v>957</v>
      </c>
      <c r="W914" s="6" t="n">
        <v>1</v>
      </c>
      <c r="X914" s="1" t="n">
        <v>1</v>
      </c>
      <c r="Z914" s="6" t="s">
        <v>3568</v>
      </c>
      <c r="AA914" s="9" t="s">
        <v>774</v>
      </c>
      <c r="AB914" s="1" t="s">
        <v>3575</v>
      </c>
      <c r="AC914" s="27" t="n">
        <f aca="false">COUNTIF(環境認証!$A$2:$A$849,A1158)</f>
        <v>1</v>
      </c>
      <c r="AD914" s="6" t="n">
        <v>48.3</v>
      </c>
      <c r="AE914" s="6" t="n">
        <v>43.1</v>
      </c>
    </row>
    <row r="915" customFormat="false" ht="15" hidden="false" customHeight="true" outlineLevel="0" collapsed="false">
      <c r="A915" s="6" t="s">
        <v>3576</v>
      </c>
      <c r="B915" s="6" t="s">
        <v>551</v>
      </c>
      <c r="C915" s="9" t="s">
        <v>3577</v>
      </c>
      <c r="D915" s="9" t="s">
        <v>761</v>
      </c>
      <c r="E915" s="9" t="s">
        <v>762</v>
      </c>
      <c r="F915" s="9" t="s">
        <v>763</v>
      </c>
      <c r="H915" s="9" t="s">
        <v>772</v>
      </c>
      <c r="M915" s="6" t="n">
        <v>3439.61</v>
      </c>
      <c r="P915" s="51" t="n">
        <v>33756</v>
      </c>
      <c r="Q915" s="1" t="n">
        <f aca="false">IF(OR($A1159="",P1159=""),"",ROUND(YEARFRAC(P1159,README!$C$5),1))</f>
        <v>34.2</v>
      </c>
      <c r="S915" s="6" t="n">
        <v>5829</v>
      </c>
      <c r="T915" s="6" t="n">
        <v>6124</v>
      </c>
      <c r="U915" s="6" t="n">
        <v>7190</v>
      </c>
      <c r="V915" s="6" t="n">
        <v>1066</v>
      </c>
      <c r="W915" s="6" t="n">
        <v>1</v>
      </c>
      <c r="X915" s="1" t="n">
        <v>1</v>
      </c>
      <c r="Z915" s="6" t="s">
        <v>3568</v>
      </c>
      <c r="AA915" s="9" t="s">
        <v>774</v>
      </c>
      <c r="AB915" s="9" t="s">
        <v>3578</v>
      </c>
      <c r="AC915" s="27" t="n">
        <f aca="false">COUNTIF(環境認証!$A$2:$A$849,A1159)</f>
        <v>0</v>
      </c>
      <c r="AD915" s="6" t="n">
        <v>17.4</v>
      </c>
      <c r="AE915" s="6" t="n">
        <v>23.3</v>
      </c>
    </row>
    <row r="916" customFormat="false" ht="15" hidden="false" customHeight="true" outlineLevel="0" collapsed="false">
      <c r="A916" s="6" t="s">
        <v>3579</v>
      </c>
      <c r="B916" s="6" t="s">
        <v>551</v>
      </c>
      <c r="C916" s="9" t="s">
        <v>3580</v>
      </c>
      <c r="D916" s="9" t="s">
        <v>761</v>
      </c>
      <c r="E916" s="9" t="s">
        <v>762</v>
      </c>
      <c r="F916" s="9" t="s">
        <v>820</v>
      </c>
      <c r="H916" s="9" t="s">
        <v>772</v>
      </c>
      <c r="M916" s="6" t="n">
        <v>5594.9</v>
      </c>
      <c r="P916" s="51" t="n">
        <v>23986</v>
      </c>
      <c r="Q916" s="1" t="n">
        <f aca="false">IF(OR($A1160="",P1160=""),"",ROUND(YEARFRAC(P1160,README!$C$5),1))</f>
        <v>60.9</v>
      </c>
      <c r="S916" s="6" t="n">
        <v>4959</v>
      </c>
      <c r="T916" s="6" t="n">
        <v>4939</v>
      </c>
      <c r="U916" s="6" t="n">
        <v>5160</v>
      </c>
      <c r="V916" s="6" t="n">
        <v>221</v>
      </c>
      <c r="W916" s="6" t="n">
        <v>1</v>
      </c>
      <c r="X916" s="1" t="n">
        <v>1</v>
      </c>
      <c r="Z916" s="6" t="s">
        <v>3568</v>
      </c>
      <c r="AA916" s="9" t="s">
        <v>774</v>
      </c>
      <c r="AB916" s="6" t="s">
        <v>3581</v>
      </c>
      <c r="AC916" s="27" t="n">
        <f aca="false">COUNTIF(環境認証!$A$2:$A$849,A1160)</f>
        <v>0</v>
      </c>
      <c r="AD916" s="6" t="n">
        <v>4.5</v>
      </c>
      <c r="AE916" s="6" t="n">
        <v>4.1</v>
      </c>
    </row>
    <row r="917" customFormat="false" ht="15" hidden="false" customHeight="true" outlineLevel="0" collapsed="false">
      <c r="A917" s="6" t="s">
        <v>3582</v>
      </c>
      <c r="B917" s="6" t="s">
        <v>551</v>
      </c>
      <c r="C917" s="9" t="s">
        <v>3583</v>
      </c>
      <c r="D917" s="9" t="s">
        <v>761</v>
      </c>
      <c r="E917" s="9" t="s">
        <v>762</v>
      </c>
      <c r="F917" s="9" t="s">
        <v>881</v>
      </c>
      <c r="H917" s="9" t="s">
        <v>882</v>
      </c>
      <c r="M917" s="6" t="n">
        <v>4224.52</v>
      </c>
      <c r="P917" s="51" t="n">
        <v>33390</v>
      </c>
      <c r="Q917" s="1" t="n">
        <f aca="false">IF(OR($A1161="",P1161=""),"",ROUND(YEARFRAC(P1161,README!$C$5),1))</f>
        <v>35.2</v>
      </c>
      <c r="S917" s="6" t="n">
        <v>3782</v>
      </c>
      <c r="T917" s="6" t="n">
        <v>3847</v>
      </c>
      <c r="U917" s="6" t="n">
        <v>3470</v>
      </c>
      <c r="V917" s="6" t="n">
        <v>-377</v>
      </c>
      <c r="W917" s="6" t="n">
        <v>0.751</v>
      </c>
      <c r="X917" s="1" t="n">
        <v>1</v>
      </c>
      <c r="Z917" s="6" t="s">
        <v>3568</v>
      </c>
      <c r="AA917" s="9" t="s">
        <v>774</v>
      </c>
      <c r="AB917" s="1" t="s">
        <v>3584</v>
      </c>
      <c r="AC917" s="27" t="n">
        <f aca="false">COUNTIF(環境認証!$A$2:$A$849,A1161)</f>
        <v>0</v>
      </c>
      <c r="AD917" s="6" t="n">
        <v>-9.8</v>
      </c>
      <c r="AE917" s="6" t="n">
        <v>-8.2</v>
      </c>
    </row>
    <row r="918" customFormat="false" ht="15" hidden="false" customHeight="true" outlineLevel="0" collapsed="false">
      <c r="A918" s="6" t="s">
        <v>3585</v>
      </c>
      <c r="B918" s="6" t="s">
        <v>551</v>
      </c>
      <c r="C918" s="9" t="s">
        <v>3586</v>
      </c>
      <c r="D918" s="9" t="s">
        <v>761</v>
      </c>
      <c r="E918" s="9" t="s">
        <v>762</v>
      </c>
      <c r="F918" s="9" t="s">
        <v>1148</v>
      </c>
      <c r="H918" s="9" t="s">
        <v>882</v>
      </c>
      <c r="M918" s="6" t="n">
        <v>7469.72</v>
      </c>
      <c r="P918" s="51" t="n">
        <v>34090</v>
      </c>
      <c r="Q918" s="1" t="n">
        <f aca="false">IF(OR($A1162="",P1162=""),"",ROUND(YEARFRAC(P1162,README!$C$5),1))</f>
        <v>33.3</v>
      </c>
      <c r="S918" s="6" t="n">
        <v>5400</v>
      </c>
      <c r="T918" s="6" t="n">
        <v>5566</v>
      </c>
      <c r="U918" s="6" t="n">
        <v>4890</v>
      </c>
      <c r="V918" s="6" t="n">
        <v>-676</v>
      </c>
      <c r="W918" s="6" t="n">
        <v>0.64</v>
      </c>
      <c r="X918" s="1" t="n">
        <v>1</v>
      </c>
      <c r="Z918" s="6" t="s">
        <v>3568</v>
      </c>
      <c r="AA918" s="9" t="s">
        <v>774</v>
      </c>
      <c r="AB918" s="1" t="s">
        <v>3587</v>
      </c>
      <c r="AC918" s="27" t="n">
        <f aca="false">COUNTIF(環境認証!$A$2:$A$849,A1162)</f>
        <v>0</v>
      </c>
      <c r="AD918" s="6" t="n">
        <v>-12.1</v>
      </c>
      <c r="AE918" s="6" t="n">
        <v>-9.4</v>
      </c>
    </row>
    <row r="919" customFormat="false" ht="15" hidden="false" customHeight="true" outlineLevel="0" collapsed="false">
      <c r="A919" s="6" t="s">
        <v>3588</v>
      </c>
      <c r="B919" s="6" t="s">
        <v>551</v>
      </c>
      <c r="C919" s="6" t="s">
        <v>3589</v>
      </c>
      <c r="D919" s="9" t="s">
        <v>761</v>
      </c>
      <c r="E919" s="9" t="s">
        <v>762</v>
      </c>
      <c r="F919" s="9" t="s">
        <v>782</v>
      </c>
      <c r="H919" s="9" t="s">
        <v>772</v>
      </c>
      <c r="M919" s="6" t="n">
        <v>3308.1</v>
      </c>
      <c r="P919" s="51" t="n">
        <v>42186</v>
      </c>
      <c r="Q919" s="1" t="n">
        <f aca="false">IF(OR($A1163="",P1163=""),"",ROUND(YEARFRAC(P1163,README!$C$5),1))</f>
        <v>11.1</v>
      </c>
      <c r="S919" s="6" t="n">
        <v>7000</v>
      </c>
      <c r="T919" s="6" t="n">
        <v>6993</v>
      </c>
      <c r="U919" s="6" t="n">
        <v>7550</v>
      </c>
      <c r="V919" s="6" t="n">
        <v>557</v>
      </c>
      <c r="W919" s="6" t="n">
        <v>1</v>
      </c>
      <c r="X919" s="1" t="n">
        <v>1</v>
      </c>
      <c r="Z919" s="6" t="s">
        <v>3568</v>
      </c>
      <c r="AA919" s="9" t="s">
        <v>774</v>
      </c>
      <c r="AB919" s="9" t="s">
        <v>3590</v>
      </c>
      <c r="AC919" s="27" t="n">
        <f aca="false">COUNTIF(環境認証!$A$2:$A$849,A1163)</f>
        <v>0</v>
      </c>
      <c r="AD919" s="6" t="n">
        <v>8</v>
      </c>
      <c r="AE919" s="6" t="n">
        <v>7.9</v>
      </c>
    </row>
    <row r="920" customFormat="false" ht="15" hidden="false" customHeight="true" outlineLevel="0" collapsed="false">
      <c r="A920" s="6" t="s">
        <v>3591</v>
      </c>
      <c r="B920" s="6" t="s">
        <v>551</v>
      </c>
      <c r="C920" s="9" t="s">
        <v>3592</v>
      </c>
      <c r="D920" s="9" t="s">
        <v>761</v>
      </c>
      <c r="E920" s="9" t="s">
        <v>925</v>
      </c>
      <c r="F920" s="9" t="s">
        <v>3593</v>
      </c>
      <c r="H920" s="9" t="s">
        <v>921</v>
      </c>
      <c r="M920" s="6" t="n">
        <v>3687.53</v>
      </c>
      <c r="P920" s="51" t="n">
        <v>34001</v>
      </c>
      <c r="Q920" s="1" t="n">
        <f aca="false">IF(OR($A1164="",P1164=""),"",ROUND(YEARFRAC(P1164,README!$C$5),1))</f>
        <v>33.5</v>
      </c>
      <c r="S920" s="6" t="n">
        <v>2800</v>
      </c>
      <c r="T920" s="6" t="n">
        <v>2872</v>
      </c>
      <c r="U920" s="6" t="n">
        <v>2750</v>
      </c>
      <c r="V920" s="6" t="n">
        <v>-122</v>
      </c>
      <c r="W920" s="6" t="n">
        <v>1</v>
      </c>
      <c r="X920" s="1" t="n">
        <v>1</v>
      </c>
      <c r="Z920" s="6" t="s">
        <v>3568</v>
      </c>
      <c r="AA920" s="9" t="s">
        <v>774</v>
      </c>
      <c r="AB920" s="1" t="s">
        <v>3594</v>
      </c>
      <c r="AC920" s="27" t="n">
        <f aca="false">COUNTIF(環境認証!$A$2:$A$849,A1164)</f>
        <v>0</v>
      </c>
      <c r="AD920" s="6" t="n">
        <v>-4.2</v>
      </c>
      <c r="AE920" s="6" t="n">
        <v>-1.8</v>
      </c>
    </row>
    <row r="921" customFormat="false" ht="15" hidden="false" customHeight="true" outlineLevel="0" collapsed="false">
      <c r="A921" s="6" t="s">
        <v>3595</v>
      </c>
      <c r="B921" s="6" t="s">
        <v>551</v>
      </c>
      <c r="C921" s="9" t="s">
        <v>3596</v>
      </c>
      <c r="D921" s="9" t="s">
        <v>761</v>
      </c>
      <c r="E921" s="9" t="s">
        <v>1005</v>
      </c>
      <c r="F921" s="9" t="s">
        <v>3597</v>
      </c>
      <c r="H921" s="6" t="s">
        <v>952</v>
      </c>
      <c r="M921" s="6" t="n">
        <v>14587</v>
      </c>
      <c r="P921" s="51" t="n">
        <v>35096</v>
      </c>
      <c r="Q921" s="1" t="n">
        <f aca="false">IF(OR($A1165="",P1165=""),"",ROUND(YEARFRAC(P1165,README!$C$5),1))</f>
        <v>30.5</v>
      </c>
      <c r="S921" s="6" t="n">
        <v>10000</v>
      </c>
      <c r="T921" s="6" t="n">
        <v>5102</v>
      </c>
      <c r="U921" s="6" t="n">
        <v>5260</v>
      </c>
      <c r="V921" s="6" t="n">
        <v>158</v>
      </c>
      <c r="W921" s="6" t="n">
        <v>0</v>
      </c>
      <c r="X921" s="1" t="n">
        <v>1</v>
      </c>
      <c r="Z921" s="6" t="s">
        <v>3568</v>
      </c>
      <c r="AA921" s="9" t="s">
        <v>774</v>
      </c>
      <c r="AB921" s="6" t="s">
        <v>3598</v>
      </c>
      <c r="AC921" s="27" t="n">
        <f aca="false">COUNTIF(環境認証!$A$2:$A$849,A1165)</f>
        <v>1</v>
      </c>
      <c r="AD921" s="6" t="n">
        <v>3.1</v>
      </c>
      <c r="AE921" s="6" t="n">
        <v>-47.4</v>
      </c>
    </row>
    <row r="922" customFormat="false" ht="15" hidden="false" customHeight="true" outlineLevel="0" collapsed="false">
      <c r="A922" s="6" t="s">
        <v>3599</v>
      </c>
      <c r="B922" s="6" t="s">
        <v>551</v>
      </c>
      <c r="C922" s="9" t="s">
        <v>3600</v>
      </c>
      <c r="D922" s="9" t="s">
        <v>2051</v>
      </c>
      <c r="E922" s="9" t="s">
        <v>762</v>
      </c>
      <c r="F922" s="9" t="s">
        <v>820</v>
      </c>
      <c r="H922" s="9" t="s">
        <v>772</v>
      </c>
      <c r="M922" s="6" t="n">
        <v>6006.53</v>
      </c>
      <c r="P922" s="51" t="n">
        <v>43101</v>
      </c>
      <c r="Q922" s="1" t="n">
        <f aca="false">IF(OR($A1166="",P1166=""),"",ROUND(YEARFRAC(P1166,README!$C$5),1))</f>
        <v>8.6</v>
      </c>
      <c r="S922" s="6" t="n">
        <v>8961</v>
      </c>
      <c r="T922" s="6" t="n">
        <v>8737</v>
      </c>
      <c r="U922" s="6" t="n">
        <v>9640</v>
      </c>
      <c r="V922" s="6" t="n">
        <v>903</v>
      </c>
      <c r="W922" s="6" t="n">
        <v>1</v>
      </c>
      <c r="X922" s="1" t="n">
        <v>1</v>
      </c>
      <c r="Z922" s="6" t="s">
        <v>3568</v>
      </c>
      <c r="AA922" s="9" t="s">
        <v>774</v>
      </c>
      <c r="AB922" s="1" t="s">
        <v>3601</v>
      </c>
      <c r="AC922" s="27" t="n">
        <f aca="false">COUNTIF(環境認証!$A$2:$A$849,A1166)</f>
        <v>0</v>
      </c>
      <c r="AD922" s="6" t="n">
        <v>10.3</v>
      </c>
      <c r="AE922" s="6" t="n">
        <v>7.6</v>
      </c>
    </row>
    <row r="923" customFormat="false" ht="15" hidden="false" customHeight="true" outlineLevel="0" collapsed="false">
      <c r="A923" s="6" t="s">
        <v>3602</v>
      </c>
      <c r="B923" s="6" t="s">
        <v>551</v>
      </c>
      <c r="C923" s="9" t="s">
        <v>3603</v>
      </c>
      <c r="D923" s="9" t="s">
        <v>2051</v>
      </c>
      <c r="E923" s="9" t="s">
        <v>996</v>
      </c>
      <c r="F923" s="9" t="s">
        <v>3604</v>
      </c>
      <c r="H923" s="6" t="s">
        <v>952</v>
      </c>
      <c r="M923" s="6" t="n">
        <v>9160.15</v>
      </c>
      <c r="P923" s="51" t="n">
        <v>43374</v>
      </c>
      <c r="Q923" s="1" t="n">
        <f aca="false">IF(OR($A1167="",P1167=""),"",ROUND(YEARFRAC(P1167,README!$C$5),1))</f>
        <v>7.9</v>
      </c>
      <c r="S923" s="6" t="n">
        <v>3990</v>
      </c>
      <c r="T923" s="6" t="n">
        <v>3719</v>
      </c>
      <c r="U923" s="6" t="n">
        <v>4340</v>
      </c>
      <c r="V923" s="6" t="n">
        <v>621</v>
      </c>
      <c r="W923" s="6" t="n">
        <v>1</v>
      </c>
      <c r="X923" s="1" t="n">
        <v>1</v>
      </c>
      <c r="Z923" s="6" t="s">
        <v>3568</v>
      </c>
      <c r="AA923" s="9" t="s">
        <v>774</v>
      </c>
      <c r="AB923" s="1" t="s">
        <v>3605</v>
      </c>
      <c r="AC923" s="27" t="n">
        <f aca="false">COUNTIF(環境認証!$A$2:$A$849,A1167)</f>
        <v>0</v>
      </c>
      <c r="AD923" s="6" t="n">
        <v>16.7</v>
      </c>
      <c r="AE923" s="6" t="n">
        <v>8.8</v>
      </c>
    </row>
    <row r="924" customFormat="false" ht="15" hidden="false" customHeight="true" outlineLevel="0" collapsed="false">
      <c r="A924" s="6" t="s">
        <v>3606</v>
      </c>
      <c r="B924" s="6" t="s">
        <v>551</v>
      </c>
      <c r="C924" s="6" t="s">
        <v>3607</v>
      </c>
      <c r="D924" s="9" t="s">
        <v>3608</v>
      </c>
      <c r="E924" s="9" t="s">
        <v>981</v>
      </c>
      <c r="F924" s="9" t="s">
        <v>3609</v>
      </c>
      <c r="H924" s="9" t="s">
        <v>971</v>
      </c>
      <c r="M924" s="6" t="n">
        <v>14748.33</v>
      </c>
      <c r="P924" s="51" t="n">
        <v>44835</v>
      </c>
      <c r="Q924" s="1" t="n">
        <f aca="false">IF(OR($A1168="",P1168=""),"",ROUND(YEARFRAC(P1168,README!$C$5),1))</f>
        <v>3.9</v>
      </c>
      <c r="S924" s="6" t="n">
        <v>5242</v>
      </c>
      <c r="T924" s="6" t="n">
        <v>5207</v>
      </c>
      <c r="U924" s="6" t="n">
        <v>5520</v>
      </c>
      <c r="V924" s="6" t="n">
        <v>313</v>
      </c>
      <c r="W924" s="6" t="n">
        <v>1</v>
      </c>
      <c r="X924" s="1" t="n">
        <v>1</v>
      </c>
      <c r="Z924" s="6" t="s">
        <v>3568</v>
      </c>
      <c r="AA924" s="9" t="s">
        <v>774</v>
      </c>
      <c r="AB924" s="9" t="s">
        <v>3610</v>
      </c>
      <c r="AC924" s="27" t="n">
        <f aca="false">COUNTIF(環境認証!$A$2:$A$849,A1168)</f>
        <v>1</v>
      </c>
      <c r="AD924" s="6" t="n">
        <v>6</v>
      </c>
      <c r="AE924" s="6" t="n">
        <v>5.3</v>
      </c>
    </row>
    <row r="925" customFormat="false" ht="15" hidden="false" customHeight="true" outlineLevel="0" collapsed="false">
      <c r="A925" s="6" t="s">
        <v>3611</v>
      </c>
      <c r="B925" s="6" t="s">
        <v>551</v>
      </c>
      <c r="C925" s="9" t="s">
        <v>3612</v>
      </c>
      <c r="D925" s="9" t="s">
        <v>2051</v>
      </c>
      <c r="E925" s="9" t="s">
        <v>1225</v>
      </c>
      <c r="F925" s="9" t="s">
        <v>3613</v>
      </c>
      <c r="H925" s="9" t="s">
        <v>971</v>
      </c>
      <c r="M925" s="6" t="n">
        <v>6029.4</v>
      </c>
      <c r="P925" s="51" t="n">
        <v>43040</v>
      </c>
      <c r="Q925" s="1" t="n">
        <f aca="false">IF(OR($A1169="",P1169=""),"",ROUND(YEARFRAC(P1169,README!$C$5),1))</f>
        <v>8.8</v>
      </c>
      <c r="S925" s="6" t="n">
        <v>5800</v>
      </c>
      <c r="T925" s="6" t="n">
        <v>5796</v>
      </c>
      <c r="U925" s="6" t="n">
        <v>6610</v>
      </c>
      <c r="V925" s="6" t="n">
        <v>814</v>
      </c>
      <c r="W925" s="6" t="n">
        <v>1</v>
      </c>
      <c r="X925" s="1" t="n">
        <v>1</v>
      </c>
      <c r="Z925" s="6" t="s">
        <v>3568</v>
      </c>
      <c r="AA925" s="9" t="s">
        <v>774</v>
      </c>
      <c r="AB925" s="9" t="s">
        <v>3614</v>
      </c>
      <c r="AC925" s="27" t="n">
        <f aca="false">COUNTIF(環境認証!$A$2:$A$849,A1169)</f>
        <v>0</v>
      </c>
      <c r="AD925" s="6" t="n">
        <v>14</v>
      </c>
      <c r="AE925" s="6" t="n">
        <v>14</v>
      </c>
    </row>
    <row r="926" customFormat="false" ht="15" hidden="false" customHeight="true" outlineLevel="0" collapsed="false">
      <c r="A926" s="6" t="s">
        <v>3615</v>
      </c>
      <c r="B926" s="6" t="s">
        <v>551</v>
      </c>
      <c r="C926" s="9" t="s">
        <v>3616</v>
      </c>
      <c r="D926" s="9" t="s">
        <v>2051</v>
      </c>
      <c r="E926" s="9" t="s">
        <v>1212</v>
      </c>
      <c r="F926" s="9" t="s">
        <v>1213</v>
      </c>
      <c r="H926" s="9" t="s">
        <v>965</v>
      </c>
      <c r="M926" s="6" t="n">
        <v>5177.73</v>
      </c>
      <c r="P926" s="51" t="n">
        <v>43466</v>
      </c>
      <c r="Q926" s="1" t="n">
        <f aca="false">IF(OR($A1170="",P1170=""),"",ROUND(YEARFRAC(P1170,README!$C$5),1))</f>
        <v>7.6</v>
      </c>
      <c r="S926" s="6" t="n">
        <v>3250</v>
      </c>
      <c r="T926" s="6" t="n">
        <v>3200</v>
      </c>
      <c r="U926" s="6" t="n">
        <v>3300</v>
      </c>
      <c r="V926" s="6" t="n">
        <v>100</v>
      </c>
      <c r="W926" s="6" t="n">
        <v>1</v>
      </c>
      <c r="X926" s="1" t="n">
        <v>1</v>
      </c>
      <c r="Z926" s="6" t="s">
        <v>3568</v>
      </c>
      <c r="AA926" s="9" t="s">
        <v>774</v>
      </c>
      <c r="AB926" s="9" t="s">
        <v>3614</v>
      </c>
      <c r="AC926" s="27" t="n">
        <f aca="false">COUNTIF(環境認証!$A$2:$A$849,A1170)</f>
        <v>1</v>
      </c>
      <c r="AD926" s="6" t="n">
        <v>3.1</v>
      </c>
      <c r="AE926" s="6" t="n">
        <v>1.5</v>
      </c>
    </row>
    <row r="927" customFormat="false" ht="15" hidden="false" customHeight="true" outlineLevel="0" collapsed="false">
      <c r="A927" s="6" t="s">
        <v>3617</v>
      </c>
      <c r="B927" s="6" t="s">
        <v>551</v>
      </c>
      <c r="C927" s="9" t="s">
        <v>3618</v>
      </c>
      <c r="D927" s="9" t="s">
        <v>2051</v>
      </c>
      <c r="E927" s="9" t="s">
        <v>981</v>
      </c>
      <c r="F927" s="9" t="s">
        <v>3619</v>
      </c>
      <c r="H927" s="9" t="s">
        <v>971</v>
      </c>
      <c r="M927" s="6" t="n">
        <v>4353.79</v>
      </c>
      <c r="P927" s="51" t="n">
        <v>44197</v>
      </c>
      <c r="Q927" s="1" t="n">
        <f aca="false">IF(OR($A1171="",P1171=""),"",ROUND(YEARFRAC(P1171,README!$C$5),1))</f>
        <v>5.6</v>
      </c>
      <c r="S927" s="6" t="n">
        <v>7800</v>
      </c>
      <c r="T927" s="6" t="n">
        <v>7766</v>
      </c>
      <c r="U927" s="6" t="n">
        <v>9230</v>
      </c>
      <c r="V927" s="6" t="n">
        <v>1464</v>
      </c>
      <c r="W927" s="6" t="n">
        <v>1</v>
      </c>
      <c r="X927" s="1" t="n">
        <v>1</v>
      </c>
      <c r="Z927" s="6" t="s">
        <v>3568</v>
      </c>
      <c r="AA927" s="9" t="s">
        <v>774</v>
      </c>
      <c r="AB927" s="9" t="s">
        <v>3620</v>
      </c>
      <c r="AC927" s="27" t="n">
        <f aca="false">COUNTIF(環境認証!$A$2:$A$849,A1171)</f>
        <v>0</v>
      </c>
      <c r="AD927" s="6" t="n">
        <v>18.9</v>
      </c>
      <c r="AE927" s="6" t="n">
        <v>18.3</v>
      </c>
    </row>
    <row r="928" customFormat="false" ht="15" hidden="false" customHeight="true" outlineLevel="0" collapsed="false">
      <c r="A928" s="6" t="s">
        <v>3621</v>
      </c>
      <c r="B928" s="6" t="s">
        <v>551</v>
      </c>
      <c r="C928" s="9" t="s">
        <v>3622</v>
      </c>
      <c r="D928" s="9" t="s">
        <v>2051</v>
      </c>
      <c r="E928" s="9" t="s">
        <v>950</v>
      </c>
      <c r="F928" s="9" t="s">
        <v>3623</v>
      </c>
      <c r="H928" s="6" t="s">
        <v>952</v>
      </c>
      <c r="M928" s="6" t="n">
        <v>4427.11</v>
      </c>
      <c r="P928" s="51" t="n">
        <v>43525</v>
      </c>
      <c r="Q928" s="1" t="n">
        <f aca="false">IF(OR($A1172="",P1172=""),"",ROUND(YEARFRAC(P1172,README!$C$5),1))</f>
        <v>7.4</v>
      </c>
      <c r="S928" s="6" t="n">
        <v>2920</v>
      </c>
      <c r="T928" s="6" t="n">
        <v>2904</v>
      </c>
      <c r="U928" s="6" t="n">
        <v>3010</v>
      </c>
      <c r="V928" s="6" t="n">
        <v>106</v>
      </c>
      <c r="W928" s="6" t="n">
        <v>1</v>
      </c>
      <c r="X928" s="1" t="n">
        <v>1</v>
      </c>
      <c r="Z928" s="6" t="s">
        <v>3568</v>
      </c>
      <c r="AA928" s="9" t="s">
        <v>774</v>
      </c>
      <c r="AB928" s="9" t="s">
        <v>3624</v>
      </c>
      <c r="AC928" s="27" t="n">
        <f aca="false">COUNTIF(環境認証!$A$2:$A$849,A1172)</f>
        <v>1</v>
      </c>
      <c r="AD928" s="6" t="n">
        <v>3.7</v>
      </c>
      <c r="AE928" s="6" t="n">
        <v>3.1</v>
      </c>
    </row>
    <row r="929" customFormat="false" ht="15" hidden="false" customHeight="true" outlineLevel="0" collapsed="false">
      <c r="A929" s="6" t="s">
        <v>3625</v>
      </c>
      <c r="B929" s="6" t="s">
        <v>559</v>
      </c>
      <c r="C929" s="9" t="s">
        <v>3626</v>
      </c>
      <c r="D929" s="9" t="s">
        <v>3627</v>
      </c>
      <c r="H929" s="6" t="s">
        <v>764</v>
      </c>
      <c r="I929" s="6" t="s">
        <v>3628</v>
      </c>
      <c r="M929" s="6" t="n">
        <v>2313854.89</v>
      </c>
      <c r="Q929" s="1" t="n">
        <f aca="false">IF(OR($A829="",P829=""),"",ROUND(YEARFRAC(P829,README!$C$5),1))</f>
        <v>9.5</v>
      </c>
      <c r="S929" s="6" t="n">
        <v>1218978</v>
      </c>
      <c r="T929" s="6" t="n">
        <v>1194401</v>
      </c>
      <c r="U929" s="6" t="n">
        <v>1342000</v>
      </c>
      <c r="V929" s="1" t="n">
        <f aca="false">IF($A829="","",IF(OR(T829="",U829=""),"",U829-T829))</f>
        <v>152</v>
      </c>
      <c r="W929" s="6" t="n">
        <v>0.986</v>
      </c>
      <c r="X929" s="6" t="n">
        <v>2027</v>
      </c>
      <c r="Z929" s="6" t="s">
        <v>3629</v>
      </c>
      <c r="AA929" s="9" t="s">
        <v>767</v>
      </c>
      <c r="AB929" s="6" t="s">
        <v>3630</v>
      </c>
      <c r="AC929" s="27" t="n">
        <f aca="false">COUNTIF(環境認証!$A$2:$A$849,A829)</f>
        <v>1</v>
      </c>
      <c r="AD929" s="1" t="n">
        <v>12</v>
      </c>
      <c r="AE929" s="1" t="n">
        <v>19.5</v>
      </c>
    </row>
    <row r="930" customFormat="false" ht="15" hidden="false" customHeight="true" outlineLevel="0" collapsed="false">
      <c r="A930" s="6" t="s">
        <v>3631</v>
      </c>
      <c r="B930" s="6" t="s">
        <v>559</v>
      </c>
      <c r="C930" s="6" t="s">
        <v>3632</v>
      </c>
      <c r="D930" s="9" t="s">
        <v>761</v>
      </c>
      <c r="H930" s="9" t="s">
        <v>3633</v>
      </c>
      <c r="M930" s="6" t="n">
        <v>4379.2</v>
      </c>
      <c r="Q930" s="1" t="n">
        <f aca="false">IF(OR($A741="",P741=""),"",ROUND(YEARFRAC(P741,README!$C$5),1))</f>
        <v>21.5</v>
      </c>
      <c r="S930" s="6" t="n">
        <v>4450</v>
      </c>
      <c r="T930" s="6" t="n">
        <v>3844</v>
      </c>
      <c r="U930" s="6" t="n">
        <v>5080</v>
      </c>
      <c r="V930" s="6" t="n">
        <v>1236</v>
      </c>
      <c r="W930" s="6" t="n">
        <v>1</v>
      </c>
      <c r="X930" s="6" t="n">
        <v>9</v>
      </c>
      <c r="Z930" s="6" t="s">
        <v>3629</v>
      </c>
      <c r="AA930" s="9" t="s">
        <v>774</v>
      </c>
      <c r="AB930" s="6" t="s">
        <v>3634</v>
      </c>
      <c r="AC930" s="27" t="n">
        <f aca="false">COUNTIF(環境認証!$A$2:$A$849,A741)</f>
        <v>1</v>
      </c>
      <c r="AD930" s="6" t="n">
        <v>32.2</v>
      </c>
      <c r="AE930" s="6" t="n">
        <v>14.2</v>
      </c>
    </row>
    <row r="931" customFormat="false" ht="15" hidden="false" customHeight="true" outlineLevel="0" collapsed="false">
      <c r="A931" s="6" t="s">
        <v>3635</v>
      </c>
      <c r="B931" s="6" t="s">
        <v>559</v>
      </c>
      <c r="C931" s="6" t="s">
        <v>3636</v>
      </c>
      <c r="D931" s="9" t="s">
        <v>761</v>
      </c>
      <c r="H931" s="9" t="s">
        <v>3633</v>
      </c>
      <c r="M931" s="6" t="n">
        <v>3323.14</v>
      </c>
      <c r="Q931" s="1" t="n">
        <f aca="false">IF(OR($A742="",P742=""),"",ROUND(YEARFRAC(P742,README!$C$5),1))</f>
        <v>22.6</v>
      </c>
      <c r="S931" s="6" t="n">
        <v>3680</v>
      </c>
      <c r="T931" s="6" t="n">
        <v>3120</v>
      </c>
      <c r="U931" s="6" t="n">
        <v>3360</v>
      </c>
      <c r="V931" s="6" t="n">
        <v>240</v>
      </c>
      <c r="W931" s="6" t="n">
        <v>1</v>
      </c>
      <c r="X931" s="6" t="n">
        <v>4</v>
      </c>
      <c r="Z931" s="6" t="s">
        <v>3629</v>
      </c>
      <c r="AA931" s="9" t="s">
        <v>774</v>
      </c>
      <c r="AB931" s="6" t="s">
        <v>3637</v>
      </c>
      <c r="AC931" s="27" t="n">
        <f aca="false">COUNTIF(環境認証!$A$2:$A$849,A742)</f>
        <v>1</v>
      </c>
      <c r="AD931" s="6" t="n">
        <v>7.7</v>
      </c>
      <c r="AE931" s="6" t="n">
        <v>-8.7</v>
      </c>
    </row>
    <row r="932" customFormat="false" ht="15" hidden="false" customHeight="true" outlineLevel="0" collapsed="false">
      <c r="A932" s="6" t="s">
        <v>3638</v>
      </c>
      <c r="B932" s="6" t="s">
        <v>559</v>
      </c>
      <c r="C932" s="6" t="s">
        <v>3639</v>
      </c>
      <c r="D932" s="9" t="s">
        <v>761</v>
      </c>
      <c r="H932" s="9" t="s">
        <v>3633</v>
      </c>
      <c r="M932" s="6" t="n">
        <v>4286.99</v>
      </c>
      <c r="Q932" s="1" t="n">
        <f aca="false">IF(OR($A743="",P743=""),"",ROUND(YEARFRAC(P743,README!$C$5),1))</f>
        <v>23.2</v>
      </c>
      <c r="S932" s="6" t="n">
        <v>2533</v>
      </c>
      <c r="T932" s="6" t="n">
        <v>2258</v>
      </c>
      <c r="U932" s="6" t="n">
        <v>2590</v>
      </c>
      <c r="V932" s="6" t="n">
        <v>332</v>
      </c>
      <c r="W932" s="6" t="n">
        <v>1</v>
      </c>
      <c r="X932" s="6" t="n">
        <v>28</v>
      </c>
      <c r="Z932" s="6" t="s">
        <v>3629</v>
      </c>
      <c r="AA932" s="9" t="s">
        <v>774</v>
      </c>
      <c r="AB932" s="6" t="s">
        <v>3640</v>
      </c>
      <c r="AC932" s="27" t="n">
        <f aca="false">COUNTIF(環境認証!$A$2:$A$849,A743)</f>
        <v>1</v>
      </c>
      <c r="AD932" s="6" t="n">
        <v>14.7</v>
      </c>
      <c r="AE932" s="6" t="n">
        <v>2.3</v>
      </c>
    </row>
    <row r="933" customFormat="false" ht="15" hidden="false" customHeight="true" outlineLevel="0" collapsed="false">
      <c r="A933" s="6" t="s">
        <v>3641</v>
      </c>
      <c r="B933" s="6" t="s">
        <v>559</v>
      </c>
      <c r="C933" s="6" t="s">
        <v>3642</v>
      </c>
      <c r="D933" s="9" t="s">
        <v>761</v>
      </c>
      <c r="H933" s="9" t="s">
        <v>3633</v>
      </c>
      <c r="M933" s="6" t="n">
        <v>1810.19</v>
      </c>
      <c r="Q933" s="1" t="str">
        <f aca="false">IF(OR($A744="",P744=""),"",ROUND(YEARFRAC(P744,README!$C$5),1))</f>
        <v/>
      </c>
      <c r="S933" s="6" t="n">
        <v>2270</v>
      </c>
      <c r="T933" s="6" t="n">
        <v>2194</v>
      </c>
      <c r="U933" s="6" t="n">
        <v>2850</v>
      </c>
      <c r="V933" s="6" t="n">
        <v>656</v>
      </c>
      <c r="W933" s="6" t="n">
        <v>0.767</v>
      </c>
      <c r="X933" s="6" t="n">
        <v>5</v>
      </c>
      <c r="Z933" s="6" t="s">
        <v>3629</v>
      </c>
      <c r="AA933" s="9" t="s">
        <v>774</v>
      </c>
      <c r="AB933" s="6" t="s">
        <v>3643</v>
      </c>
      <c r="AC933" s="27" t="n">
        <f aca="false">COUNTIF(環境認証!$A$2:$A$849,A744)</f>
        <v>0</v>
      </c>
      <c r="AD933" s="6" t="n">
        <v>29.9</v>
      </c>
      <c r="AE933" s="6" t="n">
        <v>25.6</v>
      </c>
    </row>
    <row r="934" customFormat="false" ht="15" hidden="false" customHeight="true" outlineLevel="0" collapsed="false">
      <c r="A934" s="6" t="s">
        <v>3644</v>
      </c>
      <c r="B934" s="6" t="s">
        <v>559</v>
      </c>
      <c r="C934" s="6" t="s">
        <v>3645</v>
      </c>
      <c r="D934" s="9" t="s">
        <v>761</v>
      </c>
      <c r="H934" s="9" t="s">
        <v>3633</v>
      </c>
      <c r="M934" s="6" t="n">
        <v>1918.22</v>
      </c>
      <c r="Q934" s="1" t="n">
        <f aca="false">IF(OR($A745="",P745=""),"",ROUND(YEARFRAC(P745,README!$C$5),1))</f>
        <v>22.5</v>
      </c>
      <c r="S934" s="6" t="n">
        <v>1950</v>
      </c>
      <c r="T934" s="6" t="n">
        <v>1721</v>
      </c>
      <c r="U934" s="6" t="n">
        <v>1640</v>
      </c>
      <c r="V934" s="6" t="n">
        <v>-81</v>
      </c>
      <c r="W934" s="6" t="n">
        <v>1</v>
      </c>
      <c r="X934" s="6" t="n">
        <v>9</v>
      </c>
      <c r="Z934" s="6" t="s">
        <v>3629</v>
      </c>
      <c r="AA934" s="9" t="s">
        <v>774</v>
      </c>
      <c r="AB934" s="6" t="s">
        <v>3646</v>
      </c>
      <c r="AC934" s="27" t="n">
        <f aca="false">COUNTIF(環境認証!$A$2:$A$849,A745)</f>
        <v>0</v>
      </c>
      <c r="AD934" s="6" t="n">
        <v>-4.7</v>
      </c>
      <c r="AE934" s="6" t="n">
        <v>-15.9</v>
      </c>
    </row>
    <row r="935" customFormat="false" ht="15" hidden="false" customHeight="true" outlineLevel="0" collapsed="false">
      <c r="A935" s="6" t="s">
        <v>3647</v>
      </c>
      <c r="B935" s="6" t="s">
        <v>559</v>
      </c>
      <c r="C935" s="6" t="s">
        <v>3648</v>
      </c>
      <c r="D935" s="9" t="s">
        <v>761</v>
      </c>
      <c r="H935" s="9" t="s">
        <v>3633</v>
      </c>
      <c r="M935" s="6" t="n">
        <v>1173.55</v>
      </c>
      <c r="Q935" s="1" t="n">
        <f aca="false">IF(OR($A746="",P746=""),"",ROUND(YEARFRAC(P746,README!$C$5),1))</f>
        <v>22</v>
      </c>
      <c r="S935" s="6" t="n">
        <v>2479</v>
      </c>
      <c r="T935" s="6" t="n">
        <v>2352</v>
      </c>
      <c r="U935" s="6" t="n">
        <v>2310</v>
      </c>
      <c r="V935" s="6" t="n">
        <v>-42</v>
      </c>
      <c r="W935" s="6" t="n">
        <v>1</v>
      </c>
      <c r="X935" s="6" t="n">
        <v>10</v>
      </c>
      <c r="Z935" s="6" t="s">
        <v>3629</v>
      </c>
      <c r="AA935" s="9" t="s">
        <v>774</v>
      </c>
      <c r="AB935" s="6" t="s">
        <v>3649</v>
      </c>
      <c r="AC935" s="27" t="n">
        <f aca="false">COUNTIF(環境認証!$A$2:$A$849,A746)</f>
        <v>1</v>
      </c>
      <c r="AD935" s="6" t="n">
        <v>-1.8</v>
      </c>
      <c r="AE935" s="6" t="n">
        <v>-6.8</v>
      </c>
    </row>
    <row r="936" customFormat="false" ht="15" hidden="false" customHeight="true" outlineLevel="0" collapsed="false">
      <c r="A936" s="6" t="s">
        <v>3650</v>
      </c>
      <c r="B936" s="6" t="s">
        <v>559</v>
      </c>
      <c r="C936" s="6" t="s">
        <v>3651</v>
      </c>
      <c r="D936" s="9" t="s">
        <v>761</v>
      </c>
      <c r="H936" s="9" t="s">
        <v>3633</v>
      </c>
      <c r="M936" s="6" t="n">
        <v>3719.37</v>
      </c>
      <c r="Q936" s="1" t="n">
        <f aca="false">IF(OR($A747="",P747=""),"",ROUND(YEARFRAC(P747,README!$C$5),1))</f>
        <v>22.1</v>
      </c>
      <c r="S936" s="6" t="n">
        <v>5950</v>
      </c>
      <c r="T936" s="6" t="n">
        <v>5310</v>
      </c>
      <c r="U936" s="6" t="n">
        <v>5360</v>
      </c>
      <c r="V936" s="6" t="n">
        <v>50</v>
      </c>
      <c r="W936" s="6" t="n">
        <v>1</v>
      </c>
      <c r="X936" s="6" t="n">
        <v>9</v>
      </c>
      <c r="Z936" s="6" t="s">
        <v>3629</v>
      </c>
      <c r="AA936" s="9" t="s">
        <v>774</v>
      </c>
      <c r="AB936" s="6" t="s">
        <v>3652</v>
      </c>
      <c r="AC936" s="27" t="n">
        <f aca="false">COUNTIF(環境認証!$A$2:$A$849,A747)</f>
        <v>0</v>
      </c>
      <c r="AD936" s="6" t="n">
        <v>0.9</v>
      </c>
      <c r="AE936" s="6" t="n">
        <v>-9.9</v>
      </c>
    </row>
    <row r="937" customFormat="false" ht="15" hidden="false" customHeight="true" outlineLevel="0" collapsed="false">
      <c r="A937" s="6" t="s">
        <v>3653</v>
      </c>
      <c r="B937" s="6" t="s">
        <v>559</v>
      </c>
      <c r="C937" s="6" t="s">
        <v>3654</v>
      </c>
      <c r="D937" s="9" t="s">
        <v>761</v>
      </c>
      <c r="H937" s="9" t="s">
        <v>3633</v>
      </c>
      <c r="M937" s="6" t="n">
        <v>3845.9</v>
      </c>
      <c r="Q937" s="1" t="str">
        <f aca="false">IF(OR($A748="",P748=""),"",ROUND(YEARFRAC(P748,README!$C$5),1))</f>
        <v/>
      </c>
      <c r="S937" s="6" t="n">
        <v>2252</v>
      </c>
      <c r="T937" s="6" t="n">
        <v>2068</v>
      </c>
      <c r="U937" s="6" t="n">
        <v>3460</v>
      </c>
      <c r="V937" s="6" t="n">
        <v>1392</v>
      </c>
      <c r="W937" s="6" t="n">
        <v>1</v>
      </c>
      <c r="X937" s="6" t="n">
        <v>22</v>
      </c>
      <c r="Z937" s="6" t="s">
        <v>3629</v>
      </c>
      <c r="AA937" s="9" t="s">
        <v>774</v>
      </c>
      <c r="AB937" s="6" t="s">
        <v>3655</v>
      </c>
      <c r="AC937" s="27" t="n">
        <f aca="false">COUNTIF(環境認証!$A$2:$A$849,A748)</f>
        <v>0</v>
      </c>
      <c r="AD937" s="6" t="n">
        <v>67.3</v>
      </c>
      <c r="AE937" s="6" t="n">
        <v>53.6</v>
      </c>
    </row>
    <row r="938" customFormat="false" ht="15" hidden="false" customHeight="true" outlineLevel="0" collapsed="false">
      <c r="A938" s="6" t="s">
        <v>3656</v>
      </c>
      <c r="B938" s="6" t="s">
        <v>559</v>
      </c>
      <c r="C938" s="6" t="s">
        <v>3657</v>
      </c>
      <c r="D938" s="9" t="s">
        <v>761</v>
      </c>
      <c r="H938" s="9" t="s">
        <v>3633</v>
      </c>
      <c r="M938" s="6" t="n">
        <v>6616.68</v>
      </c>
      <c r="Q938" s="1" t="n">
        <f aca="false">IF(OR($A749="",P749=""),"",ROUND(YEARFRAC(P749,README!$C$5),1))</f>
        <v>20.8</v>
      </c>
      <c r="S938" s="6" t="n">
        <v>5300</v>
      </c>
      <c r="T938" s="6" t="n">
        <v>4595</v>
      </c>
      <c r="U938" s="6" t="n">
        <v>5900</v>
      </c>
      <c r="V938" s="6" t="n">
        <v>1305</v>
      </c>
      <c r="W938" s="6" t="n">
        <v>1</v>
      </c>
      <c r="X938" s="6" t="n">
        <v>20</v>
      </c>
      <c r="Z938" s="6" t="s">
        <v>3629</v>
      </c>
      <c r="AA938" s="9" t="s">
        <v>774</v>
      </c>
      <c r="AB938" s="6" t="s">
        <v>3658</v>
      </c>
      <c r="AC938" s="27" t="n">
        <f aca="false">COUNTIF(環境認証!$A$2:$A$849,A749)</f>
        <v>1</v>
      </c>
      <c r="AD938" s="6" t="n">
        <v>28.4</v>
      </c>
      <c r="AE938" s="6" t="n">
        <v>11.3</v>
      </c>
    </row>
    <row r="939" customFormat="false" ht="15" hidden="false" customHeight="true" outlineLevel="0" collapsed="false">
      <c r="A939" s="6" t="s">
        <v>3659</v>
      </c>
      <c r="B939" s="6" t="s">
        <v>559</v>
      </c>
      <c r="C939" s="6" t="s">
        <v>3660</v>
      </c>
      <c r="D939" s="9" t="s">
        <v>761</v>
      </c>
      <c r="H939" s="9" t="s">
        <v>3633</v>
      </c>
      <c r="M939" s="6" t="n">
        <v>3072.34</v>
      </c>
      <c r="Q939" s="1" t="n">
        <f aca="false">IF(OR($A750="",P750=""),"",ROUND(YEARFRAC(P750,README!$C$5),1))</f>
        <v>20.8</v>
      </c>
      <c r="S939" s="6" t="n">
        <v>4640</v>
      </c>
      <c r="T939" s="6" t="n">
        <v>4228</v>
      </c>
      <c r="U939" s="6" t="n">
        <v>6060</v>
      </c>
      <c r="V939" s="6" t="n">
        <v>1832</v>
      </c>
      <c r="W939" s="6" t="n">
        <v>1</v>
      </c>
      <c r="X939" s="6" t="n">
        <v>5</v>
      </c>
      <c r="Z939" s="6" t="s">
        <v>3629</v>
      </c>
      <c r="AA939" s="9" t="s">
        <v>774</v>
      </c>
      <c r="AB939" s="6" t="s">
        <v>3661</v>
      </c>
      <c r="AC939" s="27" t="n">
        <f aca="false">COUNTIF(環境認証!$A$2:$A$849,A750)</f>
        <v>1</v>
      </c>
      <c r="AD939" s="6" t="n">
        <v>43.3</v>
      </c>
      <c r="AE939" s="6" t="n">
        <v>30.6</v>
      </c>
    </row>
    <row r="940" customFormat="false" ht="15" hidden="false" customHeight="true" outlineLevel="0" collapsed="false">
      <c r="A940" s="6" t="s">
        <v>3662</v>
      </c>
      <c r="B940" s="6" t="s">
        <v>559</v>
      </c>
      <c r="C940" s="6" t="s">
        <v>3663</v>
      </c>
      <c r="D940" s="9" t="s">
        <v>761</v>
      </c>
      <c r="H940" s="9" t="s">
        <v>3633</v>
      </c>
      <c r="M940" s="6" t="n">
        <v>2803.96</v>
      </c>
      <c r="Q940" s="1" t="n">
        <f aca="false">IF(OR($A751="",P751=""),"",ROUND(YEARFRAC(P751,README!$C$5),1))</f>
        <v>19.5</v>
      </c>
      <c r="S940" s="6" t="n">
        <v>3728</v>
      </c>
      <c r="T940" s="6" t="n">
        <v>3604</v>
      </c>
      <c r="U940" s="6" t="n">
        <v>5570</v>
      </c>
      <c r="V940" s="6" t="n">
        <v>1966</v>
      </c>
      <c r="W940" s="6" t="n">
        <v>1</v>
      </c>
      <c r="X940" s="6" t="n">
        <v>9</v>
      </c>
      <c r="Z940" s="6" t="s">
        <v>3629</v>
      </c>
      <c r="AA940" s="9" t="s">
        <v>774</v>
      </c>
      <c r="AB940" s="6" t="s">
        <v>3664</v>
      </c>
      <c r="AC940" s="27" t="n">
        <f aca="false">COUNTIF(環境認証!$A$2:$A$849,A751)</f>
        <v>1</v>
      </c>
      <c r="AD940" s="6" t="n">
        <v>54.6</v>
      </c>
      <c r="AE940" s="6" t="n">
        <v>49.4</v>
      </c>
    </row>
    <row r="941" customFormat="false" ht="15" hidden="false" customHeight="true" outlineLevel="0" collapsed="false">
      <c r="A941" s="6" t="s">
        <v>3665</v>
      </c>
      <c r="B941" s="6" t="s">
        <v>559</v>
      </c>
      <c r="C941" s="6" t="s">
        <v>3666</v>
      </c>
      <c r="D941" s="9" t="s">
        <v>761</v>
      </c>
      <c r="H941" s="9" t="s">
        <v>3633</v>
      </c>
      <c r="M941" s="6" t="n">
        <v>2724.35</v>
      </c>
      <c r="Q941" s="1" t="str">
        <f aca="false">IF(OR($A752="",P752=""),"",ROUND(YEARFRAC(P752,README!$C$5),1))</f>
        <v/>
      </c>
      <c r="S941" s="6" t="n">
        <v>3460</v>
      </c>
      <c r="T941" s="6" t="n">
        <v>3029</v>
      </c>
      <c r="U941" s="6" t="n">
        <v>3470</v>
      </c>
      <c r="V941" s="6" t="n">
        <v>441</v>
      </c>
      <c r="W941" s="6" t="n">
        <v>1</v>
      </c>
      <c r="X941" s="6" t="n">
        <v>9</v>
      </c>
      <c r="Z941" s="6" t="s">
        <v>3629</v>
      </c>
      <c r="AA941" s="9" t="s">
        <v>774</v>
      </c>
      <c r="AB941" s="6" t="s">
        <v>3667</v>
      </c>
      <c r="AC941" s="27" t="n">
        <f aca="false">COUNTIF(環境認証!$A$2:$A$849,A752)</f>
        <v>0</v>
      </c>
      <c r="AD941" s="6" t="n">
        <v>14.6</v>
      </c>
      <c r="AE941" s="6" t="n">
        <v>0.3</v>
      </c>
    </row>
    <row r="942" customFormat="false" ht="15" hidden="false" customHeight="true" outlineLevel="0" collapsed="false">
      <c r="A942" s="6" t="s">
        <v>3668</v>
      </c>
      <c r="B942" s="6" t="s">
        <v>559</v>
      </c>
      <c r="C942" s="6" t="s">
        <v>3669</v>
      </c>
      <c r="D942" s="9" t="s">
        <v>761</v>
      </c>
      <c r="H942" s="9" t="s">
        <v>3633</v>
      </c>
      <c r="M942" s="6" t="n">
        <v>3019.94</v>
      </c>
      <c r="Q942" s="1" t="n">
        <f aca="false">IF(OR($A753="",P753=""),"",ROUND(YEARFRAC(P753,README!$C$5),1))</f>
        <v>20.5</v>
      </c>
      <c r="S942" s="6" t="n">
        <v>2780</v>
      </c>
      <c r="T942" s="6" t="n">
        <v>2526</v>
      </c>
      <c r="U942" s="6" t="n">
        <v>3110</v>
      </c>
      <c r="V942" s="6" t="n">
        <v>584</v>
      </c>
      <c r="W942" s="6" t="n">
        <v>1</v>
      </c>
      <c r="X942" s="6" t="n">
        <v>7</v>
      </c>
      <c r="Z942" s="6" t="s">
        <v>3629</v>
      </c>
      <c r="AA942" s="9" t="s">
        <v>774</v>
      </c>
      <c r="AB942" s="6" t="s">
        <v>3670</v>
      </c>
      <c r="AC942" s="27" t="n">
        <f aca="false">COUNTIF(環境認証!$A$2:$A$849,A753)</f>
        <v>1</v>
      </c>
      <c r="AD942" s="6" t="n">
        <v>23.1</v>
      </c>
      <c r="AE942" s="6" t="n">
        <v>11.9</v>
      </c>
    </row>
    <row r="943" customFormat="false" ht="15" hidden="false" customHeight="true" outlineLevel="0" collapsed="false">
      <c r="A943" s="6" t="s">
        <v>3671</v>
      </c>
      <c r="B943" s="6" t="s">
        <v>559</v>
      </c>
      <c r="C943" s="6" t="s">
        <v>3672</v>
      </c>
      <c r="D943" s="9" t="s">
        <v>761</v>
      </c>
      <c r="H943" s="9" t="s">
        <v>3633</v>
      </c>
      <c r="M943" s="6" t="n">
        <v>4748.66</v>
      </c>
      <c r="Q943" s="1" t="n">
        <f aca="false">IF(OR($A754="",P754=""),"",ROUND(YEARFRAC(P754,README!$C$5),1))</f>
        <v>19.5</v>
      </c>
      <c r="S943" s="6" t="n">
        <v>2520</v>
      </c>
      <c r="T943" s="6" t="n">
        <v>2002</v>
      </c>
      <c r="U943" s="6" t="n">
        <v>3120</v>
      </c>
      <c r="V943" s="6" t="n">
        <v>1118</v>
      </c>
      <c r="W943" s="6" t="n">
        <v>1</v>
      </c>
      <c r="X943" s="6" t="n">
        <v>23</v>
      </c>
      <c r="Z943" s="6" t="s">
        <v>3629</v>
      </c>
      <c r="AA943" s="9" t="s">
        <v>774</v>
      </c>
      <c r="AB943" s="6" t="s">
        <v>3673</v>
      </c>
      <c r="AC943" s="27" t="n">
        <f aca="false">COUNTIF(環境認証!$A$2:$A$849,A754)</f>
        <v>1</v>
      </c>
      <c r="AD943" s="6" t="n">
        <v>55.8</v>
      </c>
      <c r="AE943" s="6" t="n">
        <v>23.8</v>
      </c>
    </row>
    <row r="944" customFormat="false" ht="15" hidden="false" customHeight="true" outlineLevel="0" collapsed="false">
      <c r="A944" s="6" t="s">
        <v>3674</v>
      </c>
      <c r="B944" s="6" t="s">
        <v>559</v>
      </c>
      <c r="C944" s="6" t="s">
        <v>3675</v>
      </c>
      <c r="D944" s="9" t="s">
        <v>761</v>
      </c>
      <c r="H944" s="9" t="s">
        <v>3633</v>
      </c>
      <c r="M944" s="6" t="n">
        <v>2565.35</v>
      </c>
      <c r="Q944" s="1" t="n">
        <f aca="false">IF(OR($A755="",P755=""),"",ROUND(YEARFRAC(P755,README!$C$5),1))</f>
        <v>20.4</v>
      </c>
      <c r="S944" s="6" t="n">
        <v>2350</v>
      </c>
      <c r="T944" s="6" t="n">
        <v>2206</v>
      </c>
      <c r="U944" s="6" t="n">
        <v>2260</v>
      </c>
      <c r="V944" s="6" t="n">
        <v>54</v>
      </c>
      <c r="W944" s="6" t="n">
        <v>1</v>
      </c>
      <c r="X944" s="6" t="n">
        <v>10</v>
      </c>
      <c r="Z944" s="6" t="s">
        <v>3629</v>
      </c>
      <c r="AA944" s="9" t="s">
        <v>774</v>
      </c>
      <c r="AB944" s="6" t="s">
        <v>3676</v>
      </c>
      <c r="AC944" s="27" t="n">
        <f aca="false">COUNTIF(環境認証!$A$2:$A$849,A755)</f>
        <v>0</v>
      </c>
      <c r="AD944" s="6" t="n">
        <v>2.4</v>
      </c>
      <c r="AE944" s="6" t="n">
        <v>-3.8</v>
      </c>
    </row>
    <row r="945" customFormat="false" ht="15" hidden="false" customHeight="true" outlineLevel="0" collapsed="false">
      <c r="A945" s="6" t="s">
        <v>3677</v>
      </c>
      <c r="B945" s="6" t="s">
        <v>559</v>
      </c>
      <c r="C945" s="6" t="s">
        <v>3678</v>
      </c>
      <c r="D945" s="9" t="s">
        <v>761</v>
      </c>
      <c r="H945" s="9" t="s">
        <v>3633</v>
      </c>
      <c r="M945" s="6" t="n">
        <v>5859.92</v>
      </c>
      <c r="Q945" s="1" t="n">
        <f aca="false">IF(OR($A756="",P756=""),"",ROUND(YEARFRAC(P756,README!$C$5),1))</f>
        <v>20</v>
      </c>
      <c r="S945" s="6" t="n">
        <v>2950</v>
      </c>
      <c r="T945" s="6" t="n">
        <v>2795</v>
      </c>
      <c r="U945" s="6" t="n">
        <v>4260</v>
      </c>
      <c r="V945" s="6" t="n">
        <v>1465</v>
      </c>
      <c r="W945" s="6" t="n">
        <v>1</v>
      </c>
      <c r="X945" s="6" t="n">
        <v>6</v>
      </c>
      <c r="Z945" s="6" t="s">
        <v>3629</v>
      </c>
      <c r="AA945" s="9" t="s">
        <v>774</v>
      </c>
      <c r="AB945" s="6" t="s">
        <v>3679</v>
      </c>
      <c r="AC945" s="27" t="n">
        <f aca="false">COUNTIF(環境認証!$A$2:$A$849,A756)</f>
        <v>0</v>
      </c>
      <c r="AD945" s="6" t="n">
        <v>52.4</v>
      </c>
      <c r="AE945" s="6" t="n">
        <v>44.4</v>
      </c>
    </row>
    <row r="946" customFormat="false" ht="15" hidden="false" customHeight="true" outlineLevel="0" collapsed="false">
      <c r="A946" s="6" t="s">
        <v>3680</v>
      </c>
      <c r="B946" s="6" t="s">
        <v>559</v>
      </c>
      <c r="C946" s="6" t="s">
        <v>3681</v>
      </c>
      <c r="D946" s="9" t="s">
        <v>761</v>
      </c>
      <c r="H946" s="9" t="s">
        <v>3633</v>
      </c>
      <c r="M946" s="6" t="n">
        <v>3881.99</v>
      </c>
      <c r="Q946" s="1" t="str">
        <f aca="false">IF(OR($A757="",P757=""),"",ROUND(YEARFRAC(P757,README!$C$5),1))</f>
        <v/>
      </c>
      <c r="S946" s="6" t="n">
        <v>4200</v>
      </c>
      <c r="T946" s="6" t="n">
        <v>3528</v>
      </c>
      <c r="U946" s="6" t="n">
        <v>3720</v>
      </c>
      <c r="V946" s="6" t="n">
        <v>192</v>
      </c>
      <c r="W946" s="6" t="n">
        <v>0.894</v>
      </c>
      <c r="X946" s="6" t="n">
        <v>10</v>
      </c>
      <c r="Z946" s="6" t="s">
        <v>3629</v>
      </c>
      <c r="AA946" s="9" t="s">
        <v>774</v>
      </c>
      <c r="AB946" s="6" t="s">
        <v>3682</v>
      </c>
      <c r="AC946" s="27" t="n">
        <f aca="false">COUNTIF(環境認証!$A$2:$A$849,A757)</f>
        <v>0</v>
      </c>
      <c r="AD946" s="6" t="n">
        <v>5.4</v>
      </c>
      <c r="AE946" s="6" t="n">
        <v>-11.4</v>
      </c>
    </row>
    <row r="947" customFormat="false" ht="15" hidden="false" customHeight="true" outlineLevel="0" collapsed="false">
      <c r="A947" s="6" t="s">
        <v>3683</v>
      </c>
      <c r="B947" s="6" t="s">
        <v>559</v>
      </c>
      <c r="C947" s="6" t="s">
        <v>3684</v>
      </c>
      <c r="D947" s="9" t="s">
        <v>761</v>
      </c>
      <c r="H947" s="9" t="s">
        <v>3633</v>
      </c>
      <c r="M947" s="6" t="n">
        <v>5997.36</v>
      </c>
      <c r="Q947" s="1" t="n">
        <f aca="false">IF(OR($A758="",P758=""),"",ROUND(YEARFRAC(P758,README!$C$5),1))</f>
        <v>20</v>
      </c>
      <c r="S947" s="6" t="n">
        <v>6090</v>
      </c>
      <c r="T947" s="6" t="n">
        <v>5644</v>
      </c>
      <c r="U947" s="6" t="n">
        <v>6680</v>
      </c>
      <c r="V947" s="6" t="n">
        <v>1036</v>
      </c>
      <c r="W947" s="6" t="n">
        <v>1</v>
      </c>
      <c r="X947" s="6" t="n">
        <v>8</v>
      </c>
      <c r="Z947" s="6" t="s">
        <v>3629</v>
      </c>
      <c r="AA947" s="9" t="s">
        <v>774</v>
      </c>
      <c r="AB947" s="6" t="s">
        <v>3685</v>
      </c>
      <c r="AC947" s="27" t="n">
        <f aca="false">COUNTIF(環境認証!$A$2:$A$849,A758)</f>
        <v>1</v>
      </c>
      <c r="AD947" s="6" t="n">
        <v>18.4</v>
      </c>
      <c r="AE947" s="6" t="n">
        <v>9.7</v>
      </c>
    </row>
    <row r="948" customFormat="false" ht="15" hidden="false" customHeight="true" outlineLevel="0" collapsed="false">
      <c r="A948" s="6" t="s">
        <v>3686</v>
      </c>
      <c r="B948" s="6" t="s">
        <v>559</v>
      </c>
      <c r="C948" s="6" t="s">
        <v>3687</v>
      </c>
      <c r="D948" s="9" t="s">
        <v>761</v>
      </c>
      <c r="H948" s="9" t="s">
        <v>3633</v>
      </c>
      <c r="M948" s="6" t="n">
        <v>1792.54</v>
      </c>
      <c r="Q948" s="1" t="n">
        <f aca="false">IF(OR($A759="",P759=""),"",ROUND(YEARFRAC(P759,README!$C$5),1))</f>
        <v>19.5</v>
      </c>
      <c r="S948" s="6" t="n">
        <v>2000</v>
      </c>
      <c r="T948" s="6" t="n">
        <v>1965</v>
      </c>
      <c r="U948" s="6" t="n">
        <v>2080</v>
      </c>
      <c r="V948" s="6" t="n">
        <v>115</v>
      </c>
      <c r="W948" s="6" t="n">
        <v>1</v>
      </c>
      <c r="X948" s="6" t="n">
        <v>5</v>
      </c>
      <c r="Z948" s="6" t="s">
        <v>3629</v>
      </c>
      <c r="AA948" s="9" t="s">
        <v>774</v>
      </c>
      <c r="AB948" s="6" t="s">
        <v>3688</v>
      </c>
      <c r="AC948" s="27" t="n">
        <f aca="false">COUNTIF(環境認証!$A$2:$A$849,A759)</f>
        <v>1</v>
      </c>
      <c r="AD948" s="6" t="n">
        <v>5.9</v>
      </c>
      <c r="AE948" s="6" t="n">
        <v>4</v>
      </c>
    </row>
    <row r="949" customFormat="false" ht="15" hidden="false" customHeight="true" outlineLevel="0" collapsed="false">
      <c r="A949" s="6" t="s">
        <v>3689</v>
      </c>
      <c r="B949" s="6" t="s">
        <v>559</v>
      </c>
      <c r="C949" s="6" t="s">
        <v>3690</v>
      </c>
      <c r="D949" s="9" t="s">
        <v>761</v>
      </c>
      <c r="H949" s="9" t="s">
        <v>3633</v>
      </c>
      <c r="M949" s="6" t="n">
        <v>2154.26</v>
      </c>
      <c r="Q949" s="1" t="n">
        <f aca="false">IF(OR($A760="",P760=""),"",ROUND(YEARFRAC(P760,README!$C$5),1))</f>
        <v>19.5</v>
      </c>
      <c r="S949" s="6" t="n">
        <v>1155</v>
      </c>
      <c r="T949" s="6" t="n">
        <v>1096</v>
      </c>
      <c r="U949" s="6" t="n">
        <v>1260</v>
      </c>
      <c r="V949" s="6" t="n">
        <v>164</v>
      </c>
      <c r="W949" s="6" t="n">
        <v>1</v>
      </c>
      <c r="X949" s="6" t="n">
        <v>11</v>
      </c>
      <c r="Z949" s="6" t="s">
        <v>3629</v>
      </c>
      <c r="AA949" s="9" t="s">
        <v>774</v>
      </c>
      <c r="AB949" s="6" t="s">
        <v>3691</v>
      </c>
      <c r="AC949" s="27" t="n">
        <f aca="false">COUNTIF(環境認証!$A$2:$A$849,A760)</f>
        <v>1</v>
      </c>
      <c r="AD949" s="6" t="n">
        <v>15</v>
      </c>
      <c r="AE949" s="6" t="n">
        <v>9.1</v>
      </c>
    </row>
    <row r="950" customFormat="false" ht="15" hidden="false" customHeight="true" outlineLevel="0" collapsed="false">
      <c r="A950" s="6" t="s">
        <v>3692</v>
      </c>
      <c r="B950" s="6" t="s">
        <v>559</v>
      </c>
      <c r="C950" s="6" t="s">
        <v>3693</v>
      </c>
      <c r="D950" s="9" t="s">
        <v>761</v>
      </c>
      <c r="H950" s="9" t="s">
        <v>3633</v>
      </c>
      <c r="M950" s="6" t="n">
        <v>5869.26</v>
      </c>
      <c r="Q950" s="1" t="str">
        <f aca="false">IF(OR($A761="",P761=""),"",ROUND(YEARFRAC(P761,README!$C$5),1))</f>
        <v/>
      </c>
      <c r="S950" s="6" t="n">
        <v>6400</v>
      </c>
      <c r="T950" s="6" t="n">
        <v>6318</v>
      </c>
      <c r="U950" s="6" t="n">
        <v>8920</v>
      </c>
      <c r="V950" s="6" t="n">
        <v>2602</v>
      </c>
      <c r="W950" s="6" t="n">
        <v>1</v>
      </c>
      <c r="X950" s="6" t="n">
        <v>8</v>
      </c>
      <c r="Z950" s="6" t="s">
        <v>3629</v>
      </c>
      <c r="AA950" s="9" t="s">
        <v>774</v>
      </c>
      <c r="AB950" s="6" t="s">
        <v>3694</v>
      </c>
      <c r="AC950" s="27" t="n">
        <f aca="false">COUNTIF(環境認証!$A$2:$A$849,A761)</f>
        <v>0</v>
      </c>
      <c r="AD950" s="6" t="n">
        <v>41.2</v>
      </c>
      <c r="AE950" s="6" t="n">
        <v>39.4</v>
      </c>
    </row>
    <row r="951" customFormat="false" ht="15" hidden="false" customHeight="true" outlineLevel="0" collapsed="false">
      <c r="A951" s="6" t="s">
        <v>3695</v>
      </c>
      <c r="B951" s="6" t="s">
        <v>559</v>
      </c>
      <c r="C951" s="6" t="s">
        <v>3696</v>
      </c>
      <c r="D951" s="9" t="s">
        <v>761</v>
      </c>
      <c r="H951" s="9" t="s">
        <v>3633</v>
      </c>
      <c r="M951" s="6" t="n">
        <v>1593.59</v>
      </c>
      <c r="Q951" s="1" t="n">
        <f aca="false">IF(OR($A762="",P762=""),"",ROUND(YEARFRAC(P762,README!$C$5),1))</f>
        <v>18.8</v>
      </c>
      <c r="S951" s="6" t="n">
        <v>1500</v>
      </c>
      <c r="T951" s="6" t="n">
        <v>1486</v>
      </c>
      <c r="U951" s="6" t="n">
        <v>1650</v>
      </c>
      <c r="V951" s="6" t="n">
        <v>164</v>
      </c>
      <c r="W951" s="6" t="n">
        <v>1</v>
      </c>
      <c r="X951" s="6" t="n">
        <v>10</v>
      </c>
      <c r="Z951" s="6" t="s">
        <v>3629</v>
      </c>
      <c r="AA951" s="9" t="s">
        <v>774</v>
      </c>
      <c r="AB951" s="6" t="s">
        <v>3697</v>
      </c>
      <c r="AC951" s="27" t="n">
        <f aca="false">COUNTIF(環境認証!$A$2:$A$849,A762)</f>
        <v>0</v>
      </c>
      <c r="AD951" s="6" t="n">
        <v>11</v>
      </c>
      <c r="AE951" s="6" t="n">
        <v>10</v>
      </c>
    </row>
    <row r="952" customFormat="false" ht="15" hidden="false" customHeight="true" outlineLevel="0" collapsed="false">
      <c r="A952" s="6" t="s">
        <v>3698</v>
      </c>
      <c r="B952" s="6" t="s">
        <v>559</v>
      </c>
      <c r="C952" s="9" t="s">
        <v>3699</v>
      </c>
      <c r="D952" s="9" t="s">
        <v>761</v>
      </c>
      <c r="H952" s="9" t="s">
        <v>3633</v>
      </c>
      <c r="M952" s="6" t="n">
        <v>6878.61</v>
      </c>
      <c r="Q952" s="1" t="n">
        <f aca="false">IF(OR($A763="",P763=""),"",ROUND(YEARFRAC(P763,README!$C$5),1))</f>
        <v>18.6</v>
      </c>
      <c r="S952" s="6" t="n">
        <v>7600</v>
      </c>
      <c r="T952" s="6" t="n">
        <v>7303</v>
      </c>
      <c r="U952" s="6" t="n">
        <v>8690</v>
      </c>
      <c r="V952" s="6" t="n">
        <v>1387</v>
      </c>
      <c r="W952" s="6" t="n">
        <v>1</v>
      </c>
      <c r="X952" s="6" t="n">
        <v>15</v>
      </c>
      <c r="Z952" s="6" t="s">
        <v>3629</v>
      </c>
      <c r="AA952" s="9" t="s">
        <v>774</v>
      </c>
      <c r="AB952" s="6" t="s">
        <v>3700</v>
      </c>
      <c r="AC952" s="27" t="n">
        <f aca="false">COUNTIF(環境認証!$A$2:$A$849,A763)</f>
        <v>0</v>
      </c>
      <c r="AD952" s="6" t="n">
        <v>19</v>
      </c>
      <c r="AE952" s="6" t="n">
        <v>14.3</v>
      </c>
    </row>
    <row r="953" customFormat="false" ht="15" hidden="false" customHeight="true" outlineLevel="0" collapsed="false">
      <c r="A953" s="6" t="s">
        <v>3701</v>
      </c>
      <c r="B953" s="6" t="s">
        <v>559</v>
      </c>
      <c r="C953" s="6" t="s">
        <v>3702</v>
      </c>
      <c r="D953" s="9" t="s">
        <v>761</v>
      </c>
      <c r="H953" s="9" t="s">
        <v>3633</v>
      </c>
      <c r="M953" s="6" t="n">
        <v>2236.08</v>
      </c>
      <c r="Q953" s="1" t="n">
        <f aca="false">IF(OR($A764="",P764=""),"",ROUND(YEARFRAC(P764,README!$C$5),1))</f>
        <v>18.8</v>
      </c>
      <c r="S953" s="6" t="n">
        <v>2310</v>
      </c>
      <c r="T953" s="6" t="n">
        <v>2173</v>
      </c>
      <c r="U953" s="6" t="n">
        <v>2340</v>
      </c>
      <c r="V953" s="6" t="n">
        <v>167</v>
      </c>
      <c r="W953" s="6" t="n">
        <v>1</v>
      </c>
      <c r="X953" s="6" t="n">
        <v>8</v>
      </c>
      <c r="Z953" s="6" t="s">
        <v>3629</v>
      </c>
      <c r="AA953" s="9" t="s">
        <v>774</v>
      </c>
      <c r="AB953" s="6" t="s">
        <v>3703</v>
      </c>
      <c r="AC953" s="27" t="n">
        <f aca="false">COUNTIF(環境認証!$A$2:$A$849,A764)</f>
        <v>1</v>
      </c>
      <c r="AD953" s="6" t="n">
        <v>7.7</v>
      </c>
      <c r="AE953" s="6" t="n">
        <v>1.3</v>
      </c>
    </row>
    <row r="954" customFormat="false" ht="15" hidden="false" customHeight="true" outlineLevel="0" collapsed="false">
      <c r="A954" s="6" t="s">
        <v>3704</v>
      </c>
      <c r="B954" s="6" t="s">
        <v>559</v>
      </c>
      <c r="C954" s="9" t="s">
        <v>3705</v>
      </c>
      <c r="D954" s="9" t="s">
        <v>761</v>
      </c>
      <c r="H954" s="9" t="s">
        <v>837</v>
      </c>
      <c r="M954" s="1" t="n">
        <v>6511.88</v>
      </c>
      <c r="Q954" s="1" t="n">
        <f aca="false">IF(OR($A765="",P765=""),"",ROUND(YEARFRAC(P765,README!$C$5),1))</f>
        <v>18.7</v>
      </c>
      <c r="S954" s="1" t="n">
        <v>4160</v>
      </c>
      <c r="T954" s="1" t="n">
        <v>4091</v>
      </c>
      <c r="U954" s="1" t="n">
        <v>4090</v>
      </c>
      <c r="V954" s="1" t="n">
        <f aca="false">IF($A765="","",IF(OR(T765="",U765=""),"",U765-T765))</f>
        <v>713</v>
      </c>
      <c r="W954" s="1" t="n">
        <v>0.987</v>
      </c>
      <c r="X954" s="1" t="n">
        <v>1</v>
      </c>
      <c r="Z954" s="6" t="s">
        <v>3629</v>
      </c>
      <c r="AA954" s="9" t="s">
        <v>774</v>
      </c>
      <c r="AB954" s="6" t="s">
        <v>3706</v>
      </c>
      <c r="AC954" s="27" t="n">
        <f aca="false">COUNTIF(環境認証!$A$2:$A$849,A765)</f>
        <v>1</v>
      </c>
      <c r="AD954" s="1" t="n">
        <v>0</v>
      </c>
      <c r="AE954" s="1" t="n">
        <v>-1.7</v>
      </c>
    </row>
    <row r="955" customFormat="false" ht="15" hidden="false" customHeight="true" outlineLevel="0" collapsed="false">
      <c r="A955" s="6" t="s">
        <v>3707</v>
      </c>
      <c r="B955" s="6" t="s">
        <v>559</v>
      </c>
      <c r="C955" s="6" t="s">
        <v>3708</v>
      </c>
      <c r="D955" s="9" t="s">
        <v>761</v>
      </c>
      <c r="H955" s="9" t="s">
        <v>3633</v>
      </c>
      <c r="M955" s="6" t="n">
        <v>2323.44</v>
      </c>
      <c r="Q955" s="1" t="str">
        <f aca="false">IF(OR($A766="",P766=""),"",ROUND(YEARFRAC(P766,README!$C$5),1))</f>
        <v/>
      </c>
      <c r="S955" s="6" t="n">
        <v>2760</v>
      </c>
      <c r="T955" s="6" t="n">
        <v>2752</v>
      </c>
      <c r="U955" s="6" t="n">
        <v>2480</v>
      </c>
      <c r="V955" s="6" t="n">
        <v>-272</v>
      </c>
      <c r="W955" s="6" t="n">
        <v>1</v>
      </c>
      <c r="X955" s="6" t="n">
        <v>4</v>
      </c>
      <c r="Z955" s="6" t="s">
        <v>3629</v>
      </c>
      <c r="AA955" s="9" t="s">
        <v>774</v>
      </c>
      <c r="AB955" s="6" t="s">
        <v>3709</v>
      </c>
      <c r="AC955" s="27" t="n">
        <f aca="false">COUNTIF(環境認証!$A$2:$A$849,A766)</f>
        <v>0</v>
      </c>
      <c r="AD955" s="6" t="n">
        <v>-9.9</v>
      </c>
      <c r="AE955" s="6" t="n">
        <v>-10.1</v>
      </c>
    </row>
    <row r="956" customFormat="false" ht="15" hidden="false" customHeight="true" outlineLevel="0" collapsed="false">
      <c r="A956" s="6" t="s">
        <v>3710</v>
      </c>
      <c r="B956" s="6" t="s">
        <v>559</v>
      </c>
      <c r="C956" s="6" t="s">
        <v>3711</v>
      </c>
      <c r="D956" s="9" t="s">
        <v>761</v>
      </c>
      <c r="H956" s="9" t="s">
        <v>3633</v>
      </c>
      <c r="M956" s="6" t="n">
        <v>9294</v>
      </c>
      <c r="Q956" s="1" t="n">
        <f aca="false">IF(OR($A767="",P767=""),"",ROUND(YEARFRAC(P767,README!$C$5),1))</f>
        <v>19.8</v>
      </c>
      <c r="S956" s="6" t="n">
        <v>10250</v>
      </c>
      <c r="T956" s="6" t="n">
        <v>7980</v>
      </c>
      <c r="U956" s="6" t="n">
        <v>8520</v>
      </c>
      <c r="V956" s="6" t="n">
        <v>540</v>
      </c>
      <c r="W956" s="6" t="n">
        <v>0.967</v>
      </c>
      <c r="X956" s="6" t="n">
        <v>11</v>
      </c>
      <c r="Z956" s="6" t="s">
        <v>3629</v>
      </c>
      <c r="AA956" s="9" t="s">
        <v>774</v>
      </c>
      <c r="AB956" s="6" t="s">
        <v>3712</v>
      </c>
      <c r="AC956" s="27" t="n">
        <f aca="false">COUNTIF(環境認証!$A$2:$A$849,A767)</f>
        <v>1</v>
      </c>
      <c r="AD956" s="6" t="n">
        <v>6.8</v>
      </c>
      <c r="AE956" s="6" t="n">
        <v>-16.9</v>
      </c>
    </row>
    <row r="957" customFormat="false" ht="15" hidden="false" customHeight="true" outlineLevel="0" collapsed="false">
      <c r="A957" s="6" t="s">
        <v>3713</v>
      </c>
      <c r="B957" s="6" t="s">
        <v>559</v>
      </c>
      <c r="C957" s="6" t="s">
        <v>3714</v>
      </c>
      <c r="D957" s="9" t="s">
        <v>761</v>
      </c>
      <c r="H957" s="9" t="s">
        <v>3633</v>
      </c>
      <c r="M957" s="6" t="n">
        <v>3934.35</v>
      </c>
      <c r="Q957" s="1" t="n">
        <f aca="false">IF(OR($A768="",P768=""),"",ROUND(YEARFRAC(P768,README!$C$5),1))</f>
        <v>18.6</v>
      </c>
      <c r="S957" s="6" t="n">
        <v>3080</v>
      </c>
      <c r="T957" s="6" t="n">
        <v>2997</v>
      </c>
      <c r="U957" s="6" t="n">
        <v>3750</v>
      </c>
      <c r="V957" s="6" t="n">
        <v>753</v>
      </c>
      <c r="W957" s="6" t="n">
        <v>1</v>
      </c>
      <c r="X957" s="6" t="n">
        <v>2</v>
      </c>
      <c r="Z957" s="6" t="s">
        <v>3629</v>
      </c>
      <c r="AA957" s="9" t="s">
        <v>774</v>
      </c>
      <c r="AB957" s="6" t="s">
        <v>3715</v>
      </c>
      <c r="AC957" s="27" t="n">
        <f aca="false">COUNTIF(環境認証!$A$2:$A$849,A768)</f>
        <v>1</v>
      </c>
      <c r="AD957" s="6" t="n">
        <v>25.1</v>
      </c>
      <c r="AE957" s="6" t="n">
        <v>21.8</v>
      </c>
    </row>
    <row r="958" customFormat="false" ht="15" hidden="false" customHeight="true" outlineLevel="0" collapsed="false">
      <c r="A958" s="6" t="s">
        <v>3716</v>
      </c>
      <c r="B958" s="6" t="s">
        <v>559</v>
      </c>
      <c r="C958" s="6" t="s">
        <v>3717</v>
      </c>
      <c r="D958" s="9" t="s">
        <v>761</v>
      </c>
      <c r="H958" s="9" t="s">
        <v>3633</v>
      </c>
      <c r="M958" s="6" t="n">
        <v>3157.04</v>
      </c>
      <c r="Q958" s="1" t="n">
        <f aca="false">IF(OR($A769="",P769=""),"",ROUND(YEARFRAC(P769,README!$C$5),1))</f>
        <v>18.4</v>
      </c>
      <c r="S958" s="6" t="n">
        <v>2620</v>
      </c>
      <c r="T958" s="6" t="n">
        <v>2544</v>
      </c>
      <c r="U958" s="6" t="n">
        <v>3850</v>
      </c>
      <c r="V958" s="6" t="n">
        <v>1306</v>
      </c>
      <c r="W958" s="6" t="n">
        <v>1</v>
      </c>
      <c r="X958" s="6" t="n">
        <v>10</v>
      </c>
      <c r="Z958" s="6" t="s">
        <v>3629</v>
      </c>
      <c r="AA958" s="9" t="s">
        <v>774</v>
      </c>
      <c r="AB958" s="6" t="s">
        <v>3718</v>
      </c>
      <c r="AC958" s="27" t="n">
        <f aca="false">COUNTIF(環境認証!$A$2:$A$849,A769)</f>
        <v>1</v>
      </c>
      <c r="AD958" s="6" t="n">
        <v>51.3</v>
      </c>
      <c r="AE958" s="6" t="n">
        <v>46.9</v>
      </c>
    </row>
    <row r="959" customFormat="false" ht="15" hidden="false" customHeight="true" outlineLevel="0" collapsed="false">
      <c r="A959" s="6" t="s">
        <v>3719</v>
      </c>
      <c r="B959" s="6" t="s">
        <v>559</v>
      </c>
      <c r="C959" s="6" t="s">
        <v>3720</v>
      </c>
      <c r="D959" s="9" t="s">
        <v>761</v>
      </c>
      <c r="H959" s="9" t="s">
        <v>3633</v>
      </c>
      <c r="M959" s="6" t="n">
        <v>1615.2</v>
      </c>
      <c r="Q959" s="1" t="n">
        <f aca="false">IF(OR($A770="",P770=""),"",ROUND(YEARFRAC(P770,README!$C$5),1))</f>
        <v>21.6</v>
      </c>
      <c r="S959" s="6" t="n">
        <v>2010</v>
      </c>
      <c r="T959" s="6" t="n">
        <v>1721</v>
      </c>
      <c r="U959" s="6" t="n">
        <v>2950</v>
      </c>
      <c r="V959" s="6" t="n">
        <v>1229</v>
      </c>
      <c r="W959" s="6" t="n">
        <v>1</v>
      </c>
      <c r="X959" s="6" t="n">
        <v>8</v>
      </c>
      <c r="Z959" s="6" t="s">
        <v>3629</v>
      </c>
      <c r="AA959" s="9" t="s">
        <v>774</v>
      </c>
      <c r="AB959" s="6" t="s">
        <v>3721</v>
      </c>
      <c r="AC959" s="27" t="n">
        <f aca="false">COUNTIF(環境認証!$A$2:$A$849,A770)</f>
        <v>1</v>
      </c>
      <c r="AD959" s="6" t="n">
        <v>71.4</v>
      </c>
      <c r="AE959" s="6" t="n">
        <v>46.8</v>
      </c>
    </row>
    <row r="960" customFormat="false" ht="15" hidden="false" customHeight="true" outlineLevel="0" collapsed="false">
      <c r="A960" s="6" t="s">
        <v>3722</v>
      </c>
      <c r="B960" s="6" t="s">
        <v>559</v>
      </c>
      <c r="C960" s="6" t="s">
        <v>3723</v>
      </c>
      <c r="D960" s="9" t="s">
        <v>761</v>
      </c>
      <c r="H960" s="9" t="s">
        <v>3633</v>
      </c>
      <c r="M960" s="6" t="n">
        <v>5806.23</v>
      </c>
      <c r="Q960" s="1" t="str">
        <f aca="false">IF(OR($A771="",P771=""),"",ROUND(YEARFRAC(P771,README!$C$5),1))</f>
        <v/>
      </c>
      <c r="S960" s="6" t="n">
        <v>6800</v>
      </c>
      <c r="T960" s="6" t="n">
        <v>6967</v>
      </c>
      <c r="U960" s="6" t="n">
        <v>10000</v>
      </c>
      <c r="V960" s="6" t="n">
        <v>3033</v>
      </c>
      <c r="W960" s="6" t="n">
        <v>0.978</v>
      </c>
      <c r="X960" s="6" t="n">
        <v>22</v>
      </c>
      <c r="Z960" s="6" t="s">
        <v>3629</v>
      </c>
      <c r="AA960" s="9" t="s">
        <v>774</v>
      </c>
      <c r="AB960" s="6" t="s">
        <v>3724</v>
      </c>
      <c r="AC960" s="27" t="n">
        <f aca="false">COUNTIF(環境認証!$A$2:$A$849,A771)</f>
        <v>0</v>
      </c>
      <c r="AD960" s="6" t="n">
        <v>43.5</v>
      </c>
      <c r="AE960" s="6" t="n">
        <v>47.1</v>
      </c>
    </row>
    <row r="961" customFormat="false" ht="15" hidden="false" customHeight="true" outlineLevel="0" collapsed="false">
      <c r="A961" s="6" t="s">
        <v>3725</v>
      </c>
      <c r="B961" s="6" t="s">
        <v>559</v>
      </c>
      <c r="C961" s="6" t="s">
        <v>3726</v>
      </c>
      <c r="D961" s="9" t="s">
        <v>761</v>
      </c>
      <c r="H961" s="9" t="s">
        <v>3633</v>
      </c>
      <c r="M961" s="6" t="n">
        <v>3573.59</v>
      </c>
      <c r="Q961" s="1" t="n">
        <f aca="false">IF(OR($A772="",P772=""),"",ROUND(YEARFRAC(P772,README!$C$5),1))</f>
        <v>21.5</v>
      </c>
      <c r="S961" s="6" t="n">
        <v>4300</v>
      </c>
      <c r="T961" s="6" t="n">
        <v>4064</v>
      </c>
      <c r="U961" s="6" t="n">
        <v>5980</v>
      </c>
      <c r="V961" s="6" t="n">
        <v>1916</v>
      </c>
      <c r="W961" s="6" t="n">
        <v>1</v>
      </c>
      <c r="X961" s="6" t="n">
        <v>6</v>
      </c>
      <c r="Z961" s="6" t="s">
        <v>3629</v>
      </c>
      <c r="AA961" s="9" t="s">
        <v>774</v>
      </c>
      <c r="AB961" s="6" t="s">
        <v>3727</v>
      </c>
      <c r="AC961" s="27" t="n">
        <f aca="false">COUNTIF(環境認証!$A$2:$A$849,A772)</f>
        <v>1</v>
      </c>
      <c r="AD961" s="6" t="n">
        <v>47.1</v>
      </c>
      <c r="AE961" s="6" t="n">
        <v>39.1</v>
      </c>
    </row>
    <row r="962" customFormat="false" ht="15" hidden="false" customHeight="true" outlineLevel="0" collapsed="false">
      <c r="A962" s="6" t="s">
        <v>3728</v>
      </c>
      <c r="B962" s="6" t="s">
        <v>559</v>
      </c>
      <c r="C962" s="6" t="s">
        <v>3729</v>
      </c>
      <c r="D962" s="9" t="s">
        <v>761</v>
      </c>
      <c r="H962" s="9" t="s">
        <v>3633</v>
      </c>
      <c r="M962" s="6" t="n">
        <v>4348.46</v>
      </c>
      <c r="Q962" s="1" t="n">
        <f aca="false">IF(OR($A773="",P773=""),"",ROUND(YEARFRAC(P773,README!$C$5),1))</f>
        <v>17.9</v>
      </c>
      <c r="S962" s="6" t="n">
        <v>4670</v>
      </c>
      <c r="T962" s="6" t="n">
        <v>4594</v>
      </c>
      <c r="U962" s="6" t="n">
        <v>6000</v>
      </c>
      <c r="V962" s="6" t="n">
        <v>1406</v>
      </c>
      <c r="W962" s="6" t="n">
        <v>0.813</v>
      </c>
      <c r="X962" s="6" t="n">
        <v>11</v>
      </c>
      <c r="Z962" s="6" t="s">
        <v>3629</v>
      </c>
      <c r="AA962" s="9" t="s">
        <v>774</v>
      </c>
      <c r="AB962" s="6" t="s">
        <v>3730</v>
      </c>
      <c r="AC962" s="27" t="n">
        <f aca="false">COUNTIF(環境認証!$A$2:$A$849,A773)</f>
        <v>1</v>
      </c>
      <c r="AD962" s="6" t="n">
        <v>30.6</v>
      </c>
      <c r="AE962" s="6" t="n">
        <v>28.5</v>
      </c>
    </row>
    <row r="963" customFormat="false" ht="15" hidden="false" customHeight="true" outlineLevel="0" collapsed="false">
      <c r="A963" s="6" t="s">
        <v>3731</v>
      </c>
      <c r="B963" s="6" t="s">
        <v>559</v>
      </c>
      <c r="C963" s="6" t="s">
        <v>3732</v>
      </c>
      <c r="D963" s="9" t="s">
        <v>761</v>
      </c>
      <c r="H963" s="9" t="s">
        <v>3633</v>
      </c>
      <c r="M963" s="6" t="n">
        <v>3992.6</v>
      </c>
      <c r="Q963" s="1" t="n">
        <f aca="false">IF(OR($A774="",P774=""),"",ROUND(YEARFRAC(P774,README!$C$5),1))</f>
        <v>19.5</v>
      </c>
      <c r="S963" s="6" t="n">
        <v>2710</v>
      </c>
      <c r="T963" s="6" t="n">
        <v>2543</v>
      </c>
      <c r="U963" s="6" t="n">
        <v>3680</v>
      </c>
      <c r="V963" s="6" t="n">
        <v>1137</v>
      </c>
      <c r="W963" s="6" t="n">
        <v>1</v>
      </c>
      <c r="X963" s="6" t="n">
        <v>7</v>
      </c>
      <c r="Z963" s="6" t="s">
        <v>3629</v>
      </c>
      <c r="AA963" s="9" t="s">
        <v>774</v>
      </c>
      <c r="AB963" s="6" t="s">
        <v>3733</v>
      </c>
      <c r="AC963" s="27" t="n">
        <f aca="false">COUNTIF(環境認証!$A$2:$A$849,A774)</f>
        <v>1</v>
      </c>
      <c r="AD963" s="6" t="n">
        <v>44.7</v>
      </c>
      <c r="AE963" s="6" t="n">
        <v>35.8</v>
      </c>
    </row>
    <row r="964" customFormat="false" ht="15" hidden="false" customHeight="true" outlineLevel="0" collapsed="false">
      <c r="A964" s="6" t="s">
        <v>3734</v>
      </c>
      <c r="B964" s="6" t="s">
        <v>559</v>
      </c>
      <c r="C964" s="6" t="s">
        <v>3735</v>
      </c>
      <c r="D964" s="9" t="s">
        <v>761</v>
      </c>
      <c r="H964" s="9" t="s">
        <v>3633</v>
      </c>
      <c r="M964" s="6" t="n">
        <v>1612.82</v>
      </c>
      <c r="Q964" s="1" t="n">
        <f aca="false">IF(OR($A775="",P775=""),"",ROUND(YEARFRAC(P775,README!$C$5),1))</f>
        <v>20.2</v>
      </c>
      <c r="S964" s="6" t="n">
        <v>1267</v>
      </c>
      <c r="T964" s="6" t="n">
        <v>1328</v>
      </c>
      <c r="U964" s="6" t="n">
        <v>1950</v>
      </c>
      <c r="V964" s="6" t="n">
        <v>622</v>
      </c>
      <c r="W964" s="6" t="n">
        <v>1</v>
      </c>
      <c r="X964" s="6" t="n">
        <v>6</v>
      </c>
      <c r="Z964" s="6" t="s">
        <v>3629</v>
      </c>
      <c r="AA964" s="9" t="s">
        <v>774</v>
      </c>
      <c r="AB964" s="6" t="s">
        <v>3736</v>
      </c>
      <c r="AC964" s="27" t="n">
        <f aca="false">COUNTIF(環境認証!$A$2:$A$849,A775)</f>
        <v>1</v>
      </c>
      <c r="AD964" s="6" t="n">
        <v>46.8</v>
      </c>
      <c r="AE964" s="6" t="n">
        <v>53.9</v>
      </c>
    </row>
    <row r="965" customFormat="false" ht="15" hidden="false" customHeight="true" outlineLevel="0" collapsed="false">
      <c r="A965" s="6" t="s">
        <v>3737</v>
      </c>
      <c r="B965" s="6" t="s">
        <v>559</v>
      </c>
      <c r="C965" s="6" t="s">
        <v>3738</v>
      </c>
      <c r="D965" s="9" t="s">
        <v>761</v>
      </c>
      <c r="H965" s="9" t="s">
        <v>3633</v>
      </c>
      <c r="M965" s="6" t="n">
        <v>10151.5</v>
      </c>
      <c r="Q965" s="1" t="n">
        <f aca="false">IF(OR($A776="",P776=""),"",ROUND(YEARFRAC(P776,README!$C$5),1))</f>
        <v>30.5</v>
      </c>
      <c r="S965" s="6" t="n">
        <v>6120</v>
      </c>
      <c r="T965" s="6" t="n">
        <v>5899</v>
      </c>
      <c r="U965" s="6" t="n">
        <v>8470</v>
      </c>
      <c r="V965" s="6" t="n">
        <v>2571</v>
      </c>
      <c r="W965" s="6" t="n">
        <v>1</v>
      </c>
      <c r="X965" s="6" t="n">
        <v>39</v>
      </c>
      <c r="Z965" s="6" t="s">
        <v>3629</v>
      </c>
      <c r="AA965" s="9" t="s">
        <v>774</v>
      </c>
      <c r="AB965" s="6" t="s">
        <v>3739</v>
      </c>
      <c r="AC965" s="27" t="n">
        <f aca="false">COUNTIF(環境認証!$A$2:$A$849,A776)</f>
        <v>1</v>
      </c>
      <c r="AD965" s="6" t="n">
        <v>43.6</v>
      </c>
      <c r="AE965" s="6" t="n">
        <v>38.4</v>
      </c>
    </row>
    <row r="966" customFormat="false" ht="15" hidden="false" customHeight="true" outlineLevel="0" collapsed="false">
      <c r="A966" s="6" t="s">
        <v>3740</v>
      </c>
      <c r="B966" s="6" t="s">
        <v>559</v>
      </c>
      <c r="C966" s="6" t="s">
        <v>3741</v>
      </c>
      <c r="D966" s="9" t="s">
        <v>761</v>
      </c>
      <c r="H966" s="9" t="s">
        <v>3633</v>
      </c>
      <c r="M966" s="6" t="n">
        <v>4348.15</v>
      </c>
      <c r="Q966" s="1" t="n">
        <f aca="false">IF(OR($A777="",P777=""),"",ROUND(YEARFRAC(P777,README!$C$5),1))</f>
        <v>20.5</v>
      </c>
      <c r="S966" s="6" t="n">
        <v>2800</v>
      </c>
      <c r="T966" s="6" t="n">
        <v>2560</v>
      </c>
      <c r="U966" s="6" t="n">
        <v>4420</v>
      </c>
      <c r="V966" s="6" t="n">
        <v>1860</v>
      </c>
      <c r="W966" s="6" t="n">
        <v>1</v>
      </c>
      <c r="X966" s="6" t="n">
        <v>10</v>
      </c>
      <c r="Z966" s="6" t="s">
        <v>3629</v>
      </c>
      <c r="AA966" s="9" t="s">
        <v>774</v>
      </c>
      <c r="AB966" s="6" t="s">
        <v>3742</v>
      </c>
      <c r="AC966" s="27" t="n">
        <f aca="false">COUNTIF(環境認証!$A$2:$A$849,A777)</f>
        <v>0</v>
      </c>
      <c r="AD966" s="6" t="n">
        <v>72.7</v>
      </c>
      <c r="AE966" s="6" t="n">
        <v>57.9</v>
      </c>
    </row>
    <row r="967" customFormat="false" ht="15" hidden="false" customHeight="true" outlineLevel="0" collapsed="false">
      <c r="A967" s="6" t="s">
        <v>3743</v>
      </c>
      <c r="B967" s="6" t="s">
        <v>559</v>
      </c>
      <c r="C967" s="6" t="s">
        <v>3744</v>
      </c>
      <c r="D967" s="9" t="s">
        <v>761</v>
      </c>
      <c r="H967" s="9" t="s">
        <v>3633</v>
      </c>
      <c r="M967" s="6" t="n">
        <v>2726.69</v>
      </c>
      <c r="Q967" s="1" t="n">
        <f aca="false">IF(OR($A778="",P778=""),"",ROUND(YEARFRAC(P778,README!$C$5),1))</f>
        <v>21.9</v>
      </c>
      <c r="S967" s="6" t="n">
        <v>1880</v>
      </c>
      <c r="T967" s="6" t="n">
        <v>1818</v>
      </c>
      <c r="U967" s="6" t="n">
        <v>3510</v>
      </c>
      <c r="V967" s="6" t="n">
        <v>1692</v>
      </c>
      <c r="W967" s="6" t="n">
        <v>1</v>
      </c>
      <c r="X967" s="6" t="n">
        <v>6</v>
      </c>
      <c r="Z967" s="6" t="s">
        <v>3629</v>
      </c>
      <c r="AA967" s="9" t="s">
        <v>774</v>
      </c>
      <c r="AB967" s="6" t="s">
        <v>3745</v>
      </c>
      <c r="AC967" s="27" t="n">
        <f aca="false">COUNTIF(環境認証!$A$2:$A$849,A778)</f>
        <v>1</v>
      </c>
      <c r="AD967" s="6" t="n">
        <v>93.1</v>
      </c>
      <c r="AE967" s="6" t="n">
        <v>86.7</v>
      </c>
    </row>
    <row r="968" customFormat="false" ht="15" hidden="false" customHeight="true" outlineLevel="0" collapsed="false">
      <c r="A968" s="6" t="s">
        <v>3746</v>
      </c>
      <c r="B968" s="6" t="s">
        <v>559</v>
      </c>
      <c r="C968" s="6" t="s">
        <v>3747</v>
      </c>
      <c r="D968" s="9" t="s">
        <v>761</v>
      </c>
      <c r="H968" s="9" t="s">
        <v>3633</v>
      </c>
      <c r="M968" s="6" t="n">
        <v>3827.68</v>
      </c>
      <c r="Q968" s="1" t="n">
        <f aca="false">IF(OR($A779="",P779=""),"",ROUND(YEARFRAC(P779,README!$C$5),1))</f>
        <v>20.5</v>
      </c>
      <c r="S968" s="6" t="n">
        <v>2020</v>
      </c>
      <c r="T968" s="6" t="n">
        <v>2006</v>
      </c>
      <c r="U968" s="6" t="n">
        <v>3540</v>
      </c>
      <c r="V968" s="6" t="n">
        <v>1534</v>
      </c>
      <c r="W968" s="6" t="n">
        <v>1</v>
      </c>
      <c r="X968" s="6" t="n">
        <v>17</v>
      </c>
      <c r="Z968" s="6" t="s">
        <v>3629</v>
      </c>
      <c r="AA968" s="9" t="s">
        <v>774</v>
      </c>
      <c r="AB968" s="6" t="s">
        <v>3748</v>
      </c>
      <c r="AC968" s="27" t="n">
        <f aca="false">COUNTIF(環境認証!$A$2:$A$849,A779)</f>
        <v>1</v>
      </c>
      <c r="AD968" s="6" t="n">
        <v>76.5</v>
      </c>
      <c r="AE968" s="6" t="n">
        <v>75.2</v>
      </c>
    </row>
    <row r="969" customFormat="false" ht="15" hidden="false" customHeight="true" outlineLevel="0" collapsed="false">
      <c r="A969" s="6" t="s">
        <v>3749</v>
      </c>
      <c r="B969" s="6" t="s">
        <v>559</v>
      </c>
      <c r="C969" s="9" t="s">
        <v>2679</v>
      </c>
      <c r="D969" s="9" t="s">
        <v>761</v>
      </c>
      <c r="H969" s="9" t="s">
        <v>3633</v>
      </c>
      <c r="M969" s="6" t="n">
        <v>3106.42</v>
      </c>
      <c r="Q969" s="1" t="n">
        <f aca="false">IF(OR($A780="",P780=""),"",ROUND(YEARFRAC(P780,README!$C$5),1))</f>
        <v>18</v>
      </c>
      <c r="S969" s="6" t="n">
        <v>2200</v>
      </c>
      <c r="T969" s="6" t="n">
        <v>2183</v>
      </c>
      <c r="U969" s="6" t="n">
        <v>3270</v>
      </c>
      <c r="V969" s="6" t="n">
        <v>1087</v>
      </c>
      <c r="W969" s="6" t="n">
        <v>0.988</v>
      </c>
      <c r="X969" s="6" t="n">
        <v>13</v>
      </c>
      <c r="Z969" s="6" t="s">
        <v>3629</v>
      </c>
      <c r="AA969" s="9" t="s">
        <v>774</v>
      </c>
      <c r="AB969" s="6" t="s">
        <v>3750</v>
      </c>
      <c r="AC969" s="27" t="n">
        <f aca="false">COUNTIF(環境認証!$A$2:$A$849,A780)</f>
        <v>1</v>
      </c>
      <c r="AD969" s="6" t="n">
        <v>49.8</v>
      </c>
      <c r="AE969" s="6" t="n">
        <v>48.6</v>
      </c>
    </row>
    <row r="970" customFormat="false" ht="15" hidden="false" customHeight="true" outlineLevel="0" collapsed="false">
      <c r="A970" s="6" t="s">
        <v>3751</v>
      </c>
      <c r="B970" s="6" t="s">
        <v>559</v>
      </c>
      <c r="C970" s="6" t="s">
        <v>3752</v>
      </c>
      <c r="D970" s="9" t="s">
        <v>761</v>
      </c>
      <c r="H970" s="9" t="s">
        <v>3633</v>
      </c>
      <c r="M970" s="6" t="n">
        <v>4037.56</v>
      </c>
      <c r="Q970" s="1" t="n">
        <f aca="false">IF(OR($A781="",P781=""),"",ROUND(YEARFRAC(P781,README!$C$5),1))</f>
        <v>19.1</v>
      </c>
      <c r="S970" s="6" t="n">
        <v>1900</v>
      </c>
      <c r="T970" s="6" t="n">
        <v>1899</v>
      </c>
      <c r="U970" s="6" t="n">
        <v>3340</v>
      </c>
      <c r="V970" s="6" t="n">
        <v>1441</v>
      </c>
      <c r="W970" s="6" t="n">
        <v>0.939</v>
      </c>
      <c r="X970" s="6" t="n">
        <v>5</v>
      </c>
      <c r="Z970" s="6" t="s">
        <v>3629</v>
      </c>
      <c r="AA970" s="9" t="s">
        <v>774</v>
      </c>
      <c r="AB970" s="6" t="s">
        <v>3753</v>
      </c>
      <c r="AC970" s="27" t="n">
        <f aca="false">COUNTIF(環境認証!$A$2:$A$849,A781)</f>
        <v>1</v>
      </c>
      <c r="AD970" s="6" t="n">
        <v>75.9</v>
      </c>
      <c r="AE970" s="6" t="n">
        <v>75.8</v>
      </c>
    </row>
    <row r="971" customFormat="false" ht="15" hidden="false" customHeight="true" outlineLevel="0" collapsed="false">
      <c r="A971" s="6" t="s">
        <v>3754</v>
      </c>
      <c r="B971" s="6" t="s">
        <v>559</v>
      </c>
      <c r="C971" s="6" t="s">
        <v>3755</v>
      </c>
      <c r="D971" s="9" t="s">
        <v>761</v>
      </c>
      <c r="H971" s="9" t="s">
        <v>3633</v>
      </c>
      <c r="M971" s="6" t="n">
        <v>3110.77</v>
      </c>
      <c r="Q971" s="1" t="n">
        <f aca="false">IF(OR($A782="",P782=""),"",ROUND(YEARFRAC(P782,README!$C$5),1))</f>
        <v>21</v>
      </c>
      <c r="S971" s="6" t="n">
        <v>3900</v>
      </c>
      <c r="T971" s="6" t="n">
        <v>3366</v>
      </c>
      <c r="U971" s="6" t="n">
        <v>5430</v>
      </c>
      <c r="V971" s="6" t="n">
        <v>2064</v>
      </c>
      <c r="W971" s="6" t="n">
        <v>1</v>
      </c>
      <c r="X971" s="6" t="n">
        <v>6</v>
      </c>
      <c r="Z971" s="6" t="s">
        <v>3629</v>
      </c>
      <c r="AA971" s="9" t="s">
        <v>774</v>
      </c>
      <c r="AB971" s="6" t="s">
        <v>3756</v>
      </c>
      <c r="AC971" s="27" t="n">
        <f aca="false">COUNTIF(環境認証!$A$2:$A$849,A782)</f>
        <v>1</v>
      </c>
      <c r="AD971" s="6" t="n">
        <v>61.3</v>
      </c>
      <c r="AE971" s="6" t="n">
        <v>39.2</v>
      </c>
    </row>
    <row r="972" customFormat="false" ht="15" hidden="false" customHeight="true" outlineLevel="0" collapsed="false">
      <c r="A972" s="6" t="s">
        <v>3757</v>
      </c>
      <c r="B972" s="6" t="s">
        <v>559</v>
      </c>
      <c r="C972" s="6" t="s">
        <v>3758</v>
      </c>
      <c r="D972" s="9" t="s">
        <v>761</v>
      </c>
      <c r="H972" s="9" t="s">
        <v>3633</v>
      </c>
      <c r="M972" s="6" t="n">
        <v>3272.19</v>
      </c>
      <c r="Q972" s="1" t="str">
        <f aca="false">IF(OR($A783="",P783=""),"",ROUND(YEARFRAC(P783,README!$C$5),1))</f>
        <v/>
      </c>
      <c r="S972" s="6" t="n">
        <v>3180</v>
      </c>
      <c r="T972" s="6" t="n">
        <v>3054</v>
      </c>
      <c r="U972" s="6" t="n">
        <v>4120</v>
      </c>
      <c r="V972" s="6" t="n">
        <v>1066</v>
      </c>
      <c r="W972" s="6" t="n">
        <v>1</v>
      </c>
      <c r="X972" s="6" t="n">
        <v>12</v>
      </c>
      <c r="Z972" s="6" t="s">
        <v>3629</v>
      </c>
      <c r="AA972" s="9" t="s">
        <v>774</v>
      </c>
      <c r="AB972" s="6" t="s">
        <v>3759</v>
      </c>
      <c r="AC972" s="27" t="n">
        <f aca="false">COUNTIF(環境認証!$A$2:$A$849,A783)</f>
        <v>0</v>
      </c>
      <c r="AD972" s="6" t="n">
        <v>34.9</v>
      </c>
      <c r="AE972" s="6" t="n">
        <v>29.6</v>
      </c>
    </row>
    <row r="973" customFormat="false" ht="15" hidden="false" customHeight="true" outlineLevel="0" collapsed="false">
      <c r="A973" s="6" t="s">
        <v>3760</v>
      </c>
      <c r="B973" s="6" t="s">
        <v>559</v>
      </c>
      <c r="C973" s="6" t="s">
        <v>3761</v>
      </c>
      <c r="D973" s="9" t="s">
        <v>761</v>
      </c>
      <c r="H973" s="9" t="s">
        <v>3633</v>
      </c>
      <c r="M973" s="6" t="n">
        <v>6970.54</v>
      </c>
      <c r="Q973" s="1" t="n">
        <f aca="false">IF(OR($A784="",P784=""),"",ROUND(YEARFRAC(P784,README!$C$5),1))</f>
        <v>17</v>
      </c>
      <c r="S973" s="6" t="n">
        <v>5250</v>
      </c>
      <c r="T973" s="6" t="n">
        <v>5462</v>
      </c>
      <c r="U973" s="6" t="n">
        <v>7380</v>
      </c>
      <c r="V973" s="6" t="n">
        <v>1918</v>
      </c>
      <c r="W973" s="6" t="n">
        <v>0.992</v>
      </c>
      <c r="X973" s="6" t="n">
        <v>6</v>
      </c>
      <c r="Z973" s="6" t="s">
        <v>3629</v>
      </c>
      <c r="AA973" s="9" t="s">
        <v>774</v>
      </c>
      <c r="AB973" s="6" t="s">
        <v>3762</v>
      </c>
      <c r="AC973" s="27" t="n">
        <f aca="false">COUNTIF(環境認証!$A$2:$A$849,A784)</f>
        <v>1</v>
      </c>
      <c r="AD973" s="6" t="n">
        <v>35.1</v>
      </c>
      <c r="AE973" s="6" t="n">
        <v>40.6</v>
      </c>
    </row>
    <row r="974" customFormat="false" ht="15" hidden="false" customHeight="true" outlineLevel="0" collapsed="false">
      <c r="A974" s="6" t="s">
        <v>3763</v>
      </c>
      <c r="B974" s="6" t="s">
        <v>559</v>
      </c>
      <c r="C974" s="6" t="s">
        <v>3764</v>
      </c>
      <c r="D974" s="9" t="s">
        <v>761</v>
      </c>
      <c r="H974" s="9" t="s">
        <v>3633</v>
      </c>
      <c r="M974" s="6" t="n">
        <v>2287.4</v>
      </c>
      <c r="Q974" s="1" t="n">
        <f aca="false">IF(OR($A785="",P785=""),"",ROUND(YEARFRAC(P785,README!$C$5),1))</f>
        <v>16.5</v>
      </c>
      <c r="S974" s="6" t="n">
        <v>2600</v>
      </c>
      <c r="T974" s="6" t="n">
        <v>2398</v>
      </c>
      <c r="U974" s="6" t="n">
        <v>3210</v>
      </c>
      <c r="V974" s="6" t="n">
        <v>812</v>
      </c>
      <c r="W974" s="6" t="n">
        <v>1</v>
      </c>
      <c r="X974" s="6" t="n">
        <v>8</v>
      </c>
      <c r="Z974" s="6" t="s">
        <v>3629</v>
      </c>
      <c r="AA974" s="9" t="s">
        <v>774</v>
      </c>
      <c r="AB974" s="6" t="s">
        <v>3765</v>
      </c>
      <c r="AC974" s="27" t="n">
        <f aca="false">COUNTIF(環境認証!$A$2:$A$849,A785)</f>
        <v>1</v>
      </c>
      <c r="AD974" s="6" t="n">
        <v>33.9</v>
      </c>
      <c r="AE974" s="6" t="n">
        <v>23.5</v>
      </c>
    </row>
    <row r="975" customFormat="false" ht="15" hidden="false" customHeight="true" outlineLevel="0" collapsed="false">
      <c r="A975" s="6" t="s">
        <v>3766</v>
      </c>
      <c r="B975" s="6" t="s">
        <v>559</v>
      </c>
      <c r="C975" s="6" t="s">
        <v>3767</v>
      </c>
      <c r="D975" s="9" t="s">
        <v>761</v>
      </c>
      <c r="H975" s="9" t="s">
        <v>3633</v>
      </c>
      <c r="M975" s="6" t="n">
        <v>4571.92</v>
      </c>
      <c r="Q975" s="1" t="n">
        <f aca="false">IF(OR($A786="",P786=""),"",ROUND(YEARFRAC(P786,README!$C$5),1))</f>
        <v>17.2</v>
      </c>
      <c r="S975" s="6" t="n">
        <v>4350</v>
      </c>
      <c r="T975" s="6" t="n">
        <v>4589</v>
      </c>
      <c r="U975" s="6" t="n">
        <v>6560</v>
      </c>
      <c r="V975" s="6" t="n">
        <v>1971</v>
      </c>
      <c r="W975" s="6" t="n">
        <v>1</v>
      </c>
      <c r="X975" s="6" t="n">
        <v>8</v>
      </c>
      <c r="Z975" s="6" t="s">
        <v>3629</v>
      </c>
      <c r="AA975" s="9" t="s">
        <v>774</v>
      </c>
      <c r="AB975" s="6" t="s">
        <v>3768</v>
      </c>
      <c r="AC975" s="27" t="n">
        <f aca="false">COUNTIF(環境認証!$A$2:$A$849,A786)</f>
        <v>1</v>
      </c>
      <c r="AD975" s="6" t="n">
        <v>43</v>
      </c>
      <c r="AE975" s="6" t="n">
        <v>50.8</v>
      </c>
    </row>
    <row r="976" customFormat="false" ht="15" hidden="false" customHeight="true" outlineLevel="0" collapsed="false">
      <c r="A976" s="6" t="s">
        <v>3769</v>
      </c>
      <c r="B976" s="6" t="s">
        <v>559</v>
      </c>
      <c r="C976" s="6" t="s">
        <v>3770</v>
      </c>
      <c r="D976" s="9" t="s">
        <v>761</v>
      </c>
      <c r="H976" s="9" t="s">
        <v>3633</v>
      </c>
      <c r="M976" s="6" t="n">
        <v>12978.59</v>
      </c>
      <c r="Q976" s="1" t="n">
        <f aca="false">IF(OR($A787="",P787=""),"",ROUND(YEARFRAC(P787,README!$C$5),1))</f>
        <v>18.8</v>
      </c>
      <c r="S976" s="6" t="n">
        <v>12000</v>
      </c>
      <c r="T976" s="6" t="n">
        <v>9866</v>
      </c>
      <c r="U976" s="6" t="n">
        <v>19100</v>
      </c>
      <c r="V976" s="6" t="n">
        <v>9234</v>
      </c>
      <c r="W976" s="6" t="n">
        <v>1</v>
      </c>
      <c r="X976" s="6" t="n">
        <v>17</v>
      </c>
      <c r="Z976" s="6" t="s">
        <v>3629</v>
      </c>
      <c r="AA976" s="9" t="s">
        <v>774</v>
      </c>
      <c r="AB976" s="6" t="s">
        <v>3771</v>
      </c>
      <c r="AC976" s="27" t="n">
        <f aca="false">COUNTIF(環境認証!$A$2:$A$849,A787)</f>
        <v>1</v>
      </c>
      <c r="AD976" s="6" t="n">
        <v>93.6</v>
      </c>
      <c r="AE976" s="6" t="n">
        <v>59.2</v>
      </c>
    </row>
    <row r="977" customFormat="false" ht="15" hidden="false" customHeight="true" outlineLevel="0" collapsed="false">
      <c r="A977" s="6" t="s">
        <v>3772</v>
      </c>
      <c r="B977" s="6" t="s">
        <v>559</v>
      </c>
      <c r="C977" s="9" t="s">
        <v>3773</v>
      </c>
      <c r="D977" s="9" t="s">
        <v>761</v>
      </c>
      <c r="H977" s="9" t="s">
        <v>3633</v>
      </c>
      <c r="M977" s="6" t="n">
        <v>1355.13</v>
      </c>
      <c r="Q977" s="1" t="n">
        <f aca="false">IF(OR($A788="",P788=""),"",ROUND(YEARFRAC(P788,README!$C$5),1))</f>
        <v>22.9</v>
      </c>
      <c r="S977" s="6" t="n">
        <v>2880</v>
      </c>
      <c r="T977" s="6" t="n">
        <v>2973</v>
      </c>
      <c r="U977" s="6" t="n">
        <v>3870</v>
      </c>
      <c r="V977" s="6" t="n">
        <v>897</v>
      </c>
      <c r="W977" s="6" t="n">
        <v>1</v>
      </c>
      <c r="X977" s="6" t="n">
        <v>1</v>
      </c>
      <c r="Z977" s="6" t="s">
        <v>3629</v>
      </c>
      <c r="AA977" s="9" t="s">
        <v>774</v>
      </c>
      <c r="AB977" s="6" t="s">
        <v>3774</v>
      </c>
      <c r="AC977" s="27" t="n">
        <f aca="false">COUNTIF(環境認証!$A$2:$A$849,A788)</f>
        <v>1</v>
      </c>
      <c r="AD977" s="6" t="n">
        <v>30.2</v>
      </c>
      <c r="AE977" s="6" t="n">
        <v>34.4</v>
      </c>
    </row>
    <row r="978" customFormat="false" ht="15" hidden="false" customHeight="true" outlineLevel="0" collapsed="false">
      <c r="A978" s="6" t="s">
        <v>3775</v>
      </c>
      <c r="B978" s="6" t="s">
        <v>559</v>
      </c>
      <c r="C978" s="6" t="s">
        <v>3776</v>
      </c>
      <c r="D978" s="9" t="s">
        <v>761</v>
      </c>
      <c r="H978" s="9" t="s">
        <v>3633</v>
      </c>
      <c r="M978" s="6" t="n">
        <v>11797.83</v>
      </c>
      <c r="Q978" s="1" t="n">
        <f aca="false">IF(OR($A789="",P789=""),"",ROUND(YEARFRAC(P789,README!$C$5),1))</f>
        <v>17.4</v>
      </c>
      <c r="S978" s="6" t="n">
        <v>8666</v>
      </c>
      <c r="T978" s="6" t="n">
        <v>7177</v>
      </c>
      <c r="U978" s="6" t="n">
        <v>9900</v>
      </c>
      <c r="V978" s="6" t="n">
        <v>2723</v>
      </c>
      <c r="W978" s="6" t="n">
        <v>0.954</v>
      </c>
      <c r="X978" s="6" t="n">
        <v>15</v>
      </c>
      <c r="Z978" s="6" t="s">
        <v>3629</v>
      </c>
      <c r="AA978" s="9" t="s">
        <v>774</v>
      </c>
      <c r="AB978" s="6" t="s">
        <v>3777</v>
      </c>
      <c r="AC978" s="27" t="n">
        <f aca="false">COUNTIF(環境認証!$A$2:$A$849,A789)</f>
        <v>0</v>
      </c>
      <c r="AD978" s="6" t="n">
        <v>37.9</v>
      </c>
      <c r="AE978" s="6" t="n">
        <v>14.2</v>
      </c>
    </row>
    <row r="979" customFormat="false" ht="15" hidden="false" customHeight="true" outlineLevel="0" collapsed="false">
      <c r="A979" s="6" t="s">
        <v>3778</v>
      </c>
      <c r="B979" s="6" t="s">
        <v>559</v>
      </c>
      <c r="C979" s="6" t="s">
        <v>3779</v>
      </c>
      <c r="D979" s="9" t="s">
        <v>761</v>
      </c>
      <c r="H979" s="9" t="s">
        <v>3633</v>
      </c>
      <c r="M979" s="6" t="n">
        <v>4596.2</v>
      </c>
      <c r="Q979" s="1" t="n">
        <f aca="false">IF(OR($A790="",P790=""),"",ROUND(YEARFRAC(P790,README!$C$5),1))</f>
        <v>16.8</v>
      </c>
      <c r="S979" s="6" t="n">
        <v>3650</v>
      </c>
      <c r="T979" s="6" t="n">
        <v>3509</v>
      </c>
      <c r="U979" s="6" t="n">
        <v>5010</v>
      </c>
      <c r="V979" s="6" t="n">
        <v>1501</v>
      </c>
      <c r="W979" s="6" t="n">
        <v>1</v>
      </c>
      <c r="X979" s="6" t="n">
        <v>10</v>
      </c>
      <c r="Z979" s="6" t="s">
        <v>3629</v>
      </c>
      <c r="AA979" s="9" t="s">
        <v>774</v>
      </c>
      <c r="AB979" s="6" t="s">
        <v>3780</v>
      </c>
      <c r="AC979" s="27" t="n">
        <f aca="false">COUNTIF(環境認証!$A$2:$A$849,A790)</f>
        <v>0</v>
      </c>
      <c r="AD979" s="6" t="n">
        <v>42.8</v>
      </c>
      <c r="AE979" s="6" t="n">
        <v>37.3</v>
      </c>
    </row>
    <row r="980" customFormat="false" ht="15" hidden="false" customHeight="true" outlineLevel="0" collapsed="false">
      <c r="A980" s="6" t="s">
        <v>3781</v>
      </c>
      <c r="B980" s="6" t="s">
        <v>559</v>
      </c>
      <c r="C980" s="6" t="s">
        <v>3782</v>
      </c>
      <c r="D980" s="9" t="s">
        <v>761</v>
      </c>
      <c r="H980" s="9" t="s">
        <v>3633</v>
      </c>
      <c r="M980" s="6" t="n">
        <v>2516.31</v>
      </c>
      <c r="Q980" s="1" t="n">
        <f aca="false">IF(OR($A791="",P791=""),"",ROUND(YEARFRAC(P791,README!$C$5),1))</f>
        <v>17.5</v>
      </c>
      <c r="S980" s="6" t="n">
        <v>1934</v>
      </c>
      <c r="T980" s="6" t="n">
        <v>1914</v>
      </c>
      <c r="U980" s="6" t="n">
        <v>2610</v>
      </c>
      <c r="V980" s="6" t="n">
        <v>696</v>
      </c>
      <c r="W980" s="6" t="n">
        <v>1</v>
      </c>
      <c r="X980" s="6" t="n">
        <v>6</v>
      </c>
      <c r="Z980" s="6" t="s">
        <v>3629</v>
      </c>
      <c r="AA980" s="9" t="s">
        <v>774</v>
      </c>
      <c r="AB980" s="6" t="s">
        <v>3783</v>
      </c>
      <c r="AC980" s="27" t="n">
        <f aca="false">COUNTIF(環境認証!$A$2:$A$849,A791)</f>
        <v>0</v>
      </c>
      <c r="AD980" s="6" t="n">
        <v>36.4</v>
      </c>
      <c r="AE980" s="6" t="n">
        <v>35</v>
      </c>
    </row>
    <row r="981" customFormat="false" ht="15" hidden="false" customHeight="true" outlineLevel="0" collapsed="false">
      <c r="A981" s="6" t="s">
        <v>3784</v>
      </c>
      <c r="B981" s="6" t="s">
        <v>559</v>
      </c>
      <c r="C981" s="6" t="s">
        <v>3785</v>
      </c>
      <c r="D981" s="9" t="s">
        <v>761</v>
      </c>
      <c r="H981" s="9" t="s">
        <v>3633</v>
      </c>
      <c r="M981" s="6" t="n">
        <v>10926.12</v>
      </c>
      <c r="Q981" s="1" t="n">
        <f aca="false">IF(OR($A792="",P792=""),"",ROUND(YEARFRAC(P792,README!$C$5),1))</f>
        <v>17.3</v>
      </c>
      <c r="S981" s="6" t="n">
        <v>7210</v>
      </c>
      <c r="T981" s="6" t="n">
        <v>7029</v>
      </c>
      <c r="U981" s="6" t="n">
        <v>10000</v>
      </c>
      <c r="V981" s="6" t="n">
        <v>2971</v>
      </c>
      <c r="W981" s="6" t="n">
        <v>1</v>
      </c>
      <c r="X981" s="6" t="n">
        <v>27</v>
      </c>
      <c r="Z981" s="6" t="s">
        <v>3629</v>
      </c>
      <c r="AA981" s="9" t="s">
        <v>774</v>
      </c>
      <c r="AB981" s="6" t="s">
        <v>3786</v>
      </c>
      <c r="AC981" s="27" t="n">
        <f aca="false">COUNTIF(環境認証!$A$2:$A$849,A792)</f>
        <v>1</v>
      </c>
      <c r="AD981" s="6" t="n">
        <v>42.3</v>
      </c>
      <c r="AE981" s="6" t="n">
        <v>38.7</v>
      </c>
    </row>
    <row r="982" customFormat="false" ht="15" hidden="false" customHeight="true" outlineLevel="0" collapsed="false">
      <c r="A982" s="6" t="s">
        <v>3787</v>
      </c>
      <c r="B982" s="6" t="s">
        <v>559</v>
      </c>
      <c r="C982" s="6" t="s">
        <v>3788</v>
      </c>
      <c r="D982" s="9" t="s">
        <v>761</v>
      </c>
      <c r="H982" s="9" t="s">
        <v>3633</v>
      </c>
      <c r="M982" s="6" t="n">
        <v>4990</v>
      </c>
      <c r="Q982" s="1" t="n">
        <f aca="false">IF(OR($A793="",P793=""),"",ROUND(YEARFRAC(P793,README!$C$5),1))</f>
        <v>17.2</v>
      </c>
      <c r="S982" s="6" t="n">
        <v>2750</v>
      </c>
      <c r="T982" s="6" t="n">
        <v>2577</v>
      </c>
      <c r="U982" s="6" t="n">
        <v>3530</v>
      </c>
      <c r="V982" s="6" t="n">
        <v>953</v>
      </c>
      <c r="W982" s="6" t="n">
        <v>1</v>
      </c>
      <c r="X982" s="6" t="n">
        <v>16</v>
      </c>
      <c r="Z982" s="6" t="s">
        <v>3629</v>
      </c>
      <c r="AA982" s="9" t="s">
        <v>774</v>
      </c>
      <c r="AB982" s="6" t="s">
        <v>3789</v>
      </c>
      <c r="AC982" s="27" t="n">
        <f aca="false">COUNTIF(環境認証!$A$2:$A$849,A793)</f>
        <v>1</v>
      </c>
      <c r="AD982" s="6" t="n">
        <v>37</v>
      </c>
      <c r="AE982" s="6" t="n">
        <v>28.4</v>
      </c>
    </row>
    <row r="983" customFormat="false" ht="15" hidden="false" customHeight="true" outlineLevel="0" collapsed="false">
      <c r="A983" s="6" t="s">
        <v>3790</v>
      </c>
      <c r="B983" s="6" t="s">
        <v>559</v>
      </c>
      <c r="C983" s="6" t="s">
        <v>3791</v>
      </c>
      <c r="D983" s="9" t="s">
        <v>761</v>
      </c>
      <c r="H983" s="9" t="s">
        <v>3633</v>
      </c>
      <c r="M983" s="6" t="n">
        <v>4400.93</v>
      </c>
      <c r="Q983" s="1" t="n">
        <f aca="false">IF(OR($A794="",P794=""),"",ROUND(YEARFRAC(P794,README!$C$5),1))</f>
        <v>16.9</v>
      </c>
      <c r="S983" s="6" t="n">
        <v>3600</v>
      </c>
      <c r="T983" s="6" t="n">
        <v>3549</v>
      </c>
      <c r="U983" s="6" t="n">
        <v>4210</v>
      </c>
      <c r="V983" s="6" t="n">
        <v>661</v>
      </c>
      <c r="W983" s="6" t="n">
        <v>1</v>
      </c>
      <c r="X983" s="6" t="n">
        <v>11</v>
      </c>
      <c r="Z983" s="6" t="s">
        <v>3629</v>
      </c>
      <c r="AA983" s="9" t="s">
        <v>774</v>
      </c>
      <c r="AB983" s="6" t="s">
        <v>3792</v>
      </c>
      <c r="AC983" s="27" t="n">
        <f aca="false">COUNTIF(環境認証!$A$2:$A$849,A794)</f>
        <v>0</v>
      </c>
      <c r="AD983" s="6" t="n">
        <v>18.6</v>
      </c>
      <c r="AE983" s="6" t="n">
        <v>16.9</v>
      </c>
    </row>
    <row r="984" customFormat="false" ht="15" hidden="false" customHeight="true" outlineLevel="0" collapsed="false">
      <c r="A984" s="6" t="s">
        <v>3793</v>
      </c>
      <c r="B984" s="6" t="s">
        <v>559</v>
      </c>
      <c r="C984" s="9" t="s">
        <v>3794</v>
      </c>
      <c r="D984" s="9" t="s">
        <v>761</v>
      </c>
      <c r="H984" s="9" t="s">
        <v>3633</v>
      </c>
      <c r="M984" s="6" t="n">
        <v>4342.61</v>
      </c>
      <c r="Q984" s="1" t="n">
        <f aca="false">IF(OR($A795="",P795=""),"",ROUND(YEARFRAC(P795,README!$C$5),1))</f>
        <v>17.5</v>
      </c>
      <c r="S984" s="6" t="n">
        <v>3350</v>
      </c>
      <c r="T984" s="6" t="n">
        <v>3625</v>
      </c>
      <c r="U984" s="6" t="n">
        <v>4143</v>
      </c>
      <c r="V984" s="6" t="n">
        <v>518</v>
      </c>
      <c r="W984" s="6" t="n">
        <v>0.977</v>
      </c>
      <c r="X984" s="6" t="n">
        <v>9</v>
      </c>
      <c r="Z984" s="6" t="s">
        <v>3629</v>
      </c>
      <c r="AA984" s="9" t="s">
        <v>774</v>
      </c>
      <c r="AB984" s="6" t="s">
        <v>3795</v>
      </c>
      <c r="AC984" s="27" t="n">
        <f aca="false">COUNTIF(環境認証!$A$2:$A$849,A795)</f>
        <v>1</v>
      </c>
      <c r="AD984" s="6" t="n">
        <v>14.3</v>
      </c>
      <c r="AE984" s="6" t="n">
        <v>23.7</v>
      </c>
    </row>
    <row r="985" customFormat="false" ht="15" hidden="false" customHeight="true" outlineLevel="0" collapsed="false">
      <c r="A985" s="6" t="s">
        <v>3796</v>
      </c>
      <c r="B985" s="6" t="s">
        <v>559</v>
      </c>
      <c r="C985" s="6" t="s">
        <v>3797</v>
      </c>
      <c r="D985" s="9" t="s">
        <v>761</v>
      </c>
      <c r="H985" s="9" t="s">
        <v>3633</v>
      </c>
      <c r="M985" s="6" t="n">
        <v>3052.76</v>
      </c>
      <c r="Q985" s="1" t="n">
        <f aca="false">IF(OR($A796="",P796=""),"",ROUND(YEARFRAC(P796,README!$C$5),1))</f>
        <v>16.9</v>
      </c>
      <c r="S985" s="6" t="n">
        <v>3950</v>
      </c>
      <c r="T985" s="6" t="n">
        <v>3973</v>
      </c>
      <c r="U985" s="6" t="n">
        <v>4890</v>
      </c>
      <c r="V985" s="6" t="n">
        <v>917</v>
      </c>
      <c r="W985" s="6" t="n">
        <v>1</v>
      </c>
      <c r="X985" s="6" t="n">
        <v>7</v>
      </c>
      <c r="Z985" s="6" t="s">
        <v>3629</v>
      </c>
      <c r="AA985" s="9" t="s">
        <v>774</v>
      </c>
      <c r="AB985" s="6" t="s">
        <v>3798</v>
      </c>
      <c r="AC985" s="27" t="n">
        <f aca="false">COUNTIF(環境認証!$A$2:$A$849,A796)</f>
        <v>0</v>
      </c>
      <c r="AD985" s="6" t="n">
        <v>23.1</v>
      </c>
      <c r="AE985" s="6" t="n">
        <v>23.8</v>
      </c>
    </row>
    <row r="986" customFormat="false" ht="15" hidden="false" customHeight="true" outlineLevel="0" collapsed="false">
      <c r="A986" s="6" t="s">
        <v>3799</v>
      </c>
      <c r="B986" s="6" t="s">
        <v>559</v>
      </c>
      <c r="C986" s="6" t="s">
        <v>3800</v>
      </c>
      <c r="D986" s="9" t="s">
        <v>761</v>
      </c>
      <c r="H986" s="9" t="s">
        <v>3633</v>
      </c>
      <c r="M986" s="6" t="n">
        <v>8179</v>
      </c>
      <c r="Q986" s="1" t="n">
        <f aca="false">IF(OR($A797="",P797=""),"",ROUND(YEARFRAC(P797,README!$C$5),1))</f>
        <v>17.4</v>
      </c>
      <c r="S986" s="6" t="n">
        <v>14616</v>
      </c>
      <c r="T986" s="6" t="n">
        <v>14500</v>
      </c>
      <c r="U986" s="6" t="n">
        <v>23800</v>
      </c>
      <c r="V986" s="6" t="n">
        <v>9300</v>
      </c>
      <c r="W986" s="6" t="n">
        <v>1</v>
      </c>
      <c r="X986" s="6" t="n">
        <v>4</v>
      </c>
      <c r="Z986" s="6" t="s">
        <v>3629</v>
      </c>
      <c r="AA986" s="9" t="s">
        <v>774</v>
      </c>
      <c r="AB986" s="6" t="s">
        <v>3801</v>
      </c>
      <c r="AC986" s="27" t="n">
        <f aca="false">COUNTIF(環境認証!$A$2:$A$849,A797)</f>
        <v>1</v>
      </c>
      <c r="AD986" s="6" t="n">
        <v>64.1</v>
      </c>
      <c r="AE986" s="6" t="n">
        <v>62.8</v>
      </c>
    </row>
    <row r="987" customFormat="false" ht="15" hidden="false" customHeight="true" outlineLevel="0" collapsed="false">
      <c r="A987" s="6" t="s">
        <v>3802</v>
      </c>
      <c r="B987" s="6" t="s">
        <v>559</v>
      </c>
      <c r="C987" s="6" t="s">
        <v>3803</v>
      </c>
      <c r="D987" s="9" t="s">
        <v>761</v>
      </c>
      <c r="H987" s="9" t="s">
        <v>3633</v>
      </c>
      <c r="M987" s="6" t="n">
        <v>3279.09</v>
      </c>
      <c r="Q987" s="1" t="n">
        <f aca="false">IF(OR($A798="",P798=""),"",ROUND(YEARFRAC(P798,README!$C$5),1))</f>
        <v>16.4</v>
      </c>
      <c r="S987" s="6" t="n">
        <v>3829</v>
      </c>
      <c r="T987" s="6" t="n">
        <v>3879</v>
      </c>
      <c r="U987" s="6" t="n">
        <v>4510</v>
      </c>
      <c r="V987" s="6" t="n">
        <v>631</v>
      </c>
      <c r="W987" s="6" t="n">
        <v>1</v>
      </c>
      <c r="X987" s="6" t="n">
        <v>10</v>
      </c>
      <c r="Z987" s="6" t="s">
        <v>3629</v>
      </c>
      <c r="AA987" s="9" t="s">
        <v>774</v>
      </c>
      <c r="AB987" s="6" t="s">
        <v>3804</v>
      </c>
      <c r="AC987" s="27" t="n">
        <f aca="false">COUNTIF(環境認証!$A$2:$A$849,A798)</f>
        <v>1</v>
      </c>
      <c r="AD987" s="6" t="n">
        <v>16.3</v>
      </c>
      <c r="AE987" s="6" t="n">
        <v>17.8</v>
      </c>
    </row>
    <row r="988" customFormat="false" ht="15" hidden="false" customHeight="true" outlineLevel="0" collapsed="false">
      <c r="A988" s="6" t="s">
        <v>3805</v>
      </c>
      <c r="B988" s="6" t="s">
        <v>559</v>
      </c>
      <c r="C988" s="9" t="s">
        <v>1870</v>
      </c>
      <c r="D988" s="9" t="s">
        <v>761</v>
      </c>
      <c r="H988" s="9" t="s">
        <v>3633</v>
      </c>
      <c r="M988" s="6" t="n">
        <v>2442.6</v>
      </c>
      <c r="Q988" s="1" t="n">
        <f aca="false">IF(OR($A799="",P799=""),"",ROUND(YEARFRAC(P799,README!$C$5),1))</f>
        <v>16.8</v>
      </c>
      <c r="S988" s="6" t="n">
        <v>4169</v>
      </c>
      <c r="T988" s="6" t="n">
        <v>4205</v>
      </c>
      <c r="U988" s="6" t="n">
        <v>4920</v>
      </c>
      <c r="V988" s="6" t="n">
        <v>715</v>
      </c>
      <c r="W988" s="6" t="n">
        <v>1</v>
      </c>
      <c r="X988" s="6" t="n">
        <v>1</v>
      </c>
      <c r="Z988" s="6" t="s">
        <v>3629</v>
      </c>
      <c r="AA988" s="9" t="s">
        <v>774</v>
      </c>
      <c r="AB988" s="6" t="s">
        <v>3806</v>
      </c>
      <c r="AC988" s="27" t="n">
        <f aca="false">COUNTIF(環境認証!$A$2:$A$849,A799)</f>
        <v>1</v>
      </c>
      <c r="AD988" s="6" t="n">
        <v>17</v>
      </c>
      <c r="AE988" s="6" t="n">
        <v>18</v>
      </c>
    </row>
    <row r="989" customFormat="false" ht="15" hidden="false" customHeight="true" outlineLevel="0" collapsed="false">
      <c r="A989" s="6" t="s">
        <v>3807</v>
      </c>
      <c r="B989" s="6" t="s">
        <v>559</v>
      </c>
      <c r="C989" s="6" t="s">
        <v>3808</v>
      </c>
      <c r="D989" s="9" t="s">
        <v>761</v>
      </c>
      <c r="H989" s="9" t="s">
        <v>3633</v>
      </c>
      <c r="M989" s="6" t="n">
        <v>5742.45</v>
      </c>
      <c r="Q989" s="1" t="n">
        <f aca="false">IF(OR($A800="",P800=""),"",ROUND(YEARFRAC(P800,README!$C$5),1))</f>
        <v>16.1</v>
      </c>
      <c r="S989" s="6" t="n">
        <v>8400</v>
      </c>
      <c r="T989" s="6" t="n">
        <v>8434</v>
      </c>
      <c r="U989" s="6" t="n">
        <v>9580</v>
      </c>
      <c r="V989" s="6" t="n">
        <v>1146</v>
      </c>
      <c r="W989" s="6" t="n">
        <v>1</v>
      </c>
      <c r="X989" s="6" t="n">
        <v>9</v>
      </c>
      <c r="Z989" s="6" t="s">
        <v>3629</v>
      </c>
      <c r="AA989" s="9" t="s">
        <v>774</v>
      </c>
      <c r="AB989" s="6" t="s">
        <v>3809</v>
      </c>
      <c r="AC989" s="27" t="n">
        <f aca="false">COUNTIF(環境認証!$A$2:$A$849,A800)</f>
        <v>0</v>
      </c>
      <c r="AD989" s="6" t="n">
        <v>13.6</v>
      </c>
      <c r="AE989" s="6" t="n">
        <v>14</v>
      </c>
    </row>
    <row r="990" customFormat="false" ht="15" hidden="false" customHeight="true" outlineLevel="0" collapsed="false">
      <c r="A990" s="6" t="s">
        <v>3810</v>
      </c>
      <c r="B990" s="6" t="s">
        <v>559</v>
      </c>
      <c r="C990" s="6" t="s">
        <v>3811</v>
      </c>
      <c r="D990" s="9" t="s">
        <v>761</v>
      </c>
      <c r="H990" s="9" t="s">
        <v>3633</v>
      </c>
      <c r="M990" s="6" t="n">
        <v>3320.24</v>
      </c>
      <c r="Q990" s="1" t="n">
        <f aca="false">IF(OR($A801="",P801=""),"",ROUND(YEARFRAC(P801,README!$C$5),1))</f>
        <v>13.8</v>
      </c>
      <c r="S990" s="6" t="n">
        <v>2200</v>
      </c>
      <c r="T990" s="6" t="n">
        <v>2305</v>
      </c>
      <c r="U990" s="6" t="n">
        <v>2690</v>
      </c>
      <c r="V990" s="6" t="n">
        <v>385</v>
      </c>
      <c r="W990" s="6" t="n">
        <v>1</v>
      </c>
      <c r="X990" s="6" t="n">
        <v>6</v>
      </c>
      <c r="Z990" s="6" t="s">
        <v>3629</v>
      </c>
      <c r="AA990" s="9" t="s">
        <v>774</v>
      </c>
      <c r="AB990" s="6" t="s">
        <v>3812</v>
      </c>
      <c r="AC990" s="27" t="n">
        <f aca="false">COUNTIF(環境認証!$A$2:$A$849,A801)</f>
        <v>1</v>
      </c>
      <c r="AD990" s="6" t="n">
        <v>16.7</v>
      </c>
      <c r="AE990" s="6" t="n">
        <v>22.3</v>
      </c>
    </row>
    <row r="991" customFormat="false" ht="15" hidden="false" customHeight="true" outlineLevel="0" collapsed="false">
      <c r="A991" s="6" t="s">
        <v>3813</v>
      </c>
      <c r="B991" s="6" t="s">
        <v>559</v>
      </c>
      <c r="C991" s="6" t="s">
        <v>3814</v>
      </c>
      <c r="D991" s="9" t="s">
        <v>761</v>
      </c>
      <c r="H991" s="9" t="s">
        <v>3633</v>
      </c>
      <c r="M991" s="6" t="n">
        <v>2205.33</v>
      </c>
      <c r="Q991" s="1" t="n">
        <f aca="false">IF(OR($A802="",P802=""),"",ROUND(YEARFRAC(P802,README!$C$5),1))</f>
        <v>13.8</v>
      </c>
      <c r="S991" s="6" t="n">
        <v>3500</v>
      </c>
      <c r="T991" s="6" t="n">
        <v>3533</v>
      </c>
      <c r="U991" s="6" t="n">
        <v>4180</v>
      </c>
      <c r="V991" s="6" t="n">
        <v>647</v>
      </c>
      <c r="W991" s="6" t="n">
        <v>1</v>
      </c>
      <c r="X991" s="6" t="n">
        <v>1</v>
      </c>
      <c r="Z991" s="6" t="s">
        <v>3629</v>
      </c>
      <c r="AA991" s="9" t="s">
        <v>774</v>
      </c>
      <c r="AB991" s="6" t="s">
        <v>3815</v>
      </c>
      <c r="AC991" s="27" t="n">
        <f aca="false">COUNTIF(環境認証!$A$2:$A$849,A802)</f>
        <v>1</v>
      </c>
      <c r="AD991" s="6" t="n">
        <v>18.3</v>
      </c>
      <c r="AE991" s="6" t="n">
        <v>19.4</v>
      </c>
    </row>
    <row r="992" customFormat="false" ht="15" hidden="false" customHeight="true" outlineLevel="0" collapsed="false">
      <c r="A992" s="6" t="s">
        <v>3816</v>
      </c>
      <c r="B992" s="6" t="s">
        <v>559</v>
      </c>
      <c r="C992" s="6" t="s">
        <v>3817</v>
      </c>
      <c r="D992" s="9" t="s">
        <v>761</v>
      </c>
      <c r="H992" s="9" t="s">
        <v>3633</v>
      </c>
      <c r="M992" s="6" t="n">
        <v>13485.43</v>
      </c>
      <c r="Q992" s="1" t="n">
        <f aca="false">IF(OR($A803="",P803=""),"",ROUND(YEARFRAC(P803,README!$C$5),1))</f>
        <v>13.4</v>
      </c>
      <c r="S992" s="6" t="n">
        <v>14720</v>
      </c>
      <c r="T992" s="6" t="n">
        <v>14945</v>
      </c>
      <c r="U992" s="6" t="n">
        <v>14700</v>
      </c>
      <c r="V992" s="6" t="n">
        <v>-245</v>
      </c>
      <c r="W992" s="6" t="n">
        <v>0.983</v>
      </c>
      <c r="X992" s="6" t="n">
        <v>28</v>
      </c>
      <c r="Z992" s="6" t="s">
        <v>3629</v>
      </c>
      <c r="AA992" s="9" t="s">
        <v>774</v>
      </c>
      <c r="AB992" s="6" t="s">
        <v>3818</v>
      </c>
      <c r="AC992" s="27" t="n">
        <f aca="false">COUNTIF(環境認証!$A$2:$A$849,A803)</f>
        <v>1</v>
      </c>
      <c r="AD992" s="6" t="n">
        <v>-1.6</v>
      </c>
      <c r="AE992" s="6" t="n">
        <v>-0.1</v>
      </c>
    </row>
    <row r="993" customFormat="false" ht="15" hidden="false" customHeight="true" outlineLevel="0" collapsed="false">
      <c r="A993" s="6" t="s">
        <v>3819</v>
      </c>
      <c r="B993" s="6" t="s">
        <v>559</v>
      </c>
      <c r="C993" s="6" t="s">
        <v>3820</v>
      </c>
      <c r="D993" s="9" t="s">
        <v>761</v>
      </c>
      <c r="H993" s="9" t="s">
        <v>3633</v>
      </c>
      <c r="M993" s="6" t="n">
        <v>10035.09</v>
      </c>
      <c r="Q993" s="1" t="n">
        <f aca="false">IF(OR($A804="",P804=""),"",ROUND(YEARFRAC(P804,README!$C$5),1))</f>
        <v>15.6</v>
      </c>
      <c r="S993" s="6" t="n">
        <v>9500</v>
      </c>
      <c r="T993" s="6" t="n">
        <v>9281</v>
      </c>
      <c r="U993" s="6" t="n">
        <v>10500</v>
      </c>
      <c r="V993" s="6" t="n">
        <v>1219</v>
      </c>
      <c r="W993" s="6" t="n">
        <v>1</v>
      </c>
      <c r="X993" s="6" t="n">
        <v>14</v>
      </c>
      <c r="Z993" s="6" t="s">
        <v>3629</v>
      </c>
      <c r="AA993" s="9" t="s">
        <v>774</v>
      </c>
      <c r="AB993" s="6" t="s">
        <v>3821</v>
      </c>
      <c r="AC993" s="27" t="n">
        <f aca="false">COUNTIF(環境認証!$A$2:$A$849,A804)</f>
        <v>1</v>
      </c>
      <c r="AD993" s="6" t="n">
        <v>13.1</v>
      </c>
      <c r="AE993" s="6" t="n">
        <v>10.5</v>
      </c>
    </row>
    <row r="994" customFormat="false" ht="15" hidden="false" customHeight="true" outlineLevel="0" collapsed="false">
      <c r="A994" s="6" t="s">
        <v>3822</v>
      </c>
      <c r="B994" s="6" t="s">
        <v>559</v>
      </c>
      <c r="C994" s="6" t="s">
        <v>3823</v>
      </c>
      <c r="D994" s="9" t="s">
        <v>761</v>
      </c>
      <c r="H994" s="9" t="s">
        <v>3633</v>
      </c>
      <c r="M994" s="6" t="n">
        <v>9325.18</v>
      </c>
      <c r="Q994" s="1" t="n">
        <f aca="false">IF(OR($A805="",P805=""),"",ROUND(YEARFRAC(P805,README!$C$5),1))</f>
        <v>19.9</v>
      </c>
      <c r="S994" s="6" t="n">
        <v>20700</v>
      </c>
      <c r="T994" s="6" t="n">
        <v>19845</v>
      </c>
      <c r="U994" s="6" t="n">
        <v>24000</v>
      </c>
      <c r="V994" s="6" t="n">
        <v>4155</v>
      </c>
      <c r="W994" s="6" t="n">
        <v>0.943</v>
      </c>
      <c r="X994" s="6" t="n">
        <v>12</v>
      </c>
      <c r="Z994" s="6" t="s">
        <v>3629</v>
      </c>
      <c r="AA994" s="9" t="s">
        <v>774</v>
      </c>
      <c r="AB994" s="6" t="s">
        <v>3824</v>
      </c>
      <c r="AC994" s="27" t="n">
        <f aca="false">COUNTIF(環境認証!$A$2:$A$849,A805)</f>
        <v>1</v>
      </c>
      <c r="AD994" s="6" t="n">
        <v>20.9</v>
      </c>
      <c r="AE994" s="6" t="n">
        <v>15.9</v>
      </c>
    </row>
    <row r="995" customFormat="false" ht="15" hidden="false" customHeight="true" outlineLevel="0" collapsed="false">
      <c r="A995" s="6" t="s">
        <v>3825</v>
      </c>
      <c r="B995" s="6" t="s">
        <v>559</v>
      </c>
      <c r="C995" s="6" t="s">
        <v>3826</v>
      </c>
      <c r="D995" s="9" t="s">
        <v>761</v>
      </c>
      <c r="H995" s="9" t="s">
        <v>3633</v>
      </c>
      <c r="M995" s="6" t="n">
        <v>23960.57</v>
      </c>
      <c r="Q995" s="1" t="str">
        <f aca="false">IF(OR($A806="",P806=""),"",ROUND(YEARFRAC(P806,README!$C$5),1))</f>
        <v/>
      </c>
      <c r="S995" s="6" t="n">
        <v>11120</v>
      </c>
      <c r="T995" s="6" t="n">
        <v>11413</v>
      </c>
      <c r="U995" s="6" t="n">
        <v>12000</v>
      </c>
      <c r="V995" s="6" t="n">
        <v>587</v>
      </c>
      <c r="W995" s="6" t="n">
        <v>1</v>
      </c>
      <c r="X995" s="6" t="n">
        <v>9</v>
      </c>
      <c r="Z995" s="6" t="s">
        <v>3629</v>
      </c>
      <c r="AA995" s="9" t="s">
        <v>774</v>
      </c>
      <c r="AB995" s="6" t="s">
        <v>3827</v>
      </c>
      <c r="AC995" s="27" t="n">
        <f aca="false">COUNTIF(環境認証!$A$2:$A$849,A806)</f>
        <v>0</v>
      </c>
      <c r="AD995" s="6" t="n">
        <v>5.1</v>
      </c>
      <c r="AE995" s="6" t="n">
        <v>7.9</v>
      </c>
    </row>
    <row r="996" customFormat="false" ht="15" hidden="false" customHeight="true" outlineLevel="0" collapsed="false">
      <c r="A996" s="6" t="s">
        <v>3828</v>
      </c>
      <c r="B996" s="6" t="s">
        <v>559</v>
      </c>
      <c r="C996" s="6" t="s">
        <v>3829</v>
      </c>
      <c r="D996" s="9" t="s">
        <v>761</v>
      </c>
      <c r="H996" s="9" t="s">
        <v>3633</v>
      </c>
      <c r="M996" s="6" t="n">
        <v>2175.29</v>
      </c>
      <c r="Q996" s="1" t="n">
        <f aca="false">IF(OR($A807="",P807=""),"",ROUND(YEARFRAC(P807,README!$C$5),1))</f>
        <v>20.5</v>
      </c>
      <c r="S996" s="6" t="n">
        <v>3300</v>
      </c>
      <c r="T996" s="6" t="n">
        <v>3389</v>
      </c>
      <c r="U996" s="6" t="n">
        <v>3540</v>
      </c>
      <c r="V996" s="6" t="n">
        <v>151</v>
      </c>
      <c r="W996" s="6" t="n">
        <v>1</v>
      </c>
      <c r="X996" s="6" t="n">
        <v>7</v>
      </c>
      <c r="Z996" s="6" t="s">
        <v>3629</v>
      </c>
      <c r="AA996" s="9" t="s">
        <v>774</v>
      </c>
      <c r="AB996" s="6" t="s">
        <v>3830</v>
      </c>
      <c r="AC996" s="27" t="n">
        <f aca="false">COUNTIF(環境認証!$A$2:$A$849,A807)</f>
        <v>1</v>
      </c>
      <c r="AD996" s="6" t="n">
        <v>4.5</v>
      </c>
      <c r="AE996" s="6" t="n">
        <v>7.3</v>
      </c>
    </row>
    <row r="997" customFormat="false" ht="15" hidden="false" customHeight="true" outlineLevel="0" collapsed="false">
      <c r="A997" s="6" t="s">
        <v>3831</v>
      </c>
      <c r="B997" s="6" t="s">
        <v>559</v>
      </c>
      <c r="C997" s="6" t="s">
        <v>3832</v>
      </c>
      <c r="D997" s="9" t="s">
        <v>761</v>
      </c>
      <c r="H997" s="9" t="s">
        <v>3633</v>
      </c>
      <c r="M997" s="6" t="n">
        <v>5429.38</v>
      </c>
      <c r="Q997" s="1" t="n">
        <f aca="false">IF(OR($A808="",P808=""),"",ROUND(YEARFRAC(P808,README!$C$5),1))</f>
        <v>18.6</v>
      </c>
      <c r="S997" s="6" t="n">
        <v>16300</v>
      </c>
      <c r="T997" s="6" t="n">
        <v>16154</v>
      </c>
      <c r="U997" s="6" t="n">
        <v>19000</v>
      </c>
      <c r="V997" s="6" t="n">
        <v>2846</v>
      </c>
      <c r="W997" s="6" t="n">
        <v>1</v>
      </c>
      <c r="X997" s="6" t="n">
        <v>10</v>
      </c>
      <c r="Z997" s="6" t="s">
        <v>3629</v>
      </c>
      <c r="AA997" s="9" t="s">
        <v>774</v>
      </c>
      <c r="AB997" s="6" t="s">
        <v>3833</v>
      </c>
      <c r="AC997" s="27" t="n">
        <f aca="false">COUNTIF(環境認証!$A$2:$A$849,A808)</f>
        <v>1</v>
      </c>
      <c r="AD997" s="6" t="n">
        <v>17.6</v>
      </c>
      <c r="AE997" s="6" t="n">
        <v>16.6</v>
      </c>
    </row>
    <row r="998" customFormat="false" ht="15" hidden="false" customHeight="true" outlineLevel="0" collapsed="false">
      <c r="A998" s="6" t="s">
        <v>3834</v>
      </c>
      <c r="B998" s="6" t="s">
        <v>559</v>
      </c>
      <c r="C998" s="6" t="s">
        <v>3835</v>
      </c>
      <c r="D998" s="9" t="s">
        <v>761</v>
      </c>
      <c r="H998" s="9" t="s">
        <v>3633</v>
      </c>
      <c r="M998" s="6" t="n">
        <v>5683.5</v>
      </c>
      <c r="Q998" s="1" t="n">
        <f aca="false">IF(OR($A809="",P809=""),"",ROUND(YEARFRAC(P809,README!$C$5),1))</f>
        <v>18.9</v>
      </c>
      <c r="S998" s="6" t="n">
        <v>9600</v>
      </c>
      <c r="T998" s="6" t="n">
        <v>9835</v>
      </c>
      <c r="U998" s="6" t="n">
        <v>10100</v>
      </c>
      <c r="V998" s="6" t="n">
        <v>265</v>
      </c>
      <c r="W998" s="6" t="n">
        <v>1</v>
      </c>
      <c r="X998" s="6" t="n">
        <v>7</v>
      </c>
      <c r="Z998" s="6" t="s">
        <v>3629</v>
      </c>
      <c r="AA998" s="9" t="s">
        <v>774</v>
      </c>
      <c r="AB998" s="6" t="s">
        <v>3836</v>
      </c>
      <c r="AC998" s="27" t="n">
        <f aca="false">COUNTIF(環境認証!$A$2:$A$849,A809)</f>
        <v>1</v>
      </c>
      <c r="AD998" s="6" t="n">
        <v>2.7</v>
      </c>
      <c r="AE998" s="6" t="n">
        <v>5.2</v>
      </c>
    </row>
    <row r="999" customFormat="false" ht="15" hidden="false" customHeight="true" outlineLevel="0" collapsed="false">
      <c r="A999" s="6" t="s">
        <v>3837</v>
      </c>
      <c r="B999" s="6" t="s">
        <v>559</v>
      </c>
      <c r="C999" s="9" t="s">
        <v>3838</v>
      </c>
      <c r="D999" s="9" t="s">
        <v>761</v>
      </c>
      <c r="H999" s="9" t="s">
        <v>3839</v>
      </c>
      <c r="M999" s="6" t="n">
        <v>11519.93</v>
      </c>
      <c r="Q999" s="1" t="n">
        <f aca="false">IF(OR($A810="",P810=""),"",ROUND(YEARFRAC(P810,README!$C$5),1))</f>
        <v>19.4</v>
      </c>
      <c r="S999" s="6" t="n">
        <v>5570</v>
      </c>
      <c r="T999" s="6" t="n">
        <v>3673</v>
      </c>
      <c r="U999" s="6" t="n">
        <v>4730</v>
      </c>
      <c r="V999" s="6" t="n">
        <v>1057</v>
      </c>
      <c r="W999" s="6" t="n">
        <v>1</v>
      </c>
      <c r="X999" s="6" t="n">
        <v>32</v>
      </c>
      <c r="Z999" s="6" t="s">
        <v>3629</v>
      </c>
      <c r="AA999" s="9" t="s">
        <v>774</v>
      </c>
      <c r="AB999" s="6" t="s">
        <v>3840</v>
      </c>
      <c r="AC999" s="27" t="n">
        <f aca="false">COUNTIF(環境認証!$A$2:$A$849,A810)</f>
        <v>1</v>
      </c>
      <c r="AD999" s="6" t="n">
        <v>28.8</v>
      </c>
      <c r="AE999" s="6" t="n">
        <v>-15.1</v>
      </c>
    </row>
    <row r="1000" customFormat="false" ht="15" hidden="false" customHeight="true" outlineLevel="0" collapsed="false">
      <c r="A1000" s="6" t="s">
        <v>3841</v>
      </c>
      <c r="B1000" s="6" t="s">
        <v>559</v>
      </c>
      <c r="C1000" s="6" t="s">
        <v>3842</v>
      </c>
      <c r="D1000" s="9" t="s">
        <v>761</v>
      </c>
      <c r="H1000" s="9" t="s">
        <v>3839</v>
      </c>
      <c r="M1000" s="6" t="n">
        <v>8730.2</v>
      </c>
      <c r="Q1000" s="1" t="n">
        <f aca="false">IF(OR($A811="",P811=""),"",ROUND(YEARFRAC(P811,README!$C$5),1))</f>
        <v>26.8</v>
      </c>
      <c r="S1000" s="6" t="n">
        <v>5400</v>
      </c>
      <c r="T1000" s="6" t="n">
        <v>5258</v>
      </c>
      <c r="U1000" s="6" t="n">
        <v>6480</v>
      </c>
      <c r="V1000" s="6" t="n">
        <v>1222</v>
      </c>
      <c r="W1000" s="6" t="n">
        <v>1</v>
      </c>
      <c r="X1000" s="6" t="n">
        <v>40</v>
      </c>
      <c r="Z1000" s="6" t="s">
        <v>3629</v>
      </c>
      <c r="AA1000" s="9" t="s">
        <v>774</v>
      </c>
      <c r="AB1000" s="6" t="s">
        <v>3843</v>
      </c>
      <c r="AC1000" s="27" t="n">
        <f aca="false">COUNTIF(環境認証!$A$2:$A$849,A811)</f>
        <v>1</v>
      </c>
      <c r="AD1000" s="6" t="n">
        <v>23.2</v>
      </c>
      <c r="AE1000" s="6" t="n">
        <v>20</v>
      </c>
    </row>
    <row r="1001" customFormat="false" ht="15" hidden="false" customHeight="true" outlineLevel="0" collapsed="false">
      <c r="A1001" s="6" t="s">
        <v>3844</v>
      </c>
      <c r="B1001" s="6" t="s">
        <v>559</v>
      </c>
      <c r="C1001" s="6" t="s">
        <v>3845</v>
      </c>
      <c r="D1001" s="9" t="s">
        <v>761</v>
      </c>
      <c r="H1001" s="9" t="s">
        <v>3839</v>
      </c>
      <c r="M1001" s="6" t="n">
        <v>3948.03</v>
      </c>
      <c r="Q1001" s="1" t="n">
        <f aca="false">IF(OR($A812="",P812=""),"",ROUND(YEARFRAC(P812,README!$C$5),1))</f>
        <v>13.3</v>
      </c>
      <c r="S1001" s="6" t="n">
        <v>2100</v>
      </c>
      <c r="T1001" s="6" t="n">
        <v>1732</v>
      </c>
      <c r="U1001" s="6" t="n">
        <v>2020</v>
      </c>
      <c r="V1001" s="6" t="n">
        <v>288</v>
      </c>
      <c r="W1001" s="6" t="n">
        <v>1</v>
      </c>
      <c r="X1001" s="6" t="n">
        <v>30</v>
      </c>
      <c r="Z1001" s="6" t="s">
        <v>3629</v>
      </c>
      <c r="AA1001" s="9" t="s">
        <v>774</v>
      </c>
      <c r="AB1001" s="6" t="s">
        <v>3846</v>
      </c>
      <c r="AC1001" s="27" t="n">
        <f aca="false">COUNTIF(環境認証!$A$2:$A$849,A812)</f>
        <v>1</v>
      </c>
      <c r="AD1001" s="6" t="n">
        <v>16.6</v>
      </c>
      <c r="AE1001" s="6" t="n">
        <v>-3.8</v>
      </c>
    </row>
    <row r="1002" customFormat="false" ht="15" hidden="false" customHeight="true" outlineLevel="0" collapsed="false">
      <c r="A1002" s="6" t="s">
        <v>3847</v>
      </c>
      <c r="B1002" s="6" t="s">
        <v>559</v>
      </c>
      <c r="C1002" s="6" t="s">
        <v>3848</v>
      </c>
      <c r="D1002" s="9" t="s">
        <v>761</v>
      </c>
      <c r="H1002" s="9" t="s">
        <v>3839</v>
      </c>
      <c r="M1002" s="6" t="n">
        <v>10106.4</v>
      </c>
      <c r="Q1002" s="1" t="n">
        <f aca="false">IF(OR($A813="",P813=""),"",ROUND(YEARFRAC(P813,README!$C$5),1))</f>
        <v>12.5</v>
      </c>
      <c r="S1002" s="6" t="n">
        <v>4900</v>
      </c>
      <c r="T1002" s="6" t="n">
        <v>4117</v>
      </c>
      <c r="U1002" s="6" t="n">
        <v>6080</v>
      </c>
      <c r="V1002" s="6" t="n">
        <v>1963</v>
      </c>
      <c r="W1002" s="6" t="n">
        <v>1</v>
      </c>
      <c r="X1002" s="6" t="n">
        <v>50</v>
      </c>
      <c r="Z1002" s="6" t="s">
        <v>3629</v>
      </c>
      <c r="AA1002" s="9" t="s">
        <v>774</v>
      </c>
      <c r="AB1002" s="6" t="s">
        <v>3849</v>
      </c>
      <c r="AC1002" s="27" t="n">
        <f aca="false">COUNTIF(環境認証!$A$2:$A$849,A813)</f>
        <v>1</v>
      </c>
      <c r="AD1002" s="6" t="n">
        <v>47.7</v>
      </c>
      <c r="AE1002" s="6" t="n">
        <v>24.1</v>
      </c>
    </row>
    <row r="1003" customFormat="false" ht="15" hidden="false" customHeight="true" outlineLevel="0" collapsed="false">
      <c r="A1003" s="6" t="s">
        <v>3850</v>
      </c>
      <c r="B1003" s="6" t="s">
        <v>559</v>
      </c>
      <c r="C1003" s="6" t="s">
        <v>3851</v>
      </c>
      <c r="D1003" s="9" t="s">
        <v>761</v>
      </c>
      <c r="H1003" s="9" t="s">
        <v>3839</v>
      </c>
      <c r="M1003" s="6" t="n">
        <v>7071.71</v>
      </c>
      <c r="Q1003" s="1" t="n">
        <f aca="false">IF(OR($A814="",P814=""),"",ROUND(YEARFRAC(P814,README!$C$5),1))</f>
        <v>17.7</v>
      </c>
      <c r="S1003" s="6" t="n">
        <v>2870</v>
      </c>
      <c r="T1003" s="6" t="n">
        <v>1540</v>
      </c>
      <c r="U1003" s="6" t="n">
        <v>2960</v>
      </c>
      <c r="V1003" s="6" t="n">
        <v>1420</v>
      </c>
      <c r="W1003" s="6" t="n">
        <v>1</v>
      </c>
      <c r="X1003" s="6" t="n">
        <v>6</v>
      </c>
      <c r="Z1003" s="6" t="s">
        <v>3629</v>
      </c>
      <c r="AA1003" s="9" t="s">
        <v>774</v>
      </c>
      <c r="AB1003" s="6" t="s">
        <v>3852</v>
      </c>
      <c r="AC1003" s="27" t="n">
        <f aca="false">COUNTIF(環境認証!$A$2:$A$849,A814)</f>
        <v>1</v>
      </c>
      <c r="AD1003" s="6" t="n">
        <v>92.2</v>
      </c>
      <c r="AE1003" s="6" t="n">
        <v>3.1</v>
      </c>
    </row>
    <row r="1004" customFormat="false" ht="15" hidden="false" customHeight="true" outlineLevel="0" collapsed="false">
      <c r="A1004" s="6" t="s">
        <v>3853</v>
      </c>
      <c r="B1004" s="6" t="s">
        <v>559</v>
      </c>
      <c r="C1004" s="6" t="s">
        <v>3854</v>
      </c>
      <c r="D1004" s="9" t="s">
        <v>761</v>
      </c>
      <c r="H1004" s="9" t="s">
        <v>3839</v>
      </c>
      <c r="M1004" s="6" t="n">
        <v>3779.73</v>
      </c>
      <c r="Q1004" s="1" t="n">
        <f aca="false">IF(OR($A815="",P815=""),"",ROUND(YEARFRAC(P815,README!$C$5),1))</f>
        <v>16.8</v>
      </c>
      <c r="S1004" s="6" t="n">
        <v>2005</v>
      </c>
      <c r="T1004" s="6" t="n">
        <v>1880</v>
      </c>
      <c r="U1004" s="6" t="n">
        <v>2810</v>
      </c>
      <c r="V1004" s="6" t="n">
        <v>930</v>
      </c>
      <c r="W1004" s="6" t="n">
        <v>1</v>
      </c>
      <c r="X1004" s="6" t="n">
        <v>18</v>
      </c>
      <c r="Z1004" s="6" t="s">
        <v>3629</v>
      </c>
      <c r="AA1004" s="9" t="s">
        <v>774</v>
      </c>
      <c r="AB1004" s="6" t="s">
        <v>3855</v>
      </c>
      <c r="AC1004" s="27" t="n">
        <f aca="false">COUNTIF(環境認証!$A$2:$A$849,A815)</f>
        <v>1</v>
      </c>
      <c r="AD1004" s="6" t="n">
        <v>49.5</v>
      </c>
      <c r="AE1004" s="6" t="n">
        <v>40.1</v>
      </c>
    </row>
    <row r="1005" customFormat="false" ht="15" hidden="false" customHeight="true" outlineLevel="0" collapsed="false">
      <c r="A1005" s="6" t="s">
        <v>3856</v>
      </c>
      <c r="B1005" s="6" t="s">
        <v>559</v>
      </c>
      <c r="C1005" s="6" t="s">
        <v>3857</v>
      </c>
      <c r="D1005" s="9" t="s">
        <v>761</v>
      </c>
      <c r="H1005" s="9" t="s">
        <v>3839</v>
      </c>
      <c r="M1005" s="6" t="n">
        <v>7904.22</v>
      </c>
      <c r="Q1005" s="1" t="n">
        <f aca="false">IF(OR($A816="",P816=""),"",ROUND(YEARFRAC(P816,README!$C$5),1))</f>
        <v>16.9</v>
      </c>
      <c r="S1005" s="6" t="n">
        <v>7327</v>
      </c>
      <c r="T1005" s="6" t="n">
        <v>7846</v>
      </c>
      <c r="U1005" s="6" t="n">
        <v>10200</v>
      </c>
      <c r="V1005" s="6" t="n">
        <v>2354</v>
      </c>
      <c r="W1005" s="6" t="n">
        <v>0.99</v>
      </c>
      <c r="X1005" s="6" t="n">
        <v>18</v>
      </c>
      <c r="Z1005" s="6" t="s">
        <v>3629</v>
      </c>
      <c r="AA1005" s="9" t="s">
        <v>774</v>
      </c>
      <c r="AB1005" s="6" t="s">
        <v>3858</v>
      </c>
      <c r="AC1005" s="27" t="n">
        <f aca="false">COUNTIF(環境認証!$A$2:$A$849,A816)</f>
        <v>1</v>
      </c>
      <c r="AD1005" s="6" t="n">
        <v>30</v>
      </c>
      <c r="AE1005" s="6" t="n">
        <v>39.2</v>
      </c>
    </row>
    <row r="1006" customFormat="false" ht="15" hidden="false" customHeight="true" outlineLevel="0" collapsed="false">
      <c r="A1006" s="6" t="s">
        <v>3859</v>
      </c>
      <c r="B1006" s="6" t="s">
        <v>559</v>
      </c>
      <c r="C1006" s="6" t="s">
        <v>3860</v>
      </c>
      <c r="D1006" s="9" t="s">
        <v>761</v>
      </c>
      <c r="H1006" s="9" t="s">
        <v>3839</v>
      </c>
      <c r="M1006" s="6" t="n">
        <v>4998.53</v>
      </c>
      <c r="Q1006" s="1" t="n">
        <f aca="false">IF(OR($A817="",P817=""),"",ROUND(YEARFRAC(P817,README!$C$5),1))</f>
        <v>15.5</v>
      </c>
      <c r="S1006" s="6" t="n">
        <v>2770</v>
      </c>
      <c r="T1006" s="6" t="n">
        <v>2066</v>
      </c>
      <c r="U1006" s="6" t="n">
        <v>4470</v>
      </c>
      <c r="V1006" s="6" t="n">
        <v>2404</v>
      </c>
      <c r="W1006" s="6" t="n">
        <v>1</v>
      </c>
      <c r="X1006" s="6" t="n">
        <v>3</v>
      </c>
      <c r="Z1006" s="6" t="s">
        <v>3629</v>
      </c>
      <c r="AA1006" s="9" t="s">
        <v>774</v>
      </c>
      <c r="AB1006" s="6" t="s">
        <v>3861</v>
      </c>
      <c r="AC1006" s="27" t="n">
        <f aca="false">COUNTIF(環境認証!$A$2:$A$849,A817)</f>
        <v>1</v>
      </c>
      <c r="AD1006" s="6" t="n">
        <v>116.4</v>
      </c>
      <c r="AE1006" s="6" t="n">
        <v>61.4</v>
      </c>
    </row>
    <row r="1007" customFormat="false" ht="15" hidden="false" customHeight="true" outlineLevel="0" collapsed="false">
      <c r="A1007" s="6" t="s">
        <v>3862</v>
      </c>
      <c r="B1007" s="6" t="s">
        <v>559</v>
      </c>
      <c r="C1007" s="6" t="s">
        <v>3863</v>
      </c>
      <c r="D1007" s="9" t="s">
        <v>761</v>
      </c>
      <c r="H1007" s="9" t="s">
        <v>837</v>
      </c>
      <c r="M1007" s="1" t="n">
        <v>12768.77</v>
      </c>
      <c r="Q1007" s="1" t="n">
        <f aca="false">IF(OR($A818="",P818=""),"",ROUND(YEARFRAC(P818,README!$C$5),1))</f>
        <v>15.6</v>
      </c>
      <c r="S1007" s="1" t="n">
        <v>2600</v>
      </c>
      <c r="T1007" s="1" t="n">
        <v>2586</v>
      </c>
      <c r="U1007" s="1" t="n">
        <v>2870</v>
      </c>
      <c r="V1007" s="1" t="n">
        <f aca="false">IF($A818="","",IF(OR(T818="",U818=""),"",U818-T818))</f>
        <v>325</v>
      </c>
      <c r="W1007" s="1" t="n">
        <v>1</v>
      </c>
      <c r="X1007" s="1" t="n">
        <v>2</v>
      </c>
      <c r="Z1007" s="6" t="s">
        <v>3629</v>
      </c>
      <c r="AA1007" s="9" t="s">
        <v>774</v>
      </c>
      <c r="AB1007" s="6" t="s">
        <v>3864</v>
      </c>
      <c r="AC1007" s="27" t="n">
        <f aca="false">COUNTIF(環境認証!$A$2:$A$849,A818)</f>
        <v>1</v>
      </c>
      <c r="AD1007" s="1" t="n">
        <v>11</v>
      </c>
      <c r="AE1007" s="1" t="n">
        <v>10.4</v>
      </c>
    </row>
    <row r="1008" customFormat="false" ht="15" hidden="false" customHeight="true" outlineLevel="0" collapsed="false">
      <c r="A1008" s="6" t="s">
        <v>3865</v>
      </c>
      <c r="B1008" s="6" t="s">
        <v>559</v>
      </c>
      <c r="C1008" s="6" t="s">
        <v>3866</v>
      </c>
      <c r="D1008" s="9" t="s">
        <v>761</v>
      </c>
      <c r="H1008" s="9" t="s">
        <v>3839</v>
      </c>
      <c r="M1008" s="6" t="n">
        <v>4000.67</v>
      </c>
      <c r="Q1008" s="1" t="n">
        <f aca="false">IF(OR($A819="",P819=""),"",ROUND(YEARFRAC(P819,README!$C$5),1))</f>
        <v>12.2</v>
      </c>
      <c r="S1008" s="6" t="n">
        <v>1300</v>
      </c>
      <c r="T1008" s="6" t="n">
        <v>1322</v>
      </c>
      <c r="U1008" s="6" t="n">
        <v>2050</v>
      </c>
      <c r="V1008" s="6" t="n">
        <v>728</v>
      </c>
      <c r="W1008" s="6" t="n">
        <v>1</v>
      </c>
      <c r="X1008" s="6" t="n">
        <v>23</v>
      </c>
      <c r="Z1008" s="6" t="s">
        <v>3629</v>
      </c>
      <c r="AA1008" s="9" t="s">
        <v>774</v>
      </c>
      <c r="AB1008" s="6" t="s">
        <v>3867</v>
      </c>
      <c r="AC1008" s="27" t="n">
        <f aca="false">COUNTIF(環境認証!$A$2:$A$849,A819)</f>
        <v>1</v>
      </c>
      <c r="AD1008" s="6" t="n">
        <v>55.1</v>
      </c>
      <c r="AE1008" s="6" t="n">
        <v>57.7</v>
      </c>
    </row>
    <row r="1009" customFormat="false" ht="15" hidden="false" customHeight="true" outlineLevel="0" collapsed="false">
      <c r="A1009" s="6" t="s">
        <v>3868</v>
      </c>
      <c r="B1009" s="6" t="s">
        <v>559</v>
      </c>
      <c r="C1009" s="9" t="s">
        <v>3869</v>
      </c>
      <c r="D1009" s="9" t="s">
        <v>761</v>
      </c>
      <c r="H1009" s="9" t="s">
        <v>3839</v>
      </c>
      <c r="M1009" s="6" t="n">
        <v>17443</v>
      </c>
      <c r="Q1009" s="1" t="str">
        <f aca="false">IF(OR($A820="",P820=""),"",ROUND(YEARFRAC(P820,README!$C$5),1))</f>
        <v/>
      </c>
      <c r="S1009" s="6" t="n">
        <v>13000</v>
      </c>
      <c r="T1009" s="6" t="n">
        <v>11709</v>
      </c>
      <c r="U1009" s="6" t="n">
        <v>14200</v>
      </c>
      <c r="V1009" s="6" t="n">
        <v>2491</v>
      </c>
      <c r="W1009" s="6" t="n">
        <v>0.989</v>
      </c>
      <c r="X1009" s="6" t="n">
        <v>64</v>
      </c>
      <c r="Z1009" s="6" t="s">
        <v>3629</v>
      </c>
      <c r="AA1009" s="9" t="s">
        <v>774</v>
      </c>
      <c r="AB1009" s="6" t="s">
        <v>3870</v>
      </c>
      <c r="AC1009" s="27" t="n">
        <f aca="false">COUNTIF(環境認証!$A$2:$A$849,A820)</f>
        <v>0</v>
      </c>
      <c r="AD1009" s="6" t="n">
        <v>21.3</v>
      </c>
      <c r="AE1009" s="6" t="n">
        <v>9.2</v>
      </c>
    </row>
    <row r="1010" customFormat="false" ht="15" hidden="false" customHeight="true" outlineLevel="0" collapsed="false">
      <c r="A1010" s="6" t="s">
        <v>3871</v>
      </c>
      <c r="B1010" s="6" t="s">
        <v>559</v>
      </c>
      <c r="C1010" s="6" t="s">
        <v>3872</v>
      </c>
      <c r="D1010" s="9" t="s">
        <v>761</v>
      </c>
      <c r="H1010" s="9" t="s">
        <v>3839</v>
      </c>
      <c r="M1010" s="6" t="n">
        <v>5280.02</v>
      </c>
      <c r="Q1010" s="1" t="n">
        <f aca="false">IF(OR($A821="",P821=""),"",ROUND(YEARFRAC(P821,README!$C$5),1))</f>
        <v>16.6</v>
      </c>
      <c r="S1010" s="6" t="n">
        <v>2200</v>
      </c>
      <c r="T1010" s="6" t="n">
        <v>1835</v>
      </c>
      <c r="U1010" s="6" t="n">
        <v>3700</v>
      </c>
      <c r="V1010" s="6" t="n">
        <v>1865</v>
      </c>
      <c r="W1010" s="6" t="n">
        <v>1</v>
      </c>
      <c r="X1010" s="6" t="n">
        <v>16</v>
      </c>
      <c r="Z1010" s="6" t="s">
        <v>3629</v>
      </c>
      <c r="AA1010" s="9" t="s">
        <v>774</v>
      </c>
      <c r="AB1010" s="6" t="s">
        <v>3873</v>
      </c>
      <c r="AC1010" s="27" t="n">
        <f aca="false">COUNTIF(環境認証!$A$2:$A$849,A821)</f>
        <v>1</v>
      </c>
      <c r="AD1010" s="6" t="n">
        <v>101.6</v>
      </c>
      <c r="AE1010" s="6" t="n">
        <v>68.2</v>
      </c>
    </row>
    <row r="1011" customFormat="false" ht="15" hidden="false" customHeight="true" outlineLevel="0" collapsed="false">
      <c r="A1011" s="6" t="s">
        <v>3874</v>
      </c>
      <c r="B1011" s="6" t="s">
        <v>559</v>
      </c>
      <c r="C1011" s="6" t="s">
        <v>3875</v>
      </c>
      <c r="D1011" s="9" t="s">
        <v>761</v>
      </c>
      <c r="H1011" s="9" t="s">
        <v>3839</v>
      </c>
      <c r="M1011" s="6" t="n">
        <v>12314.52</v>
      </c>
      <c r="Q1011" s="1" t="n">
        <f aca="false">IF(OR($A822="",P822=""),"",ROUND(YEARFRAC(P822,README!$C$5),1))</f>
        <v>12.2</v>
      </c>
      <c r="S1011" s="6" t="n">
        <v>5900</v>
      </c>
      <c r="T1011" s="6" t="n">
        <v>6638</v>
      </c>
      <c r="U1011" s="6" t="n">
        <v>8120</v>
      </c>
      <c r="V1011" s="6" t="n">
        <v>1482</v>
      </c>
      <c r="W1011" s="6" t="n">
        <v>1</v>
      </c>
      <c r="X1011" s="6" t="n">
        <v>36</v>
      </c>
      <c r="Z1011" s="6" t="s">
        <v>3629</v>
      </c>
      <c r="AA1011" s="9" t="s">
        <v>774</v>
      </c>
      <c r="AB1011" s="6" t="s">
        <v>3876</v>
      </c>
      <c r="AC1011" s="27" t="n">
        <f aca="false">COUNTIF(環境認証!$A$2:$A$849,A822)</f>
        <v>1</v>
      </c>
      <c r="AD1011" s="6" t="n">
        <v>22.3</v>
      </c>
      <c r="AE1011" s="6" t="n">
        <v>37.6</v>
      </c>
    </row>
    <row r="1012" customFormat="false" ht="15" hidden="false" customHeight="true" outlineLevel="0" collapsed="false">
      <c r="A1012" s="6" t="s">
        <v>3877</v>
      </c>
      <c r="B1012" s="6" t="s">
        <v>559</v>
      </c>
      <c r="C1012" s="6" t="s">
        <v>3878</v>
      </c>
      <c r="D1012" s="9" t="s">
        <v>761</v>
      </c>
      <c r="H1012" s="9" t="s">
        <v>3839</v>
      </c>
      <c r="M1012" s="6" t="n">
        <v>5985.76</v>
      </c>
      <c r="Q1012" s="1" t="n">
        <f aca="false">IF(OR($A823="",P823=""),"",ROUND(YEARFRAC(P823,README!$C$5),1))</f>
        <v>24.5</v>
      </c>
      <c r="S1012" s="6" t="n">
        <v>4550</v>
      </c>
      <c r="T1012" s="6" t="n">
        <v>4395</v>
      </c>
      <c r="U1012" s="6" t="n">
        <v>5950</v>
      </c>
      <c r="V1012" s="6" t="n">
        <v>1555</v>
      </c>
      <c r="W1012" s="6" t="n">
        <v>1</v>
      </c>
      <c r="X1012" s="6" t="n">
        <v>19</v>
      </c>
      <c r="Z1012" s="6" t="s">
        <v>3629</v>
      </c>
      <c r="AA1012" s="9" t="s">
        <v>774</v>
      </c>
      <c r="AB1012" s="6" t="s">
        <v>3879</v>
      </c>
      <c r="AC1012" s="27" t="n">
        <f aca="false">COUNTIF(環境認証!$A$2:$A$849,A823)</f>
        <v>1</v>
      </c>
      <c r="AD1012" s="6" t="n">
        <v>35.4</v>
      </c>
      <c r="AE1012" s="6" t="n">
        <v>30.8</v>
      </c>
    </row>
    <row r="1013" customFormat="false" ht="15" hidden="false" customHeight="true" outlineLevel="0" collapsed="false">
      <c r="A1013" s="6" t="s">
        <v>3880</v>
      </c>
      <c r="B1013" s="6" t="s">
        <v>559</v>
      </c>
      <c r="C1013" s="6" t="s">
        <v>3881</v>
      </c>
      <c r="D1013" s="9" t="s">
        <v>761</v>
      </c>
      <c r="H1013" s="9" t="s">
        <v>3839</v>
      </c>
      <c r="M1013" s="6" t="n">
        <v>4363.96</v>
      </c>
      <c r="Q1013" s="1" t="n">
        <f aca="false">IF(OR($A824="",P824=""),"",ROUND(YEARFRAC(P824,README!$C$5),1))</f>
        <v>12.1</v>
      </c>
      <c r="S1013" s="6" t="n">
        <v>3500</v>
      </c>
      <c r="T1013" s="6" t="n">
        <v>3248</v>
      </c>
      <c r="U1013" s="6" t="n">
        <v>4350</v>
      </c>
      <c r="V1013" s="6" t="n">
        <v>1102</v>
      </c>
      <c r="W1013" s="6" t="n">
        <v>0.931</v>
      </c>
      <c r="X1013" s="6" t="n">
        <v>16</v>
      </c>
      <c r="Z1013" s="6" t="s">
        <v>3629</v>
      </c>
      <c r="AA1013" s="9" t="s">
        <v>774</v>
      </c>
      <c r="AB1013" s="6" t="s">
        <v>3882</v>
      </c>
      <c r="AC1013" s="27" t="n">
        <f aca="false">COUNTIF(環境認証!$A$2:$A$849,A824)</f>
        <v>1</v>
      </c>
      <c r="AD1013" s="6" t="n">
        <v>33.9</v>
      </c>
      <c r="AE1013" s="6" t="n">
        <v>24.3</v>
      </c>
    </row>
    <row r="1014" customFormat="false" ht="15" hidden="false" customHeight="true" outlineLevel="0" collapsed="false">
      <c r="A1014" s="6" t="s">
        <v>3883</v>
      </c>
      <c r="B1014" s="6" t="s">
        <v>559</v>
      </c>
      <c r="C1014" s="6" t="s">
        <v>3884</v>
      </c>
      <c r="D1014" s="9" t="s">
        <v>761</v>
      </c>
      <c r="H1014" s="9" t="s">
        <v>3839</v>
      </c>
      <c r="M1014" s="6" t="n">
        <v>3318.81</v>
      </c>
      <c r="Q1014" s="1" t="n">
        <f aca="false">IF(OR($A825="",P825=""),"",ROUND(YEARFRAC(P825,README!$C$5),1))</f>
        <v>11.7</v>
      </c>
      <c r="S1014" s="6" t="n">
        <v>1800</v>
      </c>
      <c r="T1014" s="6" t="n">
        <v>2020</v>
      </c>
      <c r="U1014" s="6" t="n">
        <v>2530</v>
      </c>
      <c r="V1014" s="6" t="n">
        <v>510</v>
      </c>
      <c r="W1014" s="6" t="n">
        <v>1</v>
      </c>
      <c r="X1014" s="6" t="n">
        <v>16</v>
      </c>
      <c r="Z1014" s="6" t="s">
        <v>3629</v>
      </c>
      <c r="AA1014" s="9" t="s">
        <v>774</v>
      </c>
      <c r="AB1014" s="6" t="s">
        <v>3885</v>
      </c>
      <c r="AC1014" s="27" t="n">
        <f aca="false">COUNTIF(環境認証!$A$2:$A$849,A825)</f>
        <v>1</v>
      </c>
      <c r="AD1014" s="6" t="n">
        <v>25.2</v>
      </c>
      <c r="AE1014" s="6" t="n">
        <v>40.6</v>
      </c>
    </row>
    <row r="1015" customFormat="false" ht="15" hidden="false" customHeight="true" outlineLevel="0" collapsed="false">
      <c r="A1015" s="6" t="s">
        <v>3886</v>
      </c>
      <c r="B1015" s="6" t="s">
        <v>559</v>
      </c>
      <c r="C1015" s="6" t="s">
        <v>3887</v>
      </c>
      <c r="D1015" s="9" t="s">
        <v>761</v>
      </c>
      <c r="H1015" s="9" t="s">
        <v>3839</v>
      </c>
      <c r="M1015" s="6" t="n">
        <v>5637.75</v>
      </c>
      <c r="Q1015" s="1" t="n">
        <f aca="false">IF(OR($A826="",P826=""),"",ROUND(YEARFRAC(P826,README!$C$5),1))</f>
        <v>21</v>
      </c>
      <c r="S1015" s="6" t="n">
        <v>5000</v>
      </c>
      <c r="T1015" s="6" t="n">
        <v>4999</v>
      </c>
      <c r="U1015" s="6" t="n">
        <v>4770</v>
      </c>
      <c r="V1015" s="6" t="n">
        <v>-229</v>
      </c>
      <c r="W1015" s="6" t="n">
        <v>1</v>
      </c>
      <c r="X1015" s="6" t="n">
        <v>12</v>
      </c>
      <c r="Z1015" s="6" t="s">
        <v>3629</v>
      </c>
      <c r="AA1015" s="9" t="s">
        <v>774</v>
      </c>
      <c r="AB1015" s="6" t="s">
        <v>3888</v>
      </c>
      <c r="AC1015" s="27" t="n">
        <f aca="false">COUNTIF(環境認証!$A$2:$A$849,A826)</f>
        <v>1</v>
      </c>
      <c r="AD1015" s="6" t="n">
        <v>-4.6</v>
      </c>
      <c r="AE1015" s="6" t="n">
        <v>-4.6</v>
      </c>
    </row>
    <row r="1016" customFormat="false" ht="15" hidden="false" customHeight="true" outlineLevel="0" collapsed="false">
      <c r="A1016" s="6" t="s">
        <v>3889</v>
      </c>
      <c r="B1016" s="6" t="s">
        <v>559</v>
      </c>
      <c r="C1016" s="6" t="s">
        <v>3890</v>
      </c>
      <c r="D1016" s="9" t="s">
        <v>761</v>
      </c>
      <c r="H1016" s="9" t="s">
        <v>3839</v>
      </c>
      <c r="M1016" s="6" t="n">
        <v>8886.09</v>
      </c>
      <c r="Q1016" s="1" t="n">
        <f aca="false">IF(OR($A827="",P827=""),"",ROUND(YEARFRAC(P827,README!$C$5),1))</f>
        <v>11.2</v>
      </c>
      <c r="S1016" s="6" t="n">
        <v>6360</v>
      </c>
      <c r="T1016" s="6" t="n">
        <v>6965</v>
      </c>
      <c r="U1016" s="6" t="n">
        <v>6550</v>
      </c>
      <c r="V1016" s="6" t="n">
        <v>-415</v>
      </c>
      <c r="W1016" s="6" t="n">
        <v>0.986</v>
      </c>
      <c r="X1016" s="6" t="n">
        <v>45</v>
      </c>
      <c r="Z1016" s="6" t="s">
        <v>3629</v>
      </c>
      <c r="AA1016" s="9" t="s">
        <v>774</v>
      </c>
      <c r="AB1016" s="6" t="s">
        <v>3891</v>
      </c>
      <c r="AC1016" s="27" t="n">
        <f aca="false">COUNTIF(環境認証!$A$2:$A$849,A827)</f>
        <v>1</v>
      </c>
      <c r="AD1016" s="6" t="n">
        <v>-6</v>
      </c>
      <c r="AE1016" s="6" t="n">
        <v>3</v>
      </c>
    </row>
    <row r="1017" customFormat="false" ht="15" hidden="false" customHeight="true" outlineLevel="0" collapsed="false">
      <c r="A1017" s="6" t="s">
        <v>3892</v>
      </c>
      <c r="B1017" s="6" t="s">
        <v>559</v>
      </c>
      <c r="C1017" s="6" t="s">
        <v>3893</v>
      </c>
      <c r="D1017" s="9" t="s">
        <v>761</v>
      </c>
      <c r="H1017" s="9" t="s">
        <v>3839</v>
      </c>
      <c r="M1017" s="6" t="n">
        <v>5669.6</v>
      </c>
      <c r="Q1017" s="1" t="n">
        <f aca="false">IF(OR($A828="",P828=""),"",ROUND(YEARFRAC(P828,README!$C$5),1))</f>
        <v>10.9</v>
      </c>
      <c r="S1017" s="6" t="n">
        <v>3450</v>
      </c>
      <c r="T1017" s="6" t="n">
        <v>3545</v>
      </c>
      <c r="U1017" s="6" t="n">
        <v>3710</v>
      </c>
      <c r="V1017" s="6" t="n">
        <v>165</v>
      </c>
      <c r="W1017" s="6" t="n">
        <v>1</v>
      </c>
      <c r="X1017" s="6" t="n">
        <v>20</v>
      </c>
      <c r="Z1017" s="6" t="s">
        <v>3629</v>
      </c>
      <c r="AA1017" s="9" t="s">
        <v>774</v>
      </c>
      <c r="AB1017" s="6" t="s">
        <v>3894</v>
      </c>
      <c r="AC1017" s="27" t="n">
        <f aca="false">COUNTIF(環境認証!$A$2:$A$849,A828)</f>
        <v>1</v>
      </c>
      <c r="AD1017" s="6" t="n">
        <v>4.7</v>
      </c>
      <c r="AE1017" s="6" t="n">
        <v>7.5</v>
      </c>
    </row>
    <row r="1018" customFormat="false" ht="15" hidden="false" customHeight="true" outlineLevel="0" collapsed="false">
      <c r="A1018" s="6" t="s">
        <v>3895</v>
      </c>
      <c r="B1018" s="6" t="s">
        <v>559</v>
      </c>
      <c r="C1018" s="6" t="s">
        <v>3896</v>
      </c>
      <c r="D1018" s="9" t="s">
        <v>1894</v>
      </c>
      <c r="H1018" s="9" t="s">
        <v>3633</v>
      </c>
      <c r="M1018" s="6" t="n">
        <v>5338.99</v>
      </c>
      <c r="Q1018" s="1" t="n">
        <f aca="false">IF(OR($A830="",P830=""),"",ROUND(YEARFRAC(P830,README!$C$5),1))</f>
        <v>10.3</v>
      </c>
      <c r="S1018" s="6" t="n">
        <v>7950</v>
      </c>
      <c r="T1018" s="6" t="n">
        <v>7936</v>
      </c>
      <c r="U1018" s="6" t="n">
        <v>8080</v>
      </c>
      <c r="V1018" s="6" t="n">
        <v>144</v>
      </c>
      <c r="W1018" s="6" t="n">
        <v>0.953</v>
      </c>
      <c r="X1018" s="6" t="n">
        <v>1</v>
      </c>
      <c r="Z1018" s="6" t="s">
        <v>3629</v>
      </c>
      <c r="AA1018" s="9" t="s">
        <v>774</v>
      </c>
      <c r="AB1018" s="6" t="s">
        <v>3897</v>
      </c>
      <c r="AC1018" s="27" t="n">
        <f aca="false">COUNTIF(環境認証!$A$2:$A$849,A830)</f>
        <v>1</v>
      </c>
      <c r="AD1018" s="6" t="n">
        <v>1.8</v>
      </c>
      <c r="AE1018" s="6" t="n">
        <v>1.6</v>
      </c>
    </row>
    <row r="1019" customFormat="false" ht="15" hidden="false" customHeight="true" outlineLevel="0" collapsed="false">
      <c r="A1019" s="6" t="s">
        <v>3898</v>
      </c>
      <c r="B1019" s="6" t="s">
        <v>559</v>
      </c>
      <c r="C1019" s="6" t="s">
        <v>3899</v>
      </c>
      <c r="D1019" s="9" t="s">
        <v>1894</v>
      </c>
      <c r="H1019" s="9" t="s">
        <v>3633</v>
      </c>
      <c r="M1019" s="6" t="n">
        <v>6117.48</v>
      </c>
      <c r="Q1019" s="1" t="n">
        <f aca="false">IF(OR($A831="",P831=""),"",ROUND(YEARFRAC(P831,README!$C$5),1))</f>
        <v>9.6</v>
      </c>
      <c r="S1019" s="6" t="n">
        <v>4370</v>
      </c>
      <c r="T1019" s="6" t="n">
        <v>4278</v>
      </c>
      <c r="U1019" s="6" t="n">
        <v>4480</v>
      </c>
      <c r="V1019" s="6" t="n">
        <v>202</v>
      </c>
      <c r="W1019" s="6" t="n">
        <v>0.965</v>
      </c>
      <c r="X1019" s="6" t="n">
        <v>1</v>
      </c>
      <c r="Z1019" s="6" t="s">
        <v>3629</v>
      </c>
      <c r="AA1019" s="9" t="s">
        <v>774</v>
      </c>
      <c r="AB1019" s="6" t="s">
        <v>3900</v>
      </c>
      <c r="AC1019" s="27" t="n">
        <f aca="false">COUNTIF(環境認証!$A$2:$A$849,A831)</f>
        <v>1</v>
      </c>
      <c r="AD1019" s="6" t="n">
        <v>4.7</v>
      </c>
      <c r="AE1019" s="6" t="n">
        <v>2.5</v>
      </c>
    </row>
    <row r="1020" customFormat="false" ht="15" hidden="false" customHeight="true" outlineLevel="0" collapsed="false">
      <c r="A1020" s="6" t="s">
        <v>3901</v>
      </c>
      <c r="B1020" s="6" t="s">
        <v>559</v>
      </c>
      <c r="C1020" s="6" t="s">
        <v>3902</v>
      </c>
      <c r="D1020" s="9" t="s">
        <v>1894</v>
      </c>
      <c r="H1020" s="9" t="s">
        <v>3633</v>
      </c>
      <c r="M1020" s="6" t="n">
        <v>2353.23</v>
      </c>
      <c r="Q1020" s="1" t="n">
        <f aca="false">IF(OR($A832="",P832=""),"",ROUND(YEARFRAC(P832,README!$C$5),1))</f>
        <v>9.9</v>
      </c>
      <c r="S1020" s="6" t="n">
        <v>2870</v>
      </c>
      <c r="T1020" s="6" t="n">
        <v>2868</v>
      </c>
      <c r="U1020" s="6" t="n">
        <v>3030</v>
      </c>
      <c r="V1020" s="6" t="n">
        <v>162</v>
      </c>
      <c r="W1020" s="6" t="n">
        <v>0.943</v>
      </c>
      <c r="X1020" s="6" t="n">
        <v>1</v>
      </c>
      <c r="Z1020" s="6" t="s">
        <v>3629</v>
      </c>
      <c r="AA1020" s="9" t="s">
        <v>774</v>
      </c>
      <c r="AB1020" s="6" t="s">
        <v>3903</v>
      </c>
      <c r="AC1020" s="27" t="n">
        <f aca="false">COUNTIF(環境認証!$A$2:$A$849,A832)</f>
        <v>1</v>
      </c>
      <c r="AD1020" s="6" t="n">
        <v>5.6</v>
      </c>
      <c r="AE1020" s="6" t="n">
        <v>5.6</v>
      </c>
    </row>
    <row r="1021" customFormat="false" ht="15" hidden="false" customHeight="true" outlineLevel="0" collapsed="false">
      <c r="A1021" s="6" t="s">
        <v>3904</v>
      </c>
      <c r="B1021" s="6" t="s">
        <v>559</v>
      </c>
      <c r="C1021" s="6" t="s">
        <v>3905</v>
      </c>
      <c r="D1021" s="9" t="s">
        <v>1894</v>
      </c>
      <c r="H1021" s="9" t="s">
        <v>3633</v>
      </c>
      <c r="M1021" s="6" t="n">
        <v>2054.1</v>
      </c>
      <c r="Q1021" s="1" t="n">
        <f aca="false">IF(OR($A833="",P833=""),"",ROUND(YEARFRAC(P833,README!$C$5),1))</f>
        <v>9.6</v>
      </c>
      <c r="S1021" s="6" t="n">
        <v>2290</v>
      </c>
      <c r="T1021" s="6" t="n">
        <v>2258</v>
      </c>
      <c r="U1021" s="6" t="n">
        <v>2370</v>
      </c>
      <c r="V1021" s="6" t="n">
        <v>112</v>
      </c>
      <c r="W1021" s="6" t="n">
        <v>1</v>
      </c>
      <c r="X1021" s="6" t="n">
        <v>1</v>
      </c>
      <c r="Z1021" s="6" t="s">
        <v>3629</v>
      </c>
      <c r="AA1021" s="9" t="s">
        <v>774</v>
      </c>
      <c r="AB1021" s="6" t="s">
        <v>3906</v>
      </c>
      <c r="AC1021" s="27" t="n">
        <f aca="false">COUNTIF(環境認証!$A$2:$A$849,A833)</f>
        <v>1</v>
      </c>
      <c r="AD1021" s="6" t="n">
        <v>5</v>
      </c>
      <c r="AE1021" s="6" t="n">
        <v>3.5</v>
      </c>
    </row>
    <row r="1022" customFormat="false" ht="15" hidden="false" customHeight="true" outlineLevel="0" collapsed="false">
      <c r="A1022" s="6" t="s">
        <v>3907</v>
      </c>
      <c r="B1022" s="6" t="s">
        <v>559</v>
      </c>
      <c r="C1022" s="6" t="s">
        <v>3908</v>
      </c>
      <c r="D1022" s="9" t="s">
        <v>1894</v>
      </c>
      <c r="H1022" s="9" t="s">
        <v>3633</v>
      </c>
      <c r="M1022" s="6" t="n">
        <v>3546.91</v>
      </c>
      <c r="Q1022" s="1" t="n">
        <f aca="false">IF(OR($A834="",P834=""),"",ROUND(YEARFRAC(P834,README!$C$5),1))</f>
        <v>15.6</v>
      </c>
      <c r="S1022" s="6" t="n">
        <v>1980</v>
      </c>
      <c r="T1022" s="6" t="n">
        <v>1903</v>
      </c>
      <c r="U1022" s="6" t="n">
        <v>2000</v>
      </c>
      <c r="V1022" s="6" t="n">
        <v>97</v>
      </c>
      <c r="W1022" s="6" t="n">
        <v>0.972</v>
      </c>
      <c r="X1022" s="6" t="n">
        <v>1</v>
      </c>
      <c r="Z1022" s="6" t="s">
        <v>3629</v>
      </c>
      <c r="AA1022" s="9" t="s">
        <v>774</v>
      </c>
      <c r="AB1022" s="6" t="s">
        <v>3909</v>
      </c>
      <c r="AC1022" s="27" t="n">
        <f aca="false">COUNTIF(環境認証!$A$2:$A$849,A834)</f>
        <v>1</v>
      </c>
      <c r="AD1022" s="6" t="n">
        <v>5.1</v>
      </c>
      <c r="AE1022" s="6" t="n">
        <v>1</v>
      </c>
    </row>
    <row r="1023" customFormat="false" ht="15" hidden="false" customHeight="true" outlineLevel="0" collapsed="false">
      <c r="A1023" s="6" t="s">
        <v>3910</v>
      </c>
      <c r="B1023" s="6" t="s">
        <v>559</v>
      </c>
      <c r="C1023" s="6" t="s">
        <v>3911</v>
      </c>
      <c r="D1023" s="9" t="s">
        <v>1894</v>
      </c>
      <c r="H1023" s="9" t="s">
        <v>3633</v>
      </c>
      <c r="M1023" s="6" t="n">
        <v>2491.66</v>
      </c>
      <c r="Q1023" s="1" t="n">
        <f aca="false">IF(OR($A835="",P835=""),"",ROUND(YEARFRAC(P835,README!$C$5),1))</f>
        <v>18.5</v>
      </c>
      <c r="S1023" s="6" t="n">
        <v>1910</v>
      </c>
      <c r="T1023" s="6" t="n">
        <v>1879</v>
      </c>
      <c r="U1023" s="6" t="n">
        <v>2020</v>
      </c>
      <c r="V1023" s="6" t="n">
        <v>141</v>
      </c>
      <c r="W1023" s="6" t="n">
        <v>0.937</v>
      </c>
      <c r="X1023" s="6" t="n">
        <v>1</v>
      </c>
      <c r="Z1023" s="6" t="s">
        <v>3629</v>
      </c>
      <c r="AA1023" s="9" t="s">
        <v>774</v>
      </c>
      <c r="AB1023" s="6" t="s">
        <v>3912</v>
      </c>
      <c r="AC1023" s="27" t="n">
        <f aca="false">COUNTIF(環境認証!$A$2:$A$849,A835)</f>
        <v>1</v>
      </c>
      <c r="AD1023" s="6" t="n">
        <v>7.5</v>
      </c>
      <c r="AE1023" s="6" t="n">
        <v>5.8</v>
      </c>
    </row>
    <row r="1024" customFormat="false" ht="15" hidden="false" customHeight="true" outlineLevel="0" collapsed="false">
      <c r="A1024" s="6" t="s">
        <v>3913</v>
      </c>
      <c r="B1024" s="6" t="s">
        <v>559</v>
      </c>
      <c r="C1024" s="6" t="s">
        <v>3914</v>
      </c>
      <c r="D1024" s="9" t="s">
        <v>1894</v>
      </c>
      <c r="H1024" s="9" t="s">
        <v>3633</v>
      </c>
      <c r="M1024" s="6" t="n">
        <v>1131.24</v>
      </c>
      <c r="Q1024" s="1" t="n">
        <f aca="false">IF(OR($A836="",P836=""),"",ROUND(YEARFRAC(P836,README!$C$5),1))</f>
        <v>18.6</v>
      </c>
      <c r="S1024" s="6" t="n">
        <v>1290</v>
      </c>
      <c r="T1024" s="6" t="n">
        <v>1309</v>
      </c>
      <c r="U1024" s="6" t="n">
        <v>1330</v>
      </c>
      <c r="V1024" s="6" t="n">
        <v>21</v>
      </c>
      <c r="W1024" s="6" t="n">
        <v>0.972</v>
      </c>
      <c r="X1024" s="6" t="n">
        <v>1</v>
      </c>
      <c r="Z1024" s="6" t="s">
        <v>3629</v>
      </c>
      <c r="AA1024" s="9" t="s">
        <v>774</v>
      </c>
      <c r="AB1024" s="6" t="s">
        <v>3915</v>
      </c>
      <c r="AC1024" s="27" t="n">
        <f aca="false">COUNTIF(環境認証!$A$2:$A$849,A836)</f>
        <v>1</v>
      </c>
      <c r="AD1024" s="6" t="n">
        <v>1.6</v>
      </c>
      <c r="AE1024" s="6" t="n">
        <v>3.1</v>
      </c>
    </row>
    <row r="1025" customFormat="false" ht="15" hidden="false" customHeight="true" outlineLevel="0" collapsed="false">
      <c r="A1025" s="6" t="s">
        <v>3916</v>
      </c>
      <c r="B1025" s="6" t="s">
        <v>559</v>
      </c>
      <c r="C1025" s="6" t="s">
        <v>3917</v>
      </c>
      <c r="D1025" s="9" t="s">
        <v>1894</v>
      </c>
      <c r="H1025" s="9" t="s">
        <v>3633</v>
      </c>
      <c r="M1025" s="6" t="n">
        <v>1054.83</v>
      </c>
      <c r="Q1025" s="1" t="n">
        <f aca="false">IF(OR($A837="",P837=""),"",ROUND(YEARFRAC(P837,README!$C$5),1))</f>
        <v>8.9</v>
      </c>
      <c r="S1025" s="6" t="n">
        <v>1160</v>
      </c>
      <c r="T1025" s="6" t="n">
        <v>1127</v>
      </c>
      <c r="U1025" s="6" t="n">
        <v>1230</v>
      </c>
      <c r="V1025" s="6" t="n">
        <v>103</v>
      </c>
      <c r="W1025" s="6" t="n">
        <v>1</v>
      </c>
      <c r="X1025" s="6" t="n">
        <v>1</v>
      </c>
      <c r="Z1025" s="6" t="s">
        <v>3629</v>
      </c>
      <c r="AA1025" s="9" t="s">
        <v>774</v>
      </c>
      <c r="AB1025" s="6" t="s">
        <v>3918</v>
      </c>
      <c r="AC1025" s="27" t="n">
        <f aca="false">COUNTIF(環境認証!$A$2:$A$849,A837)</f>
        <v>1</v>
      </c>
      <c r="AD1025" s="6" t="n">
        <v>9.1</v>
      </c>
      <c r="AE1025" s="6" t="n">
        <v>6</v>
      </c>
    </row>
    <row r="1026" customFormat="false" ht="15" hidden="false" customHeight="true" outlineLevel="0" collapsed="false">
      <c r="A1026" s="6" t="s">
        <v>3919</v>
      </c>
      <c r="B1026" s="6" t="s">
        <v>559</v>
      </c>
      <c r="C1026" s="6" t="s">
        <v>3920</v>
      </c>
      <c r="D1026" s="9" t="s">
        <v>1894</v>
      </c>
      <c r="H1026" s="9" t="s">
        <v>3633</v>
      </c>
      <c r="M1026" s="6" t="n">
        <v>4358.43</v>
      </c>
      <c r="Q1026" s="1" t="n">
        <f aca="false">IF(OR($A838="",P838=""),"",ROUND(YEARFRAC(P838,README!$C$5),1))</f>
        <v>8.4</v>
      </c>
      <c r="S1026" s="6" t="n">
        <v>5130</v>
      </c>
      <c r="T1026" s="6" t="n">
        <v>5243</v>
      </c>
      <c r="U1026" s="6" t="n">
        <v>5610</v>
      </c>
      <c r="V1026" s="6" t="n">
        <v>367</v>
      </c>
      <c r="W1026" s="6" t="n">
        <v>0.99</v>
      </c>
      <c r="X1026" s="6" t="n">
        <v>1</v>
      </c>
      <c r="Z1026" s="6" t="s">
        <v>3629</v>
      </c>
      <c r="AA1026" s="9" t="s">
        <v>774</v>
      </c>
      <c r="AB1026" s="6" t="s">
        <v>3921</v>
      </c>
      <c r="AC1026" s="27" t="n">
        <f aca="false">COUNTIF(環境認証!$A$2:$A$849,A838)</f>
        <v>1</v>
      </c>
      <c r="AD1026" s="6" t="n">
        <v>7</v>
      </c>
      <c r="AE1026" s="6" t="n">
        <v>9.4</v>
      </c>
    </row>
    <row r="1027" customFormat="false" ht="15" hidden="false" customHeight="true" outlineLevel="0" collapsed="false">
      <c r="A1027" s="6" t="s">
        <v>3922</v>
      </c>
      <c r="B1027" s="6" t="s">
        <v>559</v>
      </c>
      <c r="C1027" s="6" t="s">
        <v>3923</v>
      </c>
      <c r="D1027" s="9" t="s">
        <v>1894</v>
      </c>
      <c r="H1027" s="9" t="s">
        <v>3633</v>
      </c>
      <c r="M1027" s="6" t="n">
        <v>5534.86</v>
      </c>
      <c r="Q1027" s="1" t="n">
        <f aca="false">IF(OR($A839="",P839=""),"",ROUND(YEARFRAC(P839,README!$C$5),1))</f>
        <v>7.8</v>
      </c>
      <c r="S1027" s="6" t="n">
        <v>4750</v>
      </c>
      <c r="T1027" s="6" t="n">
        <v>4723</v>
      </c>
      <c r="U1027" s="6" t="n">
        <v>4750</v>
      </c>
      <c r="V1027" s="6" t="n">
        <v>27</v>
      </c>
      <c r="W1027" s="6" t="n">
        <v>1</v>
      </c>
      <c r="X1027" s="6" t="n">
        <v>1</v>
      </c>
      <c r="Z1027" s="6" t="s">
        <v>3629</v>
      </c>
      <c r="AA1027" s="9" t="s">
        <v>774</v>
      </c>
      <c r="AB1027" s="6" t="s">
        <v>3924</v>
      </c>
      <c r="AC1027" s="27" t="n">
        <f aca="false">COUNTIF(環境認証!$A$2:$A$849,A839)</f>
        <v>1</v>
      </c>
      <c r="AD1027" s="6" t="n">
        <v>0.6</v>
      </c>
      <c r="AE1027" s="6" t="n">
        <v>0</v>
      </c>
    </row>
    <row r="1028" customFormat="false" ht="15" hidden="false" customHeight="true" outlineLevel="0" collapsed="false">
      <c r="A1028" s="6" t="s">
        <v>3925</v>
      </c>
      <c r="B1028" s="6" t="s">
        <v>559</v>
      </c>
      <c r="C1028" s="6" t="s">
        <v>3926</v>
      </c>
      <c r="D1028" s="9" t="s">
        <v>1894</v>
      </c>
      <c r="H1028" s="9" t="s">
        <v>3633</v>
      </c>
      <c r="M1028" s="6" t="n">
        <v>3617.32</v>
      </c>
      <c r="Q1028" s="1" t="n">
        <f aca="false">IF(OR($A840="",P840=""),"",ROUND(YEARFRAC(P840,README!$C$5),1))</f>
        <v>36.1</v>
      </c>
      <c r="S1028" s="6" t="n">
        <v>4490</v>
      </c>
      <c r="T1028" s="6" t="n">
        <v>4497</v>
      </c>
      <c r="U1028" s="6" t="n">
        <v>4210</v>
      </c>
      <c r="V1028" s="6" t="n">
        <v>-287</v>
      </c>
      <c r="W1028" s="6" t="n">
        <v>0.975</v>
      </c>
      <c r="X1028" s="6" t="n">
        <v>1</v>
      </c>
      <c r="Z1028" s="6" t="s">
        <v>3629</v>
      </c>
      <c r="AA1028" s="9" t="s">
        <v>774</v>
      </c>
      <c r="AB1028" s="6" t="s">
        <v>3927</v>
      </c>
      <c r="AC1028" s="27" t="n">
        <f aca="false">COUNTIF(環境認証!$A$2:$A$849,A840)</f>
        <v>0</v>
      </c>
      <c r="AD1028" s="6" t="n">
        <v>-6.4</v>
      </c>
      <c r="AE1028" s="6" t="n">
        <v>-6.2</v>
      </c>
    </row>
    <row r="1029" customFormat="false" ht="15" hidden="false" customHeight="true" outlineLevel="0" collapsed="false">
      <c r="A1029" s="6" t="s">
        <v>3928</v>
      </c>
      <c r="B1029" s="6" t="s">
        <v>559</v>
      </c>
      <c r="C1029" s="6" t="s">
        <v>3929</v>
      </c>
      <c r="D1029" s="9" t="s">
        <v>1894</v>
      </c>
      <c r="H1029" s="9" t="s">
        <v>3633</v>
      </c>
      <c r="M1029" s="6" t="n">
        <v>2889.66</v>
      </c>
      <c r="Q1029" s="1" t="str">
        <f aca="false">IF(OR($A841="",P841=""),"",ROUND(YEARFRAC(P841,README!$C$5),1))</f>
        <v/>
      </c>
      <c r="S1029" s="6" t="n">
        <v>4380</v>
      </c>
      <c r="T1029" s="6" t="n">
        <v>4347</v>
      </c>
      <c r="U1029" s="6" t="n">
        <v>4280</v>
      </c>
      <c r="V1029" s="6" t="n">
        <v>-67</v>
      </c>
      <c r="W1029" s="6" t="n">
        <v>0.988</v>
      </c>
      <c r="X1029" s="6" t="n">
        <v>1</v>
      </c>
      <c r="Z1029" s="6" t="s">
        <v>3629</v>
      </c>
      <c r="AA1029" s="9" t="s">
        <v>774</v>
      </c>
      <c r="AB1029" s="6" t="s">
        <v>3930</v>
      </c>
      <c r="AC1029" s="27" t="n">
        <f aca="false">COUNTIF(環境認証!$A$2:$A$849,A841)</f>
        <v>0</v>
      </c>
      <c r="AD1029" s="6" t="n">
        <v>-1.5</v>
      </c>
      <c r="AE1029" s="6" t="n">
        <v>-2.3</v>
      </c>
    </row>
    <row r="1030" customFormat="false" ht="15" hidden="false" customHeight="true" outlineLevel="0" collapsed="false">
      <c r="A1030" s="6" t="s">
        <v>3931</v>
      </c>
      <c r="B1030" s="6" t="s">
        <v>559</v>
      </c>
      <c r="C1030" s="6" t="s">
        <v>3932</v>
      </c>
      <c r="D1030" s="9" t="s">
        <v>1894</v>
      </c>
      <c r="H1030" s="9" t="s">
        <v>3633</v>
      </c>
      <c r="M1030" s="6" t="n">
        <v>3101.16</v>
      </c>
      <c r="Q1030" s="1" t="n">
        <f aca="false">IF(OR($A842="",P842=""),"",ROUND(YEARFRAC(P842,README!$C$5),1))</f>
        <v>20.6</v>
      </c>
      <c r="S1030" s="6" t="n">
        <v>3710</v>
      </c>
      <c r="T1030" s="6" t="n">
        <v>3689</v>
      </c>
      <c r="U1030" s="6" t="n">
        <v>3840</v>
      </c>
      <c r="V1030" s="6" t="n">
        <v>151</v>
      </c>
      <c r="W1030" s="6" t="n">
        <v>0.981</v>
      </c>
      <c r="X1030" s="6" t="n">
        <v>1</v>
      </c>
      <c r="Z1030" s="6" t="s">
        <v>3629</v>
      </c>
      <c r="AA1030" s="9" t="s">
        <v>774</v>
      </c>
      <c r="AB1030" s="6" t="s">
        <v>3933</v>
      </c>
      <c r="AC1030" s="27" t="n">
        <f aca="false">COUNTIF(環境認証!$A$2:$A$849,A842)</f>
        <v>1</v>
      </c>
      <c r="AD1030" s="6" t="n">
        <v>4.1</v>
      </c>
      <c r="AE1030" s="6" t="n">
        <v>3.5</v>
      </c>
    </row>
    <row r="1031" customFormat="false" ht="15" hidden="false" customHeight="true" outlineLevel="0" collapsed="false">
      <c r="A1031" s="6" t="s">
        <v>3934</v>
      </c>
      <c r="B1031" s="6" t="s">
        <v>559</v>
      </c>
      <c r="C1031" s="6" t="s">
        <v>3935</v>
      </c>
      <c r="D1031" s="9" t="s">
        <v>1894</v>
      </c>
      <c r="H1031" s="9" t="s">
        <v>3633</v>
      </c>
      <c r="M1031" s="6" t="n">
        <v>2785.42</v>
      </c>
      <c r="Q1031" s="1" t="str">
        <f aca="false">IF(OR($A843="",P843=""),"",ROUND(YEARFRAC(P843,README!$C$5),1))</f>
        <v/>
      </c>
      <c r="S1031" s="6" t="n">
        <v>3400</v>
      </c>
      <c r="T1031" s="6" t="n">
        <v>3371</v>
      </c>
      <c r="U1031" s="6" t="n">
        <v>3790</v>
      </c>
      <c r="V1031" s="6" t="n">
        <v>419</v>
      </c>
      <c r="W1031" s="6" t="n">
        <v>0.985</v>
      </c>
      <c r="X1031" s="6" t="n">
        <v>1</v>
      </c>
      <c r="Z1031" s="6" t="s">
        <v>3629</v>
      </c>
      <c r="AA1031" s="9" t="s">
        <v>774</v>
      </c>
      <c r="AB1031" s="6" t="s">
        <v>3936</v>
      </c>
      <c r="AC1031" s="27" t="n">
        <f aca="false">COUNTIF(環境認証!$A$2:$A$849,A843)</f>
        <v>0</v>
      </c>
      <c r="AD1031" s="6" t="n">
        <v>12.4</v>
      </c>
      <c r="AE1031" s="6" t="n">
        <v>11.5</v>
      </c>
    </row>
    <row r="1032" customFormat="false" ht="15" hidden="false" customHeight="true" outlineLevel="0" collapsed="false">
      <c r="A1032" s="6" t="s">
        <v>3937</v>
      </c>
      <c r="B1032" s="6" t="s">
        <v>559</v>
      </c>
      <c r="C1032" s="6" t="s">
        <v>3938</v>
      </c>
      <c r="D1032" s="9" t="s">
        <v>1894</v>
      </c>
      <c r="H1032" s="9" t="s">
        <v>3633</v>
      </c>
      <c r="M1032" s="6" t="n">
        <v>1680.79</v>
      </c>
      <c r="Q1032" s="1" t="n">
        <f aca="false">IF(OR($A844="",P844=""),"",ROUND(YEARFRAC(P844,README!$C$5),1))</f>
        <v>14.5</v>
      </c>
      <c r="S1032" s="6" t="n">
        <v>2840</v>
      </c>
      <c r="T1032" s="6" t="n">
        <v>2836</v>
      </c>
      <c r="U1032" s="6" t="n">
        <v>2950</v>
      </c>
      <c r="V1032" s="6" t="n">
        <v>114</v>
      </c>
      <c r="W1032" s="6" t="n">
        <v>0.976</v>
      </c>
      <c r="X1032" s="6" t="n">
        <v>1</v>
      </c>
      <c r="Z1032" s="6" t="s">
        <v>3629</v>
      </c>
      <c r="AA1032" s="9" t="s">
        <v>774</v>
      </c>
      <c r="AB1032" s="6" t="s">
        <v>3939</v>
      </c>
      <c r="AC1032" s="27" t="n">
        <f aca="false">COUNTIF(環境認証!$A$2:$A$849,A844)</f>
        <v>1</v>
      </c>
      <c r="AD1032" s="6" t="n">
        <v>4</v>
      </c>
      <c r="AE1032" s="6" t="n">
        <v>3.9</v>
      </c>
    </row>
    <row r="1033" customFormat="false" ht="15" hidden="false" customHeight="true" outlineLevel="0" collapsed="false">
      <c r="A1033" s="6" t="s">
        <v>3940</v>
      </c>
      <c r="B1033" s="6" t="s">
        <v>559</v>
      </c>
      <c r="C1033" s="6" t="s">
        <v>3941</v>
      </c>
      <c r="D1033" s="9" t="s">
        <v>1894</v>
      </c>
      <c r="H1033" s="9" t="s">
        <v>3633</v>
      </c>
      <c r="M1033" s="6" t="n">
        <v>2507.52</v>
      </c>
      <c r="Q1033" s="1" t="n">
        <f aca="false">IF(OR($A845="",P845=""),"",ROUND(YEARFRAC(P845,README!$C$5),1))</f>
        <v>12.6</v>
      </c>
      <c r="S1033" s="6" t="n">
        <v>2840</v>
      </c>
      <c r="T1033" s="6" t="n">
        <v>2823</v>
      </c>
      <c r="U1033" s="6" t="n">
        <v>3030</v>
      </c>
      <c r="V1033" s="6" t="n">
        <v>207</v>
      </c>
      <c r="W1033" s="6" t="n">
        <v>0.984</v>
      </c>
      <c r="X1033" s="6" t="n">
        <v>1</v>
      </c>
      <c r="Z1033" s="6" t="s">
        <v>3629</v>
      </c>
      <c r="AA1033" s="9" t="s">
        <v>774</v>
      </c>
      <c r="AB1033" s="6" t="s">
        <v>3942</v>
      </c>
      <c r="AC1033" s="27" t="n">
        <f aca="false">COUNTIF(環境認証!$A$2:$A$849,A845)</f>
        <v>1</v>
      </c>
      <c r="AD1033" s="6" t="n">
        <v>7.3</v>
      </c>
      <c r="AE1033" s="6" t="n">
        <v>6.7</v>
      </c>
    </row>
    <row r="1034" customFormat="false" ht="15" hidden="false" customHeight="true" outlineLevel="0" collapsed="false">
      <c r="A1034" s="6" t="s">
        <v>3943</v>
      </c>
      <c r="B1034" s="6" t="s">
        <v>559</v>
      </c>
      <c r="C1034" s="6" t="s">
        <v>3944</v>
      </c>
      <c r="D1034" s="9" t="s">
        <v>1894</v>
      </c>
      <c r="H1034" s="9" t="s">
        <v>3633</v>
      </c>
      <c r="M1034" s="6" t="n">
        <v>3832.53</v>
      </c>
      <c r="Q1034" s="1" t="n">
        <f aca="false">IF(OR($A846="",P846=""),"",ROUND(YEARFRAC(P846,README!$C$5),1))</f>
        <v>6.7</v>
      </c>
      <c r="S1034" s="6" t="n">
        <v>2660</v>
      </c>
      <c r="T1034" s="6" t="n">
        <v>2601</v>
      </c>
      <c r="U1034" s="6" t="n">
        <v>2970</v>
      </c>
      <c r="V1034" s="6" t="n">
        <v>369</v>
      </c>
      <c r="W1034" s="6" t="n">
        <v>0.907</v>
      </c>
      <c r="X1034" s="6" t="n">
        <v>1</v>
      </c>
      <c r="Z1034" s="6" t="s">
        <v>3629</v>
      </c>
      <c r="AA1034" s="9" t="s">
        <v>774</v>
      </c>
      <c r="AB1034" s="6" t="s">
        <v>3945</v>
      </c>
      <c r="AC1034" s="27" t="n">
        <f aca="false">COUNTIF(環境認証!$A$2:$A$849,A846)</f>
        <v>1</v>
      </c>
      <c r="AD1034" s="6" t="n">
        <v>14.2</v>
      </c>
      <c r="AE1034" s="6" t="n">
        <v>11.7</v>
      </c>
    </row>
    <row r="1035" customFormat="false" ht="15" hidden="false" customHeight="true" outlineLevel="0" collapsed="false">
      <c r="A1035" s="6" t="s">
        <v>3946</v>
      </c>
      <c r="B1035" s="6" t="s">
        <v>559</v>
      </c>
      <c r="C1035" s="6" t="s">
        <v>3947</v>
      </c>
      <c r="D1035" s="9" t="s">
        <v>1894</v>
      </c>
      <c r="H1035" s="9" t="s">
        <v>3633</v>
      </c>
      <c r="M1035" s="6" t="n">
        <v>1849</v>
      </c>
      <c r="Q1035" s="1" t="n">
        <f aca="false">IF(OR($A847="",P847=""),"",ROUND(YEARFRAC(P847,README!$C$5),1))</f>
        <v>8</v>
      </c>
      <c r="S1035" s="6" t="n">
        <v>2540</v>
      </c>
      <c r="T1035" s="6" t="n">
        <v>2529</v>
      </c>
      <c r="U1035" s="6" t="n">
        <v>2780</v>
      </c>
      <c r="V1035" s="6" t="n">
        <v>251</v>
      </c>
      <c r="W1035" s="6" t="n">
        <v>0.977</v>
      </c>
      <c r="X1035" s="6" t="n">
        <v>1</v>
      </c>
      <c r="Z1035" s="6" t="s">
        <v>3629</v>
      </c>
      <c r="AA1035" s="9" t="s">
        <v>774</v>
      </c>
      <c r="AB1035" s="6" t="s">
        <v>3948</v>
      </c>
      <c r="AC1035" s="27" t="n">
        <f aca="false">COUNTIF(環境認証!$A$2:$A$849,A847)</f>
        <v>1</v>
      </c>
      <c r="AD1035" s="6" t="n">
        <v>9.9</v>
      </c>
      <c r="AE1035" s="6" t="n">
        <v>9.4</v>
      </c>
    </row>
    <row r="1036" customFormat="false" ht="15" hidden="false" customHeight="true" outlineLevel="0" collapsed="false">
      <c r="A1036" s="6" t="s">
        <v>3949</v>
      </c>
      <c r="B1036" s="6" t="s">
        <v>559</v>
      </c>
      <c r="C1036" s="6" t="s">
        <v>3950</v>
      </c>
      <c r="D1036" s="9" t="s">
        <v>1894</v>
      </c>
      <c r="H1036" s="9" t="s">
        <v>3633</v>
      </c>
      <c r="M1036" s="6" t="n">
        <v>2310.08</v>
      </c>
      <c r="Q1036" s="1" t="n">
        <f aca="false">IF(OR($A848="",P848=""),"",ROUND(YEARFRAC(P848,README!$C$5),1))</f>
        <v>7.5</v>
      </c>
      <c r="S1036" s="6" t="n">
        <v>2290</v>
      </c>
      <c r="T1036" s="6" t="n">
        <v>2277</v>
      </c>
      <c r="U1036" s="6" t="n">
        <v>2480</v>
      </c>
      <c r="V1036" s="6" t="n">
        <v>203</v>
      </c>
      <c r="W1036" s="6" t="n">
        <v>1</v>
      </c>
      <c r="X1036" s="6" t="n">
        <v>1</v>
      </c>
      <c r="Z1036" s="6" t="s">
        <v>3629</v>
      </c>
      <c r="AA1036" s="9" t="s">
        <v>774</v>
      </c>
      <c r="AB1036" s="6" t="s">
        <v>3951</v>
      </c>
      <c r="AC1036" s="27" t="n">
        <f aca="false">COUNTIF(環境認証!$A$2:$A$849,A848)</f>
        <v>1</v>
      </c>
      <c r="AD1036" s="6" t="n">
        <v>8.9</v>
      </c>
      <c r="AE1036" s="6" t="n">
        <v>8.3</v>
      </c>
    </row>
    <row r="1037" customFormat="false" ht="15" hidden="false" customHeight="true" outlineLevel="0" collapsed="false">
      <c r="A1037" s="6" t="s">
        <v>3952</v>
      </c>
      <c r="B1037" s="6" t="s">
        <v>559</v>
      </c>
      <c r="C1037" s="6" t="s">
        <v>3953</v>
      </c>
      <c r="D1037" s="9" t="s">
        <v>1894</v>
      </c>
      <c r="H1037" s="9" t="s">
        <v>3633</v>
      </c>
      <c r="M1037" s="6" t="n">
        <v>2339.62</v>
      </c>
      <c r="Q1037" s="1" t="n">
        <f aca="false">IF(OR($A849="",P849=""),"",ROUND(YEARFRAC(P849,README!$C$5),1))</f>
        <v>6.8</v>
      </c>
      <c r="S1037" s="6" t="n">
        <v>1820</v>
      </c>
      <c r="T1037" s="6" t="n">
        <v>1831</v>
      </c>
      <c r="U1037" s="6" t="n">
        <v>1900</v>
      </c>
      <c r="V1037" s="6" t="n">
        <v>69</v>
      </c>
      <c r="W1037" s="6" t="n">
        <v>0.976</v>
      </c>
      <c r="X1037" s="6" t="n">
        <v>1</v>
      </c>
      <c r="Z1037" s="6" t="s">
        <v>3629</v>
      </c>
      <c r="AA1037" s="9" t="s">
        <v>774</v>
      </c>
      <c r="AB1037" s="6" t="s">
        <v>3954</v>
      </c>
      <c r="AC1037" s="27" t="n">
        <f aca="false">COUNTIF(環境認証!$A$2:$A$849,A849)</f>
        <v>1</v>
      </c>
      <c r="AD1037" s="6" t="n">
        <v>3.8</v>
      </c>
      <c r="AE1037" s="6" t="n">
        <v>4.4</v>
      </c>
    </row>
    <row r="1038" customFormat="false" ht="15" hidden="false" customHeight="true" outlineLevel="0" collapsed="false">
      <c r="A1038" s="6" t="s">
        <v>3955</v>
      </c>
      <c r="B1038" s="6" t="s">
        <v>559</v>
      </c>
      <c r="C1038" s="6" t="s">
        <v>3956</v>
      </c>
      <c r="D1038" s="9" t="s">
        <v>1894</v>
      </c>
      <c r="H1038" s="9" t="s">
        <v>3633</v>
      </c>
      <c r="M1038" s="6" t="n">
        <v>1345.92</v>
      </c>
      <c r="Q1038" s="1" t="n">
        <f aca="false">IF(OR($A850="",P850=""),"",ROUND(YEARFRAC(P850,README!$C$5),1))</f>
        <v>7.5</v>
      </c>
      <c r="S1038" s="6" t="n">
        <v>1710</v>
      </c>
      <c r="T1038" s="6" t="n">
        <v>1684</v>
      </c>
      <c r="U1038" s="6" t="n">
        <v>1680</v>
      </c>
      <c r="V1038" s="6" t="n">
        <v>-4</v>
      </c>
      <c r="W1038" s="6" t="n">
        <v>1</v>
      </c>
      <c r="X1038" s="6" t="n">
        <v>1</v>
      </c>
      <c r="Z1038" s="6" t="s">
        <v>3629</v>
      </c>
      <c r="AA1038" s="9" t="s">
        <v>774</v>
      </c>
      <c r="AB1038" s="6" t="s">
        <v>3957</v>
      </c>
      <c r="AC1038" s="27" t="n">
        <f aca="false">COUNTIF(環境認証!$A$2:$A$849,A850)</f>
        <v>1</v>
      </c>
      <c r="AD1038" s="6" t="n">
        <v>-0.2</v>
      </c>
      <c r="AE1038" s="6" t="n">
        <v>-1.8</v>
      </c>
    </row>
    <row r="1039" customFormat="false" ht="15" hidden="false" customHeight="true" outlineLevel="0" collapsed="false">
      <c r="A1039" s="6" t="s">
        <v>3958</v>
      </c>
      <c r="B1039" s="6" t="s">
        <v>559</v>
      </c>
      <c r="C1039" s="9" t="s">
        <v>3959</v>
      </c>
      <c r="D1039" s="9" t="s">
        <v>1894</v>
      </c>
      <c r="H1039" s="9" t="s">
        <v>3633</v>
      </c>
      <c r="M1039" s="6" t="n">
        <v>2408.56</v>
      </c>
      <c r="Q1039" s="1" t="n">
        <f aca="false">IF(OR($A851="",P851=""),"",ROUND(YEARFRAC(P851,README!$C$5),1))</f>
        <v>8.1</v>
      </c>
      <c r="S1039" s="6" t="n">
        <v>1630</v>
      </c>
      <c r="T1039" s="6" t="n">
        <v>1700</v>
      </c>
      <c r="U1039" s="6" t="n">
        <v>1660</v>
      </c>
      <c r="V1039" s="6" t="n">
        <v>-40</v>
      </c>
      <c r="W1039" s="6" t="n">
        <v>1</v>
      </c>
      <c r="X1039" s="6" t="n">
        <v>1</v>
      </c>
      <c r="Z1039" s="6" t="s">
        <v>3629</v>
      </c>
      <c r="AA1039" s="9" t="s">
        <v>774</v>
      </c>
      <c r="AB1039" s="6" t="s">
        <v>3960</v>
      </c>
      <c r="AC1039" s="27" t="n">
        <f aca="false">COUNTIF(環境認証!$A$2:$A$849,A851)</f>
        <v>1</v>
      </c>
      <c r="AD1039" s="6" t="n">
        <v>-2.4</v>
      </c>
      <c r="AE1039" s="6" t="n">
        <v>1.8</v>
      </c>
    </row>
    <row r="1040" customFormat="false" ht="15" hidden="false" customHeight="true" outlineLevel="0" collapsed="false">
      <c r="A1040" s="6" t="s">
        <v>3961</v>
      </c>
      <c r="B1040" s="6" t="s">
        <v>559</v>
      </c>
      <c r="C1040" s="6" t="s">
        <v>3962</v>
      </c>
      <c r="D1040" s="9" t="s">
        <v>1894</v>
      </c>
      <c r="H1040" s="9" t="s">
        <v>3633</v>
      </c>
      <c r="M1040" s="6" t="n">
        <v>1526.98</v>
      </c>
      <c r="Q1040" s="1" t="n">
        <f aca="false">IF(OR($A852="",P852=""),"",ROUND(YEARFRAC(P852,README!$C$5),1))</f>
        <v>6.5</v>
      </c>
      <c r="S1040" s="6" t="n">
        <v>1590</v>
      </c>
      <c r="T1040" s="6" t="n">
        <v>1550</v>
      </c>
      <c r="U1040" s="6" t="n">
        <v>1570</v>
      </c>
      <c r="V1040" s="6" t="n">
        <v>20</v>
      </c>
      <c r="W1040" s="6" t="n">
        <v>0.987</v>
      </c>
      <c r="X1040" s="6" t="n">
        <v>1</v>
      </c>
      <c r="Z1040" s="6" t="s">
        <v>3629</v>
      </c>
      <c r="AA1040" s="9" t="s">
        <v>774</v>
      </c>
      <c r="AB1040" s="6" t="s">
        <v>3963</v>
      </c>
      <c r="AC1040" s="27" t="n">
        <f aca="false">COUNTIF(環境認証!$A$2:$A$849,A852)</f>
        <v>1</v>
      </c>
      <c r="AD1040" s="6" t="n">
        <v>1.3</v>
      </c>
      <c r="AE1040" s="6" t="n">
        <v>-1.3</v>
      </c>
    </row>
    <row r="1041" customFormat="false" ht="15" hidden="false" customHeight="true" outlineLevel="0" collapsed="false">
      <c r="A1041" s="6" t="s">
        <v>3964</v>
      </c>
      <c r="B1041" s="6" t="s">
        <v>559</v>
      </c>
      <c r="C1041" s="6" t="s">
        <v>3965</v>
      </c>
      <c r="D1041" s="9" t="s">
        <v>1894</v>
      </c>
      <c r="H1041" s="9" t="s">
        <v>3633</v>
      </c>
      <c r="M1041" s="6" t="n">
        <v>1537.38</v>
      </c>
      <c r="Q1041" s="1" t="n">
        <f aca="false">IF(OR($A853="",P853=""),"",ROUND(YEARFRAC(P853,README!$C$5),1))</f>
        <v>18.6</v>
      </c>
      <c r="S1041" s="6" t="n">
        <v>1600</v>
      </c>
      <c r="T1041" s="6" t="n">
        <v>1623</v>
      </c>
      <c r="U1041" s="6" t="n">
        <v>1690</v>
      </c>
      <c r="V1041" s="6" t="n">
        <v>67</v>
      </c>
      <c r="W1041" s="6" t="n">
        <v>0.97</v>
      </c>
      <c r="X1041" s="6" t="n">
        <v>1</v>
      </c>
      <c r="Z1041" s="6" t="s">
        <v>3629</v>
      </c>
      <c r="AA1041" s="9" t="s">
        <v>774</v>
      </c>
      <c r="AB1041" s="6" t="s">
        <v>3966</v>
      </c>
      <c r="AC1041" s="27" t="n">
        <f aca="false">COUNTIF(環境認証!$A$2:$A$849,A853)</f>
        <v>1</v>
      </c>
      <c r="AD1041" s="6" t="n">
        <v>4.1</v>
      </c>
      <c r="AE1041" s="6" t="n">
        <v>5.6</v>
      </c>
    </row>
    <row r="1042" customFormat="false" ht="15" hidden="false" customHeight="true" outlineLevel="0" collapsed="false">
      <c r="A1042" s="6" t="s">
        <v>3967</v>
      </c>
      <c r="B1042" s="6" t="s">
        <v>559</v>
      </c>
      <c r="C1042" s="6" t="s">
        <v>3968</v>
      </c>
      <c r="D1042" s="9" t="s">
        <v>1894</v>
      </c>
      <c r="H1042" s="9" t="s">
        <v>3633</v>
      </c>
      <c r="M1042" s="6" t="n">
        <v>2359.44</v>
      </c>
      <c r="Q1042" s="1" t="n">
        <f aca="false">IF(OR($A854="",P854=""),"",ROUND(YEARFRAC(P854,README!$C$5),1))</f>
        <v>2.6</v>
      </c>
      <c r="S1042" s="6" t="n">
        <v>1450</v>
      </c>
      <c r="T1042" s="6" t="n">
        <v>1458</v>
      </c>
      <c r="U1042" s="6" t="n">
        <v>1540</v>
      </c>
      <c r="V1042" s="6" t="n">
        <v>82</v>
      </c>
      <c r="W1042" s="6" t="n">
        <v>0.944</v>
      </c>
      <c r="X1042" s="6" t="n">
        <v>1</v>
      </c>
      <c r="Z1042" s="6" t="s">
        <v>3629</v>
      </c>
      <c r="AA1042" s="9" t="s">
        <v>774</v>
      </c>
      <c r="AB1042" s="6" t="s">
        <v>3969</v>
      </c>
      <c r="AC1042" s="27" t="n">
        <f aca="false">COUNTIF(環境認証!$A$2:$A$849,A854)</f>
        <v>1</v>
      </c>
      <c r="AD1042" s="6" t="n">
        <v>5.6</v>
      </c>
      <c r="AE1042" s="6" t="n">
        <v>6.2</v>
      </c>
    </row>
    <row r="1043" customFormat="false" ht="15" hidden="false" customHeight="true" outlineLevel="0" collapsed="false">
      <c r="A1043" s="6" t="s">
        <v>3970</v>
      </c>
      <c r="B1043" s="6" t="s">
        <v>559</v>
      </c>
      <c r="C1043" s="6" t="s">
        <v>3971</v>
      </c>
      <c r="D1043" s="9" t="s">
        <v>1894</v>
      </c>
      <c r="H1043" s="9" t="s">
        <v>3633</v>
      </c>
      <c r="M1043" s="6" t="n">
        <v>1020.18</v>
      </c>
      <c r="Q1043" s="1" t="n">
        <f aca="false">IF(OR($A855="",P855=""),"",ROUND(YEARFRAC(P855,README!$C$5),1))</f>
        <v>3.6</v>
      </c>
      <c r="S1043" s="6" t="n">
        <v>1410</v>
      </c>
      <c r="T1043" s="6" t="n">
        <v>1387</v>
      </c>
      <c r="U1043" s="6" t="n">
        <v>1460</v>
      </c>
      <c r="V1043" s="6" t="n">
        <v>73</v>
      </c>
      <c r="W1043" s="6" t="n">
        <v>0.93</v>
      </c>
      <c r="X1043" s="6" t="n">
        <v>1</v>
      </c>
      <c r="Z1043" s="6" t="s">
        <v>3629</v>
      </c>
      <c r="AA1043" s="9" t="s">
        <v>774</v>
      </c>
      <c r="AB1043" s="6" t="s">
        <v>3972</v>
      </c>
      <c r="AC1043" s="27" t="n">
        <f aca="false">COUNTIF(環境認証!$A$2:$A$849,A855)</f>
        <v>1</v>
      </c>
      <c r="AD1043" s="6" t="n">
        <v>5.3</v>
      </c>
      <c r="AE1043" s="6" t="n">
        <v>3.5</v>
      </c>
    </row>
    <row r="1044" customFormat="false" ht="15" hidden="false" customHeight="true" outlineLevel="0" collapsed="false">
      <c r="A1044" s="6" t="s">
        <v>3973</v>
      </c>
      <c r="B1044" s="6" t="s">
        <v>559</v>
      </c>
      <c r="C1044" s="6" t="s">
        <v>3974</v>
      </c>
      <c r="D1044" s="9" t="s">
        <v>1894</v>
      </c>
      <c r="H1044" s="9" t="s">
        <v>3633</v>
      </c>
      <c r="M1044" s="6" t="n">
        <v>985.1</v>
      </c>
      <c r="Q1044" s="1" t="n">
        <f aca="false">IF(OR($A856="",P856=""),"",ROUND(YEARFRAC(P856,README!$C$5),1))</f>
        <v>3.4</v>
      </c>
      <c r="S1044" s="6" t="n">
        <v>1390</v>
      </c>
      <c r="T1044" s="6" t="n">
        <v>1393</v>
      </c>
      <c r="U1044" s="6" t="n">
        <v>1510</v>
      </c>
      <c r="V1044" s="6" t="n">
        <v>117</v>
      </c>
      <c r="W1044" s="6" t="n">
        <v>0.936</v>
      </c>
      <c r="X1044" s="6" t="n">
        <v>1</v>
      </c>
      <c r="Z1044" s="6" t="s">
        <v>3629</v>
      </c>
      <c r="AA1044" s="9" t="s">
        <v>774</v>
      </c>
      <c r="AB1044" s="6" t="s">
        <v>3975</v>
      </c>
      <c r="AC1044" s="27" t="n">
        <f aca="false">COUNTIF(環境認証!$A$2:$A$849,A856)</f>
        <v>1</v>
      </c>
      <c r="AD1044" s="6" t="n">
        <v>8.4</v>
      </c>
      <c r="AE1044" s="6" t="n">
        <v>8.6</v>
      </c>
    </row>
    <row r="1045" customFormat="false" ht="15" hidden="false" customHeight="true" outlineLevel="0" collapsed="false">
      <c r="A1045" s="6" t="s">
        <v>3976</v>
      </c>
      <c r="B1045" s="6" t="s">
        <v>559</v>
      </c>
      <c r="C1045" s="6" t="s">
        <v>3977</v>
      </c>
      <c r="D1045" s="9" t="s">
        <v>1894</v>
      </c>
      <c r="H1045" s="9" t="s">
        <v>3633</v>
      </c>
      <c r="M1045" s="6" t="n">
        <v>1034.27</v>
      </c>
      <c r="Q1045" s="1" t="n">
        <f aca="false">IF(OR($A857="",P857=""),"",ROUND(YEARFRAC(P857,README!$C$5),1))</f>
        <v>4.5</v>
      </c>
      <c r="S1045" s="6" t="n">
        <v>1370</v>
      </c>
      <c r="T1045" s="6" t="n">
        <v>1356</v>
      </c>
      <c r="U1045" s="6" t="n">
        <v>1430</v>
      </c>
      <c r="V1045" s="6" t="n">
        <v>74</v>
      </c>
      <c r="W1045" s="6" t="n">
        <v>0.888</v>
      </c>
      <c r="X1045" s="6" t="n">
        <v>1</v>
      </c>
      <c r="Z1045" s="6" t="s">
        <v>3629</v>
      </c>
      <c r="AA1045" s="9" t="s">
        <v>774</v>
      </c>
      <c r="AB1045" s="6" t="s">
        <v>3978</v>
      </c>
      <c r="AC1045" s="27" t="n">
        <f aca="false">COUNTIF(環境認証!$A$2:$A$849,A857)</f>
        <v>1</v>
      </c>
      <c r="AD1045" s="6" t="n">
        <v>5.5</v>
      </c>
      <c r="AE1045" s="6" t="n">
        <v>4.4</v>
      </c>
    </row>
    <row r="1046" customFormat="false" ht="15" hidden="false" customHeight="true" outlineLevel="0" collapsed="false">
      <c r="A1046" s="6" t="s">
        <v>3979</v>
      </c>
      <c r="B1046" s="6" t="s">
        <v>559</v>
      </c>
      <c r="C1046" s="6" t="s">
        <v>3980</v>
      </c>
      <c r="D1046" s="9" t="s">
        <v>1894</v>
      </c>
      <c r="H1046" s="9" t="s">
        <v>3633</v>
      </c>
      <c r="M1046" s="6" t="n">
        <v>2448.27</v>
      </c>
      <c r="Q1046" s="1" t="n">
        <f aca="false">IF(OR($A858="",P858=""),"",ROUND(YEARFRAC(P858,README!$C$5),1))</f>
        <v>4.6</v>
      </c>
      <c r="S1046" s="6" t="n">
        <v>1350</v>
      </c>
      <c r="T1046" s="6" t="n">
        <v>1333</v>
      </c>
      <c r="U1046" s="6" t="n">
        <v>1430</v>
      </c>
      <c r="V1046" s="6" t="n">
        <v>97</v>
      </c>
      <c r="W1046" s="6" t="n">
        <v>0.975</v>
      </c>
      <c r="X1046" s="6" t="n">
        <v>1</v>
      </c>
      <c r="Z1046" s="6" t="s">
        <v>3629</v>
      </c>
      <c r="AA1046" s="9" t="s">
        <v>774</v>
      </c>
      <c r="AB1046" s="6" t="s">
        <v>3981</v>
      </c>
      <c r="AC1046" s="27" t="n">
        <f aca="false">COUNTIF(環境認証!$A$2:$A$849,A858)</f>
        <v>1</v>
      </c>
      <c r="AD1046" s="6" t="n">
        <v>7.3</v>
      </c>
      <c r="AE1046" s="6" t="n">
        <v>5.9</v>
      </c>
    </row>
    <row r="1047" customFormat="false" ht="15" hidden="false" customHeight="true" outlineLevel="0" collapsed="false">
      <c r="A1047" s="6" t="s">
        <v>3982</v>
      </c>
      <c r="B1047" s="6" t="s">
        <v>559</v>
      </c>
      <c r="C1047" s="6" t="s">
        <v>3983</v>
      </c>
      <c r="D1047" s="9" t="s">
        <v>1894</v>
      </c>
      <c r="H1047" s="9" t="s">
        <v>3633</v>
      </c>
      <c r="M1047" s="6" t="n">
        <v>1329.79</v>
      </c>
      <c r="Q1047" s="1" t="n">
        <f aca="false">IF(OR($A859="",P859=""),"",ROUND(YEARFRAC(P859,README!$C$5),1))</f>
        <v>5.4</v>
      </c>
      <c r="S1047" s="6" t="n">
        <v>1320</v>
      </c>
      <c r="T1047" s="6" t="n">
        <v>1303</v>
      </c>
      <c r="U1047" s="6" t="n">
        <v>1440</v>
      </c>
      <c r="V1047" s="6" t="n">
        <v>137</v>
      </c>
      <c r="W1047" s="6" t="n">
        <v>0.889</v>
      </c>
      <c r="X1047" s="6" t="n">
        <v>1</v>
      </c>
      <c r="Z1047" s="6" t="s">
        <v>3629</v>
      </c>
      <c r="AA1047" s="9" t="s">
        <v>774</v>
      </c>
      <c r="AB1047" s="6" t="s">
        <v>3984</v>
      </c>
      <c r="AC1047" s="27" t="n">
        <f aca="false">COUNTIF(環境認証!$A$2:$A$849,A859)</f>
        <v>1</v>
      </c>
      <c r="AD1047" s="6" t="n">
        <v>10.5</v>
      </c>
      <c r="AE1047" s="6" t="n">
        <v>9.1</v>
      </c>
    </row>
    <row r="1048" customFormat="false" ht="15" hidden="false" customHeight="true" outlineLevel="0" collapsed="false">
      <c r="A1048" s="6" t="s">
        <v>3985</v>
      </c>
      <c r="B1048" s="6" t="s">
        <v>559</v>
      </c>
      <c r="C1048" s="6" t="s">
        <v>3986</v>
      </c>
      <c r="D1048" s="9" t="s">
        <v>1894</v>
      </c>
      <c r="H1048" s="9" t="s">
        <v>3633</v>
      </c>
      <c r="M1048" s="6" t="n">
        <v>1314.91</v>
      </c>
      <c r="Q1048" s="1" t="n">
        <f aca="false">IF(OR($A860="",P860=""),"",ROUND(YEARFRAC(P860,README!$C$5),1))</f>
        <v>4.9</v>
      </c>
      <c r="S1048" s="6" t="n">
        <v>1220</v>
      </c>
      <c r="T1048" s="6" t="n">
        <v>1200</v>
      </c>
      <c r="U1048" s="6" t="n">
        <v>1300</v>
      </c>
      <c r="V1048" s="6" t="n">
        <v>100</v>
      </c>
      <c r="W1048" s="6" t="n">
        <v>0.943</v>
      </c>
      <c r="X1048" s="6" t="n">
        <v>1</v>
      </c>
      <c r="Z1048" s="6" t="s">
        <v>3629</v>
      </c>
      <c r="AA1048" s="9" t="s">
        <v>774</v>
      </c>
      <c r="AB1048" s="6" t="s">
        <v>3987</v>
      </c>
      <c r="AC1048" s="27" t="n">
        <f aca="false">COUNTIF(環境認証!$A$2:$A$849,A860)</f>
        <v>1</v>
      </c>
      <c r="AD1048" s="6" t="n">
        <v>8.3</v>
      </c>
      <c r="AE1048" s="6" t="n">
        <v>6.6</v>
      </c>
    </row>
    <row r="1049" customFormat="false" ht="15" hidden="false" customHeight="true" outlineLevel="0" collapsed="false">
      <c r="A1049" s="6" t="s">
        <v>3988</v>
      </c>
      <c r="B1049" s="6" t="s">
        <v>559</v>
      </c>
      <c r="C1049" s="6" t="s">
        <v>3989</v>
      </c>
      <c r="D1049" s="9" t="s">
        <v>1894</v>
      </c>
      <c r="H1049" s="9" t="s">
        <v>3633</v>
      </c>
      <c r="M1049" s="6" t="n">
        <v>1171.41</v>
      </c>
      <c r="Q1049" s="1" t="n">
        <f aca="false">IF(OR($A861="",P861=""),"",ROUND(YEARFRAC(P861,README!$C$5),1))</f>
        <v>4</v>
      </c>
      <c r="S1049" s="6" t="n">
        <v>1200</v>
      </c>
      <c r="T1049" s="6" t="n">
        <v>1177</v>
      </c>
      <c r="U1049" s="6" t="n">
        <v>1260</v>
      </c>
      <c r="V1049" s="6" t="n">
        <v>83</v>
      </c>
      <c r="W1049" s="6" t="n">
        <v>0.921</v>
      </c>
      <c r="X1049" s="6" t="n">
        <v>1</v>
      </c>
      <c r="Z1049" s="6" t="s">
        <v>3629</v>
      </c>
      <c r="AA1049" s="9" t="s">
        <v>774</v>
      </c>
      <c r="AB1049" s="6" t="s">
        <v>3990</v>
      </c>
      <c r="AC1049" s="27" t="n">
        <f aca="false">COUNTIF(環境認証!$A$2:$A$849,A861)</f>
        <v>1</v>
      </c>
      <c r="AD1049" s="6" t="n">
        <v>7.1</v>
      </c>
      <c r="AE1049" s="6" t="n">
        <v>5</v>
      </c>
    </row>
    <row r="1050" customFormat="false" ht="15" hidden="false" customHeight="true" outlineLevel="0" collapsed="false">
      <c r="A1050" s="6" t="s">
        <v>3991</v>
      </c>
      <c r="B1050" s="6" t="s">
        <v>559</v>
      </c>
      <c r="C1050" s="6" t="s">
        <v>3992</v>
      </c>
      <c r="D1050" s="9" t="s">
        <v>1894</v>
      </c>
      <c r="H1050" s="9" t="s">
        <v>3633</v>
      </c>
      <c r="M1050" s="6" t="n">
        <v>1103.82</v>
      </c>
      <c r="Q1050" s="1" t="n">
        <f aca="false">IF(OR($A862="",P862=""),"",ROUND(YEARFRAC(P862,README!$C$5),1))</f>
        <v>4.2</v>
      </c>
      <c r="S1050" s="6" t="n">
        <v>1190</v>
      </c>
      <c r="T1050" s="6" t="n">
        <v>1179</v>
      </c>
      <c r="U1050" s="6" t="n">
        <v>1320</v>
      </c>
      <c r="V1050" s="6" t="n">
        <v>141</v>
      </c>
      <c r="W1050" s="6" t="n">
        <v>1</v>
      </c>
      <c r="X1050" s="6" t="n">
        <v>1</v>
      </c>
      <c r="Z1050" s="6" t="s">
        <v>3629</v>
      </c>
      <c r="AA1050" s="9" t="s">
        <v>774</v>
      </c>
      <c r="AB1050" s="6" t="s">
        <v>3993</v>
      </c>
      <c r="AC1050" s="27" t="n">
        <f aca="false">COUNTIF(環境認証!$A$2:$A$849,A862)</f>
        <v>2</v>
      </c>
      <c r="AD1050" s="6" t="n">
        <v>12</v>
      </c>
      <c r="AE1050" s="6" t="n">
        <v>10.9</v>
      </c>
    </row>
    <row r="1051" customFormat="false" ht="15" hidden="false" customHeight="true" outlineLevel="0" collapsed="false">
      <c r="A1051" s="6" t="s">
        <v>3994</v>
      </c>
      <c r="B1051" s="6" t="s">
        <v>559</v>
      </c>
      <c r="C1051" s="6" t="s">
        <v>3995</v>
      </c>
      <c r="D1051" s="9" t="s">
        <v>1894</v>
      </c>
      <c r="H1051" s="9" t="s">
        <v>3633</v>
      </c>
      <c r="M1051" s="6" t="n">
        <v>1602.16</v>
      </c>
      <c r="Q1051" s="1" t="n">
        <f aca="false">IF(OR($A863="",P863=""),"",ROUND(YEARFRAC(P863,README!$C$5),1))</f>
        <v>4</v>
      </c>
      <c r="S1051" s="6" t="n">
        <v>1180</v>
      </c>
      <c r="T1051" s="6" t="n">
        <v>1206</v>
      </c>
      <c r="U1051" s="6" t="n">
        <v>1220</v>
      </c>
      <c r="V1051" s="6" t="n">
        <v>14</v>
      </c>
      <c r="W1051" s="6" t="n">
        <v>0.988</v>
      </c>
      <c r="X1051" s="6" t="n">
        <v>1</v>
      </c>
      <c r="Z1051" s="6" t="s">
        <v>3629</v>
      </c>
      <c r="AA1051" s="9" t="s">
        <v>774</v>
      </c>
      <c r="AB1051" s="6" t="s">
        <v>3996</v>
      </c>
      <c r="AC1051" s="27" t="n">
        <f aca="false">COUNTIF(環境認証!$A$2:$A$849,A863)</f>
        <v>1</v>
      </c>
      <c r="AD1051" s="6" t="n">
        <v>1.2</v>
      </c>
      <c r="AE1051" s="6" t="n">
        <v>3.4</v>
      </c>
    </row>
    <row r="1052" customFormat="false" ht="15" hidden="false" customHeight="true" outlineLevel="0" collapsed="false">
      <c r="A1052" s="6" t="s">
        <v>3997</v>
      </c>
      <c r="B1052" s="6" t="s">
        <v>559</v>
      </c>
      <c r="C1052" s="6" t="s">
        <v>3998</v>
      </c>
      <c r="D1052" s="9" t="s">
        <v>1894</v>
      </c>
      <c r="H1052" s="9" t="s">
        <v>3633</v>
      </c>
      <c r="M1052" s="6" t="n">
        <v>890.93</v>
      </c>
      <c r="Q1052" s="1" t="n">
        <f aca="false">IF(OR($A864="",P864=""),"",ROUND(YEARFRAC(P864,README!$C$5),1))</f>
        <v>18.2</v>
      </c>
      <c r="S1052" s="6" t="n">
        <v>1160</v>
      </c>
      <c r="T1052" s="6" t="n">
        <v>1182</v>
      </c>
      <c r="U1052" s="6" t="n">
        <v>1230</v>
      </c>
      <c r="V1052" s="6" t="n">
        <v>48</v>
      </c>
      <c r="W1052" s="6" t="n">
        <v>1</v>
      </c>
      <c r="X1052" s="6" t="n">
        <v>1</v>
      </c>
      <c r="Z1052" s="6" t="s">
        <v>3629</v>
      </c>
      <c r="AA1052" s="9" t="s">
        <v>774</v>
      </c>
      <c r="AB1052" s="6" t="s">
        <v>3999</v>
      </c>
      <c r="AC1052" s="27" t="n">
        <f aca="false">COUNTIF(環境認証!$A$2:$A$849,A864)</f>
        <v>0</v>
      </c>
      <c r="AD1052" s="6" t="n">
        <v>4.1</v>
      </c>
      <c r="AE1052" s="6" t="n">
        <v>6</v>
      </c>
    </row>
    <row r="1053" customFormat="false" ht="15" hidden="false" customHeight="true" outlineLevel="0" collapsed="false">
      <c r="A1053" s="6" t="s">
        <v>4000</v>
      </c>
      <c r="B1053" s="6" t="s">
        <v>559</v>
      </c>
      <c r="C1053" s="6" t="s">
        <v>4001</v>
      </c>
      <c r="D1053" s="9" t="s">
        <v>1894</v>
      </c>
      <c r="H1053" s="9" t="s">
        <v>3633</v>
      </c>
      <c r="M1053" s="6" t="n">
        <v>1170.4</v>
      </c>
      <c r="Q1053" s="1" t="n">
        <f aca="false">IF(OR($A865="",P865=""),"",ROUND(YEARFRAC(P865,README!$C$5),1))</f>
        <v>3.4</v>
      </c>
      <c r="S1053" s="6" t="n">
        <v>1130</v>
      </c>
      <c r="T1053" s="6" t="n">
        <v>1154</v>
      </c>
      <c r="U1053" s="6" t="n">
        <v>1100</v>
      </c>
      <c r="V1053" s="6" t="n">
        <v>-54</v>
      </c>
      <c r="W1053" s="6" t="n">
        <v>0.964</v>
      </c>
      <c r="X1053" s="6" t="n">
        <v>1</v>
      </c>
      <c r="Z1053" s="6" t="s">
        <v>3629</v>
      </c>
      <c r="AA1053" s="9" t="s">
        <v>774</v>
      </c>
      <c r="AB1053" s="6" t="s">
        <v>4002</v>
      </c>
      <c r="AC1053" s="27" t="n">
        <f aca="false">COUNTIF(環境認証!$A$2:$A$849,A865)</f>
        <v>2</v>
      </c>
      <c r="AD1053" s="6" t="n">
        <v>-4.7</v>
      </c>
      <c r="AE1053" s="6" t="n">
        <v>-2.7</v>
      </c>
    </row>
    <row r="1054" customFormat="false" ht="15" hidden="false" customHeight="true" outlineLevel="0" collapsed="false">
      <c r="A1054" s="6" t="s">
        <v>4003</v>
      </c>
      <c r="B1054" s="6" t="s">
        <v>559</v>
      </c>
      <c r="C1054" s="6" t="s">
        <v>4004</v>
      </c>
      <c r="D1054" s="9" t="s">
        <v>1894</v>
      </c>
      <c r="H1054" s="9" t="s">
        <v>3633</v>
      </c>
      <c r="M1054" s="6" t="n">
        <v>1012.8</v>
      </c>
      <c r="Q1054" s="1" t="n">
        <f aca="false">IF(OR($A866="",P866=""),"",ROUND(YEARFRAC(P866,README!$C$5),1))</f>
        <v>3.6</v>
      </c>
      <c r="S1054" s="6" t="n">
        <v>1080</v>
      </c>
      <c r="T1054" s="6" t="n">
        <v>1067</v>
      </c>
      <c r="U1054" s="6" t="n">
        <v>1130</v>
      </c>
      <c r="V1054" s="6" t="n">
        <v>63</v>
      </c>
      <c r="W1054" s="6" t="n">
        <v>0.975</v>
      </c>
      <c r="X1054" s="6" t="n">
        <v>1</v>
      </c>
      <c r="Z1054" s="6" t="s">
        <v>3629</v>
      </c>
      <c r="AA1054" s="9" t="s">
        <v>774</v>
      </c>
      <c r="AB1054" s="6" t="s">
        <v>4005</v>
      </c>
      <c r="AC1054" s="27" t="n">
        <f aca="false">COUNTIF(環境認証!$A$2:$A$849,A866)</f>
        <v>1</v>
      </c>
      <c r="AD1054" s="6" t="n">
        <v>5.9</v>
      </c>
      <c r="AE1054" s="6" t="n">
        <v>4.6</v>
      </c>
    </row>
    <row r="1055" customFormat="false" ht="15" hidden="false" customHeight="true" outlineLevel="0" collapsed="false">
      <c r="A1055" s="6" t="s">
        <v>4006</v>
      </c>
      <c r="B1055" s="6" t="s">
        <v>559</v>
      </c>
      <c r="C1055" s="6" t="s">
        <v>4007</v>
      </c>
      <c r="D1055" s="9" t="s">
        <v>1894</v>
      </c>
      <c r="H1055" s="9" t="s">
        <v>3633</v>
      </c>
      <c r="M1055" s="6" t="n">
        <v>1127.58</v>
      </c>
      <c r="Q1055" s="1" t="n">
        <f aca="false">IF(OR($A867="",P867=""),"",ROUND(YEARFRAC(P867,README!$C$5),1))</f>
        <v>26</v>
      </c>
      <c r="S1055" s="6" t="n">
        <v>958</v>
      </c>
      <c r="T1055" s="6" t="n">
        <v>986</v>
      </c>
      <c r="U1055" s="6" t="n">
        <v>1010</v>
      </c>
      <c r="V1055" s="6" t="n">
        <v>24</v>
      </c>
      <c r="W1055" s="6" t="n">
        <v>1</v>
      </c>
      <c r="X1055" s="6" t="n">
        <v>1</v>
      </c>
      <c r="Z1055" s="6" t="s">
        <v>3629</v>
      </c>
      <c r="AA1055" s="9" t="s">
        <v>774</v>
      </c>
      <c r="AB1055" s="6" t="s">
        <v>4008</v>
      </c>
      <c r="AC1055" s="27" t="n">
        <f aca="false">COUNTIF(環境認証!$A$2:$A$849,A867)</f>
        <v>0</v>
      </c>
      <c r="AD1055" s="6" t="n">
        <v>2.4</v>
      </c>
      <c r="AE1055" s="6" t="n">
        <v>5.4</v>
      </c>
    </row>
    <row r="1056" customFormat="false" ht="15" hidden="false" customHeight="true" outlineLevel="0" collapsed="false">
      <c r="A1056" s="6" t="s">
        <v>4009</v>
      </c>
      <c r="B1056" s="6" t="s">
        <v>559</v>
      </c>
      <c r="C1056" s="6" t="s">
        <v>4010</v>
      </c>
      <c r="D1056" s="9" t="s">
        <v>1894</v>
      </c>
      <c r="H1056" s="9" t="s">
        <v>3633</v>
      </c>
      <c r="M1056" s="6" t="n">
        <v>2024.81</v>
      </c>
      <c r="Q1056" s="1" t="n">
        <f aca="false">IF(OR($A868="",P868=""),"",ROUND(YEARFRAC(P868,README!$C$5),1))</f>
        <v>3.8</v>
      </c>
      <c r="S1056" s="6" t="n">
        <v>2150</v>
      </c>
      <c r="T1056" s="6" t="n">
        <v>2159</v>
      </c>
      <c r="U1056" s="6" t="n">
        <v>2300</v>
      </c>
      <c r="V1056" s="6" t="n">
        <v>141</v>
      </c>
      <c r="W1056" s="6" t="n">
        <v>0.909</v>
      </c>
      <c r="X1056" s="6" t="n">
        <v>1</v>
      </c>
      <c r="Z1056" s="6" t="s">
        <v>3629</v>
      </c>
      <c r="AA1056" s="9" t="s">
        <v>774</v>
      </c>
      <c r="AB1056" s="6" t="s">
        <v>4011</v>
      </c>
      <c r="AC1056" s="27" t="n">
        <f aca="false">COUNTIF(環境認証!$A$2:$A$849,A868)</f>
        <v>0</v>
      </c>
      <c r="AD1056" s="6" t="n">
        <v>6.5</v>
      </c>
      <c r="AE1056" s="6" t="n">
        <v>7</v>
      </c>
    </row>
    <row r="1057" customFormat="false" ht="15" hidden="false" customHeight="true" outlineLevel="0" collapsed="false">
      <c r="A1057" s="6" t="s">
        <v>4012</v>
      </c>
      <c r="B1057" s="6" t="s">
        <v>559</v>
      </c>
      <c r="C1057" s="6" t="s">
        <v>4013</v>
      </c>
      <c r="D1057" s="9" t="s">
        <v>1894</v>
      </c>
      <c r="H1057" s="9" t="s">
        <v>3633</v>
      </c>
      <c r="M1057" s="6" t="n">
        <v>4591.76</v>
      </c>
      <c r="Q1057" s="1" t="n">
        <f aca="false">IF(OR($A869="",P869=""),"",ROUND(YEARFRAC(P869,README!$C$5),1))</f>
        <v>20.4</v>
      </c>
      <c r="S1057" s="6" t="n">
        <v>5750</v>
      </c>
      <c r="T1057" s="6" t="n">
        <v>5782</v>
      </c>
      <c r="U1057" s="6" t="n">
        <v>6080</v>
      </c>
      <c r="V1057" s="6" t="n">
        <v>298</v>
      </c>
      <c r="W1057" s="6" t="n">
        <v>0.986</v>
      </c>
      <c r="X1057" s="6" t="n">
        <v>1</v>
      </c>
      <c r="Z1057" s="6" t="s">
        <v>3629</v>
      </c>
      <c r="AA1057" s="9" t="s">
        <v>774</v>
      </c>
      <c r="AB1057" s="6" t="s">
        <v>4014</v>
      </c>
      <c r="AC1057" s="27" t="n">
        <f aca="false">COUNTIF(環境認証!$A$2:$A$849,A869)</f>
        <v>0</v>
      </c>
      <c r="AD1057" s="6" t="n">
        <v>5.2</v>
      </c>
      <c r="AE1057" s="6" t="n">
        <v>5.7</v>
      </c>
    </row>
    <row r="1058" customFormat="false" ht="15" hidden="false" customHeight="true" outlineLevel="0" collapsed="false">
      <c r="A1058" s="6" t="s">
        <v>4015</v>
      </c>
      <c r="B1058" s="6" t="s">
        <v>559</v>
      </c>
      <c r="C1058" s="6" t="s">
        <v>4016</v>
      </c>
      <c r="D1058" s="9" t="s">
        <v>1894</v>
      </c>
      <c r="H1058" s="9" t="s">
        <v>3633</v>
      </c>
      <c r="M1058" s="6" t="n">
        <v>4009.07</v>
      </c>
      <c r="Q1058" s="1" t="n">
        <f aca="false">IF(OR($A870="",P870=""),"",ROUND(YEARFRAC(P870,README!$C$5),1))</f>
        <v>19.9</v>
      </c>
      <c r="S1058" s="6" t="n">
        <v>3970</v>
      </c>
      <c r="T1058" s="6" t="n">
        <v>3877</v>
      </c>
      <c r="U1058" s="6" t="n">
        <v>4130</v>
      </c>
      <c r="V1058" s="6" t="n">
        <v>253</v>
      </c>
      <c r="W1058" s="6" t="n">
        <v>0.992</v>
      </c>
      <c r="X1058" s="6" t="n">
        <v>1</v>
      </c>
      <c r="Z1058" s="6" t="s">
        <v>3629</v>
      </c>
      <c r="AA1058" s="9" t="s">
        <v>774</v>
      </c>
      <c r="AB1058" s="6" t="s">
        <v>4017</v>
      </c>
      <c r="AC1058" s="27" t="n">
        <f aca="false">COUNTIF(環境認証!$A$2:$A$849,A870)</f>
        <v>0</v>
      </c>
      <c r="AD1058" s="6" t="n">
        <v>6.5</v>
      </c>
      <c r="AE1058" s="6" t="n">
        <v>4</v>
      </c>
    </row>
    <row r="1059" customFormat="false" ht="15" hidden="false" customHeight="true" outlineLevel="0" collapsed="false">
      <c r="A1059" s="6" t="s">
        <v>4018</v>
      </c>
      <c r="B1059" s="6" t="s">
        <v>559</v>
      </c>
      <c r="C1059" s="6" t="s">
        <v>4019</v>
      </c>
      <c r="D1059" s="9" t="s">
        <v>1894</v>
      </c>
      <c r="H1059" s="9" t="s">
        <v>3633</v>
      </c>
      <c r="M1059" s="6" t="n">
        <v>3314.75</v>
      </c>
      <c r="Q1059" s="1" t="n">
        <f aca="false">IF(OR($A871="",P871=""),"",ROUND(YEARFRAC(P871,README!$C$5),1))</f>
        <v>1.4</v>
      </c>
      <c r="S1059" s="6" t="n">
        <v>3700</v>
      </c>
      <c r="T1059" s="6" t="n">
        <v>3648</v>
      </c>
      <c r="U1059" s="6" t="n">
        <v>3920</v>
      </c>
      <c r="V1059" s="6" t="n">
        <v>272</v>
      </c>
      <c r="W1059" s="6" t="n">
        <v>0.908</v>
      </c>
      <c r="X1059" s="6" t="n">
        <v>1</v>
      </c>
      <c r="Z1059" s="6" t="s">
        <v>3629</v>
      </c>
      <c r="AA1059" s="9" t="s">
        <v>774</v>
      </c>
      <c r="AB1059" s="6" t="s">
        <v>4020</v>
      </c>
      <c r="AC1059" s="27" t="n">
        <f aca="false">COUNTIF(環境認証!$A$2:$A$849,A871)</f>
        <v>0</v>
      </c>
      <c r="AD1059" s="6" t="n">
        <v>7.5</v>
      </c>
      <c r="AE1059" s="6" t="n">
        <v>5.9</v>
      </c>
    </row>
    <row r="1060" customFormat="false" ht="15" hidden="false" customHeight="true" outlineLevel="0" collapsed="false">
      <c r="A1060" s="6" t="s">
        <v>4021</v>
      </c>
      <c r="B1060" s="6" t="s">
        <v>559</v>
      </c>
      <c r="C1060" s="6" t="s">
        <v>4022</v>
      </c>
      <c r="D1060" s="9" t="s">
        <v>1894</v>
      </c>
      <c r="H1060" s="9" t="s">
        <v>3633</v>
      </c>
      <c r="M1060" s="6" t="n">
        <v>2372.67</v>
      </c>
      <c r="Q1060" s="1" t="n">
        <f aca="false">IF(OR($A872="",P872=""),"",ROUND(YEARFRAC(P872,README!$C$5),1))</f>
        <v>1.6</v>
      </c>
      <c r="S1060" s="6" t="n">
        <v>2920</v>
      </c>
      <c r="T1060" s="6" t="n">
        <v>2841</v>
      </c>
      <c r="U1060" s="6" t="n">
        <v>3100</v>
      </c>
      <c r="V1060" s="6" t="n">
        <v>259</v>
      </c>
      <c r="W1060" s="6" t="n">
        <v>0.949</v>
      </c>
      <c r="X1060" s="6" t="n">
        <v>1</v>
      </c>
      <c r="Z1060" s="6" t="s">
        <v>3629</v>
      </c>
      <c r="AA1060" s="9" t="s">
        <v>774</v>
      </c>
      <c r="AB1060" s="6" t="s">
        <v>4023</v>
      </c>
      <c r="AC1060" s="27" t="n">
        <f aca="false">COUNTIF(環境認証!$A$2:$A$849,A872)</f>
        <v>0</v>
      </c>
      <c r="AD1060" s="6" t="n">
        <v>9.1</v>
      </c>
      <c r="AE1060" s="6" t="n">
        <v>6.2</v>
      </c>
    </row>
    <row r="1061" customFormat="false" ht="15" hidden="false" customHeight="true" outlineLevel="0" collapsed="false">
      <c r="A1061" s="6" t="s">
        <v>4024</v>
      </c>
      <c r="B1061" s="6" t="s">
        <v>559</v>
      </c>
      <c r="C1061" s="6" t="s">
        <v>4025</v>
      </c>
      <c r="D1061" s="9" t="s">
        <v>1894</v>
      </c>
      <c r="H1061" s="9" t="s">
        <v>3633</v>
      </c>
      <c r="M1061" s="6" t="n">
        <v>1637</v>
      </c>
      <c r="Q1061" s="1" t="n">
        <f aca="false">IF(OR($A873="",P873=""),"",ROUND(YEARFRAC(P873,README!$C$5),1))</f>
        <v>19.5</v>
      </c>
      <c r="S1061" s="6" t="n">
        <v>1950</v>
      </c>
      <c r="T1061" s="6" t="n">
        <v>1939</v>
      </c>
      <c r="U1061" s="6" t="n">
        <v>1910</v>
      </c>
      <c r="V1061" s="6" t="n">
        <v>-29</v>
      </c>
      <c r="W1061" s="6" t="n">
        <v>1</v>
      </c>
      <c r="X1061" s="6" t="n">
        <v>1</v>
      </c>
      <c r="Z1061" s="6" t="s">
        <v>3629</v>
      </c>
      <c r="AA1061" s="9" t="s">
        <v>774</v>
      </c>
      <c r="AB1061" s="6" t="s">
        <v>4026</v>
      </c>
      <c r="AC1061" s="27" t="n">
        <f aca="false">COUNTIF(環境認証!$A$2:$A$849,A873)</f>
        <v>0</v>
      </c>
      <c r="AD1061" s="6" t="n">
        <v>-1.5</v>
      </c>
      <c r="AE1061" s="6" t="n">
        <v>-2.1</v>
      </c>
    </row>
    <row r="1062" customFormat="false" ht="15" hidden="false" customHeight="true" outlineLevel="0" collapsed="false">
      <c r="A1062" s="6" t="s">
        <v>4027</v>
      </c>
      <c r="B1062" s="6" t="s">
        <v>559</v>
      </c>
      <c r="C1062" s="6" t="s">
        <v>4028</v>
      </c>
      <c r="D1062" s="9" t="s">
        <v>1894</v>
      </c>
      <c r="H1062" s="9" t="s">
        <v>3633</v>
      </c>
      <c r="M1062" s="6" t="n">
        <v>1756.27</v>
      </c>
      <c r="Q1062" s="1" t="n">
        <f aca="false">IF(OR($A874="",P874=""),"",ROUND(YEARFRAC(P874,README!$C$5),1))</f>
        <v>3.5</v>
      </c>
      <c r="S1062" s="6" t="n">
        <v>1610</v>
      </c>
      <c r="T1062" s="6" t="n">
        <v>1581</v>
      </c>
      <c r="U1062" s="6" t="n">
        <v>1710</v>
      </c>
      <c r="V1062" s="6" t="n">
        <v>129</v>
      </c>
      <c r="W1062" s="6" t="n">
        <v>1</v>
      </c>
      <c r="X1062" s="6" t="n">
        <v>1</v>
      </c>
      <c r="Z1062" s="6" t="s">
        <v>3629</v>
      </c>
      <c r="AA1062" s="9" t="s">
        <v>774</v>
      </c>
      <c r="AB1062" s="6" t="s">
        <v>4029</v>
      </c>
      <c r="AC1062" s="27" t="n">
        <f aca="false">COUNTIF(環境認証!$A$2:$A$849,A874)</f>
        <v>0</v>
      </c>
      <c r="AD1062" s="6" t="n">
        <v>8.2</v>
      </c>
      <c r="AE1062" s="6" t="n">
        <v>6.2</v>
      </c>
    </row>
    <row r="1063" customFormat="false" ht="15" hidden="false" customHeight="true" outlineLevel="0" collapsed="false">
      <c r="A1063" s="6" t="s">
        <v>4030</v>
      </c>
      <c r="B1063" s="6" t="s">
        <v>559</v>
      </c>
      <c r="C1063" s="6" t="s">
        <v>4031</v>
      </c>
      <c r="D1063" s="9" t="s">
        <v>1894</v>
      </c>
      <c r="H1063" s="9" t="s">
        <v>3633</v>
      </c>
      <c r="M1063" s="6" t="n">
        <v>877.14</v>
      </c>
      <c r="Q1063" s="1" t="n">
        <f aca="false">IF(OR($A875="",P875=""),"",ROUND(YEARFRAC(P875,README!$C$5),1))</f>
        <v>2.9</v>
      </c>
      <c r="S1063" s="6" t="n">
        <v>819</v>
      </c>
      <c r="T1063" s="6" t="n">
        <v>807</v>
      </c>
      <c r="U1063" s="6" t="n">
        <v>853</v>
      </c>
      <c r="V1063" s="6" t="n">
        <v>46</v>
      </c>
      <c r="W1063" s="6" t="n">
        <v>1</v>
      </c>
      <c r="X1063" s="6" t="n">
        <v>1</v>
      </c>
      <c r="Z1063" s="6" t="s">
        <v>3629</v>
      </c>
      <c r="AA1063" s="9" t="s">
        <v>774</v>
      </c>
      <c r="AB1063" s="6" t="s">
        <v>4032</v>
      </c>
      <c r="AC1063" s="27" t="n">
        <f aca="false">COUNTIF(環境認証!$A$2:$A$849,A875)</f>
        <v>1</v>
      </c>
      <c r="AD1063" s="6" t="n">
        <v>5.7</v>
      </c>
      <c r="AE1063" s="6" t="n">
        <v>4.2</v>
      </c>
    </row>
    <row r="1064" customFormat="false" ht="15" hidden="false" customHeight="true" outlineLevel="0" collapsed="false">
      <c r="A1064" s="6" t="s">
        <v>4033</v>
      </c>
      <c r="B1064" s="6" t="s">
        <v>559</v>
      </c>
      <c r="C1064" s="6" t="s">
        <v>4034</v>
      </c>
      <c r="D1064" s="9" t="s">
        <v>1894</v>
      </c>
      <c r="H1064" s="9" t="s">
        <v>3633</v>
      </c>
      <c r="M1064" s="6" t="n">
        <v>4854.23</v>
      </c>
      <c r="Q1064" s="1" t="n">
        <f aca="false">IF(OR($A876="",P876=""),"",ROUND(YEARFRAC(P876,README!$C$5),1))</f>
        <v>3.3</v>
      </c>
      <c r="S1064" s="6" t="n">
        <v>7090</v>
      </c>
      <c r="T1064" s="6" t="n">
        <v>7080</v>
      </c>
      <c r="U1064" s="6" t="n">
        <v>7260</v>
      </c>
      <c r="V1064" s="6" t="n">
        <v>180</v>
      </c>
      <c r="W1064" s="6" t="n">
        <v>0.974</v>
      </c>
      <c r="X1064" s="6" t="n">
        <v>1</v>
      </c>
      <c r="Z1064" s="6" t="s">
        <v>3629</v>
      </c>
      <c r="AA1064" s="9" t="s">
        <v>774</v>
      </c>
      <c r="AB1064" s="6" t="s">
        <v>4035</v>
      </c>
      <c r="AC1064" s="27" t="n">
        <f aca="false">COUNTIF(環境認証!$A$2:$A$849,A876)</f>
        <v>1</v>
      </c>
      <c r="AD1064" s="6" t="n">
        <v>2.5</v>
      </c>
      <c r="AE1064" s="6" t="n">
        <v>2.4</v>
      </c>
    </row>
    <row r="1065" customFormat="false" ht="15" hidden="false" customHeight="true" outlineLevel="0" collapsed="false">
      <c r="A1065" s="6" t="s">
        <v>4036</v>
      </c>
      <c r="B1065" s="6" t="s">
        <v>559</v>
      </c>
      <c r="C1065" s="6" t="s">
        <v>4037</v>
      </c>
      <c r="D1065" s="9" t="s">
        <v>1894</v>
      </c>
      <c r="H1065" s="9" t="s">
        <v>3633</v>
      </c>
      <c r="M1065" s="6" t="n">
        <v>4314.87</v>
      </c>
      <c r="Q1065" s="1" t="n">
        <f aca="false">IF(OR($A877="",P877=""),"",ROUND(YEARFRAC(P877,README!$C$5),1))</f>
        <v>2.6</v>
      </c>
      <c r="S1065" s="6" t="n">
        <v>4350</v>
      </c>
      <c r="T1065" s="6" t="n">
        <v>4244</v>
      </c>
      <c r="U1065" s="6" t="n">
        <v>4590</v>
      </c>
      <c r="V1065" s="6" t="n">
        <v>346</v>
      </c>
      <c r="W1065" s="6" t="n">
        <v>0.96</v>
      </c>
      <c r="X1065" s="6" t="n">
        <v>1</v>
      </c>
      <c r="Z1065" s="6" t="s">
        <v>3629</v>
      </c>
      <c r="AA1065" s="9" t="s">
        <v>774</v>
      </c>
      <c r="AB1065" s="6" t="s">
        <v>4038</v>
      </c>
      <c r="AC1065" s="27" t="n">
        <f aca="false">COUNTIF(環境認証!$A$2:$A$849,A877)</f>
        <v>1</v>
      </c>
      <c r="AD1065" s="6" t="n">
        <v>8.2</v>
      </c>
      <c r="AE1065" s="6" t="n">
        <v>5.5</v>
      </c>
    </row>
    <row r="1066" customFormat="false" ht="15" hidden="false" customHeight="true" outlineLevel="0" collapsed="false">
      <c r="A1066" s="6" t="s">
        <v>4039</v>
      </c>
      <c r="B1066" s="6" t="s">
        <v>559</v>
      </c>
      <c r="C1066" s="6" t="s">
        <v>4040</v>
      </c>
      <c r="D1066" s="9" t="s">
        <v>1894</v>
      </c>
      <c r="H1066" s="9" t="s">
        <v>3633</v>
      </c>
      <c r="M1066" s="6" t="n">
        <v>3159.89</v>
      </c>
      <c r="Q1066" s="1" t="n">
        <f aca="false">IF(OR($A878="",P878=""),"",ROUND(YEARFRAC(P878,README!$C$5),1))</f>
        <v>2.6</v>
      </c>
      <c r="S1066" s="6" t="n">
        <v>3100</v>
      </c>
      <c r="T1066" s="6" t="n">
        <v>3100</v>
      </c>
      <c r="U1066" s="6" t="n">
        <v>3130</v>
      </c>
      <c r="V1066" s="6" t="n">
        <v>30</v>
      </c>
      <c r="W1066" s="6" t="n">
        <v>0.929</v>
      </c>
      <c r="X1066" s="6" t="n">
        <v>1</v>
      </c>
      <c r="Z1066" s="6" t="s">
        <v>3629</v>
      </c>
      <c r="AA1066" s="9" t="s">
        <v>774</v>
      </c>
      <c r="AB1066" s="6" t="s">
        <v>4041</v>
      </c>
      <c r="AC1066" s="27" t="n">
        <f aca="false">COUNTIF(環境認証!$A$2:$A$849,A878)</f>
        <v>1</v>
      </c>
      <c r="AD1066" s="6" t="n">
        <v>1</v>
      </c>
      <c r="AE1066" s="6" t="n">
        <v>1</v>
      </c>
    </row>
    <row r="1067" customFormat="false" ht="15" hidden="false" customHeight="true" outlineLevel="0" collapsed="false">
      <c r="A1067" s="6" t="s">
        <v>4042</v>
      </c>
      <c r="B1067" s="6" t="s">
        <v>559</v>
      </c>
      <c r="C1067" s="6" t="s">
        <v>4043</v>
      </c>
      <c r="D1067" s="9" t="s">
        <v>1894</v>
      </c>
      <c r="H1067" s="9" t="s">
        <v>3633</v>
      </c>
      <c r="M1067" s="6" t="n">
        <v>1809.84</v>
      </c>
      <c r="Q1067" s="1" t="n">
        <f aca="false">IF(OR($A879="",P879=""),"",ROUND(YEARFRAC(P879,README!$C$5),1))</f>
        <v>3.3</v>
      </c>
      <c r="S1067" s="6" t="n">
        <v>2710</v>
      </c>
      <c r="T1067" s="6" t="n">
        <v>2740</v>
      </c>
      <c r="U1067" s="6" t="n">
        <v>2670</v>
      </c>
      <c r="V1067" s="6" t="n">
        <v>-70</v>
      </c>
      <c r="W1067" s="6" t="n">
        <v>0.931</v>
      </c>
      <c r="X1067" s="6" t="n">
        <v>1</v>
      </c>
      <c r="Z1067" s="6" t="s">
        <v>3629</v>
      </c>
      <c r="AA1067" s="9" t="s">
        <v>774</v>
      </c>
      <c r="AB1067" s="6" t="s">
        <v>4044</v>
      </c>
      <c r="AC1067" s="27" t="n">
        <f aca="false">COUNTIF(環境認証!$A$2:$A$849,A879)</f>
        <v>1</v>
      </c>
      <c r="AD1067" s="6" t="n">
        <v>-2.6</v>
      </c>
      <c r="AE1067" s="6" t="n">
        <v>-1.5</v>
      </c>
    </row>
    <row r="1068" customFormat="false" ht="15" hidden="false" customHeight="true" outlineLevel="0" collapsed="false">
      <c r="A1068" s="6" t="s">
        <v>4045</v>
      </c>
      <c r="B1068" s="6" t="s">
        <v>559</v>
      </c>
      <c r="C1068" s="6" t="s">
        <v>4046</v>
      </c>
      <c r="D1068" s="9" t="s">
        <v>1894</v>
      </c>
      <c r="H1068" s="9" t="s">
        <v>3633</v>
      </c>
      <c r="M1068" s="6" t="n">
        <v>1929.61</v>
      </c>
      <c r="Q1068" s="1" t="n">
        <f aca="false">IF(OR($A880="",P880=""),"",ROUND(YEARFRAC(P880,README!$C$5),1))</f>
        <v>3</v>
      </c>
      <c r="S1068" s="6" t="n">
        <v>1950</v>
      </c>
      <c r="T1068" s="6" t="n">
        <v>1910</v>
      </c>
      <c r="U1068" s="6" t="n">
        <v>2180</v>
      </c>
      <c r="V1068" s="6" t="n">
        <v>270</v>
      </c>
      <c r="W1068" s="6" t="n">
        <v>0.97</v>
      </c>
      <c r="X1068" s="6" t="n">
        <v>1</v>
      </c>
      <c r="Z1068" s="6" t="s">
        <v>3629</v>
      </c>
      <c r="AA1068" s="9" t="s">
        <v>774</v>
      </c>
      <c r="AB1068" s="6" t="s">
        <v>4047</v>
      </c>
      <c r="AC1068" s="27" t="n">
        <f aca="false">COUNTIF(環境認証!$A$2:$A$849,A880)</f>
        <v>1</v>
      </c>
      <c r="AD1068" s="6" t="n">
        <v>14.1</v>
      </c>
      <c r="AE1068" s="6" t="n">
        <v>11.8</v>
      </c>
    </row>
    <row r="1069" customFormat="false" ht="15" hidden="false" customHeight="true" outlineLevel="0" collapsed="false">
      <c r="A1069" s="6" t="s">
        <v>4048</v>
      </c>
      <c r="B1069" s="6" t="s">
        <v>559</v>
      </c>
      <c r="C1069" s="6" t="s">
        <v>4049</v>
      </c>
      <c r="D1069" s="9" t="s">
        <v>1894</v>
      </c>
      <c r="H1069" s="9" t="s">
        <v>3633</v>
      </c>
      <c r="M1069" s="6" t="n">
        <v>2198.56</v>
      </c>
      <c r="Q1069" s="1" t="n">
        <f aca="false">IF(OR($A881="",P881=""),"",ROUND(YEARFRAC(P881,README!$C$5),1))</f>
        <v>1.9</v>
      </c>
      <c r="S1069" s="6" t="n">
        <v>1920</v>
      </c>
      <c r="T1069" s="6" t="n">
        <v>1910</v>
      </c>
      <c r="U1069" s="6" t="n">
        <v>2060</v>
      </c>
      <c r="V1069" s="6" t="n">
        <v>150</v>
      </c>
      <c r="W1069" s="6" t="n">
        <v>0.95</v>
      </c>
      <c r="X1069" s="6" t="n">
        <v>1</v>
      </c>
      <c r="Z1069" s="6" t="s">
        <v>3629</v>
      </c>
      <c r="AA1069" s="9" t="s">
        <v>774</v>
      </c>
      <c r="AB1069" s="6" t="s">
        <v>4050</v>
      </c>
      <c r="AC1069" s="27" t="n">
        <f aca="false">COUNTIF(環境認証!$A$2:$A$849,A881)</f>
        <v>1</v>
      </c>
      <c r="AD1069" s="6" t="n">
        <v>7.9</v>
      </c>
      <c r="AE1069" s="6" t="n">
        <v>7.3</v>
      </c>
    </row>
    <row r="1070" customFormat="false" ht="15" hidden="false" customHeight="true" outlineLevel="0" collapsed="false">
      <c r="A1070" s="6" t="s">
        <v>4051</v>
      </c>
      <c r="B1070" s="6" t="s">
        <v>559</v>
      </c>
      <c r="C1070" s="6" t="s">
        <v>4052</v>
      </c>
      <c r="D1070" s="9" t="s">
        <v>1894</v>
      </c>
      <c r="H1070" s="9" t="s">
        <v>3633</v>
      </c>
      <c r="M1070" s="6" t="n">
        <v>3499.84</v>
      </c>
      <c r="Q1070" s="1" t="n">
        <f aca="false">IF(OR($A882="",P882=""),"",ROUND(YEARFRAC(P882,README!$C$5),1))</f>
        <v>16.5</v>
      </c>
      <c r="S1070" s="6" t="n">
        <v>1850</v>
      </c>
      <c r="T1070" s="6" t="n">
        <v>1848</v>
      </c>
      <c r="U1070" s="6" t="n">
        <v>1960</v>
      </c>
      <c r="V1070" s="6" t="n">
        <v>112</v>
      </c>
      <c r="W1070" s="6" t="n">
        <v>1</v>
      </c>
      <c r="X1070" s="6" t="n">
        <v>1</v>
      </c>
      <c r="Z1070" s="6" t="s">
        <v>3629</v>
      </c>
      <c r="AA1070" s="9" t="s">
        <v>774</v>
      </c>
      <c r="AB1070" s="6" t="s">
        <v>4053</v>
      </c>
      <c r="AC1070" s="27" t="n">
        <f aca="false">COUNTIF(環境認証!$A$2:$A$849,A882)</f>
        <v>0</v>
      </c>
      <c r="AD1070" s="6" t="n">
        <v>6.1</v>
      </c>
      <c r="AE1070" s="6" t="n">
        <v>5.9</v>
      </c>
    </row>
    <row r="1071" customFormat="false" ht="15" hidden="false" customHeight="true" outlineLevel="0" collapsed="false">
      <c r="A1071" s="6" t="s">
        <v>4054</v>
      </c>
      <c r="B1071" s="6" t="s">
        <v>559</v>
      </c>
      <c r="C1071" s="6" t="s">
        <v>4055</v>
      </c>
      <c r="D1071" s="9" t="s">
        <v>1894</v>
      </c>
      <c r="H1071" s="9" t="s">
        <v>3633</v>
      </c>
      <c r="M1071" s="6" t="n">
        <v>1899.29</v>
      </c>
      <c r="Q1071" s="1" t="n">
        <f aca="false">IF(OR($A883="",P883=""),"",ROUND(YEARFRAC(P883,README!$C$5),1))</f>
        <v>16.5</v>
      </c>
      <c r="S1071" s="6" t="n">
        <v>1670</v>
      </c>
      <c r="T1071" s="6" t="n">
        <v>1702</v>
      </c>
      <c r="U1071" s="6" t="n">
        <v>1730</v>
      </c>
      <c r="V1071" s="6" t="n">
        <v>28</v>
      </c>
      <c r="W1071" s="6" t="n">
        <v>0.987</v>
      </c>
      <c r="X1071" s="6" t="n">
        <v>1</v>
      </c>
      <c r="Z1071" s="6" t="s">
        <v>3629</v>
      </c>
      <c r="AA1071" s="9" t="s">
        <v>774</v>
      </c>
      <c r="AB1071" s="6" t="s">
        <v>4056</v>
      </c>
      <c r="AC1071" s="27" t="n">
        <f aca="false">COUNTIF(環境認証!$A$2:$A$849,A883)</f>
        <v>1</v>
      </c>
      <c r="AD1071" s="6" t="n">
        <v>1.6</v>
      </c>
      <c r="AE1071" s="6" t="n">
        <v>3.6</v>
      </c>
    </row>
    <row r="1072" customFormat="false" ht="15" hidden="false" customHeight="true" outlineLevel="0" collapsed="false">
      <c r="A1072" s="6" t="s">
        <v>4057</v>
      </c>
      <c r="B1072" s="6" t="s">
        <v>559</v>
      </c>
      <c r="C1072" s="6" t="s">
        <v>4058</v>
      </c>
      <c r="D1072" s="9" t="s">
        <v>1894</v>
      </c>
      <c r="H1072" s="9" t="s">
        <v>3633</v>
      </c>
      <c r="M1072" s="6" t="n">
        <v>1254.5</v>
      </c>
      <c r="Q1072" s="1" t="n">
        <f aca="false">IF(OR($A884="",P884=""),"",ROUND(YEARFRAC(P884,README!$C$5),1))</f>
        <v>3.9</v>
      </c>
      <c r="S1072" s="6" t="n">
        <v>1320</v>
      </c>
      <c r="T1072" s="6" t="n">
        <v>1307</v>
      </c>
      <c r="U1072" s="6" t="n">
        <v>1360</v>
      </c>
      <c r="V1072" s="6" t="n">
        <v>53</v>
      </c>
      <c r="W1072" s="6" t="n">
        <v>1</v>
      </c>
      <c r="X1072" s="6" t="n">
        <v>1</v>
      </c>
      <c r="Z1072" s="6" t="s">
        <v>3629</v>
      </c>
      <c r="AA1072" s="9" t="s">
        <v>774</v>
      </c>
      <c r="AB1072" s="6" t="s">
        <v>4059</v>
      </c>
      <c r="AC1072" s="27" t="n">
        <f aca="false">COUNTIF(環境認証!$A$2:$A$849,A884)</f>
        <v>1</v>
      </c>
      <c r="AD1072" s="6" t="n">
        <v>4.1</v>
      </c>
      <c r="AE1072" s="6" t="n">
        <v>3</v>
      </c>
    </row>
    <row r="1073" customFormat="false" ht="15" hidden="false" customHeight="true" outlineLevel="0" collapsed="false">
      <c r="A1073" s="6" t="s">
        <v>4060</v>
      </c>
      <c r="B1073" s="6" t="s">
        <v>559</v>
      </c>
      <c r="C1073" s="6" t="s">
        <v>4061</v>
      </c>
      <c r="D1073" s="9" t="s">
        <v>1894</v>
      </c>
      <c r="H1073" s="9" t="s">
        <v>3633</v>
      </c>
      <c r="M1073" s="6" t="n">
        <v>1614.28</v>
      </c>
      <c r="Q1073" s="1" t="n">
        <f aca="false">IF(OR($A885="",P885=""),"",ROUND(YEARFRAC(P885,README!$C$5),1))</f>
        <v>3.7</v>
      </c>
      <c r="S1073" s="6" t="n">
        <v>1520</v>
      </c>
      <c r="T1073" s="6" t="n">
        <v>1560</v>
      </c>
      <c r="U1073" s="6" t="n">
        <v>1590</v>
      </c>
      <c r="V1073" s="6" t="n">
        <v>30</v>
      </c>
      <c r="W1073" s="6" t="n">
        <v>1</v>
      </c>
      <c r="X1073" s="6" t="n">
        <v>1</v>
      </c>
      <c r="Z1073" s="6" t="s">
        <v>3629</v>
      </c>
      <c r="AA1073" s="9" t="s">
        <v>774</v>
      </c>
      <c r="AB1073" s="6" t="s">
        <v>4062</v>
      </c>
      <c r="AC1073" s="27" t="n">
        <f aca="false">COUNTIF(環境認証!$A$2:$A$849,A885)</f>
        <v>1</v>
      </c>
      <c r="AD1073" s="6" t="n">
        <v>1.9</v>
      </c>
      <c r="AE1073" s="6" t="n">
        <v>4.6</v>
      </c>
    </row>
    <row r="1074" customFormat="false" ht="15" hidden="false" customHeight="true" outlineLevel="0" collapsed="false">
      <c r="A1074" s="6" t="s">
        <v>4063</v>
      </c>
      <c r="B1074" s="6" t="s">
        <v>559</v>
      </c>
      <c r="C1074" s="6" t="s">
        <v>4064</v>
      </c>
      <c r="D1074" s="9" t="s">
        <v>1894</v>
      </c>
      <c r="H1074" s="9" t="s">
        <v>3633</v>
      </c>
      <c r="M1074" s="6" t="n">
        <v>1180.71</v>
      </c>
      <c r="Q1074" s="1" t="n">
        <f aca="false">IF(OR($A886="",P886=""),"",ROUND(YEARFRAC(P886,README!$C$5),1))</f>
        <v>15.5</v>
      </c>
      <c r="S1074" s="6" t="n">
        <v>2440</v>
      </c>
      <c r="T1074" s="6" t="n">
        <v>2420</v>
      </c>
      <c r="U1074" s="6" t="n">
        <v>2580</v>
      </c>
      <c r="V1074" s="6" t="n">
        <v>160</v>
      </c>
      <c r="W1074" s="6" t="n">
        <v>0.895</v>
      </c>
      <c r="X1074" s="6" t="n">
        <v>1</v>
      </c>
      <c r="Z1074" s="6" t="s">
        <v>3629</v>
      </c>
      <c r="AA1074" s="9" t="s">
        <v>774</v>
      </c>
      <c r="AB1074" s="6" t="s">
        <v>4065</v>
      </c>
      <c r="AC1074" s="27" t="n">
        <f aca="false">COUNTIF(環境認証!$A$2:$A$849,A886)</f>
        <v>0</v>
      </c>
      <c r="AD1074" s="6" t="n">
        <v>6.6</v>
      </c>
      <c r="AE1074" s="6" t="n">
        <v>5.7</v>
      </c>
    </row>
    <row r="1075" customFormat="false" ht="15" hidden="false" customHeight="true" outlineLevel="0" collapsed="false">
      <c r="A1075" s="6" t="s">
        <v>4066</v>
      </c>
      <c r="B1075" s="6" t="s">
        <v>559</v>
      </c>
      <c r="C1075" s="6" t="s">
        <v>4067</v>
      </c>
      <c r="D1075" s="9" t="s">
        <v>1894</v>
      </c>
      <c r="H1075" s="9" t="s">
        <v>3633</v>
      </c>
      <c r="M1075" s="6" t="n">
        <v>1031.09</v>
      </c>
      <c r="Q1075" s="1" t="n">
        <f aca="false">IF(OR($A887="",P887=""),"",ROUND(YEARFRAC(P887,README!$C$5),1))</f>
        <v>15.5</v>
      </c>
      <c r="S1075" s="6" t="n">
        <v>1340</v>
      </c>
      <c r="T1075" s="6" t="n">
        <v>1333</v>
      </c>
      <c r="U1075" s="6" t="n">
        <v>1460</v>
      </c>
      <c r="V1075" s="6" t="n">
        <v>127</v>
      </c>
      <c r="W1075" s="6" t="n">
        <v>0.949</v>
      </c>
      <c r="X1075" s="6" t="n">
        <v>1</v>
      </c>
      <c r="Z1075" s="6" t="s">
        <v>3629</v>
      </c>
      <c r="AA1075" s="9" t="s">
        <v>774</v>
      </c>
      <c r="AB1075" s="6" t="s">
        <v>4068</v>
      </c>
      <c r="AC1075" s="27" t="n">
        <f aca="false">COUNTIF(環境認証!$A$2:$A$849,A887)</f>
        <v>2</v>
      </c>
      <c r="AD1075" s="6" t="n">
        <v>9.5</v>
      </c>
      <c r="AE1075" s="6" t="n">
        <v>9</v>
      </c>
    </row>
    <row r="1076" customFormat="false" ht="15" hidden="false" customHeight="true" outlineLevel="0" collapsed="false">
      <c r="A1076" s="6" t="s">
        <v>4069</v>
      </c>
      <c r="B1076" s="6" t="s">
        <v>559</v>
      </c>
      <c r="C1076" s="6" t="s">
        <v>4070</v>
      </c>
      <c r="D1076" s="9" t="s">
        <v>1894</v>
      </c>
      <c r="H1076" s="9" t="s">
        <v>3633</v>
      </c>
      <c r="M1076" s="6" t="n">
        <v>2659.66</v>
      </c>
      <c r="Q1076" s="1" t="n">
        <f aca="false">IF(OR($A888="",P888=""),"",ROUND(YEARFRAC(P888,README!$C$5),1))</f>
        <v>11.1</v>
      </c>
      <c r="S1076" s="6" t="n">
        <v>5520</v>
      </c>
      <c r="T1076" s="6" t="n">
        <v>5458</v>
      </c>
      <c r="U1076" s="6" t="n">
        <v>5610</v>
      </c>
      <c r="V1076" s="6" t="n">
        <v>152</v>
      </c>
      <c r="W1076" s="6" t="n">
        <v>0.899</v>
      </c>
      <c r="X1076" s="6" t="n">
        <v>1</v>
      </c>
      <c r="Z1076" s="6" t="s">
        <v>3629</v>
      </c>
      <c r="AA1076" s="9" t="s">
        <v>774</v>
      </c>
      <c r="AB1076" s="6" t="s">
        <v>4071</v>
      </c>
      <c r="AC1076" s="27" t="n">
        <f aca="false">COUNTIF(環境認証!$A$2:$A$849,A888)</f>
        <v>1</v>
      </c>
      <c r="AD1076" s="6" t="n">
        <v>2.8</v>
      </c>
      <c r="AE1076" s="6" t="n">
        <v>1.6</v>
      </c>
    </row>
    <row r="1077" customFormat="false" ht="15" hidden="false" customHeight="true" outlineLevel="0" collapsed="false">
      <c r="A1077" s="6" t="s">
        <v>4072</v>
      </c>
      <c r="B1077" s="6" t="s">
        <v>559</v>
      </c>
      <c r="C1077" s="6" t="s">
        <v>4073</v>
      </c>
      <c r="D1077" s="9" t="s">
        <v>1894</v>
      </c>
      <c r="H1077" s="9" t="s">
        <v>3633</v>
      </c>
      <c r="M1077" s="6" t="n">
        <v>1357.88</v>
      </c>
      <c r="Q1077" s="1" t="n">
        <f aca="false">IF(OR($A889="",P889=""),"",ROUND(YEARFRAC(P889,README!$C$5),1))</f>
        <v>15.4</v>
      </c>
      <c r="S1077" s="6" t="n">
        <v>2030</v>
      </c>
      <c r="T1077" s="6" t="n">
        <v>2019</v>
      </c>
      <c r="U1077" s="6" t="n">
        <v>2150</v>
      </c>
      <c r="V1077" s="6" t="n">
        <v>131</v>
      </c>
      <c r="W1077" s="6" t="n">
        <v>1</v>
      </c>
      <c r="X1077" s="6" t="n">
        <v>1</v>
      </c>
      <c r="Z1077" s="6" t="s">
        <v>3629</v>
      </c>
      <c r="AA1077" s="9" t="s">
        <v>774</v>
      </c>
      <c r="AB1077" s="6" t="s">
        <v>4074</v>
      </c>
      <c r="AC1077" s="27" t="n">
        <f aca="false">COUNTIF(環境認証!$A$2:$A$849,A889)</f>
        <v>2</v>
      </c>
      <c r="AD1077" s="6" t="n">
        <v>6.5</v>
      </c>
      <c r="AE1077" s="6" t="n">
        <v>5.9</v>
      </c>
    </row>
    <row r="1078" customFormat="false" ht="15" hidden="false" customHeight="true" outlineLevel="0" collapsed="false">
      <c r="A1078" s="6" t="s">
        <v>4075</v>
      </c>
      <c r="B1078" s="6" t="s">
        <v>559</v>
      </c>
      <c r="C1078" s="6" t="s">
        <v>4076</v>
      </c>
      <c r="D1078" s="9" t="s">
        <v>1894</v>
      </c>
      <c r="H1078" s="9" t="s">
        <v>3633</v>
      </c>
      <c r="M1078" s="6" t="n">
        <v>878.5</v>
      </c>
      <c r="Q1078" s="1" t="n">
        <f aca="false">IF(OR($A890="",P890=""),"",ROUND(YEARFRAC(P890,README!$C$5),1))</f>
        <v>41.2</v>
      </c>
      <c r="S1078" s="6" t="n">
        <v>1330</v>
      </c>
      <c r="T1078" s="6" t="n">
        <v>1323</v>
      </c>
      <c r="U1078" s="6" t="n">
        <v>1410</v>
      </c>
      <c r="V1078" s="6" t="n">
        <v>87</v>
      </c>
      <c r="W1078" s="6" t="n">
        <v>0.939</v>
      </c>
      <c r="X1078" s="6" t="n">
        <v>1</v>
      </c>
      <c r="Z1078" s="6" t="s">
        <v>3629</v>
      </c>
      <c r="AA1078" s="9" t="s">
        <v>774</v>
      </c>
      <c r="AB1078" s="6" t="s">
        <v>4077</v>
      </c>
      <c r="AC1078" s="27" t="n">
        <f aca="false">COUNTIF(環境認証!$A$2:$A$849,A890)</f>
        <v>0</v>
      </c>
      <c r="AD1078" s="6" t="n">
        <v>6.6</v>
      </c>
      <c r="AE1078" s="6" t="n">
        <v>6</v>
      </c>
    </row>
    <row r="1079" customFormat="false" ht="15" hidden="false" customHeight="true" outlineLevel="0" collapsed="false">
      <c r="A1079" s="6" t="s">
        <v>4078</v>
      </c>
      <c r="B1079" s="6" t="s">
        <v>559</v>
      </c>
      <c r="C1079" s="6" t="s">
        <v>4079</v>
      </c>
      <c r="D1079" s="9" t="s">
        <v>1894</v>
      </c>
      <c r="H1079" s="9" t="s">
        <v>3633</v>
      </c>
      <c r="M1079" s="6" t="n">
        <v>939.89</v>
      </c>
      <c r="Q1079" s="1" t="str">
        <f aca="false">IF(OR($A891="",P891=""),"",ROUND(YEARFRAC(P891,README!$C$5),1))</f>
        <v/>
      </c>
      <c r="S1079" s="6" t="n">
        <v>1090</v>
      </c>
      <c r="T1079" s="6" t="n">
        <v>1076</v>
      </c>
      <c r="U1079" s="6" t="n">
        <v>1120</v>
      </c>
      <c r="V1079" s="6" t="n">
        <v>44</v>
      </c>
      <c r="W1079" s="6" t="n">
        <v>0.975</v>
      </c>
      <c r="X1079" s="6" t="n">
        <v>1</v>
      </c>
      <c r="Z1079" s="6" t="s">
        <v>3629</v>
      </c>
      <c r="AA1079" s="9" t="s">
        <v>774</v>
      </c>
      <c r="AB1079" s="6" t="s">
        <v>4080</v>
      </c>
      <c r="AC1079" s="27" t="n">
        <f aca="false">COUNTIF(環境認証!$A$2:$A$849,A891)</f>
        <v>0</v>
      </c>
      <c r="AD1079" s="6" t="n">
        <v>4.1</v>
      </c>
      <c r="AE1079" s="6" t="n">
        <v>2.8</v>
      </c>
    </row>
    <row r="1080" customFormat="false" ht="15" hidden="false" customHeight="true" outlineLevel="0" collapsed="false">
      <c r="A1080" s="6" t="s">
        <v>4081</v>
      </c>
      <c r="B1080" s="6" t="s">
        <v>559</v>
      </c>
      <c r="C1080" s="6" t="s">
        <v>4082</v>
      </c>
      <c r="D1080" s="9" t="s">
        <v>1894</v>
      </c>
      <c r="H1080" s="9" t="s">
        <v>3633</v>
      </c>
      <c r="M1080" s="6" t="n">
        <v>808.54</v>
      </c>
      <c r="Q1080" s="1" t="n">
        <f aca="false">IF(OR($A892="",P892=""),"",ROUND(YEARFRAC(P892,README!$C$5),1))</f>
        <v>21.6</v>
      </c>
      <c r="S1080" s="6" t="n">
        <v>967</v>
      </c>
      <c r="T1080" s="6" t="n">
        <v>946</v>
      </c>
      <c r="U1080" s="6" t="n">
        <v>1040</v>
      </c>
      <c r="V1080" s="6" t="n">
        <v>94</v>
      </c>
      <c r="W1080" s="6" t="n">
        <v>0.928</v>
      </c>
      <c r="X1080" s="6" t="n">
        <v>1</v>
      </c>
      <c r="Z1080" s="6" t="s">
        <v>3629</v>
      </c>
      <c r="AA1080" s="9" t="s">
        <v>774</v>
      </c>
      <c r="AB1080" s="6" t="s">
        <v>4083</v>
      </c>
      <c r="AC1080" s="27" t="n">
        <f aca="false">COUNTIF(環境認証!$A$2:$A$849,A892)</f>
        <v>1</v>
      </c>
      <c r="AD1080" s="6" t="n">
        <v>9.9</v>
      </c>
      <c r="AE1080" s="6" t="n">
        <v>7.5</v>
      </c>
    </row>
    <row r="1081" customFormat="false" ht="15" hidden="false" customHeight="true" outlineLevel="0" collapsed="false">
      <c r="A1081" s="6" t="s">
        <v>4084</v>
      </c>
      <c r="B1081" s="6" t="s">
        <v>559</v>
      </c>
      <c r="C1081" s="6" t="s">
        <v>4085</v>
      </c>
      <c r="D1081" s="9" t="s">
        <v>1894</v>
      </c>
      <c r="H1081" s="9" t="s">
        <v>3633</v>
      </c>
      <c r="M1081" s="6" t="n">
        <v>1032.18</v>
      </c>
      <c r="Q1081" s="1" t="n">
        <f aca="false">IF(OR($A893="",P893=""),"",ROUND(YEARFRAC(P893,README!$C$5),1))</f>
        <v>6.4</v>
      </c>
      <c r="S1081" s="6" t="n">
        <v>938</v>
      </c>
      <c r="T1081" s="6" t="n">
        <v>945</v>
      </c>
      <c r="U1081" s="6" t="n">
        <v>952</v>
      </c>
      <c r="V1081" s="6" t="n">
        <v>7</v>
      </c>
      <c r="W1081" s="6" t="n">
        <v>0.977</v>
      </c>
      <c r="X1081" s="6" t="n">
        <v>1</v>
      </c>
      <c r="Z1081" s="6" t="s">
        <v>3629</v>
      </c>
      <c r="AA1081" s="9" t="s">
        <v>774</v>
      </c>
      <c r="AB1081" s="6" t="s">
        <v>4086</v>
      </c>
      <c r="AC1081" s="27" t="n">
        <f aca="false">COUNTIF(環境認証!$A$2:$A$849,A893)</f>
        <v>1</v>
      </c>
      <c r="AD1081" s="6" t="n">
        <v>0.7</v>
      </c>
      <c r="AE1081" s="6" t="n">
        <v>1.5</v>
      </c>
    </row>
    <row r="1082" customFormat="false" ht="15" hidden="false" customHeight="true" outlineLevel="0" collapsed="false">
      <c r="A1082" s="6" t="s">
        <v>4087</v>
      </c>
      <c r="B1082" s="6" t="s">
        <v>559</v>
      </c>
      <c r="C1082" s="6" t="s">
        <v>4088</v>
      </c>
      <c r="D1082" s="9" t="s">
        <v>1894</v>
      </c>
      <c r="H1082" s="9" t="s">
        <v>3633</v>
      </c>
      <c r="M1082" s="6" t="n">
        <v>1297.27</v>
      </c>
      <c r="Q1082" s="1" t="n">
        <f aca="false">IF(OR($A894="",P894=""),"",ROUND(YEARFRAC(P894,README!$C$5),1))</f>
        <v>35.8</v>
      </c>
      <c r="S1082" s="6" t="n">
        <v>1440</v>
      </c>
      <c r="T1082" s="6" t="n">
        <v>1414</v>
      </c>
      <c r="U1082" s="6" t="n">
        <v>1540</v>
      </c>
      <c r="V1082" s="6" t="n">
        <v>126</v>
      </c>
      <c r="W1082" s="6" t="n">
        <v>0.942</v>
      </c>
      <c r="X1082" s="6" t="n">
        <v>1</v>
      </c>
      <c r="Z1082" s="6" t="s">
        <v>3629</v>
      </c>
      <c r="AA1082" s="9" t="s">
        <v>774</v>
      </c>
      <c r="AB1082" s="6" t="s">
        <v>4089</v>
      </c>
      <c r="AC1082" s="27" t="n">
        <f aca="false">COUNTIF(環境認証!$A$2:$A$849,A894)</f>
        <v>1</v>
      </c>
      <c r="AD1082" s="6" t="n">
        <v>8.9</v>
      </c>
      <c r="AE1082" s="6" t="n">
        <v>6.9</v>
      </c>
    </row>
    <row r="1083" customFormat="false" ht="15" hidden="false" customHeight="true" outlineLevel="0" collapsed="false">
      <c r="A1083" s="6" t="s">
        <v>4090</v>
      </c>
      <c r="B1083" s="6" t="s">
        <v>559</v>
      </c>
      <c r="C1083" s="6" t="s">
        <v>4091</v>
      </c>
      <c r="D1083" s="9" t="s">
        <v>1894</v>
      </c>
      <c r="H1083" s="9" t="s">
        <v>3633</v>
      </c>
      <c r="M1083" s="6" t="n">
        <v>1190.53</v>
      </c>
      <c r="Q1083" s="1" t="n">
        <f aca="false">IF(OR($A895="",P895=""),"",ROUND(YEARFRAC(P895,README!$C$5),1))</f>
        <v>36.8</v>
      </c>
      <c r="S1083" s="6" t="n">
        <v>1440</v>
      </c>
      <c r="T1083" s="6" t="n">
        <v>1410</v>
      </c>
      <c r="U1083" s="6" t="n">
        <v>1500</v>
      </c>
      <c r="V1083" s="6" t="n">
        <v>90</v>
      </c>
      <c r="W1083" s="6" t="n">
        <v>1</v>
      </c>
      <c r="X1083" s="6" t="n">
        <v>1</v>
      </c>
      <c r="Z1083" s="6" t="s">
        <v>3629</v>
      </c>
      <c r="AA1083" s="9" t="s">
        <v>774</v>
      </c>
      <c r="AB1083" s="6" t="s">
        <v>4092</v>
      </c>
      <c r="AC1083" s="27" t="n">
        <f aca="false">COUNTIF(環境認証!$A$2:$A$849,A895)</f>
        <v>1</v>
      </c>
      <c r="AD1083" s="6" t="n">
        <v>6.4</v>
      </c>
      <c r="AE1083" s="6" t="n">
        <v>4.2</v>
      </c>
    </row>
    <row r="1084" customFormat="false" ht="15" hidden="false" customHeight="true" outlineLevel="0" collapsed="false">
      <c r="A1084" s="6" t="s">
        <v>4093</v>
      </c>
      <c r="B1084" s="6" t="s">
        <v>559</v>
      </c>
      <c r="C1084" s="6" t="s">
        <v>4094</v>
      </c>
      <c r="D1084" s="9" t="s">
        <v>1894</v>
      </c>
      <c r="H1084" s="9" t="s">
        <v>3633</v>
      </c>
      <c r="M1084" s="6" t="n">
        <v>1227.16</v>
      </c>
      <c r="Q1084" s="1" t="n">
        <f aca="false">IF(OR($A896="",P896=""),"",ROUND(YEARFRAC(P896,README!$C$5),1))</f>
        <v>32.1</v>
      </c>
      <c r="S1084" s="6" t="n">
        <v>1340</v>
      </c>
      <c r="T1084" s="6" t="n">
        <v>1315</v>
      </c>
      <c r="U1084" s="6" t="n">
        <v>1440</v>
      </c>
      <c r="V1084" s="6" t="n">
        <v>125</v>
      </c>
      <c r="W1084" s="6" t="n">
        <v>0.979</v>
      </c>
      <c r="X1084" s="6" t="n">
        <v>1</v>
      </c>
      <c r="Z1084" s="6" t="s">
        <v>3629</v>
      </c>
      <c r="AA1084" s="9" t="s">
        <v>774</v>
      </c>
      <c r="AB1084" s="6" t="s">
        <v>4095</v>
      </c>
      <c r="AC1084" s="27" t="n">
        <f aca="false">COUNTIF(環境認証!$A$2:$A$849,A896)</f>
        <v>1</v>
      </c>
      <c r="AD1084" s="6" t="n">
        <v>9.5</v>
      </c>
      <c r="AE1084" s="6" t="n">
        <v>7.5</v>
      </c>
    </row>
    <row r="1085" customFormat="false" ht="15" hidden="false" customHeight="true" outlineLevel="0" collapsed="false">
      <c r="A1085" s="6" t="s">
        <v>4096</v>
      </c>
      <c r="B1085" s="6" t="s">
        <v>559</v>
      </c>
      <c r="C1085" s="6" t="s">
        <v>4097</v>
      </c>
      <c r="D1085" s="9" t="s">
        <v>1894</v>
      </c>
      <c r="H1085" s="9" t="s">
        <v>3633</v>
      </c>
      <c r="M1085" s="6" t="n">
        <v>872</v>
      </c>
      <c r="Q1085" s="1" t="n">
        <f aca="false">IF(OR($A897="",P897=""),"",ROUND(YEARFRAC(P897,README!$C$5),1))</f>
        <v>33.8</v>
      </c>
      <c r="S1085" s="6" t="n">
        <v>1220</v>
      </c>
      <c r="T1085" s="6" t="n">
        <v>1197</v>
      </c>
      <c r="U1085" s="6" t="n">
        <v>1250</v>
      </c>
      <c r="V1085" s="6" t="n">
        <v>53</v>
      </c>
      <c r="W1085" s="6" t="n">
        <v>1</v>
      </c>
      <c r="X1085" s="6" t="n">
        <v>1</v>
      </c>
      <c r="Z1085" s="6" t="s">
        <v>3629</v>
      </c>
      <c r="AA1085" s="9" t="s">
        <v>774</v>
      </c>
      <c r="AB1085" s="6" t="s">
        <v>4098</v>
      </c>
      <c r="AC1085" s="27" t="n">
        <f aca="false">COUNTIF(環境認証!$A$2:$A$849,A897)</f>
        <v>1</v>
      </c>
      <c r="AD1085" s="6" t="n">
        <v>4.4</v>
      </c>
      <c r="AE1085" s="6" t="n">
        <v>2.5</v>
      </c>
    </row>
    <row r="1086" customFormat="false" ht="15" hidden="false" customHeight="true" outlineLevel="0" collapsed="false">
      <c r="A1086" s="6" t="s">
        <v>4099</v>
      </c>
      <c r="B1086" s="6" t="s">
        <v>559</v>
      </c>
      <c r="C1086" s="6" t="s">
        <v>4100</v>
      </c>
      <c r="D1086" s="9" t="s">
        <v>1894</v>
      </c>
      <c r="H1086" s="9" t="s">
        <v>3633</v>
      </c>
      <c r="M1086" s="6" t="n">
        <v>6811.38</v>
      </c>
      <c r="Q1086" s="1" t="n">
        <f aca="false">IF(OR($A898="",P898=""),"",ROUND(YEARFRAC(P898,README!$C$5),1))</f>
        <v>27.4</v>
      </c>
      <c r="S1086" s="6" t="n">
        <v>8070</v>
      </c>
      <c r="T1086" s="6" t="n">
        <v>7958</v>
      </c>
      <c r="U1086" s="6" t="n">
        <v>8580</v>
      </c>
      <c r="V1086" s="6" t="n">
        <v>622</v>
      </c>
      <c r="W1086" s="6" t="n">
        <v>1</v>
      </c>
      <c r="X1086" s="6" t="n">
        <v>1</v>
      </c>
      <c r="Z1086" s="6" t="s">
        <v>3629</v>
      </c>
      <c r="AA1086" s="9" t="s">
        <v>774</v>
      </c>
      <c r="AB1086" s="6" t="s">
        <v>4101</v>
      </c>
      <c r="AC1086" s="27" t="n">
        <f aca="false">COUNTIF(環境認証!$A$2:$A$849,A898)</f>
        <v>1</v>
      </c>
      <c r="AD1086" s="6" t="n">
        <v>7.8</v>
      </c>
      <c r="AE1086" s="6" t="n">
        <v>6.3</v>
      </c>
    </row>
    <row r="1087" customFormat="false" ht="15" hidden="false" customHeight="true" outlineLevel="0" collapsed="false">
      <c r="A1087" s="6" t="s">
        <v>4102</v>
      </c>
      <c r="B1087" s="6" t="s">
        <v>559</v>
      </c>
      <c r="C1087" s="6" t="s">
        <v>4103</v>
      </c>
      <c r="D1087" s="9" t="s">
        <v>1894</v>
      </c>
      <c r="E1087" s="36" t="s">
        <v>762</v>
      </c>
      <c r="F1087" s="36" t="s">
        <v>782</v>
      </c>
      <c r="H1087" s="9" t="s">
        <v>3633</v>
      </c>
      <c r="M1087" s="6" t="n">
        <v>6131.93</v>
      </c>
      <c r="P1087" s="1" t="n">
        <v>31138</v>
      </c>
      <c r="Q1087" s="1" t="n">
        <f aca="false">IF(OR($A899="",P899=""),"",ROUND(YEARFRAC(P899,README!$C$5),1))</f>
        <v>27.4</v>
      </c>
      <c r="S1087" s="6" t="n">
        <v>3040</v>
      </c>
      <c r="T1087" s="6" t="n">
        <v>3036</v>
      </c>
      <c r="U1087" s="6" t="n">
        <v>3100</v>
      </c>
      <c r="V1087" s="6" t="n">
        <v>64</v>
      </c>
      <c r="W1087" s="6" t="n">
        <v>0.959</v>
      </c>
      <c r="X1087" s="6" t="n">
        <v>1</v>
      </c>
      <c r="Z1087" s="6" t="s">
        <v>3629</v>
      </c>
      <c r="AA1087" s="9" t="s">
        <v>774</v>
      </c>
      <c r="AB1087" s="6" t="s">
        <v>4104</v>
      </c>
      <c r="AC1087" s="27" t="n">
        <f aca="false">COUNTIF(環境認証!$A$2:$A$849,A899)</f>
        <v>1</v>
      </c>
      <c r="AD1087" s="6" t="n">
        <v>2.1</v>
      </c>
      <c r="AE1087" s="6" t="n">
        <v>2</v>
      </c>
    </row>
    <row r="1088" customFormat="false" ht="15" hidden="false" customHeight="true" outlineLevel="0" collapsed="false">
      <c r="A1088" s="6" t="s">
        <v>4105</v>
      </c>
      <c r="B1088" s="6" t="s">
        <v>559</v>
      </c>
      <c r="C1088" s="6" t="s">
        <v>4106</v>
      </c>
      <c r="D1088" s="9" t="s">
        <v>1894</v>
      </c>
      <c r="E1088" s="36" t="s">
        <v>762</v>
      </c>
      <c r="F1088" s="36" t="s">
        <v>763</v>
      </c>
      <c r="H1088" s="9" t="s">
        <v>3633</v>
      </c>
      <c r="M1088" s="6" t="n">
        <v>1996.08</v>
      </c>
      <c r="Q1088" s="1" t="n">
        <f aca="false">IF(OR($A900="",P900=""),"",ROUND(YEARFRAC(P900,README!$C$5),1))</f>
        <v>18.4</v>
      </c>
      <c r="S1088" s="6" t="n">
        <v>2570</v>
      </c>
      <c r="T1088" s="6" t="n">
        <v>2558</v>
      </c>
      <c r="U1088" s="6" t="n">
        <v>2570</v>
      </c>
      <c r="V1088" s="6" t="n">
        <v>12</v>
      </c>
      <c r="W1088" s="6" t="n">
        <v>0.978</v>
      </c>
      <c r="X1088" s="6" t="n">
        <v>1</v>
      </c>
      <c r="Z1088" s="6" t="s">
        <v>3629</v>
      </c>
      <c r="AA1088" s="9" t="s">
        <v>774</v>
      </c>
      <c r="AB1088" s="6" t="s">
        <v>4107</v>
      </c>
      <c r="AC1088" s="27" t="n">
        <f aca="false">COUNTIF(環境認証!$A$2:$A$849,A900)</f>
        <v>1</v>
      </c>
      <c r="AD1088" s="6" t="n">
        <v>0.5</v>
      </c>
      <c r="AE1088" s="6" t="n">
        <v>0</v>
      </c>
    </row>
    <row r="1089" customFormat="false" ht="15" hidden="false" customHeight="true" outlineLevel="0" collapsed="false">
      <c r="A1089" s="6" t="s">
        <v>4108</v>
      </c>
      <c r="B1089" s="6" t="s">
        <v>559</v>
      </c>
      <c r="C1089" s="6" t="s">
        <v>4109</v>
      </c>
      <c r="D1089" s="9" t="s">
        <v>1894</v>
      </c>
      <c r="E1089" s="36" t="s">
        <v>762</v>
      </c>
      <c r="F1089" s="36" t="s">
        <v>782</v>
      </c>
      <c r="H1089" s="9" t="s">
        <v>3633</v>
      </c>
      <c r="M1089" s="6" t="n">
        <v>1971.07</v>
      </c>
      <c r="P1089" s="1" t="n">
        <v>40391</v>
      </c>
      <c r="Q1089" s="1" t="n">
        <f aca="false">IF(OR($A901="",P901=""),"",ROUND(YEARFRAC(P901,README!$C$5),1))</f>
        <v>40.5</v>
      </c>
      <c r="S1089" s="6" t="n">
        <v>1670</v>
      </c>
      <c r="T1089" s="6" t="n">
        <v>1661</v>
      </c>
      <c r="U1089" s="6" t="n">
        <v>1820</v>
      </c>
      <c r="V1089" s="6" t="n">
        <v>159</v>
      </c>
      <c r="W1089" s="6" t="n">
        <v>0.974</v>
      </c>
      <c r="X1089" s="6" t="n">
        <v>1</v>
      </c>
      <c r="Z1089" s="6" t="s">
        <v>3629</v>
      </c>
      <c r="AA1089" s="9" t="s">
        <v>774</v>
      </c>
      <c r="AB1089" s="6" t="s">
        <v>4110</v>
      </c>
      <c r="AC1089" s="27" t="n">
        <f aca="false">COUNTIF(環境認証!$A$2:$A$849,A901)</f>
        <v>1</v>
      </c>
      <c r="AD1089" s="6" t="n">
        <v>9.6</v>
      </c>
      <c r="AE1089" s="6" t="n">
        <v>9</v>
      </c>
    </row>
    <row r="1090" customFormat="false" ht="15" hidden="false" customHeight="true" outlineLevel="0" collapsed="false">
      <c r="A1090" s="6" t="s">
        <v>4111</v>
      </c>
      <c r="B1090" s="6" t="s">
        <v>559</v>
      </c>
      <c r="C1090" s="6" t="s">
        <v>4112</v>
      </c>
      <c r="D1090" s="9" t="s">
        <v>1894</v>
      </c>
      <c r="E1090" s="36" t="s">
        <v>762</v>
      </c>
      <c r="F1090" s="36" t="s">
        <v>782</v>
      </c>
      <c r="H1090" s="9" t="s">
        <v>3633</v>
      </c>
      <c r="M1090" s="6" t="n">
        <v>1224.87</v>
      </c>
      <c r="P1090" s="1" t="n">
        <v>35643</v>
      </c>
      <c r="Q1090" s="1" t="n">
        <f aca="false">IF(OR($A902="",P902=""),"",ROUND(YEARFRAC(P902,README!$C$5),1))</f>
        <v>17.8</v>
      </c>
      <c r="S1090" s="6" t="n">
        <v>1460</v>
      </c>
      <c r="T1090" s="6" t="n">
        <v>1446</v>
      </c>
      <c r="U1090" s="6" t="n">
        <v>1470</v>
      </c>
      <c r="V1090" s="6" t="n">
        <v>24</v>
      </c>
      <c r="W1090" s="6" t="n">
        <v>1</v>
      </c>
      <c r="X1090" s="6" t="n">
        <v>1</v>
      </c>
      <c r="Z1090" s="6" t="s">
        <v>3629</v>
      </c>
      <c r="AA1090" s="9" t="s">
        <v>774</v>
      </c>
      <c r="AB1090" s="6" t="s">
        <v>4113</v>
      </c>
      <c r="AC1090" s="27" t="n">
        <f aca="false">COUNTIF(環境認証!$A$2:$A$849,A902)</f>
        <v>1</v>
      </c>
      <c r="AD1090" s="6" t="n">
        <v>1.7</v>
      </c>
      <c r="AE1090" s="6" t="n">
        <v>0.7</v>
      </c>
    </row>
    <row r="1091" customFormat="false" ht="15" hidden="false" customHeight="true" outlineLevel="0" collapsed="false">
      <c r="A1091" s="6" t="s">
        <v>4114</v>
      </c>
      <c r="B1091" s="6" t="s">
        <v>559</v>
      </c>
      <c r="C1091" s="6" t="s">
        <v>4115</v>
      </c>
      <c r="D1091" s="9" t="s">
        <v>1894</v>
      </c>
      <c r="E1091" s="36" t="s">
        <v>762</v>
      </c>
      <c r="F1091" s="36" t="s">
        <v>771</v>
      </c>
      <c r="H1091" s="9" t="s">
        <v>3633</v>
      </c>
      <c r="M1091" s="6" t="n">
        <v>1013.4</v>
      </c>
      <c r="P1091" s="1" t="n">
        <v>34274</v>
      </c>
      <c r="Q1091" s="1" t="n">
        <f aca="false">IF(OR($A903="",P903=""),"",ROUND(YEARFRAC(P903,README!$C$5),1))</f>
        <v>37.4</v>
      </c>
      <c r="S1091" s="6" t="n">
        <v>857</v>
      </c>
      <c r="T1091" s="6" t="n">
        <v>892</v>
      </c>
      <c r="U1091" s="6" t="n">
        <v>829</v>
      </c>
      <c r="V1091" s="6" t="n">
        <v>-63</v>
      </c>
      <c r="W1091" s="6" t="n">
        <v>1</v>
      </c>
      <c r="X1091" s="6" t="n">
        <v>1</v>
      </c>
      <c r="Z1091" s="6" t="s">
        <v>3629</v>
      </c>
      <c r="AA1091" s="9" t="s">
        <v>774</v>
      </c>
      <c r="AB1091" s="6" t="s">
        <v>4116</v>
      </c>
      <c r="AC1091" s="27" t="n">
        <f aca="false">COUNTIF(環境認証!$A$2:$A$849,A903)</f>
        <v>1</v>
      </c>
      <c r="AD1091" s="6" t="n">
        <v>-7.1</v>
      </c>
      <c r="AE1091" s="6" t="n">
        <v>-3.3</v>
      </c>
    </row>
    <row r="1092" customFormat="false" ht="15" hidden="false" customHeight="true" outlineLevel="0" collapsed="false">
      <c r="A1092" s="6" t="s">
        <v>4117</v>
      </c>
      <c r="B1092" s="6" t="s">
        <v>559</v>
      </c>
      <c r="C1092" s="6" t="s">
        <v>4118</v>
      </c>
      <c r="D1092" s="9" t="s">
        <v>1894</v>
      </c>
      <c r="E1092" s="36" t="s">
        <v>762</v>
      </c>
      <c r="F1092" s="36" t="s">
        <v>763</v>
      </c>
      <c r="H1092" s="9" t="s">
        <v>3633</v>
      </c>
      <c r="M1092" s="6" t="n">
        <v>1277.78</v>
      </c>
      <c r="P1092" s="1" t="n">
        <v>39692</v>
      </c>
      <c r="Q1092" s="1" t="n">
        <f aca="false">IF(OR($A904="",P904=""),"",ROUND(YEARFRAC(P904,README!$C$5),1))</f>
        <v>28.9</v>
      </c>
      <c r="S1092" s="6" t="n">
        <v>1190</v>
      </c>
      <c r="T1092" s="6" t="n">
        <v>1179</v>
      </c>
      <c r="U1092" s="6" t="n">
        <v>1200</v>
      </c>
      <c r="V1092" s="6" t="n">
        <v>21</v>
      </c>
      <c r="W1092" s="6" t="n">
        <v>1</v>
      </c>
      <c r="X1092" s="6" t="n">
        <v>1</v>
      </c>
      <c r="Z1092" s="6" t="s">
        <v>3629</v>
      </c>
      <c r="AA1092" s="9" t="s">
        <v>774</v>
      </c>
      <c r="AB1092" s="6" t="s">
        <v>4119</v>
      </c>
      <c r="AC1092" s="27" t="n">
        <f aca="false">COUNTIF(環境認証!$A$2:$A$849,A904)</f>
        <v>1</v>
      </c>
      <c r="AD1092" s="6" t="n">
        <v>1.8</v>
      </c>
      <c r="AE1092" s="6" t="n">
        <v>0.8</v>
      </c>
    </row>
    <row r="1093" customFormat="false" ht="15" hidden="false" customHeight="true" outlineLevel="0" collapsed="false">
      <c r="A1093" s="6" t="s">
        <v>4120</v>
      </c>
      <c r="B1093" s="6" t="s">
        <v>559</v>
      </c>
      <c r="C1093" s="6" t="s">
        <v>4121</v>
      </c>
      <c r="D1093" s="9" t="s">
        <v>1894</v>
      </c>
      <c r="E1093" s="36" t="s">
        <v>762</v>
      </c>
      <c r="F1093" s="36" t="s">
        <v>763</v>
      </c>
      <c r="H1093" s="9" t="s">
        <v>3633</v>
      </c>
      <c r="M1093" s="6" t="n">
        <v>957.67</v>
      </c>
      <c r="P1093" s="1" t="n">
        <v>37043</v>
      </c>
      <c r="Q1093" s="1" t="n">
        <f aca="false">IF(OR($A905="",P905=""),"",ROUND(YEARFRAC(P905,README!$C$5),1))</f>
        <v>29.4</v>
      </c>
      <c r="S1093" s="6" t="n">
        <v>1110</v>
      </c>
      <c r="T1093" s="6" t="n">
        <v>1098</v>
      </c>
      <c r="U1093" s="6" t="n">
        <v>1090</v>
      </c>
      <c r="V1093" s="6" t="n">
        <v>-8</v>
      </c>
      <c r="W1093" s="6" t="n">
        <v>0.97</v>
      </c>
      <c r="X1093" s="6" t="n">
        <v>1</v>
      </c>
      <c r="Z1093" s="6" t="s">
        <v>3629</v>
      </c>
      <c r="AA1093" s="9" t="s">
        <v>774</v>
      </c>
      <c r="AB1093" s="6" t="s">
        <v>4122</v>
      </c>
      <c r="AC1093" s="27" t="n">
        <f aca="false">COUNTIF(環境認証!$A$2:$A$849,A905)</f>
        <v>1</v>
      </c>
      <c r="AD1093" s="6" t="n">
        <v>-0.7</v>
      </c>
      <c r="AE1093" s="6" t="n">
        <v>-1.8</v>
      </c>
    </row>
    <row r="1094" customFormat="false" ht="15" hidden="false" customHeight="true" outlineLevel="0" collapsed="false">
      <c r="A1094" s="6" t="s">
        <v>4123</v>
      </c>
      <c r="B1094" s="6" t="s">
        <v>559</v>
      </c>
      <c r="C1094" s="6" t="s">
        <v>4124</v>
      </c>
      <c r="D1094" s="9" t="s">
        <v>1894</v>
      </c>
      <c r="E1094" s="36" t="s">
        <v>762</v>
      </c>
      <c r="F1094" s="36" t="s">
        <v>820</v>
      </c>
      <c r="H1094" s="9" t="s">
        <v>3633</v>
      </c>
      <c r="M1094" s="6" t="n">
        <v>2659.5</v>
      </c>
      <c r="P1094" s="1" t="n">
        <v>34029</v>
      </c>
      <c r="Q1094" s="1" t="n">
        <f aca="false">IF(OR($A906="",P906=""),"",ROUND(YEARFRAC(P906,README!$C$5),1))</f>
        <v>12.5</v>
      </c>
      <c r="S1094" s="6" t="n">
        <v>2920</v>
      </c>
      <c r="T1094" s="6" t="n">
        <v>2907</v>
      </c>
      <c r="U1094" s="6" t="n">
        <v>2930</v>
      </c>
      <c r="V1094" s="6" t="n">
        <v>23</v>
      </c>
      <c r="W1094" s="6" t="n">
        <v>1</v>
      </c>
      <c r="X1094" s="6" t="n">
        <v>1</v>
      </c>
      <c r="Z1094" s="6" t="s">
        <v>3629</v>
      </c>
      <c r="AA1094" s="9" t="s">
        <v>774</v>
      </c>
      <c r="AB1094" s="6" t="s">
        <v>4125</v>
      </c>
      <c r="AC1094" s="27" t="n">
        <f aca="false">COUNTIF(環境認証!$A$2:$A$849,A906)</f>
        <v>1</v>
      </c>
      <c r="AD1094" s="6" t="n">
        <v>0.8</v>
      </c>
      <c r="AE1094" s="6" t="n">
        <v>0.3</v>
      </c>
    </row>
    <row r="1095" customFormat="false" ht="15" hidden="false" customHeight="true" outlineLevel="0" collapsed="false">
      <c r="A1095" s="6" t="s">
        <v>4126</v>
      </c>
      <c r="B1095" s="6" t="s">
        <v>559</v>
      </c>
      <c r="C1095" s="6" t="s">
        <v>4127</v>
      </c>
      <c r="D1095" s="9" t="s">
        <v>1894</v>
      </c>
      <c r="E1095" s="36" t="s">
        <v>762</v>
      </c>
      <c r="F1095" s="36" t="s">
        <v>763</v>
      </c>
      <c r="H1095" s="9" t="s">
        <v>3633</v>
      </c>
      <c r="M1095" s="6" t="n">
        <v>2203.87</v>
      </c>
      <c r="P1095" s="1" t="n">
        <v>41306</v>
      </c>
      <c r="Q1095" s="1" t="n">
        <f aca="false">IF(OR($A907="",P907=""),"",ROUND(YEARFRAC(P907,README!$C$5),1))</f>
        <v>19</v>
      </c>
      <c r="S1095" s="6" t="n">
        <v>2460</v>
      </c>
      <c r="T1095" s="6" t="n">
        <v>2424</v>
      </c>
      <c r="U1095" s="6" t="n">
        <v>2490</v>
      </c>
      <c r="V1095" s="6" t="n">
        <v>66</v>
      </c>
      <c r="W1095" s="6" t="n">
        <v>0.982</v>
      </c>
      <c r="X1095" s="6" t="n">
        <v>1</v>
      </c>
      <c r="Z1095" s="6" t="s">
        <v>3629</v>
      </c>
      <c r="AA1095" s="9" t="s">
        <v>774</v>
      </c>
      <c r="AB1095" s="6" t="s">
        <v>4128</v>
      </c>
      <c r="AC1095" s="27" t="n">
        <f aca="false">COUNTIF(環境認証!$A$2:$A$849,A907)</f>
        <v>2</v>
      </c>
      <c r="AD1095" s="6" t="n">
        <v>2.7</v>
      </c>
      <c r="AE1095" s="6" t="n">
        <v>1.2</v>
      </c>
    </row>
    <row r="1096" customFormat="false" ht="15" hidden="false" customHeight="true" outlineLevel="0" collapsed="false">
      <c r="A1096" s="6" t="s">
        <v>4129</v>
      </c>
      <c r="B1096" s="6" t="s">
        <v>559</v>
      </c>
      <c r="C1096" s="6" t="s">
        <v>4130</v>
      </c>
      <c r="D1096" s="9" t="s">
        <v>1894</v>
      </c>
      <c r="E1096" s="36" t="s">
        <v>762</v>
      </c>
      <c r="F1096" s="36" t="s">
        <v>895</v>
      </c>
      <c r="H1096" s="9" t="s">
        <v>3633</v>
      </c>
      <c r="M1096" s="6" t="n">
        <v>2631.45</v>
      </c>
      <c r="P1096" s="1" t="n">
        <v>32325</v>
      </c>
      <c r="Q1096" s="1" t="n">
        <f aca="false">IF(OR($A908="",P908=""),"",ROUND(YEARFRAC(P908,README!$C$5),1))</f>
        <v>17</v>
      </c>
      <c r="S1096" s="6" t="n">
        <v>3280</v>
      </c>
      <c r="T1096" s="6" t="n">
        <v>3229</v>
      </c>
      <c r="U1096" s="6" t="n">
        <v>3370</v>
      </c>
      <c r="V1096" s="6" t="n">
        <v>141</v>
      </c>
      <c r="W1096" s="6" t="n">
        <v>0.882</v>
      </c>
      <c r="X1096" s="6" t="n">
        <v>1</v>
      </c>
      <c r="Z1096" s="6" t="s">
        <v>3629</v>
      </c>
      <c r="AA1096" s="9" t="s">
        <v>774</v>
      </c>
      <c r="AB1096" s="6" t="s">
        <v>4131</v>
      </c>
      <c r="AC1096" s="27" t="n">
        <f aca="false">COUNTIF(環境認証!$A$2:$A$849,A908)</f>
        <v>1</v>
      </c>
      <c r="AD1096" s="6" t="n">
        <v>4.4</v>
      </c>
      <c r="AE1096" s="6" t="n">
        <v>2.7</v>
      </c>
    </row>
    <row r="1097" customFormat="false" ht="15" hidden="false" customHeight="true" outlineLevel="0" collapsed="false">
      <c r="A1097" s="6" t="s">
        <v>4132</v>
      </c>
      <c r="B1097" s="6" t="s">
        <v>559</v>
      </c>
      <c r="C1097" s="6" t="s">
        <v>4133</v>
      </c>
      <c r="D1097" s="9" t="s">
        <v>1894</v>
      </c>
      <c r="E1097" s="36" t="s">
        <v>762</v>
      </c>
      <c r="F1097" s="36" t="s">
        <v>911</v>
      </c>
      <c r="H1097" s="9" t="s">
        <v>3633</v>
      </c>
      <c r="M1097" s="6" t="n">
        <v>845.78</v>
      </c>
      <c r="P1097" s="1" t="n">
        <v>33147</v>
      </c>
      <c r="Q1097" s="1" t="n">
        <f aca="false">IF(OR($A909="",P909=""),"",ROUND(YEARFRAC(P909,README!$C$5),1))</f>
        <v>23.8</v>
      </c>
      <c r="S1097" s="6" t="n">
        <v>939</v>
      </c>
      <c r="T1097" s="6" t="n">
        <v>932</v>
      </c>
      <c r="U1097" s="6" t="n">
        <v>949</v>
      </c>
      <c r="V1097" s="6" t="n">
        <v>17</v>
      </c>
      <c r="W1097" s="6" t="n">
        <v>0.97</v>
      </c>
      <c r="X1097" s="6" t="n">
        <v>1</v>
      </c>
      <c r="Z1097" s="6" t="s">
        <v>3629</v>
      </c>
      <c r="AA1097" s="9" t="s">
        <v>774</v>
      </c>
      <c r="AB1097" s="6" t="s">
        <v>4134</v>
      </c>
      <c r="AC1097" s="27" t="n">
        <f aca="false">COUNTIF(環境認証!$A$2:$A$849,A909)</f>
        <v>1</v>
      </c>
      <c r="AD1097" s="6" t="n">
        <v>1.8</v>
      </c>
      <c r="AE1097" s="6" t="n">
        <v>1.1</v>
      </c>
    </row>
    <row r="1098" customFormat="false" ht="15" hidden="false" customHeight="true" outlineLevel="0" collapsed="false">
      <c r="A1098" s="6" t="s">
        <v>4135</v>
      </c>
      <c r="B1098" s="6" t="s">
        <v>559</v>
      </c>
      <c r="C1098" s="6" t="s">
        <v>4136</v>
      </c>
      <c r="D1098" s="9" t="s">
        <v>1894</v>
      </c>
      <c r="E1098" s="36" t="s">
        <v>762</v>
      </c>
      <c r="F1098" s="36" t="s">
        <v>782</v>
      </c>
      <c r="H1098" s="9" t="s">
        <v>3633</v>
      </c>
      <c r="M1098" s="6" t="n">
        <v>1015.39</v>
      </c>
      <c r="P1098" s="1" t="n">
        <v>42125</v>
      </c>
      <c r="Q1098" s="1" t="str">
        <f aca="false">IF(OR($A910="",P910=""),"",ROUND(YEARFRAC(P910,README!$C$5),1))</f>
        <v/>
      </c>
      <c r="S1098" s="6" t="n">
        <v>945</v>
      </c>
      <c r="T1098" s="6" t="n">
        <v>938</v>
      </c>
      <c r="U1098" s="6" t="n">
        <v>923</v>
      </c>
      <c r="V1098" s="6" t="n">
        <v>-15</v>
      </c>
      <c r="W1098" s="6" t="n">
        <v>0.979</v>
      </c>
      <c r="X1098" s="6" t="n">
        <v>1</v>
      </c>
      <c r="Z1098" s="6" t="s">
        <v>3629</v>
      </c>
      <c r="AA1098" s="9" t="s">
        <v>774</v>
      </c>
      <c r="AB1098" s="6" t="s">
        <v>4137</v>
      </c>
      <c r="AC1098" s="27" t="n">
        <f aca="false">COUNTIF(環境認証!$A$2:$A$849,A910)</f>
        <v>0</v>
      </c>
      <c r="AD1098" s="6" t="n">
        <v>-1.6</v>
      </c>
      <c r="AE1098" s="6" t="n">
        <v>-2.3</v>
      </c>
    </row>
    <row r="1099" customFormat="false" ht="15" hidden="false" customHeight="true" outlineLevel="0" collapsed="false">
      <c r="A1099" s="6" t="s">
        <v>4138</v>
      </c>
      <c r="B1099" s="6" t="s">
        <v>559</v>
      </c>
      <c r="C1099" s="6" t="s">
        <v>4139</v>
      </c>
      <c r="D1099" s="9" t="s">
        <v>1894</v>
      </c>
      <c r="E1099" s="36" t="s">
        <v>762</v>
      </c>
      <c r="F1099" s="36" t="s">
        <v>815</v>
      </c>
      <c r="H1099" s="9" t="s">
        <v>3633</v>
      </c>
      <c r="M1099" s="6" t="n">
        <v>2821.15</v>
      </c>
      <c r="P1099" s="1" t="n">
        <v>34182</v>
      </c>
      <c r="Q1099" s="1" t="n">
        <f aca="false">IF(OR($A911="",P911=""),"",ROUND(YEARFRAC(P911,README!$C$5),1))</f>
        <v>38.2</v>
      </c>
      <c r="S1099" s="6" t="n">
        <v>3720</v>
      </c>
      <c r="T1099" s="6" t="n">
        <v>3670</v>
      </c>
      <c r="U1099" s="6" t="n">
        <v>4060</v>
      </c>
      <c r="V1099" s="6" t="n">
        <v>390</v>
      </c>
      <c r="W1099" s="6" t="n">
        <v>0.925</v>
      </c>
      <c r="X1099" s="6" t="n">
        <v>1</v>
      </c>
      <c r="Z1099" s="6" t="s">
        <v>3629</v>
      </c>
      <c r="AA1099" s="9" t="s">
        <v>774</v>
      </c>
      <c r="AB1099" s="6" t="s">
        <v>4140</v>
      </c>
      <c r="AC1099" s="27" t="n">
        <f aca="false">COUNTIF(環境認証!$A$2:$A$849,A911)</f>
        <v>1</v>
      </c>
      <c r="AD1099" s="6" t="n">
        <v>10.6</v>
      </c>
      <c r="AE1099" s="6" t="n">
        <v>9.1</v>
      </c>
    </row>
    <row r="1100" customFormat="false" ht="15" hidden="false" customHeight="true" outlineLevel="0" collapsed="false">
      <c r="A1100" s="6" t="s">
        <v>4141</v>
      </c>
      <c r="B1100" s="6" t="s">
        <v>559</v>
      </c>
      <c r="C1100" s="6" t="s">
        <v>4142</v>
      </c>
      <c r="D1100" s="9" t="s">
        <v>1894</v>
      </c>
      <c r="E1100" s="36" t="s">
        <v>762</v>
      </c>
      <c r="F1100" s="36" t="s">
        <v>763</v>
      </c>
      <c r="H1100" s="9" t="s">
        <v>3633</v>
      </c>
      <c r="M1100" s="6" t="n">
        <v>1972.49</v>
      </c>
      <c r="P1100" s="1" t="n">
        <v>32752</v>
      </c>
      <c r="Q1100" s="1" t="str">
        <f aca="false">IF(OR($A912="",P912=""),"",ROUND(YEARFRAC(P912,README!$C$5),1))</f>
        <v/>
      </c>
      <c r="S1100" s="6" t="n">
        <v>2030</v>
      </c>
      <c r="T1100" s="6" t="n">
        <v>1998</v>
      </c>
      <c r="U1100" s="6" t="n">
        <v>2120</v>
      </c>
      <c r="V1100" s="6" t="n">
        <v>122</v>
      </c>
      <c r="W1100" s="6" t="n">
        <v>0.974</v>
      </c>
      <c r="X1100" s="6" t="n">
        <v>1</v>
      </c>
      <c r="Z1100" s="6" t="s">
        <v>3629</v>
      </c>
      <c r="AA1100" s="9" t="s">
        <v>774</v>
      </c>
      <c r="AB1100" s="6" t="s">
        <v>4143</v>
      </c>
      <c r="AC1100" s="27" t="n">
        <f aca="false">COUNTIF(環境認証!$A$2:$A$849,A912)</f>
        <v>0</v>
      </c>
      <c r="AD1100" s="6" t="n">
        <v>6.1</v>
      </c>
      <c r="AE1100" s="6" t="n">
        <v>4.4</v>
      </c>
    </row>
    <row r="1101" customFormat="false" ht="15" hidden="false" customHeight="true" outlineLevel="0" collapsed="false">
      <c r="A1101" s="6" t="s">
        <v>4144</v>
      </c>
      <c r="B1101" s="6" t="s">
        <v>559</v>
      </c>
      <c r="C1101" s="9" t="s">
        <v>4145</v>
      </c>
      <c r="D1101" s="9" t="s">
        <v>1894</v>
      </c>
      <c r="E1101" s="36" t="s">
        <v>762</v>
      </c>
      <c r="F1101" s="36" t="s">
        <v>848</v>
      </c>
      <c r="H1101" s="9" t="s">
        <v>3633</v>
      </c>
      <c r="M1101" s="6" t="n">
        <v>4538.04</v>
      </c>
      <c r="P1101" s="1" t="n">
        <v>35125</v>
      </c>
      <c r="Q1101" s="1" t="n">
        <f aca="false">IF(OR($A913="",P913=""),"",ROUND(YEARFRAC(P913,README!$C$5),1))</f>
        <v>7.9</v>
      </c>
      <c r="S1101" s="6" t="n">
        <v>2580</v>
      </c>
      <c r="T1101" s="6" t="n">
        <v>2607</v>
      </c>
      <c r="U1101" s="6" t="n">
        <v>2590</v>
      </c>
      <c r="V1101" s="6" t="n">
        <v>-17</v>
      </c>
      <c r="W1101" s="6" t="n">
        <v>0.988</v>
      </c>
      <c r="X1101" s="6" t="n">
        <v>1</v>
      </c>
      <c r="Z1101" s="6" t="s">
        <v>3629</v>
      </c>
      <c r="AA1101" s="9" t="s">
        <v>774</v>
      </c>
      <c r="AB1101" s="6" t="s">
        <v>4146</v>
      </c>
      <c r="AC1101" s="27" t="n">
        <f aca="false">COUNTIF(環境認証!$A$2:$A$849,A913)</f>
        <v>0</v>
      </c>
      <c r="AD1101" s="6" t="n">
        <v>-0.7</v>
      </c>
      <c r="AE1101" s="6" t="n">
        <v>0.4</v>
      </c>
    </row>
    <row r="1102" customFormat="false" ht="15" hidden="false" customHeight="true" outlineLevel="0" collapsed="false">
      <c r="A1102" s="6" t="s">
        <v>4147</v>
      </c>
      <c r="B1102" s="6" t="s">
        <v>559</v>
      </c>
      <c r="C1102" s="6" t="s">
        <v>4148</v>
      </c>
      <c r="D1102" s="9" t="s">
        <v>1894</v>
      </c>
      <c r="E1102" s="36" t="s">
        <v>762</v>
      </c>
      <c r="F1102" s="36" t="s">
        <v>763</v>
      </c>
      <c r="H1102" s="9" t="s">
        <v>3633</v>
      </c>
      <c r="M1102" s="6" t="n">
        <v>2723.2</v>
      </c>
      <c r="P1102" s="1" t="n">
        <v>32721</v>
      </c>
      <c r="Q1102" s="1" t="n">
        <f aca="false">IF(OR($A914="",P914=""),"",ROUND(YEARFRAC(P914,README!$C$5),1))</f>
        <v>8.9</v>
      </c>
      <c r="S1102" s="6" t="n">
        <v>1730</v>
      </c>
      <c r="T1102" s="6" t="n">
        <v>1711</v>
      </c>
      <c r="U1102" s="6" t="n">
        <v>1720</v>
      </c>
      <c r="V1102" s="6" t="n">
        <v>9</v>
      </c>
      <c r="W1102" s="6" t="n">
        <v>0.981</v>
      </c>
      <c r="X1102" s="6" t="n">
        <v>1</v>
      </c>
      <c r="Z1102" s="6" t="s">
        <v>3629</v>
      </c>
      <c r="AA1102" s="9" t="s">
        <v>774</v>
      </c>
      <c r="AB1102" s="6" t="s">
        <v>4149</v>
      </c>
      <c r="AC1102" s="27" t="n">
        <f aca="false">COUNTIF(環境認証!$A$2:$A$849,A914)</f>
        <v>0</v>
      </c>
      <c r="AD1102" s="6" t="n">
        <v>0.5</v>
      </c>
      <c r="AE1102" s="6" t="n">
        <v>-0.6</v>
      </c>
    </row>
    <row r="1103" customFormat="false" ht="15" hidden="false" customHeight="true" outlineLevel="0" collapsed="false">
      <c r="A1103" s="6" t="s">
        <v>4150</v>
      </c>
      <c r="B1103" s="6" t="s">
        <v>559</v>
      </c>
      <c r="C1103" s="6" t="s">
        <v>4151</v>
      </c>
      <c r="D1103" s="9" t="s">
        <v>1894</v>
      </c>
      <c r="E1103" s="36" t="s">
        <v>762</v>
      </c>
      <c r="F1103" s="36" t="s">
        <v>815</v>
      </c>
      <c r="H1103" s="9" t="s">
        <v>3633</v>
      </c>
      <c r="M1103" s="6" t="n">
        <v>2274.7</v>
      </c>
      <c r="P1103" s="1" t="n">
        <v>33848</v>
      </c>
      <c r="Q1103" s="1" t="n">
        <f aca="false">IF(OR($A915="",P915=""),"",ROUND(YEARFRAC(P915,README!$C$5),1))</f>
        <v>34.2</v>
      </c>
      <c r="S1103" s="6" t="n">
        <v>2580</v>
      </c>
      <c r="T1103" s="6" t="n">
        <v>2542</v>
      </c>
      <c r="U1103" s="6" t="n">
        <v>2650</v>
      </c>
      <c r="V1103" s="6" t="n">
        <v>108</v>
      </c>
      <c r="W1103" s="6" t="n">
        <v>1</v>
      </c>
      <c r="X1103" s="6" t="n">
        <v>1</v>
      </c>
      <c r="Z1103" s="6" t="s">
        <v>3629</v>
      </c>
      <c r="AA1103" s="9" t="s">
        <v>774</v>
      </c>
      <c r="AB1103" s="6" t="s">
        <v>4152</v>
      </c>
      <c r="AC1103" s="27" t="n">
        <f aca="false">COUNTIF(環境認証!$A$2:$A$849,A915)</f>
        <v>0</v>
      </c>
      <c r="AD1103" s="6" t="n">
        <v>4.2</v>
      </c>
      <c r="AE1103" s="6" t="n">
        <v>2.7</v>
      </c>
    </row>
    <row r="1104" customFormat="false" ht="15" hidden="false" customHeight="true" outlineLevel="0" collapsed="false">
      <c r="A1104" s="6" t="s">
        <v>4153</v>
      </c>
      <c r="B1104" s="6" t="s">
        <v>559</v>
      </c>
      <c r="C1104" s="6" t="s">
        <v>4154</v>
      </c>
      <c r="D1104" s="9" t="s">
        <v>1894</v>
      </c>
      <c r="E1104" s="36" t="s">
        <v>762</v>
      </c>
      <c r="H1104" s="9" t="s">
        <v>3633</v>
      </c>
      <c r="M1104" s="6" t="n">
        <v>1185.08</v>
      </c>
      <c r="P1104" s="1" t="n">
        <v>33270</v>
      </c>
      <c r="Q1104" s="1" t="n">
        <f aca="false">IF(OR($A916="",P916=""),"",ROUND(YEARFRAC(P916,README!$C$5),1))</f>
        <v>60.9</v>
      </c>
      <c r="S1104" s="6" t="n">
        <v>961</v>
      </c>
      <c r="T1104" s="6" t="n">
        <v>946</v>
      </c>
      <c r="U1104" s="6" t="n">
        <v>965</v>
      </c>
      <c r="V1104" s="6" t="n">
        <v>19</v>
      </c>
      <c r="W1104" s="6" t="n">
        <v>1</v>
      </c>
      <c r="X1104" s="6" t="n">
        <v>1</v>
      </c>
      <c r="Z1104" s="6" t="s">
        <v>3629</v>
      </c>
      <c r="AA1104" s="9" t="s">
        <v>774</v>
      </c>
      <c r="AB1104" s="6" t="s">
        <v>4155</v>
      </c>
      <c r="AC1104" s="27" t="n">
        <f aca="false">COUNTIF(環境認証!$A$2:$A$849,A916)</f>
        <v>0</v>
      </c>
      <c r="AD1104" s="6" t="n">
        <v>2</v>
      </c>
      <c r="AE1104" s="6" t="n">
        <v>0.4</v>
      </c>
    </row>
    <row r="1105" customFormat="false" ht="15" hidden="false" customHeight="true" outlineLevel="0" collapsed="false">
      <c r="A1105" s="6" t="s">
        <v>4156</v>
      </c>
      <c r="B1105" s="6" t="s">
        <v>559</v>
      </c>
      <c r="C1105" s="6" t="s">
        <v>4157</v>
      </c>
      <c r="D1105" s="9" t="s">
        <v>1894</v>
      </c>
      <c r="E1105" s="36" t="s">
        <v>762</v>
      </c>
      <c r="F1105" s="36" t="s">
        <v>895</v>
      </c>
      <c r="H1105" s="9" t="s">
        <v>3633</v>
      </c>
      <c r="M1105" s="6" t="n">
        <v>1179.11</v>
      </c>
      <c r="P1105" s="1" t="n">
        <v>41306</v>
      </c>
      <c r="Q1105" s="1" t="n">
        <f aca="false">IF(OR($A917="",P917=""),"",ROUND(YEARFRAC(P917,README!$C$5),1))</f>
        <v>35.2</v>
      </c>
      <c r="S1105" s="6" t="n">
        <v>1080</v>
      </c>
      <c r="T1105" s="6" t="n">
        <v>1061</v>
      </c>
      <c r="U1105" s="6" t="n">
        <v>1110</v>
      </c>
      <c r="V1105" s="6" t="n">
        <v>49</v>
      </c>
      <c r="W1105" s="6" t="n">
        <v>1</v>
      </c>
      <c r="X1105" s="6" t="n">
        <v>1</v>
      </c>
      <c r="Z1105" s="6" t="s">
        <v>3629</v>
      </c>
      <c r="AA1105" s="9" t="s">
        <v>774</v>
      </c>
      <c r="AB1105" s="6" t="s">
        <v>4158</v>
      </c>
      <c r="AC1105" s="27" t="n">
        <f aca="false">COUNTIF(環境認証!$A$2:$A$849,A917)</f>
        <v>0</v>
      </c>
      <c r="AD1105" s="6" t="n">
        <v>4.6</v>
      </c>
      <c r="AE1105" s="6" t="n">
        <v>2.8</v>
      </c>
    </row>
    <row r="1106" customFormat="false" ht="15" hidden="false" customHeight="true" outlineLevel="0" collapsed="false">
      <c r="A1106" s="6" t="s">
        <v>4159</v>
      </c>
      <c r="B1106" s="6" t="s">
        <v>559</v>
      </c>
      <c r="C1106" s="6" t="s">
        <v>4160</v>
      </c>
      <c r="D1106" s="9" t="s">
        <v>1894</v>
      </c>
      <c r="E1106" s="36" t="s">
        <v>762</v>
      </c>
      <c r="F1106" s="36" t="s">
        <v>815</v>
      </c>
      <c r="H1106" s="9" t="s">
        <v>3633</v>
      </c>
      <c r="M1106" s="6" t="n">
        <v>881.96</v>
      </c>
      <c r="P1106" s="1" t="n">
        <v>33635</v>
      </c>
      <c r="Q1106" s="1" t="n">
        <f aca="false">IF(OR($A918="",P918=""),"",ROUND(YEARFRAC(P918,README!$C$5),1))</f>
        <v>33.3</v>
      </c>
      <c r="S1106" s="6" t="n">
        <v>950</v>
      </c>
      <c r="T1106" s="6" t="n">
        <v>935</v>
      </c>
      <c r="U1106" s="6" t="n">
        <v>933</v>
      </c>
      <c r="V1106" s="6" t="n">
        <v>-2</v>
      </c>
      <c r="W1106" s="6" t="n">
        <v>1</v>
      </c>
      <c r="X1106" s="6" t="n">
        <v>1</v>
      </c>
      <c r="Z1106" s="6" t="s">
        <v>3629</v>
      </c>
      <c r="AA1106" s="9" t="s">
        <v>774</v>
      </c>
      <c r="AB1106" s="6" t="s">
        <v>4161</v>
      </c>
      <c r="AC1106" s="27" t="n">
        <f aca="false">COUNTIF(環境認証!$A$2:$A$849,A918)</f>
        <v>0</v>
      </c>
      <c r="AD1106" s="6" t="n">
        <v>-0.2</v>
      </c>
      <c r="AE1106" s="6" t="n">
        <v>-1.8</v>
      </c>
    </row>
    <row r="1107" customFormat="false" ht="15" hidden="false" customHeight="true" outlineLevel="0" collapsed="false">
      <c r="A1107" s="6" t="s">
        <v>4162</v>
      </c>
      <c r="B1107" s="6" t="s">
        <v>559</v>
      </c>
      <c r="C1107" s="6" t="s">
        <v>4163</v>
      </c>
      <c r="D1107" s="9" t="s">
        <v>1894</v>
      </c>
      <c r="E1107" s="36" t="s">
        <v>762</v>
      </c>
      <c r="F1107" s="36" t="s">
        <v>1316</v>
      </c>
      <c r="H1107" s="9" t="s">
        <v>3633</v>
      </c>
      <c r="M1107" s="6" t="n">
        <v>3988.06</v>
      </c>
      <c r="P1107" s="1" t="n">
        <v>40179</v>
      </c>
      <c r="Q1107" s="1" t="n">
        <f aca="false">IF(OR($A919="",P919=""),"",ROUND(YEARFRAC(P919,README!$C$5),1))</f>
        <v>11.1</v>
      </c>
      <c r="S1107" s="6" t="n">
        <v>3570</v>
      </c>
      <c r="T1107" s="6" t="n">
        <v>3498</v>
      </c>
      <c r="U1107" s="6" t="n">
        <v>3730</v>
      </c>
      <c r="V1107" s="6" t="n">
        <v>232</v>
      </c>
      <c r="W1107" s="6" t="n">
        <v>0.958</v>
      </c>
      <c r="X1107" s="6" t="n">
        <v>1</v>
      </c>
      <c r="Z1107" s="6" t="s">
        <v>3629</v>
      </c>
      <c r="AA1107" s="9" t="s">
        <v>774</v>
      </c>
      <c r="AB1107" s="6" t="s">
        <v>4164</v>
      </c>
      <c r="AC1107" s="27" t="n">
        <f aca="false">COUNTIF(環境認証!$A$2:$A$849,A919)</f>
        <v>0</v>
      </c>
      <c r="AD1107" s="6" t="n">
        <v>6.6</v>
      </c>
      <c r="AE1107" s="6" t="n">
        <v>4.5</v>
      </c>
    </row>
    <row r="1108" customFormat="false" ht="15" hidden="false" customHeight="true" outlineLevel="0" collapsed="false">
      <c r="A1108" s="6" t="s">
        <v>4165</v>
      </c>
      <c r="B1108" s="6" t="s">
        <v>559</v>
      </c>
      <c r="C1108" s="6" t="s">
        <v>4166</v>
      </c>
      <c r="D1108" s="9" t="s">
        <v>1894</v>
      </c>
      <c r="E1108" s="36" t="s">
        <v>762</v>
      </c>
      <c r="F1108" s="36" t="s">
        <v>895</v>
      </c>
      <c r="H1108" s="9" t="s">
        <v>3633</v>
      </c>
      <c r="M1108" s="6" t="n">
        <v>2477.01</v>
      </c>
      <c r="P1108" s="1" t="n">
        <v>42248</v>
      </c>
      <c r="Q1108" s="1" t="n">
        <f aca="false">IF(OR($A920="",P920=""),"",ROUND(YEARFRAC(P920,README!$C$5),1))</f>
        <v>33.5</v>
      </c>
      <c r="S1108" s="6" t="n">
        <v>1390</v>
      </c>
      <c r="T1108" s="6" t="n">
        <v>1369</v>
      </c>
      <c r="U1108" s="6" t="n">
        <v>1360</v>
      </c>
      <c r="V1108" s="6" t="n">
        <v>-9</v>
      </c>
      <c r="W1108" s="6" t="n">
        <v>1</v>
      </c>
      <c r="X1108" s="6" t="n">
        <v>1</v>
      </c>
      <c r="Z1108" s="6" t="s">
        <v>3629</v>
      </c>
      <c r="AA1108" s="9" t="s">
        <v>774</v>
      </c>
      <c r="AB1108" s="6" t="s">
        <v>4167</v>
      </c>
      <c r="AC1108" s="27" t="n">
        <f aca="false">COUNTIF(環境認証!$A$2:$A$849,A920)</f>
        <v>0</v>
      </c>
      <c r="AD1108" s="6" t="n">
        <v>-0.7</v>
      </c>
      <c r="AE1108" s="6" t="n">
        <v>-2.2</v>
      </c>
    </row>
    <row r="1109" customFormat="false" ht="15" hidden="false" customHeight="true" outlineLevel="0" collapsed="false">
      <c r="A1109" s="6" t="s">
        <v>4168</v>
      </c>
      <c r="B1109" s="6" t="s">
        <v>559</v>
      </c>
      <c r="C1109" s="6" t="s">
        <v>4169</v>
      </c>
      <c r="D1109" s="9" t="s">
        <v>1894</v>
      </c>
      <c r="E1109" s="36" t="s">
        <v>762</v>
      </c>
      <c r="F1109" s="36" t="s">
        <v>1152</v>
      </c>
      <c r="H1109" s="9" t="s">
        <v>3633</v>
      </c>
      <c r="M1109" s="6" t="n">
        <v>4795.16</v>
      </c>
      <c r="P1109" s="1" t="n">
        <v>34608</v>
      </c>
      <c r="Q1109" s="1" t="n">
        <f aca="false">IF(OR($A921="",P921=""),"",ROUND(YEARFRAC(P921,README!$C$5),1))</f>
        <v>30.5</v>
      </c>
      <c r="S1109" s="6" t="n">
        <v>5820</v>
      </c>
      <c r="T1109" s="6" t="n">
        <v>5722</v>
      </c>
      <c r="U1109" s="6" t="n">
        <v>6160</v>
      </c>
      <c r="V1109" s="6" t="n">
        <v>438</v>
      </c>
      <c r="W1109" s="6" t="n">
        <v>0.959</v>
      </c>
      <c r="X1109" s="6" t="n">
        <v>1</v>
      </c>
      <c r="Z1109" s="6" t="s">
        <v>3629</v>
      </c>
      <c r="AA1109" s="9" t="s">
        <v>774</v>
      </c>
      <c r="AB1109" s="6" t="s">
        <v>4170</v>
      </c>
      <c r="AC1109" s="27" t="n">
        <f aca="false">COUNTIF(環境認証!$A$2:$A$849,A921)</f>
        <v>0</v>
      </c>
      <c r="AD1109" s="6" t="n">
        <v>7.7</v>
      </c>
      <c r="AE1109" s="6" t="n">
        <v>5.8</v>
      </c>
    </row>
    <row r="1110" customFormat="false" ht="15" hidden="false" customHeight="true" outlineLevel="0" collapsed="false">
      <c r="A1110" s="6" t="s">
        <v>4171</v>
      </c>
      <c r="B1110" s="6" t="s">
        <v>559</v>
      </c>
      <c r="C1110" s="6" t="s">
        <v>4172</v>
      </c>
      <c r="D1110" s="9" t="s">
        <v>1894</v>
      </c>
      <c r="E1110" s="36" t="s">
        <v>762</v>
      </c>
      <c r="F1110" s="36" t="s">
        <v>895</v>
      </c>
      <c r="H1110" s="9" t="s">
        <v>3633</v>
      </c>
      <c r="M1110" s="6" t="n">
        <v>3265.57</v>
      </c>
      <c r="P1110" s="1" t="n">
        <v>31503</v>
      </c>
      <c r="Q1110" s="1" t="n">
        <f aca="false">IF(OR($A922="",P922=""),"",ROUND(YEARFRAC(P922,README!$C$5),1))</f>
        <v>8.6</v>
      </c>
      <c r="S1110" s="6" t="n">
        <v>2950</v>
      </c>
      <c r="T1110" s="6" t="n">
        <v>2894</v>
      </c>
      <c r="U1110" s="6" t="n">
        <v>3040</v>
      </c>
      <c r="V1110" s="6" t="n">
        <v>146</v>
      </c>
      <c r="W1110" s="6" t="n">
        <v>0.965</v>
      </c>
      <c r="X1110" s="6" t="n">
        <v>1</v>
      </c>
      <c r="Z1110" s="6" t="s">
        <v>3629</v>
      </c>
      <c r="AA1110" s="9" t="s">
        <v>774</v>
      </c>
      <c r="AB1110" s="6" t="s">
        <v>4173</v>
      </c>
      <c r="AC1110" s="27" t="n">
        <f aca="false">COUNTIF(環境認証!$A$2:$A$849,A922)</f>
        <v>0</v>
      </c>
      <c r="AD1110" s="6" t="n">
        <v>5</v>
      </c>
      <c r="AE1110" s="6" t="n">
        <v>3.1</v>
      </c>
    </row>
    <row r="1111" customFormat="false" ht="15" hidden="false" customHeight="true" outlineLevel="0" collapsed="false">
      <c r="A1111" s="6" t="s">
        <v>4174</v>
      </c>
      <c r="B1111" s="6" t="s">
        <v>559</v>
      </c>
      <c r="C1111" s="6" t="s">
        <v>4175</v>
      </c>
      <c r="D1111" s="9" t="s">
        <v>1894</v>
      </c>
      <c r="E1111" s="36" t="s">
        <v>762</v>
      </c>
      <c r="F1111" s="36" t="s">
        <v>763</v>
      </c>
      <c r="H1111" s="9" t="s">
        <v>3633</v>
      </c>
      <c r="M1111" s="6" t="n">
        <v>4103.23</v>
      </c>
      <c r="P1111" s="1" t="n">
        <v>40452</v>
      </c>
      <c r="Q1111" s="1" t="n">
        <f aca="false">IF(OR($A923="",P923=""),"",ROUND(YEARFRAC(P923,README!$C$5),1))</f>
        <v>7.9</v>
      </c>
      <c r="S1111" s="6" t="n">
        <v>3140</v>
      </c>
      <c r="T1111" s="6" t="n">
        <v>3085</v>
      </c>
      <c r="U1111" s="6" t="n">
        <v>3150</v>
      </c>
      <c r="V1111" s="6" t="n">
        <v>65</v>
      </c>
      <c r="W1111" s="6" t="n">
        <v>1</v>
      </c>
      <c r="X1111" s="6" t="n">
        <v>1</v>
      </c>
      <c r="Z1111" s="6" t="s">
        <v>3629</v>
      </c>
      <c r="AA1111" s="9" t="s">
        <v>774</v>
      </c>
      <c r="AB1111" s="6" t="s">
        <v>4176</v>
      </c>
      <c r="AC1111" s="27" t="n">
        <f aca="false">COUNTIF(環境認証!$A$2:$A$849,A923)</f>
        <v>0</v>
      </c>
      <c r="AD1111" s="6" t="n">
        <v>2.1</v>
      </c>
      <c r="AE1111" s="6" t="n">
        <v>0.3</v>
      </c>
    </row>
    <row r="1112" customFormat="false" ht="15" hidden="false" customHeight="true" outlineLevel="0" collapsed="false">
      <c r="A1112" s="6" t="s">
        <v>4177</v>
      </c>
      <c r="B1112" s="6" t="s">
        <v>559</v>
      </c>
      <c r="C1112" s="6" t="s">
        <v>4178</v>
      </c>
      <c r="D1112" s="9" t="s">
        <v>1894</v>
      </c>
      <c r="E1112" s="36" t="s">
        <v>762</v>
      </c>
      <c r="F1112" s="36" t="s">
        <v>1532</v>
      </c>
      <c r="H1112" s="9" t="s">
        <v>3633</v>
      </c>
      <c r="M1112" s="6" t="n">
        <v>1647.07</v>
      </c>
      <c r="P1112" s="1" t="n">
        <v>29495</v>
      </c>
      <c r="Q1112" s="1" t="n">
        <f aca="false">IF(OR($A924="",P924=""),"",ROUND(YEARFRAC(P924,README!$C$5),1))</f>
        <v>3.9</v>
      </c>
      <c r="S1112" s="6" t="n">
        <v>1020</v>
      </c>
      <c r="T1112" s="6" t="n">
        <v>1007</v>
      </c>
      <c r="U1112" s="6" t="n">
        <v>995</v>
      </c>
      <c r="V1112" s="6" t="n">
        <v>-12</v>
      </c>
      <c r="W1112" s="6" t="n">
        <v>1</v>
      </c>
      <c r="X1112" s="6" t="n">
        <v>1</v>
      </c>
      <c r="Z1112" s="6" t="s">
        <v>3629</v>
      </c>
      <c r="AA1112" s="9" t="s">
        <v>774</v>
      </c>
      <c r="AB1112" s="6" t="s">
        <v>4179</v>
      </c>
      <c r="AC1112" s="27" t="n">
        <f aca="false">COUNTIF(環境認証!$A$2:$A$849,A924)</f>
        <v>1</v>
      </c>
      <c r="AD1112" s="6" t="n">
        <v>-1.2</v>
      </c>
      <c r="AE1112" s="6" t="n">
        <v>-2.5</v>
      </c>
    </row>
    <row r="1113" customFormat="false" ht="15" hidden="false" customHeight="true" outlineLevel="0" collapsed="false">
      <c r="A1113" s="6" t="s">
        <v>4180</v>
      </c>
      <c r="B1113" s="6" t="s">
        <v>559</v>
      </c>
      <c r="C1113" s="6" t="s">
        <v>4181</v>
      </c>
      <c r="D1113" s="9" t="s">
        <v>1894</v>
      </c>
      <c r="E1113" s="36" t="s">
        <v>762</v>
      </c>
      <c r="F1113" s="36" t="s">
        <v>1165</v>
      </c>
      <c r="H1113" s="9" t="s">
        <v>3633</v>
      </c>
      <c r="M1113" s="6" t="n">
        <v>2914.23</v>
      </c>
      <c r="P1113" s="1" t="n">
        <v>39845</v>
      </c>
      <c r="Q1113" s="1" t="n">
        <f aca="false">IF(OR($A925="",P925=""),"",ROUND(YEARFRAC(P925,README!$C$5),1))</f>
        <v>8.8</v>
      </c>
      <c r="S1113" s="6" t="n">
        <v>1690</v>
      </c>
      <c r="T1113" s="6" t="n">
        <v>1655</v>
      </c>
      <c r="U1113" s="6" t="n">
        <v>1690</v>
      </c>
      <c r="V1113" s="6" t="n">
        <v>35</v>
      </c>
      <c r="W1113" s="6" t="n">
        <v>1</v>
      </c>
      <c r="X1113" s="6" t="n">
        <v>1</v>
      </c>
      <c r="Z1113" s="6" t="s">
        <v>3629</v>
      </c>
      <c r="AA1113" s="9" t="s">
        <v>774</v>
      </c>
      <c r="AB1113" s="6" t="s">
        <v>4182</v>
      </c>
      <c r="AC1113" s="27" t="n">
        <f aca="false">COUNTIF(環境認証!$A$2:$A$849,A925)</f>
        <v>1</v>
      </c>
      <c r="AD1113" s="6" t="n">
        <v>2.1</v>
      </c>
      <c r="AE1113" s="6" t="n">
        <v>0</v>
      </c>
    </row>
    <row r="1114" customFormat="false" ht="15" hidden="false" customHeight="true" outlineLevel="0" collapsed="false">
      <c r="A1114" s="6" t="s">
        <v>4183</v>
      </c>
      <c r="B1114" s="6" t="s">
        <v>559</v>
      </c>
      <c r="C1114" s="6" t="s">
        <v>4184</v>
      </c>
      <c r="D1114" s="9" t="s">
        <v>1894</v>
      </c>
      <c r="E1114" s="36" t="s">
        <v>1242</v>
      </c>
      <c r="F1114" s="36" t="s">
        <v>2095</v>
      </c>
      <c r="H1114" s="9" t="s">
        <v>3633</v>
      </c>
      <c r="M1114" s="6" t="n">
        <v>2993.65</v>
      </c>
      <c r="P1114" s="1" t="n">
        <v>33147</v>
      </c>
      <c r="Q1114" s="1" t="n">
        <f aca="false">IF(OR($A926="",P926=""),"",ROUND(YEARFRAC(P926,README!$C$5),1))</f>
        <v>7.6</v>
      </c>
      <c r="S1114" s="6" t="n">
        <v>3680</v>
      </c>
      <c r="T1114" s="6" t="n">
        <v>3641</v>
      </c>
      <c r="U1114" s="6" t="n">
        <v>3680</v>
      </c>
      <c r="V1114" s="6" t="n">
        <v>39</v>
      </c>
      <c r="W1114" s="6" t="n">
        <v>0.956</v>
      </c>
      <c r="X1114" s="6" t="n">
        <v>1</v>
      </c>
      <c r="Z1114" s="6" t="s">
        <v>3629</v>
      </c>
      <c r="AA1114" s="9" t="s">
        <v>774</v>
      </c>
      <c r="AB1114" s="6" t="s">
        <v>4185</v>
      </c>
      <c r="AC1114" s="27" t="n">
        <f aca="false">COUNTIF(環境認証!$A$2:$A$849,A926)</f>
        <v>1</v>
      </c>
      <c r="AD1114" s="6" t="n">
        <v>1.1</v>
      </c>
      <c r="AE1114" s="6" t="n">
        <v>0</v>
      </c>
    </row>
    <row r="1115" customFormat="false" ht="15" hidden="false" customHeight="true" outlineLevel="0" collapsed="false">
      <c r="A1115" s="6" t="s">
        <v>4186</v>
      </c>
      <c r="B1115" s="6" t="s">
        <v>559</v>
      </c>
      <c r="C1115" s="6" t="s">
        <v>4187</v>
      </c>
      <c r="D1115" s="9" t="s">
        <v>1894</v>
      </c>
      <c r="E1115" s="36" t="s">
        <v>762</v>
      </c>
      <c r="F1115" s="36" t="s">
        <v>848</v>
      </c>
      <c r="H1115" s="9" t="s">
        <v>3633</v>
      </c>
      <c r="M1115" s="6" t="n">
        <v>907.2</v>
      </c>
      <c r="P1115" s="1" t="n">
        <v>31533</v>
      </c>
      <c r="Q1115" s="1" t="n">
        <f aca="false">IF(OR($A927="",P927=""),"",ROUND(YEARFRAC(P927,README!$C$5),1))</f>
        <v>5.6</v>
      </c>
      <c r="S1115" s="6" t="n">
        <v>1160</v>
      </c>
      <c r="T1115" s="6" t="n">
        <v>1144</v>
      </c>
      <c r="U1115" s="6" t="n">
        <v>1170</v>
      </c>
      <c r="V1115" s="6" t="n">
        <v>26</v>
      </c>
      <c r="W1115" s="6" t="n">
        <v>1</v>
      </c>
      <c r="X1115" s="6" t="n">
        <v>1</v>
      </c>
      <c r="Z1115" s="6" t="s">
        <v>3629</v>
      </c>
      <c r="AA1115" s="9" t="s">
        <v>774</v>
      </c>
      <c r="AB1115" s="6" t="s">
        <v>4188</v>
      </c>
      <c r="AC1115" s="27" t="n">
        <f aca="false">COUNTIF(環境認証!$A$2:$A$849,A927)</f>
        <v>1</v>
      </c>
      <c r="AD1115" s="6" t="n">
        <v>2.3</v>
      </c>
      <c r="AE1115" s="6" t="n">
        <v>0.9</v>
      </c>
    </row>
    <row r="1116" customFormat="false" ht="15" hidden="false" customHeight="true" outlineLevel="0" collapsed="false">
      <c r="A1116" s="6" t="s">
        <v>4189</v>
      </c>
      <c r="B1116" s="6" t="s">
        <v>559</v>
      </c>
      <c r="C1116" s="9" t="s">
        <v>4190</v>
      </c>
      <c r="D1116" s="9" t="s">
        <v>1894</v>
      </c>
      <c r="E1116" s="36" t="s">
        <v>762</v>
      </c>
      <c r="F1116" s="36" t="s">
        <v>2282</v>
      </c>
      <c r="H1116" s="9" t="s">
        <v>3633</v>
      </c>
      <c r="M1116" s="6" t="n">
        <v>9313.13</v>
      </c>
      <c r="P1116" s="1" t="n">
        <v>43831</v>
      </c>
      <c r="Q1116" s="1" t="n">
        <f aca="false">IF(OR($A928="",P928=""),"",ROUND(YEARFRAC(P928,README!$C$5),1))</f>
        <v>7.4</v>
      </c>
      <c r="S1116" s="6" t="n">
        <v>9232</v>
      </c>
      <c r="T1116" s="6" t="n">
        <v>9482</v>
      </c>
      <c r="U1116" s="6" t="n">
        <v>10850</v>
      </c>
      <c r="V1116" s="6" t="n">
        <v>1368</v>
      </c>
      <c r="W1116" s="6" t="n">
        <v>0.973</v>
      </c>
      <c r="X1116" s="6" t="n">
        <v>1</v>
      </c>
      <c r="Z1116" s="6" t="s">
        <v>3629</v>
      </c>
      <c r="AA1116" s="9" t="s">
        <v>774</v>
      </c>
      <c r="AB1116" s="6" t="s">
        <v>4191</v>
      </c>
      <c r="AC1116" s="27" t="n">
        <f aca="false">COUNTIF(環境認証!$A$2:$A$849,A928)</f>
        <v>0</v>
      </c>
      <c r="AD1116" s="6" t="n">
        <v>14.4</v>
      </c>
      <c r="AE1116" s="6" t="n">
        <v>17.5</v>
      </c>
    </row>
    <row r="1117" customFormat="false" ht="15" hidden="false" customHeight="true" outlineLevel="0" collapsed="false">
      <c r="A1117" s="6" t="s">
        <v>4192</v>
      </c>
      <c r="B1117" s="6" t="s">
        <v>559</v>
      </c>
      <c r="C1117" s="6" t="s">
        <v>4193</v>
      </c>
      <c r="D1117" s="9" t="s">
        <v>1894</v>
      </c>
      <c r="E1117" s="36" t="s">
        <v>762</v>
      </c>
      <c r="F1117" s="36" t="s">
        <v>820</v>
      </c>
      <c r="H1117" s="9" t="s">
        <v>3633</v>
      </c>
      <c r="M1117" s="6" t="n">
        <v>1415.43</v>
      </c>
      <c r="P1117" s="1" t="n">
        <v>34455</v>
      </c>
      <c r="Q1117" s="1" t="str">
        <f aca="false">IF(OR($A929="",P929=""),"",ROUND(YEARFRAC(P929,README!$C$5),1))</f>
        <v/>
      </c>
      <c r="S1117" s="6" t="n">
        <v>1406</v>
      </c>
      <c r="T1117" s="6" t="n">
        <v>1500</v>
      </c>
      <c r="U1117" s="6" t="n">
        <v>1680</v>
      </c>
      <c r="V1117" s="6" t="n">
        <v>180</v>
      </c>
      <c r="W1117" s="6" t="n">
        <v>0.946</v>
      </c>
      <c r="X1117" s="6" t="n">
        <v>1</v>
      </c>
      <c r="Z1117" s="6" t="s">
        <v>3629</v>
      </c>
      <c r="AA1117" s="9" t="s">
        <v>774</v>
      </c>
      <c r="AB1117" s="6" t="s">
        <v>4194</v>
      </c>
      <c r="AC1117" s="27" t="n">
        <f aca="false">COUNTIF(環境認証!$A$2:$A$849,A929)</f>
        <v>0</v>
      </c>
      <c r="AD1117" s="6" t="n">
        <v>12</v>
      </c>
      <c r="AE1117" s="6" t="n">
        <v>19.5</v>
      </c>
    </row>
    <row r="1118" customFormat="false" ht="15" hidden="false" customHeight="true" outlineLevel="0" collapsed="false">
      <c r="A1118" s="6" t="s">
        <v>4195</v>
      </c>
      <c r="B1118" s="6" t="s">
        <v>559</v>
      </c>
      <c r="C1118" s="6" t="s">
        <v>4196</v>
      </c>
      <c r="D1118" s="9" t="s">
        <v>1894</v>
      </c>
      <c r="E1118" s="36" t="s">
        <v>762</v>
      </c>
      <c r="H1118" s="9" t="s">
        <v>3633</v>
      </c>
      <c r="M1118" s="6" t="n">
        <v>4025.87</v>
      </c>
      <c r="P1118" s="1" t="n">
        <v>40909</v>
      </c>
      <c r="Q1118" s="1" t="str">
        <f aca="false">IF(OR($A930="",P930=""),"",ROUND(YEARFRAC(P930,README!$C$5),1))</f>
        <v/>
      </c>
      <c r="S1118" s="6" t="n">
        <v>2700</v>
      </c>
      <c r="T1118" s="6" t="n">
        <v>2777</v>
      </c>
      <c r="U1118" s="6" t="n">
        <v>2890</v>
      </c>
      <c r="V1118" s="6" t="n">
        <v>113</v>
      </c>
      <c r="W1118" s="6" t="n">
        <v>0.934</v>
      </c>
      <c r="X1118" s="6" t="n">
        <v>1</v>
      </c>
      <c r="Z1118" s="6" t="s">
        <v>3629</v>
      </c>
      <c r="AA1118" s="9" t="s">
        <v>774</v>
      </c>
      <c r="AB1118" s="6" t="s">
        <v>4197</v>
      </c>
      <c r="AC1118" s="27" t="n">
        <f aca="false">COUNTIF(環境認証!$A$2:$A$849,A930)</f>
        <v>1</v>
      </c>
      <c r="AD1118" s="6" t="n">
        <v>4.1</v>
      </c>
      <c r="AE1118" s="6" t="n">
        <v>7</v>
      </c>
    </row>
    <row r="1119" customFormat="false" ht="15" hidden="false" customHeight="true" outlineLevel="0" collapsed="false">
      <c r="A1119" s="6" t="s">
        <v>4198</v>
      </c>
      <c r="B1119" s="6" t="s">
        <v>559</v>
      </c>
      <c r="C1119" s="6" t="s">
        <v>4199</v>
      </c>
      <c r="D1119" s="9" t="s">
        <v>1894</v>
      </c>
      <c r="E1119" s="36" t="s">
        <v>762</v>
      </c>
      <c r="F1119" s="36" t="s">
        <v>881</v>
      </c>
      <c r="H1119" s="9" t="s">
        <v>3633</v>
      </c>
      <c r="M1119" s="6" t="n">
        <v>1614.86</v>
      </c>
      <c r="P1119" s="1" t="n">
        <v>29068</v>
      </c>
      <c r="Q1119" s="1" t="str">
        <f aca="false">IF(OR($A931="",P931=""),"",ROUND(YEARFRAC(P931,README!$C$5),1))</f>
        <v/>
      </c>
      <c r="S1119" s="6" t="n">
        <v>1514</v>
      </c>
      <c r="T1119" s="6" t="n">
        <v>1556</v>
      </c>
      <c r="U1119" s="6" t="n">
        <v>1740</v>
      </c>
      <c r="V1119" s="6" t="n">
        <v>184</v>
      </c>
      <c r="W1119" s="6" t="n">
        <v>0.899</v>
      </c>
      <c r="X1119" s="6" t="n">
        <v>1</v>
      </c>
      <c r="Z1119" s="6" t="s">
        <v>3629</v>
      </c>
      <c r="AA1119" s="9" t="s">
        <v>774</v>
      </c>
      <c r="AB1119" s="6" t="s">
        <v>4200</v>
      </c>
      <c r="AC1119" s="27" t="n">
        <f aca="false">COUNTIF(環境認証!$A$2:$A$849,A931)</f>
        <v>1</v>
      </c>
      <c r="AD1119" s="6" t="n">
        <v>11.8</v>
      </c>
      <c r="AE1119" s="6" t="n">
        <v>14.9</v>
      </c>
    </row>
    <row r="1120" customFormat="false" ht="15" hidden="false" customHeight="true" outlineLevel="0" collapsed="false">
      <c r="A1120" s="6" t="s">
        <v>4201</v>
      </c>
      <c r="B1120" s="6" t="s">
        <v>559</v>
      </c>
      <c r="C1120" s="6" t="s">
        <v>4202</v>
      </c>
      <c r="D1120" s="9" t="s">
        <v>1894</v>
      </c>
      <c r="E1120" s="36" t="s">
        <v>762</v>
      </c>
      <c r="F1120" s="36" t="s">
        <v>771</v>
      </c>
      <c r="H1120" s="9" t="s">
        <v>3633</v>
      </c>
      <c r="M1120" s="6" t="n">
        <v>2601.86</v>
      </c>
      <c r="P1120" s="1" t="n">
        <v>41913</v>
      </c>
      <c r="Q1120" s="1" t="str">
        <f aca="false">IF(OR($A932="",P932=""),"",ROUND(YEARFRAC(P932,README!$C$5),1))</f>
        <v/>
      </c>
      <c r="S1120" s="6" t="n">
        <v>2550</v>
      </c>
      <c r="T1120" s="6" t="n">
        <v>2682</v>
      </c>
      <c r="U1120" s="6" t="n">
        <v>2820</v>
      </c>
      <c r="V1120" s="6" t="n">
        <v>138</v>
      </c>
      <c r="W1120" s="6" t="n">
        <v>0.959</v>
      </c>
      <c r="X1120" s="6" t="n">
        <v>1</v>
      </c>
      <c r="Z1120" s="6" t="s">
        <v>3629</v>
      </c>
      <c r="AA1120" s="9" t="s">
        <v>774</v>
      </c>
      <c r="AB1120" s="6" t="s">
        <v>4203</v>
      </c>
      <c r="AC1120" s="27" t="n">
        <f aca="false">COUNTIF(環境認証!$A$2:$A$849,A932)</f>
        <v>1</v>
      </c>
      <c r="AD1120" s="6" t="n">
        <v>5.1</v>
      </c>
      <c r="AE1120" s="6" t="n">
        <v>10.6</v>
      </c>
    </row>
    <row r="1121" customFormat="false" ht="15" hidden="false" customHeight="true" outlineLevel="0" collapsed="false">
      <c r="A1121" s="6" t="s">
        <v>4204</v>
      </c>
      <c r="B1121" s="6" t="s">
        <v>559</v>
      </c>
      <c r="C1121" s="6" t="s">
        <v>4205</v>
      </c>
      <c r="D1121" s="9" t="s">
        <v>1894</v>
      </c>
      <c r="E1121" s="36" t="s">
        <v>762</v>
      </c>
      <c r="F1121" s="36" t="s">
        <v>848</v>
      </c>
      <c r="H1121" s="9" t="s">
        <v>3839</v>
      </c>
      <c r="M1121" s="6" t="n">
        <v>6385.7</v>
      </c>
      <c r="P1121" s="1" t="n">
        <v>32752</v>
      </c>
      <c r="Q1121" s="1" t="str">
        <f aca="false">IF(OR($A933="",P933=""),"",ROUND(YEARFRAC(P933,README!$C$5),1))</f>
        <v/>
      </c>
      <c r="S1121" s="6" t="n">
        <v>4130</v>
      </c>
      <c r="T1121" s="6" t="n">
        <v>4074</v>
      </c>
      <c r="U1121" s="6" t="n">
        <v>4500</v>
      </c>
      <c r="V1121" s="6" t="n">
        <v>426</v>
      </c>
      <c r="W1121" s="6" t="n">
        <v>0.995</v>
      </c>
      <c r="X1121" s="6" t="n">
        <v>1</v>
      </c>
      <c r="Z1121" s="6" t="s">
        <v>3629</v>
      </c>
      <c r="AA1121" s="9" t="s">
        <v>774</v>
      </c>
      <c r="AB1121" s="6" t="s">
        <v>4206</v>
      </c>
      <c r="AC1121" s="27" t="n">
        <f aca="false">COUNTIF(環境認証!$A$2:$A$849,A933)</f>
        <v>0</v>
      </c>
      <c r="AD1121" s="6" t="n">
        <v>10.5</v>
      </c>
      <c r="AE1121" s="6" t="n">
        <v>9</v>
      </c>
    </row>
    <row r="1122" customFormat="false" ht="15" hidden="false" customHeight="true" outlineLevel="0" collapsed="false">
      <c r="A1122" s="6" t="s">
        <v>4207</v>
      </c>
      <c r="B1122" s="6" t="s">
        <v>559</v>
      </c>
      <c r="C1122" s="6" t="s">
        <v>4208</v>
      </c>
      <c r="D1122" s="9" t="s">
        <v>1894</v>
      </c>
      <c r="E1122" s="36" t="s">
        <v>762</v>
      </c>
      <c r="F1122" s="36" t="s">
        <v>848</v>
      </c>
      <c r="H1122" s="9" t="s">
        <v>3839</v>
      </c>
      <c r="M1122" s="6" t="n">
        <v>6255.16</v>
      </c>
      <c r="P1122" s="1" t="n">
        <v>32752</v>
      </c>
      <c r="Q1122" s="1" t="str">
        <f aca="false">IF(OR($A934="",P934=""),"",ROUND(YEARFRAC(P934,README!$C$5),1))</f>
        <v/>
      </c>
      <c r="S1122" s="6" t="n">
        <v>2440</v>
      </c>
      <c r="T1122" s="6" t="n">
        <v>2422</v>
      </c>
      <c r="U1122" s="6" t="n">
        <v>2690</v>
      </c>
      <c r="V1122" s="6" t="n">
        <v>268</v>
      </c>
      <c r="W1122" s="6" t="n">
        <v>0.961</v>
      </c>
      <c r="X1122" s="6" t="n">
        <v>1</v>
      </c>
      <c r="Z1122" s="6" t="s">
        <v>3629</v>
      </c>
      <c r="AA1122" s="9" t="s">
        <v>774</v>
      </c>
      <c r="AB1122" s="6" t="s">
        <v>4209</v>
      </c>
      <c r="AC1122" s="27" t="n">
        <f aca="false">COUNTIF(環境認証!$A$2:$A$849,A934)</f>
        <v>1</v>
      </c>
      <c r="AD1122" s="6" t="n">
        <v>11.1</v>
      </c>
      <c r="AE1122" s="6" t="n">
        <v>10.2</v>
      </c>
    </row>
    <row r="1123" customFormat="false" ht="15" hidden="false" customHeight="true" outlineLevel="0" collapsed="false">
      <c r="A1123" s="6" t="s">
        <v>4210</v>
      </c>
      <c r="B1123" s="6" t="s">
        <v>559</v>
      </c>
      <c r="C1123" s="6" t="s">
        <v>4211</v>
      </c>
      <c r="D1123" s="9" t="s">
        <v>1894</v>
      </c>
      <c r="E1123" s="36" t="s">
        <v>762</v>
      </c>
      <c r="F1123" s="36" t="s">
        <v>815</v>
      </c>
      <c r="H1123" s="9" t="s">
        <v>3839</v>
      </c>
      <c r="M1123" s="6" t="n">
        <v>4631.16</v>
      </c>
      <c r="P1123" s="1" t="n">
        <v>36770</v>
      </c>
      <c r="Q1123" s="1" t="str">
        <f aca="false">IF(OR($A935="",P935=""),"",ROUND(YEARFRAC(P935,README!$C$5),1))</f>
        <v/>
      </c>
      <c r="S1123" s="6" t="n">
        <v>2230</v>
      </c>
      <c r="T1123" s="6" t="n">
        <v>2132</v>
      </c>
      <c r="U1123" s="6" t="n">
        <v>2290</v>
      </c>
      <c r="V1123" s="6" t="n">
        <v>158</v>
      </c>
      <c r="W1123" s="6" t="n">
        <v>0.986</v>
      </c>
      <c r="X1123" s="6" t="n">
        <v>1</v>
      </c>
      <c r="Z1123" s="6" t="s">
        <v>3629</v>
      </c>
      <c r="AA1123" s="9" t="s">
        <v>774</v>
      </c>
      <c r="AB1123" s="6" t="s">
        <v>4212</v>
      </c>
      <c r="AC1123" s="27" t="n">
        <f aca="false">COUNTIF(環境認証!$A$2:$A$849,A935)</f>
        <v>0</v>
      </c>
      <c r="AD1123" s="6" t="n">
        <v>7.4</v>
      </c>
      <c r="AE1123" s="6" t="n">
        <v>2.7</v>
      </c>
    </row>
    <row r="1124" customFormat="false" ht="15" hidden="false" customHeight="true" outlineLevel="0" collapsed="false">
      <c r="A1124" s="6" t="s">
        <v>4213</v>
      </c>
      <c r="B1124" s="6" t="s">
        <v>559</v>
      </c>
      <c r="C1124" s="6" t="s">
        <v>4214</v>
      </c>
      <c r="D1124" s="9" t="s">
        <v>1894</v>
      </c>
      <c r="E1124" s="36" t="s">
        <v>762</v>
      </c>
      <c r="F1124" s="36" t="s">
        <v>2187</v>
      </c>
      <c r="H1124" s="9" t="s">
        <v>3839</v>
      </c>
      <c r="M1124" s="6" t="n">
        <v>2936.4</v>
      </c>
      <c r="P1124" s="1" t="n">
        <v>33086</v>
      </c>
      <c r="Q1124" s="1" t="str">
        <f aca="false">IF(OR($A936="",P936=""),"",ROUND(YEARFRAC(P936,README!$C$5),1))</f>
        <v/>
      </c>
      <c r="S1124" s="6" t="n">
        <v>1680</v>
      </c>
      <c r="T1124" s="6" t="n">
        <v>1635</v>
      </c>
      <c r="U1124" s="6" t="n">
        <v>1680</v>
      </c>
      <c r="V1124" s="6" t="n">
        <v>45</v>
      </c>
      <c r="W1124" s="6" t="n">
        <v>0.983</v>
      </c>
      <c r="X1124" s="6" t="n">
        <v>1</v>
      </c>
      <c r="Z1124" s="6" t="s">
        <v>3629</v>
      </c>
      <c r="AA1124" s="9" t="s">
        <v>774</v>
      </c>
      <c r="AB1124" s="6" t="s">
        <v>4215</v>
      </c>
      <c r="AC1124" s="27" t="n">
        <f aca="false">COUNTIF(環境認証!$A$2:$A$849,A936)</f>
        <v>1</v>
      </c>
      <c r="AD1124" s="6" t="n">
        <v>2.8</v>
      </c>
      <c r="AE1124" s="6" t="n">
        <v>0</v>
      </c>
    </row>
    <row r="1125" customFormat="false" ht="15" hidden="false" customHeight="true" outlineLevel="0" collapsed="false">
      <c r="A1125" s="6" t="s">
        <v>4216</v>
      </c>
      <c r="B1125" s="6" t="s">
        <v>559</v>
      </c>
      <c r="C1125" s="6" t="s">
        <v>4217</v>
      </c>
      <c r="D1125" s="9" t="s">
        <v>1894</v>
      </c>
      <c r="E1125" s="36" t="s">
        <v>762</v>
      </c>
      <c r="F1125" s="36" t="s">
        <v>815</v>
      </c>
      <c r="H1125" s="9" t="s">
        <v>3839</v>
      </c>
      <c r="M1125" s="6" t="n">
        <v>2798.2</v>
      </c>
      <c r="P1125" s="1" t="n">
        <v>42826</v>
      </c>
      <c r="Q1125" s="1" t="str">
        <f aca="false">IF(OR($A937="",P937=""),"",ROUND(YEARFRAC(P937,README!$C$5),1))</f>
        <v/>
      </c>
      <c r="S1125" s="6" t="n">
        <v>1650</v>
      </c>
      <c r="T1125" s="6" t="n">
        <v>1628</v>
      </c>
      <c r="U1125" s="6" t="n">
        <v>1600</v>
      </c>
      <c r="V1125" s="6" t="n">
        <v>-28</v>
      </c>
      <c r="W1125" s="6" t="n">
        <v>1</v>
      </c>
      <c r="X1125" s="6" t="n">
        <v>1</v>
      </c>
      <c r="Z1125" s="6" t="s">
        <v>3629</v>
      </c>
      <c r="AA1125" s="9" t="s">
        <v>774</v>
      </c>
      <c r="AB1125" s="6" t="s">
        <v>4218</v>
      </c>
      <c r="AC1125" s="27" t="n">
        <f aca="false">COUNTIF(環境認証!$A$2:$A$849,A937)</f>
        <v>1</v>
      </c>
      <c r="AD1125" s="6" t="n">
        <v>-1.7</v>
      </c>
      <c r="AE1125" s="6" t="n">
        <v>-3</v>
      </c>
    </row>
    <row r="1126" customFormat="false" ht="15" hidden="false" customHeight="true" outlineLevel="0" collapsed="false">
      <c r="A1126" s="6" t="s">
        <v>4219</v>
      </c>
      <c r="B1126" s="6" t="s">
        <v>559</v>
      </c>
      <c r="C1126" s="6" t="s">
        <v>4220</v>
      </c>
      <c r="D1126" s="9" t="s">
        <v>1894</v>
      </c>
      <c r="E1126" s="36" t="s">
        <v>762</v>
      </c>
      <c r="F1126" s="36" t="s">
        <v>782</v>
      </c>
      <c r="H1126" s="9" t="s">
        <v>3839</v>
      </c>
      <c r="M1126" s="6" t="n">
        <v>3330.15</v>
      </c>
      <c r="P1126" s="1" t="n">
        <v>42826</v>
      </c>
      <c r="Q1126" s="1" t="str">
        <f aca="false">IF(OR($A938="",P938=""),"",ROUND(YEARFRAC(P938,README!$C$5),1))</f>
        <v/>
      </c>
      <c r="S1126" s="6" t="n">
        <v>1450</v>
      </c>
      <c r="T1126" s="6" t="n">
        <v>1494</v>
      </c>
      <c r="U1126" s="6" t="n">
        <v>1450</v>
      </c>
      <c r="V1126" s="6" t="n">
        <v>-44</v>
      </c>
      <c r="W1126" s="6" t="n">
        <v>0.909</v>
      </c>
      <c r="X1126" s="6" t="n">
        <v>1</v>
      </c>
      <c r="Z1126" s="6" t="s">
        <v>3629</v>
      </c>
      <c r="AA1126" s="9" t="s">
        <v>774</v>
      </c>
      <c r="AB1126" s="6" t="s">
        <v>4221</v>
      </c>
      <c r="AC1126" s="27" t="n">
        <f aca="false">COUNTIF(環境認証!$A$2:$A$849,A938)</f>
        <v>1</v>
      </c>
      <c r="AD1126" s="6" t="n">
        <v>-2.9</v>
      </c>
      <c r="AE1126" s="6" t="n">
        <v>0</v>
      </c>
    </row>
    <row r="1127" customFormat="false" ht="15" hidden="false" customHeight="true" outlineLevel="0" collapsed="false">
      <c r="A1127" s="6" t="s">
        <v>4222</v>
      </c>
      <c r="B1127" s="6" t="s">
        <v>559</v>
      </c>
      <c r="C1127" s="6" t="s">
        <v>4223</v>
      </c>
      <c r="D1127" s="9" t="s">
        <v>1894</v>
      </c>
      <c r="E1127" s="36" t="s">
        <v>762</v>
      </c>
      <c r="F1127" s="36" t="s">
        <v>2317</v>
      </c>
      <c r="H1127" s="9" t="s">
        <v>3839</v>
      </c>
      <c r="M1127" s="6" t="n">
        <v>6221.83</v>
      </c>
      <c r="P1127" s="1" t="n">
        <v>42309</v>
      </c>
      <c r="Q1127" s="1" t="str">
        <f aca="false">IF(OR($A939="",P939=""),"",ROUND(YEARFRAC(P939,README!$C$5),1))</f>
        <v/>
      </c>
      <c r="S1127" s="6" t="n">
        <v>2680</v>
      </c>
      <c r="T1127" s="6" t="n">
        <v>2632</v>
      </c>
      <c r="U1127" s="6" t="n">
        <v>2730</v>
      </c>
      <c r="V1127" s="6" t="n">
        <v>98</v>
      </c>
      <c r="W1127" s="6" t="n">
        <v>0.957</v>
      </c>
      <c r="X1127" s="6" t="n">
        <v>1</v>
      </c>
      <c r="Z1127" s="6" t="s">
        <v>3629</v>
      </c>
      <c r="AA1127" s="9" t="s">
        <v>774</v>
      </c>
      <c r="AB1127" s="6" t="s">
        <v>4224</v>
      </c>
      <c r="AC1127" s="27" t="n">
        <f aca="false">COUNTIF(環境認証!$A$2:$A$849,A939)</f>
        <v>1</v>
      </c>
      <c r="AD1127" s="6" t="n">
        <v>3.7</v>
      </c>
      <c r="AE1127" s="6" t="n">
        <v>1.9</v>
      </c>
    </row>
    <row r="1128" customFormat="false" ht="15" hidden="false" customHeight="true" outlineLevel="0" collapsed="false">
      <c r="A1128" s="6" t="s">
        <v>4225</v>
      </c>
      <c r="B1128" s="6" t="s">
        <v>559</v>
      </c>
      <c r="C1128" s="9" t="s">
        <v>4226</v>
      </c>
      <c r="D1128" s="9" t="s">
        <v>1894</v>
      </c>
      <c r="E1128" s="36" t="s">
        <v>762</v>
      </c>
      <c r="H1128" s="9" t="s">
        <v>3839</v>
      </c>
      <c r="M1128" s="6" t="n">
        <v>4044.46</v>
      </c>
      <c r="P1128" s="1" t="n">
        <v>43374</v>
      </c>
      <c r="Q1128" s="1" t="str">
        <f aca="false">IF(OR($A940="",P940=""),"",ROUND(YEARFRAC(P940,README!$C$5),1))</f>
        <v/>
      </c>
      <c r="S1128" s="6" t="n">
        <v>2420</v>
      </c>
      <c r="T1128" s="6" t="n">
        <v>2430</v>
      </c>
      <c r="U1128" s="6" t="n">
        <v>2500</v>
      </c>
      <c r="V1128" s="6" t="n">
        <v>70</v>
      </c>
      <c r="W1128" s="6" t="n">
        <v>0.967</v>
      </c>
      <c r="X1128" s="6" t="n">
        <v>1</v>
      </c>
      <c r="Z1128" s="6" t="s">
        <v>3629</v>
      </c>
      <c r="AA1128" s="9" t="s">
        <v>774</v>
      </c>
      <c r="AB1128" s="6" t="s">
        <v>4227</v>
      </c>
      <c r="AC1128" s="27" t="n">
        <f aca="false">COUNTIF(環境認証!$A$2:$A$849,A940)</f>
        <v>1</v>
      </c>
      <c r="AD1128" s="6" t="n">
        <v>2.9</v>
      </c>
      <c r="AE1128" s="6" t="n">
        <v>3.3</v>
      </c>
    </row>
    <row r="1129" customFormat="false" ht="15" hidden="false" customHeight="true" outlineLevel="0" collapsed="false">
      <c r="A1129" s="6" t="s">
        <v>4228</v>
      </c>
      <c r="B1129" s="6" t="s">
        <v>559</v>
      </c>
      <c r="C1129" s="6" t="s">
        <v>4229</v>
      </c>
      <c r="D1129" s="9" t="s">
        <v>1894</v>
      </c>
      <c r="E1129" s="36" t="s">
        <v>762</v>
      </c>
      <c r="F1129" s="36" t="s">
        <v>820</v>
      </c>
      <c r="H1129" s="9" t="s">
        <v>3839</v>
      </c>
      <c r="M1129" s="6" t="n">
        <v>3387.3</v>
      </c>
      <c r="P1129" s="1" t="n">
        <v>42583</v>
      </c>
      <c r="Q1129" s="1" t="str">
        <f aca="false">IF(OR($A941="",P941=""),"",ROUND(YEARFRAC(P941,README!$C$5),1))</f>
        <v/>
      </c>
      <c r="S1129" s="6" t="n">
        <v>1940</v>
      </c>
      <c r="T1129" s="6" t="n">
        <v>1985</v>
      </c>
      <c r="U1129" s="6" t="n">
        <v>2080</v>
      </c>
      <c r="V1129" s="6" t="n">
        <v>95</v>
      </c>
      <c r="W1129" s="6" t="n">
        <v>0.977</v>
      </c>
      <c r="X1129" s="6" t="n">
        <v>1</v>
      </c>
      <c r="Z1129" s="6" t="s">
        <v>3629</v>
      </c>
      <c r="AA1129" s="9" t="s">
        <v>774</v>
      </c>
      <c r="AB1129" s="6" t="s">
        <v>4230</v>
      </c>
      <c r="AC1129" s="27" t="n">
        <f aca="false">COUNTIF(環境認証!$A$2:$A$849,A941)</f>
        <v>1</v>
      </c>
      <c r="AD1129" s="6" t="n">
        <v>4.8</v>
      </c>
      <c r="AE1129" s="6" t="n">
        <v>7.2</v>
      </c>
    </row>
    <row r="1130" customFormat="false" ht="15" hidden="false" customHeight="true" outlineLevel="0" collapsed="false">
      <c r="A1130" s="6" t="s">
        <v>4231</v>
      </c>
      <c r="B1130" s="6" t="s">
        <v>559</v>
      </c>
      <c r="C1130" s="6" t="s">
        <v>4232</v>
      </c>
      <c r="D1130" s="9" t="s">
        <v>1894</v>
      </c>
      <c r="E1130" s="36" t="s">
        <v>762</v>
      </c>
      <c r="F1130" s="36" t="s">
        <v>782</v>
      </c>
      <c r="H1130" s="9" t="s">
        <v>3839</v>
      </c>
      <c r="M1130" s="6" t="n">
        <v>3813.31</v>
      </c>
      <c r="P1130" s="1" t="n">
        <v>42948</v>
      </c>
      <c r="Q1130" s="1" t="str">
        <f aca="false">IF(OR($A942="",P942=""),"",ROUND(YEARFRAC(P942,README!$C$5),1))</f>
        <v/>
      </c>
      <c r="S1130" s="6" t="n">
        <v>1780</v>
      </c>
      <c r="T1130" s="6" t="n">
        <v>1804</v>
      </c>
      <c r="U1130" s="6" t="n">
        <v>1870</v>
      </c>
      <c r="V1130" s="6" t="n">
        <v>66</v>
      </c>
      <c r="W1130" s="6" t="n">
        <v>0.993</v>
      </c>
      <c r="X1130" s="6" t="n">
        <v>1</v>
      </c>
      <c r="Z1130" s="6" t="s">
        <v>3629</v>
      </c>
      <c r="AA1130" s="9" t="s">
        <v>774</v>
      </c>
      <c r="AB1130" s="6" t="s">
        <v>4233</v>
      </c>
      <c r="AC1130" s="27" t="n">
        <f aca="false">COUNTIF(環境認証!$A$2:$A$849,A942)</f>
        <v>0</v>
      </c>
      <c r="AD1130" s="6" t="n">
        <v>3.7</v>
      </c>
      <c r="AE1130" s="6" t="n">
        <v>5.1</v>
      </c>
    </row>
    <row r="1131" customFormat="false" ht="15" hidden="false" customHeight="true" outlineLevel="0" collapsed="false">
      <c r="A1131" s="6" t="s">
        <v>4234</v>
      </c>
      <c r="B1131" s="6" t="s">
        <v>559</v>
      </c>
      <c r="C1131" s="6" t="s">
        <v>4235</v>
      </c>
      <c r="D1131" s="9" t="s">
        <v>1894</v>
      </c>
      <c r="E1131" s="36" t="s">
        <v>762</v>
      </c>
      <c r="F1131" s="36" t="s">
        <v>820</v>
      </c>
      <c r="H1131" s="9" t="s">
        <v>3839</v>
      </c>
      <c r="M1131" s="6" t="n">
        <v>4701.87</v>
      </c>
      <c r="P1131" s="1" t="n">
        <v>43405</v>
      </c>
      <c r="Q1131" s="1" t="str">
        <f aca="false">IF(OR($A943="",P943=""),"",ROUND(YEARFRAC(P943,README!$C$5),1))</f>
        <v/>
      </c>
      <c r="S1131" s="6" t="n">
        <v>1657</v>
      </c>
      <c r="T1131" s="6" t="n">
        <v>1730</v>
      </c>
      <c r="U1131" s="6" t="n">
        <v>1728</v>
      </c>
      <c r="V1131" s="6" t="n">
        <v>-2</v>
      </c>
      <c r="W1131" s="6" t="n">
        <v>1</v>
      </c>
      <c r="X1131" s="6" t="n">
        <v>1</v>
      </c>
      <c r="Z1131" s="6" t="s">
        <v>3629</v>
      </c>
      <c r="AA1131" s="9" t="s">
        <v>774</v>
      </c>
      <c r="AB1131" s="6" t="s">
        <v>4236</v>
      </c>
      <c r="AC1131" s="27" t="n">
        <f aca="false">COUNTIF(環境認証!$A$2:$A$849,A943)</f>
        <v>1</v>
      </c>
      <c r="AD1131" s="6" t="n">
        <v>-0.1</v>
      </c>
      <c r="AE1131" s="6" t="n">
        <v>4.3</v>
      </c>
    </row>
    <row r="1132" customFormat="false" ht="15" hidden="false" customHeight="true" outlineLevel="0" collapsed="false">
      <c r="A1132" s="6" t="s">
        <v>4237</v>
      </c>
      <c r="B1132" s="6" t="s">
        <v>559</v>
      </c>
      <c r="C1132" s="6" t="s">
        <v>4238</v>
      </c>
      <c r="D1132" s="9" t="s">
        <v>1894</v>
      </c>
      <c r="E1132" s="36" t="s">
        <v>762</v>
      </c>
      <c r="F1132" s="36" t="s">
        <v>895</v>
      </c>
      <c r="H1132" s="9" t="s">
        <v>3839</v>
      </c>
      <c r="M1132" s="6" t="n">
        <v>2292.72</v>
      </c>
      <c r="P1132" s="1" t="n">
        <v>41091</v>
      </c>
      <c r="Q1132" s="1" t="str">
        <f aca="false">IF(OR($A944="",P944=""),"",ROUND(YEARFRAC(P944,README!$C$5),1))</f>
        <v/>
      </c>
      <c r="S1132" s="6" t="n">
        <v>1410</v>
      </c>
      <c r="T1132" s="6" t="n">
        <v>1381</v>
      </c>
      <c r="U1132" s="6" t="n">
        <v>1590</v>
      </c>
      <c r="V1132" s="6" t="n">
        <v>209</v>
      </c>
      <c r="W1132" s="6" t="n">
        <v>0.989</v>
      </c>
      <c r="X1132" s="6" t="n">
        <v>1</v>
      </c>
      <c r="Z1132" s="6" t="s">
        <v>3629</v>
      </c>
      <c r="AA1132" s="9" t="s">
        <v>774</v>
      </c>
      <c r="AB1132" s="6" t="s">
        <v>4239</v>
      </c>
      <c r="AC1132" s="27" t="n">
        <f aca="false">COUNTIF(環境認証!$A$2:$A$849,A944)</f>
        <v>1</v>
      </c>
      <c r="AD1132" s="6" t="n">
        <v>15.1</v>
      </c>
      <c r="AE1132" s="6" t="n">
        <v>12.8</v>
      </c>
    </row>
    <row r="1133" customFormat="false" ht="15" hidden="false" customHeight="true" outlineLevel="0" collapsed="false">
      <c r="A1133" s="6" t="s">
        <v>4240</v>
      </c>
      <c r="B1133" s="6" t="s">
        <v>559</v>
      </c>
      <c r="C1133" s="6" t="s">
        <v>4241</v>
      </c>
      <c r="D1133" s="9" t="s">
        <v>1894</v>
      </c>
      <c r="E1133" s="36" t="s">
        <v>946</v>
      </c>
      <c r="F1133" s="36" t="s">
        <v>2336</v>
      </c>
      <c r="H1133" s="9" t="s">
        <v>3839</v>
      </c>
      <c r="M1133" s="6" t="n">
        <v>3413.06</v>
      </c>
      <c r="P1133" s="1" t="n">
        <v>32933</v>
      </c>
      <c r="Q1133" s="1" t="str">
        <f aca="false">IF(OR($A945="",P945=""),"",ROUND(YEARFRAC(P945,README!$C$5),1))</f>
        <v/>
      </c>
      <c r="S1133" s="6" t="n">
        <v>1180</v>
      </c>
      <c r="T1133" s="6" t="n">
        <v>1140</v>
      </c>
      <c r="U1133" s="6" t="n">
        <v>1230</v>
      </c>
      <c r="V1133" s="6" t="n">
        <v>90</v>
      </c>
      <c r="W1133" s="6" t="n">
        <v>0.954</v>
      </c>
      <c r="X1133" s="6" t="n">
        <v>1</v>
      </c>
      <c r="Z1133" s="6" t="s">
        <v>3629</v>
      </c>
      <c r="AA1133" s="9" t="s">
        <v>774</v>
      </c>
      <c r="AB1133" s="6" t="s">
        <v>4242</v>
      </c>
      <c r="AC1133" s="27" t="n">
        <f aca="false">COUNTIF(環境認証!$A$2:$A$849,A945)</f>
        <v>1</v>
      </c>
      <c r="AD1133" s="6" t="n">
        <v>7.9</v>
      </c>
      <c r="AE1133" s="6" t="n">
        <v>4.2</v>
      </c>
    </row>
    <row r="1134" customFormat="false" ht="15" hidden="false" customHeight="true" outlineLevel="0" collapsed="false">
      <c r="A1134" s="6" t="s">
        <v>4243</v>
      </c>
      <c r="B1134" s="6" t="s">
        <v>559</v>
      </c>
      <c r="C1134" s="6" t="s">
        <v>4244</v>
      </c>
      <c r="D1134" s="9" t="s">
        <v>1894</v>
      </c>
      <c r="E1134" s="36" t="s">
        <v>762</v>
      </c>
      <c r="F1134" s="36" t="s">
        <v>895</v>
      </c>
      <c r="H1134" s="9" t="s">
        <v>3839</v>
      </c>
      <c r="M1134" s="6" t="n">
        <v>2762.76</v>
      </c>
      <c r="P1134" s="1" t="n">
        <v>31229</v>
      </c>
      <c r="Q1134" s="1" t="str">
        <f aca="false">IF(OR($A946="",P946=""),"",ROUND(YEARFRAC(P946,README!$C$5),1))</f>
        <v/>
      </c>
      <c r="S1134" s="6" t="n">
        <v>1150</v>
      </c>
      <c r="T1134" s="6" t="n">
        <v>1114</v>
      </c>
      <c r="U1134" s="6" t="n">
        <v>1190</v>
      </c>
      <c r="V1134" s="6" t="n">
        <v>76</v>
      </c>
      <c r="W1134" s="6" t="n">
        <v>0.936</v>
      </c>
      <c r="X1134" s="6" t="n">
        <v>1</v>
      </c>
      <c r="Z1134" s="6" t="s">
        <v>3629</v>
      </c>
      <c r="AA1134" s="9" t="s">
        <v>774</v>
      </c>
      <c r="AB1134" s="6" t="s">
        <v>4245</v>
      </c>
      <c r="AC1134" s="27" t="n">
        <f aca="false">COUNTIF(環境認証!$A$2:$A$849,A946)</f>
        <v>1</v>
      </c>
      <c r="AD1134" s="6" t="n">
        <v>6.8</v>
      </c>
      <c r="AE1134" s="6" t="n">
        <v>3.5</v>
      </c>
    </row>
    <row r="1135" customFormat="false" ht="15" hidden="false" customHeight="true" outlineLevel="0" collapsed="false">
      <c r="A1135" s="6" t="s">
        <v>4246</v>
      </c>
      <c r="B1135" s="6" t="s">
        <v>559</v>
      </c>
      <c r="C1135" s="6" t="s">
        <v>4247</v>
      </c>
      <c r="D1135" s="9" t="s">
        <v>1894</v>
      </c>
      <c r="E1135" s="36" t="s">
        <v>762</v>
      </c>
      <c r="F1135" s="36" t="s">
        <v>2187</v>
      </c>
      <c r="H1135" s="9" t="s">
        <v>3839</v>
      </c>
      <c r="M1135" s="6" t="n">
        <v>2724.19</v>
      </c>
      <c r="P1135" s="1" t="n">
        <v>38596</v>
      </c>
      <c r="Q1135" s="1" t="str">
        <f aca="false">IF(OR($A947="",P947=""),"",ROUND(YEARFRAC(P947,README!$C$5),1))</f>
        <v/>
      </c>
      <c r="S1135" s="6" t="n">
        <v>1120</v>
      </c>
      <c r="T1135" s="6" t="n">
        <v>1082</v>
      </c>
      <c r="U1135" s="6" t="n">
        <v>1160</v>
      </c>
      <c r="V1135" s="6" t="n">
        <v>78</v>
      </c>
      <c r="W1135" s="6" t="n">
        <v>0.982</v>
      </c>
      <c r="X1135" s="6" t="n">
        <v>1</v>
      </c>
      <c r="Z1135" s="6" t="s">
        <v>3629</v>
      </c>
      <c r="AA1135" s="9" t="s">
        <v>774</v>
      </c>
      <c r="AB1135" s="6" t="s">
        <v>4248</v>
      </c>
      <c r="AC1135" s="27" t="n">
        <f aca="false">COUNTIF(環境認証!$A$2:$A$849,A947)</f>
        <v>1</v>
      </c>
      <c r="AD1135" s="6" t="n">
        <v>7.2</v>
      </c>
      <c r="AE1135" s="6" t="n">
        <v>3.6</v>
      </c>
    </row>
    <row r="1136" customFormat="false" ht="15" hidden="false" customHeight="true" outlineLevel="0" collapsed="false">
      <c r="A1136" s="6" t="s">
        <v>4249</v>
      </c>
      <c r="B1136" s="6" t="s">
        <v>559</v>
      </c>
      <c r="C1136" s="6" t="s">
        <v>4250</v>
      </c>
      <c r="D1136" s="9" t="s">
        <v>1894</v>
      </c>
      <c r="E1136" s="36" t="s">
        <v>762</v>
      </c>
      <c r="F1136" s="36" t="s">
        <v>2187</v>
      </c>
      <c r="H1136" s="9" t="s">
        <v>3839</v>
      </c>
      <c r="M1136" s="6" t="n">
        <v>2602.53</v>
      </c>
      <c r="P1136" s="1" t="n">
        <v>38596</v>
      </c>
      <c r="Q1136" s="1" t="str">
        <f aca="false">IF(OR($A948="",P948=""),"",ROUND(YEARFRAC(P948,README!$C$5),1))</f>
        <v/>
      </c>
      <c r="S1136" s="6" t="n">
        <v>1090</v>
      </c>
      <c r="T1136" s="6" t="n">
        <v>1125</v>
      </c>
      <c r="U1136" s="6" t="n">
        <v>1130</v>
      </c>
      <c r="V1136" s="6" t="n">
        <v>5</v>
      </c>
      <c r="W1136" s="6" t="n">
        <v>0.984</v>
      </c>
      <c r="X1136" s="6" t="n">
        <v>1</v>
      </c>
      <c r="Z1136" s="6" t="s">
        <v>3629</v>
      </c>
      <c r="AA1136" s="9" t="s">
        <v>774</v>
      </c>
      <c r="AB1136" s="6" t="s">
        <v>4251</v>
      </c>
      <c r="AC1136" s="27" t="n">
        <f aca="false">COUNTIF(環境認証!$A$2:$A$849,A948)</f>
        <v>0</v>
      </c>
      <c r="AD1136" s="6" t="n">
        <v>0.4</v>
      </c>
      <c r="AE1136" s="6" t="n">
        <v>3.7</v>
      </c>
    </row>
    <row r="1137" customFormat="false" ht="15" hidden="false" customHeight="true" outlineLevel="0" collapsed="false">
      <c r="A1137" s="6" t="s">
        <v>4252</v>
      </c>
      <c r="B1137" s="6" t="s">
        <v>559</v>
      </c>
      <c r="C1137" s="6" t="s">
        <v>4253</v>
      </c>
      <c r="D1137" s="9" t="s">
        <v>1894</v>
      </c>
      <c r="E1137" s="36" t="s">
        <v>762</v>
      </c>
      <c r="F1137" s="36" t="s">
        <v>2187</v>
      </c>
      <c r="H1137" s="9" t="s">
        <v>3839</v>
      </c>
      <c r="M1137" s="6" t="n">
        <v>2098.68</v>
      </c>
      <c r="P1137" s="1" t="n">
        <v>38565</v>
      </c>
      <c r="Q1137" s="1" t="str">
        <f aca="false">IF(OR($A949="",P949=""),"",ROUND(YEARFRAC(P949,README!$C$5),1))</f>
        <v/>
      </c>
      <c r="S1137" s="6" t="n">
        <v>1090</v>
      </c>
      <c r="T1137" s="6" t="n">
        <v>1135</v>
      </c>
      <c r="U1137" s="6" t="n">
        <v>1070</v>
      </c>
      <c r="V1137" s="6" t="n">
        <v>-65</v>
      </c>
      <c r="W1137" s="6" t="n">
        <v>0.957</v>
      </c>
      <c r="X1137" s="6" t="n">
        <v>1</v>
      </c>
      <c r="Z1137" s="6" t="s">
        <v>3629</v>
      </c>
      <c r="AA1137" s="9" t="s">
        <v>774</v>
      </c>
      <c r="AB1137" s="6" t="s">
        <v>4254</v>
      </c>
      <c r="AC1137" s="27" t="n">
        <f aca="false">COUNTIF(環境認証!$A$2:$A$849,A949)</f>
        <v>1</v>
      </c>
      <c r="AD1137" s="6" t="n">
        <v>-5.7</v>
      </c>
      <c r="AE1137" s="6" t="n">
        <v>-1.8</v>
      </c>
    </row>
    <row r="1138" customFormat="false" ht="15" hidden="false" customHeight="true" outlineLevel="0" collapsed="false">
      <c r="A1138" s="6" t="s">
        <v>4255</v>
      </c>
      <c r="B1138" s="6" t="s">
        <v>559</v>
      </c>
      <c r="C1138" s="6" t="s">
        <v>4256</v>
      </c>
      <c r="D1138" s="9" t="s">
        <v>1894</v>
      </c>
      <c r="E1138" s="36" t="s">
        <v>762</v>
      </c>
      <c r="F1138" s="36" t="s">
        <v>1452</v>
      </c>
      <c r="H1138" s="9" t="s">
        <v>3839</v>
      </c>
      <c r="M1138" s="6" t="n">
        <v>2522.16</v>
      </c>
      <c r="P1138" s="1" t="n">
        <v>38443</v>
      </c>
      <c r="Q1138" s="1" t="str">
        <f aca="false">IF(OR($A950="",P950=""),"",ROUND(YEARFRAC(P950,README!$C$5),1))</f>
        <v/>
      </c>
      <c r="S1138" s="6" t="n">
        <v>1110</v>
      </c>
      <c r="T1138" s="6" t="n">
        <v>1142</v>
      </c>
      <c r="U1138" s="6" t="n">
        <v>1070</v>
      </c>
      <c r="V1138" s="6" t="n">
        <v>-72</v>
      </c>
      <c r="W1138" s="6" t="n">
        <v>0.916</v>
      </c>
      <c r="X1138" s="6" t="n">
        <v>1</v>
      </c>
      <c r="Z1138" s="6" t="s">
        <v>3629</v>
      </c>
      <c r="AA1138" s="9" t="s">
        <v>774</v>
      </c>
      <c r="AB1138" s="6" t="s">
        <v>4257</v>
      </c>
      <c r="AC1138" s="27" t="n">
        <f aca="false">COUNTIF(環境認証!$A$2:$A$849,A950)</f>
        <v>2</v>
      </c>
      <c r="AD1138" s="6" t="n">
        <v>-6.3</v>
      </c>
      <c r="AE1138" s="6" t="n">
        <v>-3.6</v>
      </c>
    </row>
    <row r="1139" customFormat="false" ht="15" hidden="false" customHeight="true" outlineLevel="0" collapsed="false">
      <c r="A1139" s="6" t="s">
        <v>4258</v>
      </c>
      <c r="B1139" s="6" t="s">
        <v>559</v>
      </c>
      <c r="C1139" s="6" t="s">
        <v>4259</v>
      </c>
      <c r="D1139" s="9" t="s">
        <v>1894</v>
      </c>
      <c r="E1139" s="36" t="s">
        <v>762</v>
      </c>
      <c r="F1139" s="36" t="s">
        <v>815</v>
      </c>
      <c r="H1139" s="9" t="s">
        <v>3839</v>
      </c>
      <c r="M1139" s="6" t="n">
        <v>2024.5</v>
      </c>
      <c r="P1139" s="1" t="n">
        <v>42370</v>
      </c>
      <c r="Q1139" s="1" t="str">
        <f aca="false">IF(OR($A951="",P951=""),"",ROUND(YEARFRAC(P951,README!$C$5),1))</f>
        <v/>
      </c>
      <c r="S1139" s="6" t="n">
        <v>1070</v>
      </c>
      <c r="T1139" s="6" t="n">
        <v>1072</v>
      </c>
      <c r="U1139" s="6" t="n">
        <v>1030</v>
      </c>
      <c r="V1139" s="6" t="n">
        <v>-42</v>
      </c>
      <c r="W1139" s="6" t="n">
        <v>0.972</v>
      </c>
      <c r="X1139" s="6" t="n">
        <v>1</v>
      </c>
      <c r="Z1139" s="6" t="s">
        <v>3629</v>
      </c>
      <c r="AA1139" s="9" t="s">
        <v>774</v>
      </c>
      <c r="AB1139" s="6" t="s">
        <v>4260</v>
      </c>
      <c r="AC1139" s="27" t="n">
        <f aca="false">COUNTIF(環境認証!$A$2:$A$849,A951)</f>
        <v>0</v>
      </c>
      <c r="AD1139" s="6" t="n">
        <v>-3.9</v>
      </c>
      <c r="AE1139" s="6" t="n">
        <v>-3.7</v>
      </c>
    </row>
    <row r="1140" customFormat="false" ht="15" hidden="false" customHeight="true" outlineLevel="0" collapsed="false">
      <c r="A1140" s="6" t="s">
        <v>4261</v>
      </c>
      <c r="B1140" s="6" t="s">
        <v>559</v>
      </c>
      <c r="C1140" s="6" t="s">
        <v>4262</v>
      </c>
      <c r="D1140" s="9" t="s">
        <v>1894</v>
      </c>
      <c r="E1140" s="36" t="s">
        <v>925</v>
      </c>
      <c r="F1140" s="36" t="s">
        <v>2359</v>
      </c>
      <c r="H1140" s="9" t="s">
        <v>3839</v>
      </c>
      <c r="M1140" s="6" t="n">
        <v>2353.55</v>
      </c>
      <c r="P1140" s="1" t="n">
        <v>39873</v>
      </c>
      <c r="Q1140" s="1" t="str">
        <f aca="false">IF(OR($A952="",P952=""),"",ROUND(YEARFRAC(P952,README!$C$5),1))</f>
        <v/>
      </c>
      <c r="S1140" s="6" t="n">
        <v>993</v>
      </c>
      <c r="T1140" s="6" t="n">
        <v>1011</v>
      </c>
      <c r="U1140" s="6" t="n">
        <v>1030</v>
      </c>
      <c r="V1140" s="6" t="n">
        <v>19</v>
      </c>
      <c r="W1140" s="6" t="n">
        <v>0.969</v>
      </c>
      <c r="X1140" s="6" t="n">
        <v>1</v>
      </c>
      <c r="Z1140" s="6" t="s">
        <v>3629</v>
      </c>
      <c r="AA1140" s="9" t="s">
        <v>774</v>
      </c>
      <c r="AB1140" s="6" t="s">
        <v>4263</v>
      </c>
      <c r="AC1140" s="27" t="n">
        <f aca="false">COUNTIF(環境認証!$A$2:$A$849,A952)</f>
        <v>1</v>
      </c>
      <c r="AD1140" s="6" t="n">
        <v>1.9</v>
      </c>
      <c r="AE1140" s="6" t="n">
        <v>3.7</v>
      </c>
    </row>
    <row r="1141" customFormat="false" ht="15" hidden="false" customHeight="true" outlineLevel="0" collapsed="false">
      <c r="A1141" s="6" t="s">
        <v>4264</v>
      </c>
      <c r="B1141" s="6" t="s">
        <v>559</v>
      </c>
      <c r="C1141" s="6" t="s">
        <v>4265</v>
      </c>
      <c r="D1141" s="9" t="s">
        <v>1894</v>
      </c>
      <c r="E1141" s="36" t="s">
        <v>762</v>
      </c>
      <c r="F1141" s="36" t="s">
        <v>771</v>
      </c>
      <c r="H1141" s="9" t="s">
        <v>3839</v>
      </c>
      <c r="M1141" s="6" t="n">
        <v>1923.22</v>
      </c>
      <c r="P1141" s="1" t="n">
        <v>42156</v>
      </c>
      <c r="Q1141" s="1" t="str">
        <f aca="false">IF(OR($A953="",P953=""),"",ROUND(YEARFRAC(P953,README!$C$5),1))</f>
        <v/>
      </c>
      <c r="S1141" s="6" t="n">
        <v>1340</v>
      </c>
      <c r="T1141" s="6" t="n">
        <v>1313</v>
      </c>
      <c r="U1141" s="6" t="n">
        <v>1290</v>
      </c>
      <c r="V1141" s="6" t="n">
        <v>-23</v>
      </c>
      <c r="W1141" s="6" t="n">
        <v>0.984</v>
      </c>
      <c r="X1141" s="6" t="n">
        <v>1</v>
      </c>
      <c r="Z1141" s="6" t="s">
        <v>3629</v>
      </c>
      <c r="AA1141" s="9" t="s">
        <v>774</v>
      </c>
      <c r="AB1141" s="6" t="s">
        <v>4266</v>
      </c>
      <c r="AC1141" s="27" t="n">
        <f aca="false">COUNTIF(環境認証!$A$2:$A$849,A953)</f>
        <v>1</v>
      </c>
      <c r="AD1141" s="6" t="n">
        <v>-1.8</v>
      </c>
      <c r="AE1141" s="6" t="n">
        <v>-3.7</v>
      </c>
    </row>
    <row r="1142" customFormat="false" ht="15" hidden="false" customHeight="true" outlineLevel="0" collapsed="false">
      <c r="A1142" s="6" t="s">
        <v>4267</v>
      </c>
      <c r="B1142" s="6" t="s">
        <v>559</v>
      </c>
      <c r="C1142" s="6" t="s">
        <v>4268</v>
      </c>
      <c r="D1142" s="9" t="s">
        <v>1894</v>
      </c>
      <c r="E1142" s="36" t="s">
        <v>762</v>
      </c>
      <c r="F1142" s="36" t="s">
        <v>2366</v>
      </c>
      <c r="H1142" s="9" t="s">
        <v>3839</v>
      </c>
      <c r="M1142" s="6" t="n">
        <v>6511.88</v>
      </c>
      <c r="P1142" s="1" t="n">
        <v>41791</v>
      </c>
      <c r="Q1142" s="1" t="str">
        <f aca="false">IF(OR($A954="",P954=""),"",ROUND(YEARFRAC(P954,README!$C$5),1))</f>
        <v/>
      </c>
      <c r="S1142" s="6" t="n">
        <v>4160</v>
      </c>
      <c r="T1142" s="6" t="n">
        <v>4091</v>
      </c>
      <c r="U1142" s="6" t="n">
        <v>4090</v>
      </c>
      <c r="V1142" s="6" t="n">
        <v>-1</v>
      </c>
      <c r="W1142" s="6" t="n">
        <v>0.987</v>
      </c>
      <c r="X1142" s="6" t="n">
        <v>1</v>
      </c>
      <c r="Z1142" s="6" t="s">
        <v>3629</v>
      </c>
      <c r="AA1142" s="9" t="s">
        <v>774</v>
      </c>
      <c r="AB1142" s="6" t="s">
        <v>4269</v>
      </c>
      <c r="AC1142" s="27" t="n">
        <f aca="false">COUNTIF(環境認証!$A$2:$A$849,A954)</f>
        <v>0</v>
      </c>
      <c r="AD1142" s="6" t="n">
        <v>0</v>
      </c>
      <c r="AE1142" s="6" t="n">
        <v>-1.7</v>
      </c>
    </row>
    <row r="1143" customFormat="false" ht="15" hidden="false" customHeight="true" outlineLevel="0" collapsed="false">
      <c r="A1143" s="6" t="s">
        <v>4270</v>
      </c>
      <c r="B1143" s="6" t="s">
        <v>559</v>
      </c>
      <c r="C1143" s="6" t="s">
        <v>4271</v>
      </c>
      <c r="D1143" s="9" t="s">
        <v>1894</v>
      </c>
      <c r="E1143" s="36" t="s">
        <v>762</v>
      </c>
      <c r="F1143" s="36" t="s">
        <v>920</v>
      </c>
      <c r="H1143" s="9" t="s">
        <v>3839</v>
      </c>
      <c r="M1143" s="6" t="n">
        <v>11855.63</v>
      </c>
      <c r="P1143" s="1" t="n">
        <v>42795</v>
      </c>
      <c r="Q1143" s="1" t="str">
        <f aca="false">IF(OR($A955="",P955=""),"",ROUND(YEARFRAC(P955,README!$C$5),1))</f>
        <v/>
      </c>
      <c r="S1143" s="6" t="n">
        <v>5310</v>
      </c>
      <c r="T1143" s="6" t="n">
        <v>5303</v>
      </c>
      <c r="U1143" s="6" t="n">
        <v>5630</v>
      </c>
      <c r="V1143" s="6" t="n">
        <v>327</v>
      </c>
      <c r="W1143" s="6" t="n">
        <v>0.967</v>
      </c>
      <c r="X1143" s="6" t="n">
        <v>1</v>
      </c>
      <c r="Z1143" s="6" t="s">
        <v>3629</v>
      </c>
      <c r="AA1143" s="9" t="s">
        <v>774</v>
      </c>
      <c r="AB1143" s="6" t="s">
        <v>4272</v>
      </c>
      <c r="AC1143" s="27" t="n">
        <f aca="false">COUNTIF(環境認証!$A$2:$A$849,A955)</f>
        <v>0</v>
      </c>
      <c r="AD1143" s="6" t="n">
        <v>6.2</v>
      </c>
      <c r="AE1143" s="6" t="n">
        <v>6</v>
      </c>
    </row>
    <row r="1144" customFormat="false" ht="15" hidden="false" customHeight="true" outlineLevel="0" collapsed="false">
      <c r="A1144" s="6" t="s">
        <v>4273</v>
      </c>
      <c r="B1144" s="6" t="s">
        <v>559</v>
      </c>
      <c r="C1144" s="6" t="s">
        <v>4274</v>
      </c>
      <c r="D1144" s="9" t="s">
        <v>1894</v>
      </c>
      <c r="E1144" s="36" t="s">
        <v>762</v>
      </c>
      <c r="F1144" s="36" t="s">
        <v>2187</v>
      </c>
      <c r="H1144" s="9" t="s">
        <v>3839</v>
      </c>
      <c r="M1144" s="6" t="n">
        <v>5735.96</v>
      </c>
      <c r="P1144" s="1" t="n">
        <v>41030</v>
      </c>
      <c r="Q1144" s="1" t="str">
        <f aca="false">IF(OR($A956="",P956=""),"",ROUND(YEARFRAC(P956,README!$C$5),1))</f>
        <v/>
      </c>
      <c r="S1144" s="6" t="n">
        <v>2650</v>
      </c>
      <c r="T1144" s="6" t="n">
        <v>2605</v>
      </c>
      <c r="U1144" s="6" t="n">
        <v>2660</v>
      </c>
      <c r="V1144" s="6" t="n">
        <v>55</v>
      </c>
      <c r="W1144" s="6" t="n">
        <v>0.928</v>
      </c>
      <c r="X1144" s="6" t="n">
        <v>1</v>
      </c>
      <c r="Z1144" s="6" t="s">
        <v>3629</v>
      </c>
      <c r="AA1144" s="9" t="s">
        <v>774</v>
      </c>
      <c r="AB1144" s="6" t="s">
        <v>4275</v>
      </c>
      <c r="AC1144" s="27" t="n">
        <f aca="false">COUNTIF(環境認証!$A$2:$A$849,A956)</f>
        <v>1</v>
      </c>
      <c r="AD1144" s="6" t="n">
        <v>2.1</v>
      </c>
      <c r="AE1144" s="6" t="n">
        <v>0.4</v>
      </c>
    </row>
    <row r="1145" customFormat="false" ht="15" hidden="false" customHeight="true" outlineLevel="0" collapsed="false">
      <c r="A1145" s="6" t="s">
        <v>4276</v>
      </c>
      <c r="B1145" s="6" t="s">
        <v>559</v>
      </c>
      <c r="C1145" s="6" t="s">
        <v>4277</v>
      </c>
      <c r="D1145" s="9" t="s">
        <v>1894</v>
      </c>
      <c r="E1145" s="36" t="s">
        <v>762</v>
      </c>
      <c r="H1145" s="9" t="s">
        <v>3839</v>
      </c>
      <c r="M1145" s="6" t="n">
        <v>5269.39</v>
      </c>
      <c r="P1145" s="1" t="n">
        <v>41365</v>
      </c>
      <c r="Q1145" s="1" t="str">
        <f aca="false">IF(OR($A957="",P957=""),"",ROUND(YEARFRAC(P957,README!$C$5),1))</f>
        <v/>
      </c>
      <c r="S1145" s="6" t="n">
        <v>1970</v>
      </c>
      <c r="T1145" s="6" t="n">
        <v>1956</v>
      </c>
      <c r="U1145" s="6" t="n">
        <v>2140</v>
      </c>
      <c r="V1145" s="6" t="n">
        <v>184</v>
      </c>
      <c r="W1145" s="6" t="n">
        <v>0.952</v>
      </c>
      <c r="X1145" s="6" t="n">
        <v>1</v>
      </c>
      <c r="Z1145" s="6" t="s">
        <v>3629</v>
      </c>
      <c r="AA1145" s="9" t="s">
        <v>774</v>
      </c>
      <c r="AB1145" s="6" t="s">
        <v>4278</v>
      </c>
      <c r="AC1145" s="27" t="n">
        <f aca="false">COUNTIF(環境認証!$A$2:$A$849,A957)</f>
        <v>0</v>
      </c>
      <c r="AD1145" s="6" t="n">
        <v>9.4</v>
      </c>
      <c r="AE1145" s="6" t="n">
        <v>8.6</v>
      </c>
    </row>
    <row r="1146" customFormat="false" ht="15" hidden="false" customHeight="true" outlineLevel="0" collapsed="false">
      <c r="A1146" s="6" t="s">
        <v>4279</v>
      </c>
      <c r="B1146" s="6" t="s">
        <v>559</v>
      </c>
      <c r="C1146" s="9" t="s">
        <v>4280</v>
      </c>
      <c r="D1146" s="9" t="s">
        <v>1894</v>
      </c>
      <c r="E1146" s="36" t="s">
        <v>762</v>
      </c>
      <c r="F1146" s="36" t="s">
        <v>1148</v>
      </c>
      <c r="H1146" s="9" t="s">
        <v>3839</v>
      </c>
      <c r="M1146" s="6" t="n">
        <v>2277.14</v>
      </c>
      <c r="P1146" s="1" t="n">
        <v>43132</v>
      </c>
      <c r="Q1146" s="1" t="str">
        <f aca="false">IF(OR($A958="",P958=""),"",ROUND(YEARFRAC(P958,README!$C$5),1))</f>
        <v/>
      </c>
      <c r="S1146" s="6" t="n">
        <v>1780</v>
      </c>
      <c r="T1146" s="6" t="n">
        <v>1741</v>
      </c>
      <c r="U1146" s="6" t="n">
        <v>1810</v>
      </c>
      <c r="V1146" s="6" t="n">
        <v>69</v>
      </c>
      <c r="W1146" s="6" t="n">
        <v>0.976</v>
      </c>
      <c r="X1146" s="6" t="n">
        <v>1</v>
      </c>
      <c r="Z1146" s="6" t="s">
        <v>3629</v>
      </c>
      <c r="AA1146" s="9" t="s">
        <v>774</v>
      </c>
      <c r="AB1146" s="6" t="s">
        <v>4281</v>
      </c>
      <c r="AC1146" s="27" t="n">
        <f aca="false">COUNTIF(環境認証!$A$2:$A$849,A958)</f>
        <v>1</v>
      </c>
      <c r="AD1146" s="6" t="n">
        <v>4</v>
      </c>
      <c r="AE1146" s="6" t="n">
        <v>1.7</v>
      </c>
    </row>
    <row r="1147" customFormat="false" ht="15" hidden="false" customHeight="true" outlineLevel="0" collapsed="false">
      <c r="A1147" s="6" t="s">
        <v>4282</v>
      </c>
      <c r="B1147" s="6" t="s">
        <v>559</v>
      </c>
      <c r="C1147" s="9" t="s">
        <v>4283</v>
      </c>
      <c r="D1147" s="9" t="s">
        <v>1894</v>
      </c>
      <c r="E1147" s="36" t="s">
        <v>762</v>
      </c>
      <c r="F1147" s="36" t="s">
        <v>2366</v>
      </c>
      <c r="H1147" s="9" t="s">
        <v>3839</v>
      </c>
      <c r="M1147" s="6" t="n">
        <v>1351.68</v>
      </c>
      <c r="P1147" s="1" t="n">
        <v>43374</v>
      </c>
      <c r="Q1147" s="1" t="str">
        <f aca="false">IF(OR($A959="",P959=""),"",ROUND(YEARFRAC(P959,README!$C$5),1))</f>
        <v/>
      </c>
      <c r="S1147" s="6" t="n">
        <v>783</v>
      </c>
      <c r="T1147" s="6" t="n">
        <v>757</v>
      </c>
      <c r="U1147" s="6" t="n">
        <v>815</v>
      </c>
      <c r="V1147" s="6" t="n">
        <v>58</v>
      </c>
      <c r="W1147" s="6" t="n">
        <v>0.93</v>
      </c>
      <c r="X1147" s="6" t="n">
        <v>1</v>
      </c>
      <c r="Z1147" s="6" t="s">
        <v>3629</v>
      </c>
      <c r="AA1147" s="9" t="s">
        <v>774</v>
      </c>
      <c r="AB1147" s="6" t="s">
        <v>4284</v>
      </c>
      <c r="AC1147" s="27" t="n">
        <f aca="false">COUNTIF(環境認証!$A$2:$A$849,A959)</f>
        <v>0</v>
      </c>
      <c r="AD1147" s="6" t="n">
        <v>7.7</v>
      </c>
      <c r="AE1147" s="6" t="n">
        <v>4.1</v>
      </c>
    </row>
    <row r="1148" customFormat="false" ht="15" hidden="false" customHeight="true" outlineLevel="0" collapsed="false">
      <c r="A1148" s="6" t="s">
        <v>4285</v>
      </c>
      <c r="B1148" s="6" t="s">
        <v>559</v>
      </c>
      <c r="C1148" s="6" t="s">
        <v>4286</v>
      </c>
      <c r="D1148" s="9" t="s">
        <v>1894</v>
      </c>
      <c r="E1148" s="36" t="s">
        <v>762</v>
      </c>
      <c r="F1148" s="36" t="s">
        <v>1676</v>
      </c>
      <c r="H1148" s="9" t="s">
        <v>3839</v>
      </c>
      <c r="M1148" s="6" t="n">
        <v>4472.72</v>
      </c>
      <c r="P1148" s="1" t="n">
        <v>43525</v>
      </c>
      <c r="Q1148" s="1" t="str">
        <f aca="false">IF(OR($A960="",P960=""),"",ROUND(YEARFRAC(P960,README!$C$5),1))</f>
        <v/>
      </c>
      <c r="S1148" s="6" t="n">
        <v>1850</v>
      </c>
      <c r="T1148" s="6" t="n">
        <v>1838</v>
      </c>
      <c r="U1148" s="6" t="n">
        <v>1970</v>
      </c>
      <c r="V1148" s="6" t="n">
        <v>132</v>
      </c>
      <c r="W1148" s="6" t="n">
        <v>0.948</v>
      </c>
      <c r="X1148" s="6" t="n">
        <v>1</v>
      </c>
      <c r="Z1148" s="6" t="s">
        <v>3629</v>
      </c>
      <c r="AA1148" s="9" t="s">
        <v>774</v>
      </c>
      <c r="AB1148" s="6" t="s">
        <v>4287</v>
      </c>
      <c r="AC1148" s="27" t="n">
        <f aca="false">COUNTIF(環境認証!$A$2:$A$849,A960)</f>
        <v>2</v>
      </c>
      <c r="AD1148" s="6" t="n">
        <v>7.2</v>
      </c>
      <c r="AE1148" s="6" t="n">
        <v>6.5</v>
      </c>
    </row>
    <row r="1149" customFormat="false" ht="15" hidden="false" customHeight="true" outlineLevel="0" collapsed="false">
      <c r="A1149" s="6" t="s">
        <v>4288</v>
      </c>
      <c r="B1149" s="6" t="s">
        <v>559</v>
      </c>
      <c r="C1149" s="6" t="s">
        <v>4289</v>
      </c>
      <c r="D1149" s="9" t="s">
        <v>1894</v>
      </c>
      <c r="H1149" s="9" t="s">
        <v>3839</v>
      </c>
      <c r="M1149" s="6" t="n">
        <v>17575.39</v>
      </c>
      <c r="Q1149" s="1" t="str">
        <f aca="false">IF(OR($A961="",P961=""),"",ROUND(YEARFRAC(P961,README!$C$5),1))</f>
        <v/>
      </c>
      <c r="S1149" s="6" t="n">
        <v>7460</v>
      </c>
      <c r="T1149" s="6" t="n">
        <v>7516</v>
      </c>
      <c r="U1149" s="6" t="n">
        <v>7410</v>
      </c>
      <c r="V1149" s="6" t="n">
        <v>-106</v>
      </c>
      <c r="W1149" s="6" t="n">
        <v>0.973</v>
      </c>
      <c r="X1149" s="6" t="n">
        <v>1</v>
      </c>
      <c r="Z1149" s="6" t="s">
        <v>3629</v>
      </c>
      <c r="AA1149" s="9" t="s">
        <v>774</v>
      </c>
      <c r="AB1149" s="6" t="s">
        <v>4290</v>
      </c>
      <c r="AC1149" s="27" t="n">
        <f aca="false">COUNTIF(環境認証!$A$2:$A$849,A961)</f>
        <v>1</v>
      </c>
      <c r="AD1149" s="6" t="n">
        <v>-1.4</v>
      </c>
      <c r="AE1149" s="6" t="n">
        <v>-0.7</v>
      </c>
    </row>
    <row r="1150" customFormat="false" ht="15" hidden="false" customHeight="true" outlineLevel="0" collapsed="false">
      <c r="A1150" s="6" t="s">
        <v>4291</v>
      </c>
      <c r="B1150" s="6" t="s">
        <v>559</v>
      </c>
      <c r="C1150" s="9" t="s">
        <v>4292</v>
      </c>
      <c r="D1150" s="9" t="s">
        <v>1894</v>
      </c>
      <c r="E1150" s="36" t="s">
        <v>762</v>
      </c>
      <c r="F1150" s="36" t="s">
        <v>2282</v>
      </c>
      <c r="H1150" s="9" t="s">
        <v>3839</v>
      </c>
      <c r="M1150" s="6" t="n">
        <v>3787.85</v>
      </c>
      <c r="P1150" s="1" t="n">
        <v>35886</v>
      </c>
      <c r="Q1150" s="1" t="str">
        <f aca="false">IF(OR($A962="",P962=""),"",ROUND(YEARFRAC(P962,README!$C$5),1))</f>
        <v/>
      </c>
      <c r="S1150" s="6" t="n">
        <v>2790</v>
      </c>
      <c r="T1150" s="6" t="n">
        <v>2715</v>
      </c>
      <c r="U1150" s="6" t="n">
        <v>2900</v>
      </c>
      <c r="V1150" s="6" t="n">
        <v>185</v>
      </c>
      <c r="W1150" s="6" t="n">
        <v>0.964</v>
      </c>
      <c r="X1150" s="6" t="n">
        <v>1</v>
      </c>
      <c r="Z1150" s="6" t="s">
        <v>3629</v>
      </c>
      <c r="AA1150" s="9" t="s">
        <v>774</v>
      </c>
      <c r="AB1150" s="6" t="s">
        <v>4293</v>
      </c>
      <c r="AC1150" s="27" t="n">
        <f aca="false">COUNTIF(環境認証!$A$2:$A$849,A962)</f>
        <v>1</v>
      </c>
      <c r="AD1150" s="6" t="n">
        <v>6.8</v>
      </c>
      <c r="AE1150" s="6" t="n">
        <v>3.9</v>
      </c>
    </row>
    <row r="1151" customFormat="false" ht="15" hidden="false" customHeight="true" outlineLevel="0" collapsed="false">
      <c r="A1151" s="6" t="s">
        <v>4294</v>
      </c>
      <c r="B1151" s="6" t="s">
        <v>559</v>
      </c>
      <c r="C1151" s="6" t="s">
        <v>4295</v>
      </c>
      <c r="D1151" s="9" t="s">
        <v>1894</v>
      </c>
      <c r="E1151" s="36" t="s">
        <v>996</v>
      </c>
      <c r="F1151" s="36" t="s">
        <v>997</v>
      </c>
      <c r="H1151" s="9" t="s">
        <v>3839</v>
      </c>
      <c r="M1151" s="6" t="n">
        <v>2254.34</v>
      </c>
      <c r="P1151" s="1" t="n">
        <v>37165</v>
      </c>
      <c r="Q1151" s="1" t="str">
        <f aca="false">IF(OR($A963="",P963=""),"",ROUND(YEARFRAC(P963,README!$C$5),1))</f>
        <v/>
      </c>
      <c r="S1151" s="6" t="n">
        <v>1590</v>
      </c>
      <c r="T1151" s="6" t="n">
        <v>1550</v>
      </c>
      <c r="U1151" s="6" t="n">
        <v>1580</v>
      </c>
      <c r="V1151" s="6" t="n">
        <v>30</v>
      </c>
      <c r="W1151" s="6" t="n">
        <v>0.864</v>
      </c>
      <c r="X1151" s="6" t="n">
        <v>1</v>
      </c>
      <c r="Z1151" s="6" t="s">
        <v>3629</v>
      </c>
      <c r="AA1151" s="9" t="s">
        <v>774</v>
      </c>
      <c r="AB1151" s="6" t="s">
        <v>4296</v>
      </c>
      <c r="AC1151" s="27" t="n">
        <f aca="false">COUNTIF(環境認証!$A$2:$A$849,A963)</f>
        <v>1</v>
      </c>
      <c r="AD1151" s="6" t="n">
        <v>1.9</v>
      </c>
      <c r="AE1151" s="6" t="n">
        <v>-0.6</v>
      </c>
    </row>
    <row r="1152" customFormat="false" ht="15" hidden="false" customHeight="true" outlineLevel="0" collapsed="false">
      <c r="A1152" s="6" t="s">
        <v>4297</v>
      </c>
      <c r="B1152" s="6" t="s">
        <v>559</v>
      </c>
      <c r="C1152" s="9" t="s">
        <v>4298</v>
      </c>
      <c r="D1152" s="9" t="s">
        <v>1894</v>
      </c>
      <c r="E1152" s="36" t="s">
        <v>969</v>
      </c>
      <c r="F1152" s="36" t="s">
        <v>970</v>
      </c>
      <c r="H1152" s="9" t="s">
        <v>3839</v>
      </c>
      <c r="M1152" s="6" t="n">
        <v>1438.36</v>
      </c>
      <c r="P1152" s="1" t="n">
        <v>35551</v>
      </c>
      <c r="Q1152" s="1" t="str">
        <f aca="false">IF(OR($A964="",P964=""),"",ROUND(YEARFRAC(P964,README!$C$5),1))</f>
        <v/>
      </c>
      <c r="S1152" s="6" t="n">
        <v>865</v>
      </c>
      <c r="T1152" s="6" t="n">
        <v>836</v>
      </c>
      <c r="U1152" s="6" t="n">
        <v>891</v>
      </c>
      <c r="V1152" s="6" t="n">
        <v>55</v>
      </c>
      <c r="W1152" s="6" t="n">
        <v>0.979</v>
      </c>
      <c r="X1152" s="6" t="n">
        <v>1</v>
      </c>
      <c r="Z1152" s="6" t="s">
        <v>3629</v>
      </c>
      <c r="AA1152" s="9" t="s">
        <v>774</v>
      </c>
      <c r="AB1152" s="6" t="s">
        <v>4299</v>
      </c>
      <c r="AC1152" s="27" t="n">
        <f aca="false">COUNTIF(環境認証!$A$2:$A$849,A964)</f>
        <v>1</v>
      </c>
      <c r="AD1152" s="6" t="n">
        <v>6.6</v>
      </c>
      <c r="AE1152" s="6" t="n">
        <v>3</v>
      </c>
    </row>
    <row r="1153" customFormat="false" ht="15" hidden="false" customHeight="true" outlineLevel="0" collapsed="false">
      <c r="A1153" s="6" t="s">
        <v>4300</v>
      </c>
      <c r="B1153" s="6" t="s">
        <v>559</v>
      </c>
      <c r="C1153" s="9" t="s">
        <v>4301</v>
      </c>
      <c r="D1153" s="9" t="s">
        <v>2298</v>
      </c>
      <c r="H1153" s="9" t="s">
        <v>3633</v>
      </c>
      <c r="M1153" s="6" t="n">
        <v>5624.23</v>
      </c>
      <c r="Q1153" s="1" t="str">
        <f aca="false">IF(OR($A965="",P965=""),"",ROUND(YEARFRAC(P965,README!$C$5),1))</f>
        <v/>
      </c>
      <c r="S1153" s="6" t="n">
        <v>9800</v>
      </c>
      <c r="T1153" s="6" t="n">
        <v>9236</v>
      </c>
      <c r="U1153" s="6" t="n">
        <v>15300</v>
      </c>
      <c r="V1153" s="6" t="n">
        <v>6064</v>
      </c>
      <c r="W1153" s="6" t="n">
        <v>1</v>
      </c>
      <c r="X1153" s="6" t="n">
        <v>4</v>
      </c>
      <c r="Z1153" s="6" t="s">
        <v>3629</v>
      </c>
      <c r="AA1153" s="9" t="s">
        <v>774</v>
      </c>
      <c r="AB1153" s="6" t="s">
        <v>4302</v>
      </c>
      <c r="AC1153" s="27" t="n">
        <f aca="false">COUNTIF(環境認証!$A$2:$A$849,A965)</f>
        <v>1</v>
      </c>
      <c r="AD1153" s="6" t="n">
        <v>65.7</v>
      </c>
      <c r="AE1153" s="6" t="n">
        <v>56.1</v>
      </c>
    </row>
    <row r="1154" customFormat="false" ht="15" hidden="false" customHeight="true" outlineLevel="0" collapsed="false">
      <c r="A1154" s="6" t="s">
        <v>4303</v>
      </c>
      <c r="B1154" s="6" t="s">
        <v>559</v>
      </c>
      <c r="C1154" s="6" t="s">
        <v>4304</v>
      </c>
      <c r="D1154" s="9" t="s">
        <v>2298</v>
      </c>
      <c r="E1154" s="36" t="s">
        <v>950</v>
      </c>
      <c r="F1154" s="36" t="s">
        <v>951</v>
      </c>
      <c r="H1154" s="9" t="s">
        <v>3633</v>
      </c>
      <c r="M1154" s="6" t="n">
        <v>9996.56</v>
      </c>
      <c r="P1154" s="1" t="n">
        <v>37257</v>
      </c>
      <c r="Q1154" s="1" t="str">
        <f aca="false">IF(OR($A966="",P966=""),"",ROUND(YEARFRAC(P966,README!$C$5),1))</f>
        <v/>
      </c>
      <c r="S1154" s="6" t="n">
        <v>8770</v>
      </c>
      <c r="T1154" s="6" t="n">
        <v>8830</v>
      </c>
      <c r="U1154" s="6" t="n">
        <v>9160</v>
      </c>
      <c r="V1154" s="6" t="n">
        <v>330</v>
      </c>
      <c r="W1154" s="6" t="n">
        <v>1</v>
      </c>
      <c r="X1154" s="6" t="n">
        <v>56</v>
      </c>
      <c r="Z1154" s="6" t="s">
        <v>3629</v>
      </c>
      <c r="AA1154" s="9" t="s">
        <v>774</v>
      </c>
      <c r="AB1154" s="6" t="s">
        <v>4305</v>
      </c>
      <c r="AC1154" s="27" t="n">
        <f aca="false">COUNTIF(環境認証!$A$2:$A$849,A966)</f>
        <v>1</v>
      </c>
      <c r="AD1154" s="6" t="n">
        <v>3.7</v>
      </c>
      <c r="AE1154" s="6" t="n">
        <v>4.4</v>
      </c>
    </row>
    <row r="1155" customFormat="false" ht="15" hidden="false" customHeight="true" outlineLevel="0" collapsed="false">
      <c r="A1155" s="6" t="s">
        <v>4306</v>
      </c>
      <c r="B1155" s="6" t="s">
        <v>559</v>
      </c>
      <c r="C1155" s="9" t="s">
        <v>4307</v>
      </c>
      <c r="D1155" s="9" t="s">
        <v>2298</v>
      </c>
      <c r="E1155" s="36" t="s">
        <v>1225</v>
      </c>
      <c r="F1155" s="36" t="s">
        <v>2403</v>
      </c>
      <c r="H1155" s="9" t="s">
        <v>3633</v>
      </c>
      <c r="M1155" s="6" t="n">
        <v>10527.4</v>
      </c>
      <c r="P1155" s="1" t="n">
        <v>37012</v>
      </c>
      <c r="Q1155" s="1" t="str">
        <f aca="false">IF(OR($A967="",P967=""),"",ROUND(YEARFRAC(P967,README!$C$5),1))</f>
        <v/>
      </c>
      <c r="S1155" s="6" t="n">
        <v>6630</v>
      </c>
      <c r="T1155" s="6" t="n">
        <v>6580</v>
      </c>
      <c r="U1155" s="6" t="n">
        <v>6840</v>
      </c>
      <c r="V1155" s="6" t="n">
        <v>260</v>
      </c>
      <c r="W1155" s="6" t="n">
        <v>1</v>
      </c>
      <c r="X1155" s="6" t="n">
        <v>38</v>
      </c>
      <c r="Z1155" s="6" t="s">
        <v>3629</v>
      </c>
      <c r="AA1155" s="9" t="s">
        <v>774</v>
      </c>
      <c r="AB1155" s="6" t="s">
        <v>4308</v>
      </c>
      <c r="AC1155" s="27" t="n">
        <f aca="false">COUNTIF(環境認証!$A$2:$A$849,A967)</f>
        <v>1</v>
      </c>
      <c r="AD1155" s="6" t="n">
        <v>4</v>
      </c>
      <c r="AE1155" s="6" t="n">
        <v>3.2</v>
      </c>
    </row>
    <row r="1156" customFormat="false" ht="15" hidden="false" customHeight="true" outlineLevel="0" collapsed="false">
      <c r="A1156" s="6" t="s">
        <v>4309</v>
      </c>
      <c r="B1156" s="6" t="s">
        <v>559</v>
      </c>
      <c r="C1156" s="9" t="s">
        <v>4310</v>
      </c>
      <c r="D1156" s="9" t="s">
        <v>2298</v>
      </c>
      <c r="H1156" s="9" t="s">
        <v>3633</v>
      </c>
      <c r="M1156" s="6" t="n">
        <v>11303.41</v>
      </c>
      <c r="Q1156" s="1" t="str">
        <f aca="false">IF(OR($A968="",P968=""),"",ROUND(YEARFRAC(P968,README!$C$5),1))</f>
        <v/>
      </c>
      <c r="S1156" s="6" t="n">
        <v>4808</v>
      </c>
      <c r="T1156" s="6" t="n">
        <v>4649</v>
      </c>
      <c r="U1156" s="6" t="n">
        <v>4760</v>
      </c>
      <c r="V1156" s="6" t="n">
        <v>111</v>
      </c>
      <c r="W1156" s="6" t="n">
        <v>1</v>
      </c>
      <c r="X1156" s="6" t="n">
        <v>1</v>
      </c>
      <c r="Z1156" s="6" t="s">
        <v>3629</v>
      </c>
      <c r="AA1156" s="49" t="s">
        <v>774</v>
      </c>
      <c r="AB1156" s="6" t="s">
        <v>4311</v>
      </c>
      <c r="AC1156" s="27" t="n">
        <f aca="false">COUNTIF(環境認証!$A$2:$A$849,A968)</f>
        <v>1</v>
      </c>
      <c r="AD1156" s="6" t="n">
        <v>2.4</v>
      </c>
      <c r="AE1156" s="6" t="n">
        <v>-1</v>
      </c>
    </row>
    <row r="1157" customFormat="false" ht="15" hidden="false" customHeight="true" outlineLevel="0" collapsed="false">
      <c r="A1157" s="6" t="s">
        <v>4312</v>
      </c>
      <c r="B1157" s="6" t="s">
        <v>559</v>
      </c>
      <c r="C1157" s="9" t="s">
        <v>4313</v>
      </c>
      <c r="D1157" s="9" t="s">
        <v>2298</v>
      </c>
      <c r="E1157" s="36" t="s">
        <v>762</v>
      </c>
      <c r="F1157" s="36" t="s">
        <v>820</v>
      </c>
      <c r="H1157" s="9" t="s">
        <v>3633</v>
      </c>
      <c r="M1157" s="1" t="n">
        <v>6219.28</v>
      </c>
      <c r="P1157" s="1" t="n">
        <v>43374</v>
      </c>
      <c r="Q1157" s="1" t="str">
        <f aca="false">IF(OR($A969="",P969=""),"",ROUND(YEARFRAC(P969,README!$C$5),1))</f>
        <v/>
      </c>
      <c r="S1157" s="6" t="n">
        <v>4350</v>
      </c>
      <c r="T1157" s="6" t="n">
        <v>4236</v>
      </c>
      <c r="U1157" s="6" t="n">
        <v>4420</v>
      </c>
      <c r="V1157" s="6" t="n">
        <v>184</v>
      </c>
      <c r="W1157" s="6" t="n">
        <v>1</v>
      </c>
      <c r="X1157" s="6" t="n">
        <v>1</v>
      </c>
      <c r="Z1157" s="6" t="s">
        <v>3629</v>
      </c>
      <c r="AA1157" s="9" t="s">
        <v>774</v>
      </c>
      <c r="AB1157" s="6" t="s">
        <v>4314</v>
      </c>
      <c r="AC1157" s="27" t="n">
        <f aca="false">COUNTIF(環境認証!$A$2:$A$849,A969)</f>
        <v>1</v>
      </c>
      <c r="AD1157" s="6" t="n">
        <v>4.3</v>
      </c>
      <c r="AE1157" s="6" t="n">
        <v>1.6</v>
      </c>
    </row>
    <row r="1158" customFormat="false" ht="15" hidden="false" customHeight="true" outlineLevel="0" collapsed="false">
      <c r="A1158" s="6" t="s">
        <v>4315</v>
      </c>
      <c r="B1158" s="6" t="s">
        <v>559</v>
      </c>
      <c r="C1158" s="9" t="s">
        <v>4316</v>
      </c>
      <c r="D1158" s="9" t="s">
        <v>2298</v>
      </c>
      <c r="E1158" s="36" t="s">
        <v>762</v>
      </c>
      <c r="F1158" s="36" t="s">
        <v>763</v>
      </c>
      <c r="H1158" s="9" t="s">
        <v>3633</v>
      </c>
      <c r="M1158" s="6" t="n">
        <v>10648.27</v>
      </c>
      <c r="P1158" s="1" t="n">
        <v>42979</v>
      </c>
      <c r="Q1158" s="1" t="str">
        <f aca="false">IF(OR($A970="",P970=""),"",ROUND(YEARFRAC(P970,README!$C$5),1))</f>
        <v/>
      </c>
      <c r="S1158" s="6" t="n">
        <v>3930</v>
      </c>
      <c r="T1158" s="6" t="n">
        <v>3863</v>
      </c>
      <c r="U1158" s="6" t="n">
        <v>3960</v>
      </c>
      <c r="V1158" s="6" t="n">
        <v>97</v>
      </c>
      <c r="W1158" s="6" t="n">
        <v>1</v>
      </c>
      <c r="X1158" s="6" t="n">
        <v>10</v>
      </c>
      <c r="Z1158" s="6" t="s">
        <v>3629</v>
      </c>
      <c r="AA1158" s="9" t="s">
        <v>774</v>
      </c>
      <c r="AB1158" s="6" t="s">
        <v>4317</v>
      </c>
      <c r="AC1158" s="27" t="n">
        <f aca="false">COUNTIF(環境認証!$A$2:$A$849,A970)</f>
        <v>1</v>
      </c>
      <c r="AD1158" s="6" t="n">
        <v>2.5</v>
      </c>
      <c r="AE1158" s="6" t="n">
        <v>0.8</v>
      </c>
    </row>
    <row r="1159" customFormat="false" ht="15" hidden="false" customHeight="true" outlineLevel="0" collapsed="false">
      <c r="A1159" s="6" t="s">
        <v>4318</v>
      </c>
      <c r="B1159" s="6" t="s">
        <v>559</v>
      </c>
      <c r="C1159" s="9" t="s">
        <v>4319</v>
      </c>
      <c r="D1159" s="9" t="s">
        <v>2298</v>
      </c>
      <c r="E1159" s="36" t="s">
        <v>762</v>
      </c>
      <c r="F1159" s="36" t="s">
        <v>763</v>
      </c>
      <c r="H1159" s="9" t="s">
        <v>3633</v>
      </c>
      <c r="M1159" s="6" t="n">
        <v>3120.87</v>
      </c>
      <c r="P1159" s="1" t="n">
        <v>33756</v>
      </c>
      <c r="Q1159" s="1" t="str">
        <f aca="false">IF(OR($A971="",P971=""),"",ROUND(YEARFRAC(P971,README!$C$5),1))</f>
        <v/>
      </c>
      <c r="S1159" s="6" t="n">
        <v>2700</v>
      </c>
      <c r="T1159" s="6" t="n">
        <v>2646</v>
      </c>
      <c r="U1159" s="6" t="n">
        <v>2830</v>
      </c>
      <c r="V1159" s="6" t="n">
        <v>184</v>
      </c>
      <c r="W1159" s="6" t="n">
        <v>1</v>
      </c>
      <c r="X1159" s="6" t="n">
        <v>1</v>
      </c>
      <c r="Z1159" s="6" t="s">
        <v>3629</v>
      </c>
      <c r="AA1159" s="9" t="s">
        <v>774</v>
      </c>
      <c r="AB1159" s="6" t="s">
        <v>4320</v>
      </c>
      <c r="AC1159" s="27" t="n">
        <f aca="false">COUNTIF(環境認証!$A$2:$A$849,A971)</f>
        <v>1</v>
      </c>
      <c r="AD1159" s="6" t="n">
        <v>7</v>
      </c>
      <c r="AE1159" s="6" t="n">
        <v>4.8</v>
      </c>
    </row>
    <row r="1160" customFormat="false" ht="15" hidden="false" customHeight="true" outlineLevel="0" collapsed="false">
      <c r="A1160" s="6" t="s">
        <v>4321</v>
      </c>
      <c r="B1160" s="6" t="s">
        <v>559</v>
      </c>
      <c r="C1160" s="9" t="s">
        <v>4322</v>
      </c>
      <c r="D1160" s="9" t="s">
        <v>2298</v>
      </c>
      <c r="E1160" s="36" t="s">
        <v>762</v>
      </c>
      <c r="F1160" s="36" t="s">
        <v>820</v>
      </c>
      <c r="H1160" s="9" t="s">
        <v>3633</v>
      </c>
      <c r="M1160" s="6" t="n">
        <v>67325.95</v>
      </c>
      <c r="P1160" s="1" t="n">
        <v>23986</v>
      </c>
      <c r="Q1160" s="1" t="str">
        <f aca="false">IF(OR($A972="",P972=""),"",ROUND(YEARFRAC(P972,README!$C$5),1))</f>
        <v/>
      </c>
      <c r="S1160" s="6" t="n">
        <v>5930</v>
      </c>
      <c r="T1160" s="6" t="n">
        <v>5930</v>
      </c>
      <c r="U1160" s="6" t="n">
        <v>6150</v>
      </c>
      <c r="V1160" s="6" t="n">
        <v>220</v>
      </c>
      <c r="W1160" s="6" t="n">
        <v>1</v>
      </c>
      <c r="X1160" s="6" t="n">
        <v>1</v>
      </c>
      <c r="Z1160" s="6" t="s">
        <v>3629</v>
      </c>
      <c r="AA1160" s="9" t="s">
        <v>774</v>
      </c>
      <c r="AB1160" s="6" t="s">
        <v>4323</v>
      </c>
      <c r="AC1160" s="27" t="n">
        <f aca="false">COUNTIF(環境認証!$A$2:$A$849,A972)</f>
        <v>1</v>
      </c>
      <c r="AD1160" s="6" t="n">
        <v>3.7</v>
      </c>
      <c r="AE1160" s="6" t="n">
        <v>3.7</v>
      </c>
    </row>
    <row r="1161" customFormat="false" ht="15" hidden="false" customHeight="true" outlineLevel="0" collapsed="false">
      <c r="A1161" s="6" t="s">
        <v>4324</v>
      </c>
      <c r="B1161" s="6" t="s">
        <v>559</v>
      </c>
      <c r="C1161" s="9" t="s">
        <v>4325</v>
      </c>
      <c r="D1161" s="9" t="s">
        <v>2298</v>
      </c>
      <c r="E1161" s="36" t="s">
        <v>762</v>
      </c>
      <c r="F1161" s="36" t="s">
        <v>881</v>
      </c>
      <c r="H1161" s="9" t="s">
        <v>3633</v>
      </c>
      <c r="M1161" s="6" t="n">
        <v>67854.47</v>
      </c>
      <c r="P1161" s="1" t="n">
        <v>33390</v>
      </c>
      <c r="Q1161" s="1" t="str">
        <f aca="false">IF(OR($A973="",P973=""),"",ROUND(YEARFRAC(P973,README!$C$5),1))</f>
        <v/>
      </c>
      <c r="S1161" s="6" t="n">
        <v>3110</v>
      </c>
      <c r="T1161" s="6" t="n">
        <v>3110</v>
      </c>
      <c r="U1161" s="6" t="n">
        <v>3120</v>
      </c>
      <c r="V1161" s="6" t="n">
        <v>10</v>
      </c>
      <c r="W1161" s="6" t="n">
        <v>1</v>
      </c>
      <c r="X1161" s="6" t="n">
        <v>1</v>
      </c>
      <c r="Z1161" s="6" t="s">
        <v>3629</v>
      </c>
      <c r="AA1161" s="9" t="s">
        <v>774</v>
      </c>
      <c r="AB1161" s="6" t="s">
        <v>4326</v>
      </c>
      <c r="AC1161" s="27" t="n">
        <f aca="false">COUNTIF(環境認証!$A$2:$A$849,A973)</f>
        <v>1</v>
      </c>
      <c r="AD1161" s="6" t="n">
        <v>0.3</v>
      </c>
      <c r="AE1161" s="6" t="n">
        <v>0.3</v>
      </c>
    </row>
    <row r="1162" customFormat="false" ht="15" hidden="false" customHeight="true" outlineLevel="0" collapsed="false">
      <c r="A1162" s="6" t="s">
        <v>4327</v>
      </c>
      <c r="B1162" s="6" t="s">
        <v>559</v>
      </c>
      <c r="C1162" s="9" t="s">
        <v>4328</v>
      </c>
      <c r="D1162" s="9" t="s">
        <v>2298</v>
      </c>
      <c r="E1162" s="36" t="s">
        <v>762</v>
      </c>
      <c r="F1162" s="36" t="s">
        <v>1148</v>
      </c>
      <c r="H1162" s="9" t="s">
        <v>3633</v>
      </c>
      <c r="M1162" s="6" t="n">
        <v>19329</v>
      </c>
      <c r="P1162" s="1" t="n">
        <v>34090</v>
      </c>
      <c r="Q1162" s="1" t="str">
        <f aca="false">IF(OR($A974="",P974=""),"",ROUND(YEARFRAC(P974,README!$C$5),1))</f>
        <v/>
      </c>
      <c r="S1162" s="6" t="n">
        <v>1850</v>
      </c>
      <c r="T1162" s="6" t="n">
        <v>1850</v>
      </c>
      <c r="U1162" s="6" t="n">
        <v>1850</v>
      </c>
      <c r="V1162" s="6" t="n">
        <v>0</v>
      </c>
      <c r="W1162" s="6" t="n">
        <v>1</v>
      </c>
      <c r="X1162" s="6" t="n">
        <v>1</v>
      </c>
      <c r="Z1162" s="6" t="s">
        <v>3629</v>
      </c>
      <c r="AA1162" s="9" t="s">
        <v>774</v>
      </c>
      <c r="AB1162" s="6" t="s">
        <v>4329</v>
      </c>
      <c r="AC1162" s="27" t="n">
        <f aca="false">COUNTIF(環境認証!$A$2:$A$849,A974)</f>
        <v>1</v>
      </c>
      <c r="AD1162" s="6" t="n">
        <v>0</v>
      </c>
      <c r="AE1162" s="6" t="n">
        <v>0</v>
      </c>
    </row>
    <row r="1163" customFormat="false" ht="15" hidden="false" customHeight="true" outlineLevel="0" collapsed="false">
      <c r="A1163" s="6" t="s">
        <v>4330</v>
      </c>
      <c r="B1163" s="6" t="s">
        <v>559</v>
      </c>
      <c r="C1163" s="9" t="s">
        <v>4331</v>
      </c>
      <c r="D1163" s="9" t="s">
        <v>2298</v>
      </c>
      <c r="E1163" s="36" t="s">
        <v>762</v>
      </c>
      <c r="F1163" s="36" t="s">
        <v>782</v>
      </c>
      <c r="H1163" s="9" t="s">
        <v>3633</v>
      </c>
      <c r="M1163" s="6" t="n">
        <v>4405.41</v>
      </c>
      <c r="P1163" s="1" t="n">
        <v>42186</v>
      </c>
      <c r="Q1163" s="1" t="str">
        <f aca="false">IF(OR($A975="",P975=""),"",ROUND(YEARFRAC(P975,README!$C$5),1))</f>
        <v/>
      </c>
      <c r="S1163" s="6" t="n">
        <v>1400</v>
      </c>
      <c r="T1163" s="6" t="n">
        <v>1400</v>
      </c>
      <c r="U1163" s="6" t="n">
        <v>1400</v>
      </c>
      <c r="V1163" s="6" t="n">
        <v>0</v>
      </c>
      <c r="W1163" s="6" t="n">
        <v>1</v>
      </c>
      <c r="X1163" s="6" t="n">
        <v>1</v>
      </c>
      <c r="Z1163" s="6" t="s">
        <v>3629</v>
      </c>
      <c r="AA1163" s="9" t="s">
        <v>774</v>
      </c>
      <c r="AB1163" s="6" t="s">
        <v>4332</v>
      </c>
      <c r="AC1163" s="27" t="n">
        <f aca="false">COUNTIF(環境認証!$A$2:$A$849,A975)</f>
        <v>2</v>
      </c>
      <c r="AD1163" s="6" t="n">
        <v>0</v>
      </c>
      <c r="AE1163" s="6" t="n">
        <v>0</v>
      </c>
    </row>
    <row r="1164" customFormat="false" ht="15" hidden="false" customHeight="true" outlineLevel="0" collapsed="false">
      <c r="A1164" s="6" t="s">
        <v>4333</v>
      </c>
      <c r="B1164" s="6" t="s">
        <v>559</v>
      </c>
      <c r="C1164" s="9" t="s">
        <v>4334</v>
      </c>
      <c r="D1164" s="9" t="s">
        <v>2298</v>
      </c>
      <c r="E1164" s="36" t="s">
        <v>925</v>
      </c>
      <c r="F1164" s="36" t="s">
        <v>3593</v>
      </c>
      <c r="H1164" s="9" t="s">
        <v>3633</v>
      </c>
      <c r="M1164" s="6" t="n">
        <v>3996.68</v>
      </c>
      <c r="P1164" s="1" t="n">
        <v>34001</v>
      </c>
      <c r="Q1164" s="1" t="str">
        <f aca="false">IF(OR($A976="",P976=""),"",ROUND(YEARFRAC(P976,README!$C$5),1))</f>
        <v/>
      </c>
      <c r="S1164" s="6" t="n">
        <v>1750</v>
      </c>
      <c r="T1164" s="6" t="n">
        <v>1717</v>
      </c>
      <c r="U1164" s="6" t="n">
        <v>1760</v>
      </c>
      <c r="V1164" s="6" t="n">
        <v>43</v>
      </c>
      <c r="W1164" s="6" t="n">
        <v>1</v>
      </c>
      <c r="X1164" s="6" t="n">
        <v>2</v>
      </c>
      <c r="Z1164" s="6" t="s">
        <v>3629</v>
      </c>
      <c r="AA1164" s="9" t="s">
        <v>774</v>
      </c>
      <c r="AB1164" s="6" t="s">
        <v>4335</v>
      </c>
      <c r="AC1164" s="27" t="n">
        <f aca="false">COUNTIF(環境認証!$A$2:$A$849,A976)</f>
        <v>2</v>
      </c>
      <c r="AD1164" s="6" t="n">
        <v>2.5</v>
      </c>
      <c r="AE1164" s="6" t="n">
        <v>0.6</v>
      </c>
    </row>
    <row r="1165" customFormat="false" ht="15" hidden="false" customHeight="true" outlineLevel="0" collapsed="false">
      <c r="A1165" s="6" t="s">
        <v>4336</v>
      </c>
      <c r="B1165" s="6" t="s">
        <v>559</v>
      </c>
      <c r="C1165" s="9" t="s">
        <v>4337</v>
      </c>
      <c r="D1165" s="9" t="s">
        <v>2298</v>
      </c>
      <c r="E1165" s="36" t="s">
        <v>1005</v>
      </c>
      <c r="F1165" s="36" t="s">
        <v>3597</v>
      </c>
      <c r="H1165" s="9" t="s">
        <v>3633</v>
      </c>
      <c r="M1165" s="6" t="n">
        <v>5968.71</v>
      </c>
      <c r="P1165" s="1" t="n">
        <v>35096</v>
      </c>
      <c r="Q1165" s="1" t="str">
        <f aca="false">IF(OR($A977="",P977=""),"",ROUND(YEARFRAC(P977,README!$C$5),1))</f>
        <v/>
      </c>
      <c r="S1165" s="6" t="n">
        <v>3740</v>
      </c>
      <c r="T1165" s="6" t="n">
        <v>3634</v>
      </c>
      <c r="U1165" s="6" t="n">
        <v>3800</v>
      </c>
      <c r="V1165" s="6" t="n">
        <v>166</v>
      </c>
      <c r="W1165" s="6" t="n">
        <v>1</v>
      </c>
      <c r="X1165" s="6" t="n">
        <v>1</v>
      </c>
      <c r="Z1165" s="6" t="s">
        <v>3629</v>
      </c>
      <c r="AA1165" s="9" t="s">
        <v>774</v>
      </c>
      <c r="AB1165" s="6" t="s">
        <v>4338</v>
      </c>
      <c r="AC1165" s="27" t="n">
        <f aca="false">COUNTIF(環境認証!$A$2:$A$849,A977)</f>
        <v>0</v>
      </c>
      <c r="AD1165" s="6" t="n">
        <v>4.6</v>
      </c>
      <c r="AE1165" s="6" t="n">
        <v>1.6</v>
      </c>
    </row>
    <row r="1166" customFormat="false" ht="15" hidden="false" customHeight="true" outlineLevel="0" collapsed="false">
      <c r="A1166" s="6" t="s">
        <v>4339</v>
      </c>
      <c r="B1166" s="6" t="s">
        <v>559</v>
      </c>
      <c r="C1166" s="9" t="s">
        <v>4340</v>
      </c>
      <c r="D1166" s="9" t="s">
        <v>2298</v>
      </c>
      <c r="E1166" s="36" t="s">
        <v>762</v>
      </c>
      <c r="F1166" s="36" t="s">
        <v>820</v>
      </c>
      <c r="H1166" s="9" t="s">
        <v>3633</v>
      </c>
      <c r="M1166" s="6" t="n">
        <v>2929.58</v>
      </c>
      <c r="P1166" s="1" t="n">
        <v>43101</v>
      </c>
      <c r="Q1166" s="1" t="str">
        <f aca="false">IF(OR($A978="",P978=""),"",ROUND(YEARFRAC(P978,README!$C$5),1))</f>
        <v/>
      </c>
      <c r="S1166" s="6" t="n">
        <v>1480</v>
      </c>
      <c r="T1166" s="6" t="n">
        <v>1470</v>
      </c>
      <c r="U1166" s="6" t="n">
        <v>1530</v>
      </c>
      <c r="V1166" s="6" t="n">
        <v>60</v>
      </c>
      <c r="W1166" s="6" t="n">
        <v>1</v>
      </c>
      <c r="X1166" s="6" t="n">
        <v>1</v>
      </c>
      <c r="Z1166" s="6" t="s">
        <v>3629</v>
      </c>
      <c r="AA1166" s="9" t="s">
        <v>774</v>
      </c>
      <c r="AB1166" s="6" t="s">
        <v>4341</v>
      </c>
      <c r="AC1166" s="27" t="n">
        <f aca="false">COUNTIF(環境認証!$A$2:$A$849,A978)</f>
        <v>2</v>
      </c>
      <c r="AD1166" s="6" t="n">
        <v>4.1</v>
      </c>
      <c r="AE1166" s="6" t="n">
        <v>3.4</v>
      </c>
    </row>
    <row r="1167" customFormat="false" ht="15" hidden="false" customHeight="true" outlineLevel="0" collapsed="false">
      <c r="A1167" s="6" t="s">
        <v>4342</v>
      </c>
      <c r="B1167" s="6" t="s">
        <v>559</v>
      </c>
      <c r="C1167" s="9" t="s">
        <v>4343</v>
      </c>
      <c r="D1167" s="9" t="s">
        <v>2298</v>
      </c>
      <c r="E1167" s="36" t="s">
        <v>996</v>
      </c>
      <c r="F1167" s="36" t="s">
        <v>3604</v>
      </c>
      <c r="H1167" s="9" t="s">
        <v>3633</v>
      </c>
      <c r="M1167" s="6" t="n">
        <v>14092.51</v>
      </c>
      <c r="P1167" s="1" t="n">
        <v>43374</v>
      </c>
      <c r="Q1167" s="1" t="str">
        <f aca="false">IF(OR($A979="",P979=""),"",ROUND(YEARFRAC(P979,README!$C$5),1))</f>
        <v/>
      </c>
      <c r="S1167" s="6" t="n">
        <v>4370</v>
      </c>
      <c r="T1167" s="6" t="n">
        <v>4370</v>
      </c>
      <c r="U1167" s="6" t="n">
        <v>4620</v>
      </c>
      <c r="V1167" s="6" t="n">
        <v>250</v>
      </c>
      <c r="W1167" s="6" t="n">
        <v>1</v>
      </c>
      <c r="X1167" s="6" t="n">
        <v>2</v>
      </c>
      <c r="Z1167" s="6" t="s">
        <v>3629</v>
      </c>
      <c r="AA1167" s="9" t="s">
        <v>774</v>
      </c>
      <c r="AB1167" s="6" t="s">
        <v>4344</v>
      </c>
      <c r="AC1167" s="27" t="n">
        <f aca="false">COUNTIF(環境認証!$A$2:$A$849,A979)</f>
        <v>1</v>
      </c>
      <c r="AD1167" s="6" t="n">
        <v>5.7</v>
      </c>
      <c r="AE1167" s="6" t="n">
        <v>5.7</v>
      </c>
    </row>
    <row r="1168" customFormat="false" ht="15" hidden="false" customHeight="true" outlineLevel="0" collapsed="false">
      <c r="A1168" s="6" t="s">
        <v>4345</v>
      </c>
      <c r="B1168" s="6" t="s">
        <v>559</v>
      </c>
      <c r="C1168" s="9" t="s">
        <v>4346</v>
      </c>
      <c r="D1168" s="9" t="s">
        <v>2298</v>
      </c>
      <c r="E1168" s="36" t="s">
        <v>981</v>
      </c>
      <c r="F1168" s="36" t="s">
        <v>3609</v>
      </c>
      <c r="H1168" s="9" t="s">
        <v>3633</v>
      </c>
      <c r="M1168" s="6" t="n">
        <v>7827.95</v>
      </c>
      <c r="P1168" s="1" t="n">
        <v>44835</v>
      </c>
      <c r="Q1168" s="1" t="str">
        <f aca="false">IF(OR($A980="",P980=""),"",ROUND(YEARFRAC(P980,README!$C$5),1))</f>
        <v/>
      </c>
      <c r="S1168" s="6" t="n">
        <v>3700</v>
      </c>
      <c r="T1168" s="6" t="n">
        <v>3634</v>
      </c>
      <c r="U1168" s="6" t="n">
        <v>3840</v>
      </c>
      <c r="V1168" s="6" t="n">
        <v>206</v>
      </c>
      <c r="W1168" s="6" t="n">
        <v>1</v>
      </c>
      <c r="X1168" s="6" t="n">
        <v>15</v>
      </c>
      <c r="Z1168" s="6" t="s">
        <v>3629</v>
      </c>
      <c r="AA1168" s="9" t="s">
        <v>774</v>
      </c>
      <c r="AB1168" s="6" t="s">
        <v>4347</v>
      </c>
      <c r="AC1168" s="27" t="n">
        <f aca="false">COUNTIF(環境認証!$A$2:$A$849,A980)</f>
        <v>1</v>
      </c>
      <c r="AD1168" s="6" t="n">
        <v>5.7</v>
      </c>
      <c r="AE1168" s="6" t="n">
        <v>3.8</v>
      </c>
    </row>
    <row r="1169" customFormat="false" ht="15" hidden="false" customHeight="true" outlineLevel="0" collapsed="false">
      <c r="A1169" s="6" t="s">
        <v>4348</v>
      </c>
      <c r="B1169" s="6" t="s">
        <v>559</v>
      </c>
      <c r="C1169" s="9" t="s">
        <v>4349</v>
      </c>
      <c r="D1169" s="9" t="s">
        <v>2298</v>
      </c>
      <c r="E1169" s="36" t="s">
        <v>1225</v>
      </c>
      <c r="F1169" s="36" t="s">
        <v>3613</v>
      </c>
      <c r="H1169" s="9" t="s">
        <v>3633</v>
      </c>
      <c r="M1169" s="6" t="n">
        <v>11963.61</v>
      </c>
      <c r="P1169" s="1" t="n">
        <v>43040</v>
      </c>
      <c r="Q1169" s="1" t="str">
        <f aca="false">IF(OR($A981="",P981=""),"",ROUND(YEARFRAC(P981,README!$C$5),1))</f>
        <v/>
      </c>
      <c r="S1169" s="6" t="n">
        <v>1950</v>
      </c>
      <c r="T1169" s="6" t="n">
        <v>1911</v>
      </c>
      <c r="U1169" s="6" t="n">
        <v>1950</v>
      </c>
      <c r="V1169" s="6" t="n">
        <v>39</v>
      </c>
      <c r="W1169" s="6" t="n">
        <v>1</v>
      </c>
      <c r="X1169" s="6" t="n">
        <v>1</v>
      </c>
      <c r="Z1169" s="6" t="s">
        <v>3629</v>
      </c>
      <c r="AA1169" s="9" t="s">
        <v>774</v>
      </c>
      <c r="AB1169" s="6" t="s">
        <v>4350</v>
      </c>
      <c r="AC1169" s="27" t="n">
        <f aca="false">COUNTIF(環境認証!$A$2:$A$849,A981)</f>
        <v>1</v>
      </c>
      <c r="AD1169" s="6" t="n">
        <v>2</v>
      </c>
      <c r="AE1169" s="6" t="n">
        <v>0</v>
      </c>
    </row>
    <row r="1170" customFormat="false" ht="15" hidden="false" customHeight="true" outlineLevel="0" collapsed="false">
      <c r="A1170" s="6" t="s">
        <v>4351</v>
      </c>
      <c r="B1170" s="6" t="s">
        <v>559</v>
      </c>
      <c r="C1170" s="9" t="s">
        <v>4352</v>
      </c>
      <c r="D1170" s="9" t="s">
        <v>2298</v>
      </c>
      <c r="E1170" s="36" t="s">
        <v>1212</v>
      </c>
      <c r="F1170" s="36" t="s">
        <v>1213</v>
      </c>
      <c r="H1170" s="9" t="s">
        <v>3633</v>
      </c>
      <c r="M1170" s="6" t="n">
        <v>6397.05</v>
      </c>
      <c r="P1170" s="1" t="n">
        <v>43466</v>
      </c>
      <c r="Q1170" s="1" t="str">
        <f aca="false">IF(OR($A982="",P982=""),"",ROUND(YEARFRAC(P982,README!$C$5),1))</f>
        <v/>
      </c>
      <c r="S1170" s="6" t="n">
        <v>3280</v>
      </c>
      <c r="T1170" s="6" t="n">
        <v>3239</v>
      </c>
      <c r="U1170" s="6" t="n">
        <v>3410</v>
      </c>
      <c r="V1170" s="6" t="n">
        <v>171</v>
      </c>
      <c r="W1170" s="6" t="n">
        <v>1</v>
      </c>
      <c r="X1170" s="6" t="n">
        <v>12</v>
      </c>
      <c r="Z1170" s="6" t="s">
        <v>3629</v>
      </c>
      <c r="AA1170" s="9" t="s">
        <v>774</v>
      </c>
      <c r="AB1170" s="6" t="s">
        <v>4353</v>
      </c>
      <c r="AC1170" s="27" t="n">
        <f aca="false">COUNTIF(環境認証!$A$2:$A$849,A982)</f>
        <v>1</v>
      </c>
      <c r="AD1170" s="6" t="n">
        <v>5.3</v>
      </c>
      <c r="AE1170" s="6" t="n">
        <v>4</v>
      </c>
    </row>
    <row r="1171" customFormat="false" ht="15" hidden="false" customHeight="true" outlineLevel="0" collapsed="false">
      <c r="A1171" s="6" t="s">
        <v>4354</v>
      </c>
      <c r="B1171" s="6" t="s">
        <v>559</v>
      </c>
      <c r="C1171" s="9" t="s">
        <v>4355</v>
      </c>
      <c r="D1171" s="9" t="s">
        <v>2298</v>
      </c>
      <c r="E1171" s="36" t="s">
        <v>981</v>
      </c>
      <c r="F1171" s="36" t="s">
        <v>3619</v>
      </c>
      <c r="H1171" s="9" t="s">
        <v>3633</v>
      </c>
      <c r="M1171" s="6" t="n">
        <v>1217.02</v>
      </c>
      <c r="P1171" s="1" t="n">
        <v>44197</v>
      </c>
      <c r="Q1171" s="1" t="str">
        <f aca="false">IF(OR($A983="",P983=""),"",ROUND(YEARFRAC(P983,README!$C$5),1))</f>
        <v/>
      </c>
      <c r="S1171" s="6" t="n">
        <v>1340</v>
      </c>
      <c r="T1171" s="6" t="n">
        <v>1329</v>
      </c>
      <c r="U1171" s="6" t="n">
        <v>1410</v>
      </c>
      <c r="V1171" s="6" t="n">
        <v>81</v>
      </c>
      <c r="W1171" s="6" t="n">
        <v>1</v>
      </c>
      <c r="X1171" s="6" t="n">
        <v>1</v>
      </c>
      <c r="Z1171" s="6" t="s">
        <v>3629</v>
      </c>
      <c r="AA1171" s="9" t="s">
        <v>774</v>
      </c>
      <c r="AB1171" s="6" t="s">
        <v>4356</v>
      </c>
      <c r="AC1171" s="27" t="n">
        <f aca="false">COUNTIF(環境認証!$A$2:$A$849,A983)</f>
        <v>1</v>
      </c>
      <c r="AD1171" s="6" t="n">
        <v>6.1</v>
      </c>
      <c r="AE1171" s="6" t="n">
        <v>5.2</v>
      </c>
    </row>
    <row r="1172" customFormat="false" ht="15" hidden="false" customHeight="true" outlineLevel="0" collapsed="false">
      <c r="A1172" s="6" t="s">
        <v>4357</v>
      </c>
      <c r="B1172" s="6" t="s">
        <v>559</v>
      </c>
      <c r="C1172" s="9" t="s">
        <v>4358</v>
      </c>
      <c r="D1172" s="9" t="s">
        <v>2298</v>
      </c>
      <c r="E1172" s="36" t="s">
        <v>950</v>
      </c>
      <c r="F1172" s="36" t="s">
        <v>3623</v>
      </c>
      <c r="H1172" s="9" t="s">
        <v>3633</v>
      </c>
      <c r="M1172" s="6" t="n">
        <v>6861.59</v>
      </c>
      <c r="P1172" s="1" t="n">
        <v>43525</v>
      </c>
      <c r="Q1172" s="1" t="str">
        <f aca="false">IF(OR($A984="",P984=""),"",ROUND(YEARFRAC(P984,README!$C$5),1))</f>
        <v/>
      </c>
      <c r="S1172" s="6" t="n">
        <v>3140</v>
      </c>
      <c r="T1172" s="6" t="n">
        <v>3076</v>
      </c>
      <c r="U1172" s="6" t="n">
        <v>3110</v>
      </c>
      <c r="V1172" s="6" t="n">
        <v>34</v>
      </c>
      <c r="W1172" s="6" t="n">
        <v>0.998</v>
      </c>
      <c r="X1172" s="6" t="n">
        <v>10</v>
      </c>
      <c r="Z1172" s="6" t="s">
        <v>3629</v>
      </c>
      <c r="AA1172" s="9" t="s">
        <v>774</v>
      </c>
      <c r="AB1172" s="6" t="s">
        <v>4359</v>
      </c>
      <c r="AC1172" s="27" t="n">
        <f aca="false">COUNTIF(環境認証!$A$2:$A$849,A984)</f>
        <v>0</v>
      </c>
      <c r="AD1172" s="6" t="n">
        <v>1.1</v>
      </c>
      <c r="AE1172" s="6" t="n">
        <v>-1</v>
      </c>
    </row>
    <row r="1173" customFormat="false" ht="15" hidden="false" customHeight="true" outlineLevel="0" collapsed="false">
      <c r="A1173" s="6" t="s">
        <v>4360</v>
      </c>
      <c r="B1173" s="6" t="s">
        <v>559</v>
      </c>
      <c r="C1173" s="9" t="s">
        <v>4361</v>
      </c>
      <c r="D1173" s="9" t="s">
        <v>2298</v>
      </c>
      <c r="H1173" s="9" t="s">
        <v>3633</v>
      </c>
      <c r="M1173" s="6" t="n">
        <v>6229.32</v>
      </c>
      <c r="Q1173" s="1" t="str">
        <f aca="false">IF(OR($A985="",P985=""),"",ROUND(YEARFRAC(P985,README!$C$5),1))</f>
        <v/>
      </c>
      <c r="S1173" s="6" t="n">
        <v>2380</v>
      </c>
      <c r="T1173" s="6" t="n">
        <v>2380</v>
      </c>
      <c r="U1173" s="6" t="n">
        <v>2610</v>
      </c>
      <c r="V1173" s="6" t="n">
        <v>230</v>
      </c>
      <c r="W1173" s="6" t="n">
        <v>1</v>
      </c>
      <c r="X1173" s="6" t="n">
        <v>1</v>
      </c>
      <c r="Z1173" s="6" t="s">
        <v>3629</v>
      </c>
      <c r="AA1173" s="49" t="s">
        <v>774</v>
      </c>
      <c r="AB1173" s="6" t="s">
        <v>4362</v>
      </c>
      <c r="AC1173" s="27" t="n">
        <f aca="false">COUNTIF(環境認証!$A$2:$A$849,A985)</f>
        <v>1</v>
      </c>
      <c r="AD1173" s="6" t="n">
        <v>9.7</v>
      </c>
      <c r="AE1173" s="6" t="n">
        <v>9.7</v>
      </c>
    </row>
    <row r="1174" customFormat="false" ht="15" hidden="false" customHeight="true" outlineLevel="0" collapsed="false">
      <c r="A1174" s="6" t="s">
        <v>4363</v>
      </c>
      <c r="B1174" s="6" t="s">
        <v>559</v>
      </c>
      <c r="C1174" s="9" t="s">
        <v>4364</v>
      </c>
      <c r="D1174" s="9" t="s">
        <v>2298</v>
      </c>
      <c r="E1174" s="36" t="s">
        <v>762</v>
      </c>
      <c r="F1174" s="36" t="s">
        <v>763</v>
      </c>
      <c r="H1174" s="9" t="s">
        <v>3633</v>
      </c>
      <c r="M1174" s="6" t="n">
        <v>44568.05</v>
      </c>
      <c r="Q1174" s="1" t="str">
        <f aca="false">IF(OR($A986="",P986=""),"",ROUND(YEARFRAC(P986,README!$C$5),1))</f>
        <v/>
      </c>
      <c r="S1174" s="6" t="n">
        <v>12000</v>
      </c>
      <c r="T1174" s="6" t="n">
        <v>11757</v>
      </c>
      <c r="U1174" s="6" t="n">
        <v>12500</v>
      </c>
      <c r="V1174" s="6" t="n">
        <v>743</v>
      </c>
      <c r="W1174" s="6" t="n">
        <v>1</v>
      </c>
      <c r="X1174" s="6" t="n">
        <v>1</v>
      </c>
      <c r="Z1174" s="6" t="s">
        <v>3629</v>
      </c>
      <c r="AA1174" s="9" t="s">
        <v>774</v>
      </c>
      <c r="AB1174" s="6" t="s">
        <v>4365</v>
      </c>
      <c r="AC1174" s="27" t="n">
        <f aca="false">COUNTIF(環境認証!$A$2:$A$849,A986)</f>
        <v>3</v>
      </c>
      <c r="AD1174" s="6" t="n">
        <v>6.3</v>
      </c>
      <c r="AE1174" s="6" t="n">
        <v>4.2</v>
      </c>
    </row>
    <row r="1175" customFormat="false" ht="15" hidden="false" customHeight="true" outlineLevel="0" collapsed="false">
      <c r="A1175" s="6" t="s">
        <v>4366</v>
      </c>
      <c r="B1175" s="6" t="s">
        <v>559</v>
      </c>
      <c r="C1175" s="9" t="s">
        <v>4367</v>
      </c>
      <c r="D1175" s="9" t="s">
        <v>2298</v>
      </c>
      <c r="E1175" s="36" t="s">
        <v>762</v>
      </c>
      <c r="F1175" s="36" t="s">
        <v>763</v>
      </c>
      <c r="H1175" s="9" t="s">
        <v>3633</v>
      </c>
      <c r="M1175" s="6" t="n">
        <v>14195</v>
      </c>
      <c r="Q1175" s="1" t="str">
        <f aca="false">IF(OR($A987="",P987=""),"",ROUND(YEARFRAC(P987,README!$C$5),1))</f>
        <v/>
      </c>
      <c r="S1175" s="6" t="n">
        <v>6390</v>
      </c>
      <c r="T1175" s="6" t="n">
        <v>6269</v>
      </c>
      <c r="U1175" s="6" t="n">
        <v>6510</v>
      </c>
      <c r="V1175" s="6" t="n">
        <v>241</v>
      </c>
      <c r="W1175" s="6" t="n">
        <v>1</v>
      </c>
      <c r="X1175" s="6" t="n">
        <v>3</v>
      </c>
      <c r="Z1175" s="6" t="s">
        <v>3629</v>
      </c>
      <c r="AA1175" s="9" t="s">
        <v>774</v>
      </c>
      <c r="AB1175" s="6" t="s">
        <v>4368</v>
      </c>
      <c r="AC1175" s="27" t="n">
        <f aca="false">COUNTIF(環境認証!$A$2:$A$849,A987)</f>
        <v>1</v>
      </c>
      <c r="AD1175" s="6" t="n">
        <v>3.8</v>
      </c>
      <c r="AE1175" s="6" t="n">
        <v>1.9</v>
      </c>
    </row>
    <row r="1176" customFormat="false" ht="15" hidden="false" customHeight="true" outlineLevel="0" collapsed="false">
      <c r="A1176" s="6" t="s">
        <v>4369</v>
      </c>
      <c r="B1176" s="6" t="s">
        <v>559</v>
      </c>
      <c r="C1176" s="9" t="s">
        <v>4370</v>
      </c>
      <c r="D1176" s="9" t="s">
        <v>2298</v>
      </c>
      <c r="E1176" s="36" t="s">
        <v>762</v>
      </c>
      <c r="F1176" s="36" t="s">
        <v>763</v>
      </c>
      <c r="H1176" s="9" t="s">
        <v>3633</v>
      </c>
      <c r="M1176" s="6" t="n">
        <v>1456.86</v>
      </c>
      <c r="Q1176" s="1" t="str">
        <f aca="false">IF(OR($A988="",P988=""),"",ROUND(YEARFRAC(P988,README!$C$5),1))</f>
        <v/>
      </c>
      <c r="S1176" s="6" t="n">
        <v>2140</v>
      </c>
      <c r="T1176" s="6" t="n">
        <v>2123</v>
      </c>
      <c r="U1176" s="6" t="n">
        <v>2210</v>
      </c>
      <c r="V1176" s="6" t="n">
        <v>87</v>
      </c>
      <c r="W1176" s="6" t="n">
        <v>1</v>
      </c>
      <c r="X1176" s="6" t="n">
        <v>1</v>
      </c>
      <c r="Z1176" s="6" t="s">
        <v>3629</v>
      </c>
      <c r="AA1176" s="9" t="s">
        <v>774</v>
      </c>
      <c r="AB1176" s="6" t="s">
        <v>4371</v>
      </c>
      <c r="AC1176" s="27" t="n">
        <f aca="false">COUNTIF(環境認証!$A$2:$A$849,A988)</f>
        <v>1</v>
      </c>
      <c r="AD1176" s="6" t="n">
        <v>4.1</v>
      </c>
      <c r="AE1176" s="6" t="n">
        <v>3.3</v>
      </c>
    </row>
    <row r="1177" customFormat="false" ht="15" hidden="false" customHeight="true" outlineLevel="0" collapsed="false">
      <c r="A1177" s="6" t="s">
        <v>4372</v>
      </c>
      <c r="B1177" s="6" t="s">
        <v>559</v>
      </c>
      <c r="C1177" s="9" t="s">
        <v>4373</v>
      </c>
      <c r="D1177" s="9" t="s">
        <v>2298</v>
      </c>
      <c r="E1177" s="36" t="s">
        <v>762</v>
      </c>
      <c r="F1177" s="36" t="s">
        <v>763</v>
      </c>
      <c r="H1177" s="9" t="s">
        <v>3633</v>
      </c>
      <c r="M1177" s="6" t="n">
        <v>3533.59</v>
      </c>
      <c r="Q1177" s="1" t="str">
        <f aca="false">IF(OR($A989="",P989=""),"",ROUND(YEARFRAC(P989,README!$C$5),1))</f>
        <v/>
      </c>
      <c r="S1177" s="6" t="n">
        <v>881</v>
      </c>
      <c r="T1177" s="6" t="n">
        <v>881</v>
      </c>
      <c r="U1177" s="6" t="n">
        <v>881</v>
      </c>
      <c r="V1177" s="6" t="n">
        <v>0</v>
      </c>
      <c r="W1177" s="6" t="n">
        <v>1</v>
      </c>
      <c r="X1177" s="6" t="n">
        <v>1</v>
      </c>
      <c r="Z1177" s="6" t="s">
        <v>3629</v>
      </c>
      <c r="AA1177" s="9" t="s">
        <v>774</v>
      </c>
      <c r="AB1177" s="6" t="s">
        <v>4374</v>
      </c>
      <c r="AC1177" s="27" t="n">
        <f aca="false">COUNTIF(環境認証!$A$2:$A$849,A989)</f>
        <v>1</v>
      </c>
      <c r="AD1177" s="6" t="n">
        <v>0</v>
      </c>
      <c r="AE1177" s="6" t="n">
        <v>0</v>
      </c>
    </row>
    <row r="1178" customFormat="false" ht="15" hidden="false" customHeight="true" outlineLevel="0" collapsed="false">
      <c r="A1178" s="6" t="s">
        <v>4375</v>
      </c>
      <c r="B1178" s="6" t="s">
        <v>559</v>
      </c>
      <c r="C1178" s="9" t="s">
        <v>4376</v>
      </c>
      <c r="D1178" s="9" t="s">
        <v>2298</v>
      </c>
      <c r="E1178" s="36" t="s">
        <v>762</v>
      </c>
      <c r="F1178" s="36" t="s">
        <v>763</v>
      </c>
      <c r="H1178" s="9" t="s">
        <v>3633</v>
      </c>
      <c r="M1178" s="6" t="n">
        <v>10665.73</v>
      </c>
      <c r="Q1178" s="1" t="str">
        <f aca="false">IF(OR($A990="",P990=""),"",ROUND(YEARFRAC(P990,README!$C$5),1))</f>
        <v/>
      </c>
      <c r="S1178" s="6" t="n">
        <v>11400</v>
      </c>
      <c r="T1178" s="6" t="n">
        <v>11246</v>
      </c>
      <c r="U1178" s="6" t="n">
        <v>11100</v>
      </c>
      <c r="V1178" s="6" t="n">
        <v>-146</v>
      </c>
      <c r="W1178" s="6" t="n">
        <v>0.942</v>
      </c>
      <c r="X1178" s="6" t="n">
        <v>23</v>
      </c>
      <c r="Z1178" s="6" t="s">
        <v>3629</v>
      </c>
      <c r="AA1178" s="9" t="s">
        <v>774</v>
      </c>
      <c r="AB1178" s="6" t="s">
        <v>4377</v>
      </c>
      <c r="AC1178" s="27" t="n">
        <f aca="false">COUNTIF(環境認証!$A$2:$A$849,A990)</f>
        <v>1</v>
      </c>
      <c r="AD1178" s="6" t="n">
        <v>-1.3</v>
      </c>
      <c r="AE1178" s="6" t="n">
        <v>-2.6</v>
      </c>
    </row>
    <row r="1179" customFormat="false" ht="15" hidden="false" customHeight="true" outlineLevel="0" collapsed="false">
      <c r="A1179" s="6" t="s">
        <v>4378</v>
      </c>
      <c r="B1179" s="6" t="s">
        <v>559</v>
      </c>
      <c r="C1179" s="9" t="s">
        <v>4379</v>
      </c>
      <c r="D1179" s="9" t="s">
        <v>2298</v>
      </c>
      <c r="E1179" s="36" t="s">
        <v>762</v>
      </c>
      <c r="F1179" s="36" t="s">
        <v>763</v>
      </c>
      <c r="H1179" s="9" t="s">
        <v>3633</v>
      </c>
      <c r="M1179" s="6" t="n">
        <v>3030.58</v>
      </c>
      <c r="Q1179" s="1" t="str">
        <f aca="false">IF(OR($A991="",P991=""),"",ROUND(YEARFRAC(P991,README!$C$5),1))</f>
        <v/>
      </c>
      <c r="S1179" s="6" t="n">
        <v>3680</v>
      </c>
      <c r="T1179" s="6" t="n">
        <v>3595</v>
      </c>
      <c r="U1179" s="6" t="n">
        <v>3870</v>
      </c>
      <c r="V1179" s="6" t="n">
        <v>275</v>
      </c>
      <c r="W1179" s="6" t="n">
        <v>0.915</v>
      </c>
      <c r="X1179" s="6" t="n">
        <v>11</v>
      </c>
      <c r="Z1179" s="6" t="s">
        <v>3629</v>
      </c>
      <c r="AA1179" s="9" t="s">
        <v>774</v>
      </c>
      <c r="AB1179" s="6" t="s">
        <v>4380</v>
      </c>
      <c r="AC1179" s="27" t="n">
        <f aca="false">COUNTIF(環境認証!$A$2:$A$849,A991)</f>
        <v>1</v>
      </c>
      <c r="AD1179" s="6" t="n">
        <v>7.6</v>
      </c>
      <c r="AE1179" s="6" t="n">
        <v>5.2</v>
      </c>
    </row>
    <row r="1180" customFormat="false" ht="15" hidden="false" customHeight="true" outlineLevel="0" collapsed="false">
      <c r="A1180" s="6" t="s">
        <v>4381</v>
      </c>
      <c r="B1180" s="6" t="s">
        <v>559</v>
      </c>
      <c r="C1180" s="9" t="s">
        <v>4382</v>
      </c>
      <c r="D1180" s="9" t="s">
        <v>2298</v>
      </c>
      <c r="E1180" s="36" t="s">
        <v>762</v>
      </c>
      <c r="F1180" s="36" t="s">
        <v>763</v>
      </c>
      <c r="H1180" s="9" t="s">
        <v>3633</v>
      </c>
      <c r="M1180" s="6" t="n">
        <v>36490.48</v>
      </c>
      <c r="Q1180" s="1" t="str">
        <f aca="false">IF(OR($A992="",P992=""),"",ROUND(YEARFRAC(P992,README!$C$5),1))</f>
        <v/>
      </c>
      <c r="S1180" s="6" t="n">
        <v>4670</v>
      </c>
      <c r="T1180" s="6" t="n">
        <v>4556</v>
      </c>
      <c r="U1180" s="6" t="n">
        <v>3660</v>
      </c>
      <c r="V1180" s="6" t="n">
        <v>-896</v>
      </c>
      <c r="W1180" s="6" t="n">
        <v>1</v>
      </c>
      <c r="X1180" s="6" t="n">
        <v>2</v>
      </c>
      <c r="Z1180" s="6" t="s">
        <v>3629</v>
      </c>
      <c r="AA1180" s="9" t="s">
        <v>774</v>
      </c>
      <c r="AB1180" s="6" t="s">
        <v>4383</v>
      </c>
      <c r="AC1180" s="27" t="n">
        <f aca="false">COUNTIF(環境認証!$A$2:$A$849,A992)</f>
        <v>1</v>
      </c>
      <c r="AD1180" s="6" t="n">
        <v>-19.7</v>
      </c>
      <c r="AE1180" s="6" t="n">
        <v>-21.6</v>
      </c>
    </row>
    <row r="1181" customFormat="false" ht="15" hidden="false" customHeight="true" outlineLevel="0" collapsed="false">
      <c r="A1181" s="6" t="s">
        <v>4384</v>
      </c>
      <c r="B1181" s="6" t="s">
        <v>559</v>
      </c>
      <c r="C1181" s="9" t="s">
        <v>4385</v>
      </c>
      <c r="D1181" s="9" t="s">
        <v>2298</v>
      </c>
      <c r="E1181" s="36" t="s">
        <v>762</v>
      </c>
      <c r="F1181" s="36" t="s">
        <v>763</v>
      </c>
      <c r="H1181" s="9" t="s">
        <v>3633</v>
      </c>
      <c r="M1181" s="6" t="n">
        <v>9212.78</v>
      </c>
      <c r="Q1181" s="1" t="str">
        <f aca="false">IF(OR($A993="",P993=""),"",ROUND(YEARFRAC(P993,README!$C$5),1))</f>
        <v/>
      </c>
      <c r="S1181" s="6" t="n">
        <v>4620</v>
      </c>
      <c r="T1181" s="6" t="n">
        <v>4545</v>
      </c>
      <c r="U1181" s="6" t="n">
        <v>4810</v>
      </c>
      <c r="V1181" s="6" t="n">
        <v>265</v>
      </c>
      <c r="W1181" s="6" t="n">
        <v>1</v>
      </c>
      <c r="X1181" s="6" t="n">
        <v>1</v>
      </c>
      <c r="Z1181" s="6" t="s">
        <v>3629</v>
      </c>
      <c r="AA1181" s="9" t="s">
        <v>774</v>
      </c>
      <c r="AB1181" s="6" t="s">
        <v>4386</v>
      </c>
      <c r="AC1181" s="27" t="n">
        <f aca="false">COUNTIF(環境認証!$A$2:$A$849,A993)</f>
        <v>1</v>
      </c>
      <c r="AD1181" s="6" t="n">
        <v>5.8</v>
      </c>
      <c r="AE1181" s="6" t="n">
        <v>4.1</v>
      </c>
    </row>
    <row r="1182" customFormat="false" ht="15" hidden="false" customHeight="true" outlineLevel="0" collapsed="false">
      <c r="A1182" s="6" t="s">
        <v>4387</v>
      </c>
      <c r="B1182" s="6" t="s">
        <v>559</v>
      </c>
      <c r="C1182" s="9" t="s">
        <v>4388</v>
      </c>
      <c r="D1182" s="9" t="s">
        <v>2298</v>
      </c>
      <c r="E1182" s="36" t="s">
        <v>762</v>
      </c>
      <c r="F1182" s="36" t="s">
        <v>763</v>
      </c>
      <c r="H1182" s="9" t="s">
        <v>3633</v>
      </c>
      <c r="M1182" s="6" t="n">
        <v>9691.09</v>
      </c>
      <c r="Q1182" s="1" t="str">
        <f aca="false">IF(OR($A994="",P994=""),"",ROUND(YEARFRAC(P994,README!$C$5),1))</f>
        <v/>
      </c>
      <c r="S1182" s="6" t="n">
        <v>3569</v>
      </c>
      <c r="T1182" s="6" t="n">
        <v>3606</v>
      </c>
      <c r="U1182" s="6" t="n">
        <v>3660</v>
      </c>
      <c r="V1182" s="6" t="n">
        <v>54</v>
      </c>
      <c r="W1182" s="6" t="n">
        <v>1</v>
      </c>
      <c r="X1182" s="6" t="n">
        <v>1</v>
      </c>
      <c r="Z1182" s="6" t="s">
        <v>3629</v>
      </c>
      <c r="AA1182" s="9" t="s">
        <v>774</v>
      </c>
      <c r="AB1182" s="6" t="s">
        <v>4389</v>
      </c>
      <c r="AC1182" s="27" t="n">
        <f aca="false">COUNTIF(環境認証!$A$2:$A$849,A994)</f>
        <v>3</v>
      </c>
      <c r="AD1182" s="6" t="n">
        <v>1.5</v>
      </c>
      <c r="AE1182" s="6" t="n">
        <v>2.5</v>
      </c>
    </row>
    <row r="1183" customFormat="false" ht="15" hidden="false" customHeight="true" outlineLevel="0" collapsed="false">
      <c r="A1183" s="6" t="s">
        <v>4390</v>
      </c>
      <c r="B1183" s="6" t="s">
        <v>559</v>
      </c>
      <c r="C1183" s="9" t="s">
        <v>4391</v>
      </c>
      <c r="D1183" s="9" t="s">
        <v>2298</v>
      </c>
      <c r="E1183" s="36" t="s">
        <v>762</v>
      </c>
      <c r="F1183" s="36" t="s">
        <v>763</v>
      </c>
      <c r="H1183" s="9" t="s">
        <v>3633</v>
      </c>
      <c r="M1183" s="6" t="n">
        <v>36813.59</v>
      </c>
      <c r="Q1183" s="1" t="str">
        <f aca="false">IF(OR($A995="",P995=""),"",ROUND(YEARFRAC(P995,README!$C$5),1))</f>
        <v/>
      </c>
      <c r="S1183" s="6" t="n">
        <v>26300</v>
      </c>
      <c r="T1183" s="6" t="n">
        <v>26658</v>
      </c>
      <c r="U1183" s="6" t="n">
        <v>26700</v>
      </c>
      <c r="V1183" s="6" t="n">
        <v>42</v>
      </c>
      <c r="W1183" s="6" t="n">
        <v>0.99</v>
      </c>
      <c r="X1183" s="6" t="n">
        <v>109</v>
      </c>
      <c r="Z1183" s="6" t="s">
        <v>3629</v>
      </c>
      <c r="AA1183" s="9" t="s">
        <v>774</v>
      </c>
      <c r="AB1183" s="6" t="s">
        <v>4392</v>
      </c>
      <c r="AC1183" s="27" t="n">
        <f aca="false">COUNTIF(環境認証!$A$2:$A$849,A995)</f>
        <v>1</v>
      </c>
      <c r="AD1183" s="6" t="n">
        <v>0.2</v>
      </c>
      <c r="AE1183" s="6" t="n">
        <v>1.5</v>
      </c>
    </row>
    <row r="1184" customFormat="false" ht="15" hidden="false" customHeight="true" outlineLevel="0" collapsed="false">
      <c r="A1184" s="6" t="s">
        <v>4393</v>
      </c>
      <c r="B1184" s="6" t="s">
        <v>559</v>
      </c>
      <c r="C1184" s="9" t="s">
        <v>4394</v>
      </c>
      <c r="D1184" s="9" t="s">
        <v>2298</v>
      </c>
      <c r="E1184" s="36" t="s">
        <v>762</v>
      </c>
      <c r="F1184" s="36" t="s">
        <v>763</v>
      </c>
      <c r="H1184" s="9" t="s">
        <v>3839</v>
      </c>
      <c r="M1184" s="6" t="n">
        <v>48296.76</v>
      </c>
      <c r="Q1184" s="1" t="str">
        <f aca="false">IF(OR($A996="",P996=""),"",ROUND(YEARFRAC(P996,README!$C$5),1))</f>
        <v/>
      </c>
      <c r="S1184" s="6" t="n">
        <v>12600</v>
      </c>
      <c r="T1184" s="6" t="n">
        <v>12369</v>
      </c>
      <c r="U1184" s="6" t="n">
        <v>12600</v>
      </c>
      <c r="V1184" s="6" t="n">
        <v>231</v>
      </c>
      <c r="W1184" s="6" t="n">
        <v>0.998</v>
      </c>
      <c r="X1184" s="6" t="n">
        <v>21</v>
      </c>
      <c r="Z1184" s="6" t="s">
        <v>3629</v>
      </c>
      <c r="AA1184" s="9" t="s">
        <v>774</v>
      </c>
      <c r="AB1184" s="6" t="s">
        <v>4395</v>
      </c>
      <c r="AC1184" s="27" t="n">
        <f aca="false">COUNTIF(環境認証!$A$2:$A$849,A996)</f>
        <v>0</v>
      </c>
      <c r="AD1184" s="6" t="n">
        <v>1.9</v>
      </c>
      <c r="AE1184" s="6" t="n">
        <v>0</v>
      </c>
    </row>
    <row r="1185" customFormat="false" ht="15" hidden="false" customHeight="true" outlineLevel="0" collapsed="false">
      <c r="A1185" s="6" t="s">
        <v>4396</v>
      </c>
      <c r="B1185" s="6" t="s">
        <v>559</v>
      </c>
      <c r="C1185" s="9" t="s">
        <v>4397</v>
      </c>
      <c r="D1185" s="9" t="s">
        <v>2298</v>
      </c>
      <c r="E1185" s="36" t="s">
        <v>762</v>
      </c>
      <c r="F1185" s="36" t="s">
        <v>820</v>
      </c>
      <c r="H1185" s="9" t="s">
        <v>3839</v>
      </c>
      <c r="M1185" s="6" t="n">
        <v>30290.71</v>
      </c>
      <c r="Q1185" s="1" t="str">
        <f aca="false">IF(OR($A997="",P997=""),"",ROUND(YEARFRAC(P997,README!$C$5),1))</f>
        <v/>
      </c>
      <c r="S1185" s="6" t="n">
        <v>9880</v>
      </c>
      <c r="T1185" s="6" t="n">
        <v>9655</v>
      </c>
      <c r="U1185" s="6" t="n">
        <v>10900</v>
      </c>
      <c r="V1185" s="6" t="n">
        <v>1245</v>
      </c>
      <c r="W1185" s="6" t="n">
        <v>1</v>
      </c>
      <c r="X1185" s="6" t="n">
        <v>48</v>
      </c>
      <c r="Z1185" s="6" t="s">
        <v>3629</v>
      </c>
      <c r="AA1185" s="9" t="s">
        <v>774</v>
      </c>
      <c r="AB1185" s="6" t="s">
        <v>4398</v>
      </c>
      <c r="AC1185" s="27" t="n">
        <f aca="false">COUNTIF(環境認証!$A$2:$A$849,A997)</f>
        <v>2</v>
      </c>
      <c r="AD1185" s="6" t="n">
        <v>12.9</v>
      </c>
      <c r="AE1185" s="6" t="n">
        <v>10.3</v>
      </c>
    </row>
    <row r="1186" customFormat="false" ht="15" hidden="false" customHeight="true" outlineLevel="0" collapsed="false">
      <c r="A1186" s="6" t="s">
        <v>4399</v>
      </c>
      <c r="B1186" s="6" t="s">
        <v>559</v>
      </c>
      <c r="C1186" s="9" t="s">
        <v>4400</v>
      </c>
      <c r="D1186" s="9" t="s">
        <v>2298</v>
      </c>
      <c r="E1186" s="36" t="s">
        <v>762</v>
      </c>
      <c r="F1186" s="36" t="s">
        <v>820</v>
      </c>
      <c r="H1186" s="9" t="s">
        <v>3839</v>
      </c>
      <c r="M1186" s="6" t="n">
        <v>4437.07</v>
      </c>
      <c r="Q1186" s="1" t="str">
        <f aca="false">IF(OR($A998="",P998=""),"",ROUND(YEARFRAC(P998,README!$C$5),1))</f>
        <v/>
      </c>
      <c r="S1186" s="6" t="n">
        <v>3360</v>
      </c>
      <c r="T1186" s="6" t="n">
        <v>3360</v>
      </c>
      <c r="U1186" s="6" t="n">
        <v>3520</v>
      </c>
      <c r="V1186" s="6" t="n">
        <v>160</v>
      </c>
      <c r="W1186" s="6" t="n">
        <v>1</v>
      </c>
      <c r="X1186" s="6" t="n">
        <v>1</v>
      </c>
      <c r="Z1186" s="6" t="s">
        <v>3629</v>
      </c>
      <c r="AA1186" s="9" t="s">
        <v>774</v>
      </c>
      <c r="AB1186" s="6" t="s">
        <v>4401</v>
      </c>
      <c r="AC1186" s="27" t="n">
        <f aca="false">COUNTIF(環境認証!$A$2:$A$849,A998)</f>
        <v>1</v>
      </c>
      <c r="AD1186" s="6" t="n">
        <v>4.8</v>
      </c>
      <c r="AE1186" s="6" t="n">
        <v>4.8</v>
      </c>
    </row>
    <row r="1187" customFormat="false" ht="15" hidden="false" customHeight="true" outlineLevel="0" collapsed="false">
      <c r="A1187" s="6" t="s">
        <v>4402</v>
      </c>
      <c r="B1187" s="6" t="s">
        <v>559</v>
      </c>
      <c r="C1187" s="6" t="s">
        <v>4403</v>
      </c>
      <c r="D1187" s="9" t="s">
        <v>2298</v>
      </c>
      <c r="E1187" s="36" t="s">
        <v>762</v>
      </c>
      <c r="F1187" s="36" t="s">
        <v>820</v>
      </c>
      <c r="H1187" s="9" t="s">
        <v>3839</v>
      </c>
      <c r="M1187" s="1" t="n">
        <v>4279</v>
      </c>
      <c r="Q1187" s="1" t="str">
        <f aca="false">IF(OR($A999="",P999=""),"",ROUND(YEARFRAC(P999,README!$C$5),1))</f>
        <v/>
      </c>
      <c r="S1187" s="6" t="n">
        <v>2850</v>
      </c>
      <c r="T1187" s="6" t="n">
        <v>2850</v>
      </c>
      <c r="U1187" s="6" t="n">
        <v>2950</v>
      </c>
      <c r="V1187" s="6" t="n">
        <v>100</v>
      </c>
      <c r="W1187" s="6" t="n">
        <v>1</v>
      </c>
      <c r="X1187" s="6" t="n">
        <v>1</v>
      </c>
      <c r="Z1187" s="6" t="s">
        <v>3629</v>
      </c>
      <c r="AA1187" s="9" t="s">
        <v>774</v>
      </c>
      <c r="AB1187" s="6" t="s">
        <v>4404</v>
      </c>
      <c r="AC1187" s="27" t="n">
        <f aca="false">COUNTIF(環境認証!$A$2:$A$849,A999)</f>
        <v>0</v>
      </c>
      <c r="AD1187" s="6" t="n">
        <v>3.5</v>
      </c>
      <c r="AE1187" s="6" t="n">
        <v>3.5</v>
      </c>
    </row>
    <row r="1188" customFormat="false" ht="15" hidden="false" customHeight="true" outlineLevel="0" collapsed="false">
      <c r="A1188" s="6" t="s">
        <v>4405</v>
      </c>
      <c r="B1188" s="6" t="s">
        <v>559</v>
      </c>
      <c r="C1188" s="6" t="s">
        <v>4406</v>
      </c>
      <c r="D1188" s="9" t="s">
        <v>2298</v>
      </c>
      <c r="E1188" s="36" t="s">
        <v>762</v>
      </c>
      <c r="F1188" s="36" t="s">
        <v>820</v>
      </c>
      <c r="H1188" s="9" t="s">
        <v>3839</v>
      </c>
      <c r="M1188" s="6" t="n">
        <v>14313</v>
      </c>
      <c r="Q1188" s="1" t="str">
        <f aca="false">IF(OR($A1000="",P1000=""),"",ROUND(YEARFRAC(P1000,README!$C$5),1))</f>
        <v/>
      </c>
      <c r="S1188" s="6" t="n">
        <v>2680</v>
      </c>
      <c r="T1188" s="6" t="n">
        <v>2627</v>
      </c>
      <c r="U1188" s="6" t="n">
        <v>2620</v>
      </c>
      <c r="V1188" s="6" t="n">
        <v>-7</v>
      </c>
      <c r="W1188" s="6" t="n">
        <v>1</v>
      </c>
      <c r="X1188" s="6" t="n">
        <v>2</v>
      </c>
      <c r="Z1188" s="6" t="s">
        <v>3629</v>
      </c>
      <c r="AA1188" s="9" t="s">
        <v>774</v>
      </c>
      <c r="AB1188" s="6" t="s">
        <v>4407</v>
      </c>
      <c r="AC1188" s="27" t="n">
        <f aca="false">COUNTIF(環境認証!$A$2:$A$849,A1000)</f>
        <v>2</v>
      </c>
      <c r="AD1188" s="6" t="n">
        <v>-0.3</v>
      </c>
      <c r="AE1188" s="6" t="n">
        <v>-2.2</v>
      </c>
    </row>
    <row r="1189" customFormat="false" ht="15" hidden="false" customHeight="true" outlineLevel="0" collapsed="false">
      <c r="A1189" s="6" t="s">
        <v>4408</v>
      </c>
      <c r="B1189" s="6" t="s">
        <v>559</v>
      </c>
      <c r="C1189" s="9" t="s">
        <v>4409</v>
      </c>
      <c r="D1189" s="9" t="s">
        <v>2298</v>
      </c>
      <c r="E1189" s="36" t="s">
        <v>762</v>
      </c>
      <c r="F1189" s="36" t="s">
        <v>820</v>
      </c>
      <c r="H1189" s="9" t="s">
        <v>3839</v>
      </c>
      <c r="M1189" s="6" t="n">
        <v>9447.48</v>
      </c>
      <c r="Q1189" s="1" t="str">
        <f aca="false">IF(OR($A1001="",P1001=""),"",ROUND(YEARFRAC(P1001,README!$C$5),1))</f>
        <v/>
      </c>
      <c r="S1189" s="6" t="n">
        <v>2430</v>
      </c>
      <c r="T1189" s="6" t="n">
        <v>2406</v>
      </c>
      <c r="U1189" s="6" t="n">
        <v>2410</v>
      </c>
      <c r="V1189" s="6" t="n">
        <v>4</v>
      </c>
      <c r="W1189" s="6" t="n">
        <v>1</v>
      </c>
      <c r="X1189" s="6" t="n">
        <v>1</v>
      </c>
      <c r="Z1189" s="6" t="s">
        <v>3629</v>
      </c>
      <c r="AA1189" s="9" t="s">
        <v>774</v>
      </c>
      <c r="AB1189" s="6" t="s">
        <v>4410</v>
      </c>
      <c r="AC1189" s="27" t="n">
        <f aca="false">COUNTIF(環境認証!$A$2:$A$849,A1001)</f>
        <v>1</v>
      </c>
      <c r="AD1189" s="6" t="n">
        <v>0.2</v>
      </c>
      <c r="AE1189" s="6" t="n">
        <v>-0.8</v>
      </c>
    </row>
    <row r="1190" customFormat="false" ht="15" hidden="false" customHeight="true" outlineLevel="0" collapsed="false">
      <c r="A1190" s="6" t="s">
        <v>4411</v>
      </c>
      <c r="B1190" s="6" t="s">
        <v>559</v>
      </c>
      <c r="C1190" s="9" t="s">
        <v>4412</v>
      </c>
      <c r="D1190" s="9" t="s">
        <v>2298</v>
      </c>
      <c r="E1190" s="36" t="s">
        <v>762</v>
      </c>
      <c r="F1190" s="36" t="s">
        <v>820</v>
      </c>
      <c r="H1190" s="9" t="s">
        <v>3839</v>
      </c>
      <c r="M1190" s="6" t="n">
        <v>2814.67</v>
      </c>
      <c r="Q1190" s="1" t="str">
        <f aca="false">IF(OR($A1002="",P1002=""),"",ROUND(YEARFRAC(P1002,README!$C$5),1))</f>
        <v/>
      </c>
      <c r="S1190" s="6" t="n">
        <v>1660</v>
      </c>
      <c r="T1190" s="6" t="n">
        <v>1622</v>
      </c>
      <c r="U1190" s="6" t="n">
        <v>1630</v>
      </c>
      <c r="V1190" s="6" t="n">
        <v>8</v>
      </c>
      <c r="W1190" s="6" t="n">
        <v>1</v>
      </c>
      <c r="X1190" s="6" t="n">
        <v>1</v>
      </c>
      <c r="Z1190" s="6" t="s">
        <v>3629</v>
      </c>
      <c r="AA1190" s="9" t="s">
        <v>774</v>
      </c>
      <c r="AB1190" s="6" t="s">
        <v>4413</v>
      </c>
      <c r="AC1190" s="27" t="n">
        <f aca="false">COUNTIF(環境認証!$A$2:$A$849,A1002)</f>
        <v>1</v>
      </c>
      <c r="AD1190" s="6" t="n">
        <v>0.5</v>
      </c>
      <c r="AE1190" s="6" t="n">
        <v>-1.8</v>
      </c>
    </row>
    <row r="1191" customFormat="false" ht="15" hidden="false" customHeight="true" outlineLevel="0" collapsed="false">
      <c r="A1191" s="6" t="s">
        <v>4414</v>
      </c>
      <c r="B1191" s="6" t="s">
        <v>559</v>
      </c>
      <c r="C1191" s="9" t="s">
        <v>4415</v>
      </c>
      <c r="D1191" s="9" t="s">
        <v>2298</v>
      </c>
      <c r="E1191" s="36" t="s">
        <v>762</v>
      </c>
      <c r="F1191" s="36" t="s">
        <v>782</v>
      </c>
      <c r="H1191" s="9" t="s">
        <v>3839</v>
      </c>
      <c r="M1191" s="6" t="n">
        <v>10083.41</v>
      </c>
      <c r="Q1191" s="1" t="str">
        <f aca="false">IF(OR($A1003="",P1003=""),"",ROUND(YEARFRAC(P1003,README!$C$5),1))</f>
        <v/>
      </c>
      <c r="S1191" s="6" t="n">
        <v>1550</v>
      </c>
      <c r="T1191" s="6" t="n">
        <v>1536</v>
      </c>
      <c r="U1191" s="6" t="n">
        <v>1710</v>
      </c>
      <c r="V1191" s="6" t="n">
        <v>174</v>
      </c>
      <c r="W1191" s="6" t="n">
        <v>1</v>
      </c>
      <c r="X1191" s="6" t="n">
        <v>1</v>
      </c>
      <c r="Z1191" s="6" t="s">
        <v>3629</v>
      </c>
      <c r="AA1191" s="9" t="s">
        <v>774</v>
      </c>
      <c r="AB1191" s="6" t="s">
        <v>4416</v>
      </c>
      <c r="AC1191" s="27" t="n">
        <f aca="false">COUNTIF(環境認証!$A$2:$A$849,A1003)</f>
        <v>2</v>
      </c>
      <c r="AD1191" s="6" t="n">
        <v>11.3</v>
      </c>
      <c r="AE1191" s="6" t="n">
        <v>10.3</v>
      </c>
    </row>
    <row r="1192" customFormat="false" ht="15" hidden="false" customHeight="true" outlineLevel="0" collapsed="false">
      <c r="A1192" s="6" t="s">
        <v>4417</v>
      </c>
      <c r="B1192" s="6" t="s">
        <v>559</v>
      </c>
      <c r="C1192" s="9" t="s">
        <v>4418</v>
      </c>
      <c r="D1192" s="9" t="s">
        <v>2298</v>
      </c>
      <c r="E1192" s="36" t="s">
        <v>762</v>
      </c>
      <c r="F1192" s="36" t="s">
        <v>782</v>
      </c>
      <c r="H1192" s="9" t="s">
        <v>3839</v>
      </c>
      <c r="M1192" s="1" t="n">
        <v>7478</v>
      </c>
      <c r="Q1192" s="1" t="str">
        <f aca="false">IF(OR($A1004="",P1004=""),"",ROUND(YEARFRAC(P1004,README!$C$5),1))</f>
        <v/>
      </c>
      <c r="S1192" s="6" t="n">
        <v>968</v>
      </c>
      <c r="T1192" s="6" t="n">
        <v>959</v>
      </c>
      <c r="U1192" s="6" t="n">
        <v>1040</v>
      </c>
      <c r="V1192" s="6" t="n">
        <v>81</v>
      </c>
      <c r="W1192" s="6" t="n">
        <v>1</v>
      </c>
      <c r="X1192" s="6" t="n">
        <v>1</v>
      </c>
      <c r="Z1192" s="6" t="s">
        <v>3629</v>
      </c>
      <c r="AA1192" s="9" t="s">
        <v>774</v>
      </c>
      <c r="AB1192" s="6" t="s">
        <v>4419</v>
      </c>
      <c r="AC1192" s="27" t="n">
        <f aca="false">COUNTIF(環境認証!$A$2:$A$849,A1004)</f>
        <v>1</v>
      </c>
      <c r="AD1192" s="6" t="n">
        <v>8.4</v>
      </c>
      <c r="AE1192" s="6" t="n">
        <v>7.4</v>
      </c>
    </row>
    <row r="1193" customFormat="false" ht="15" hidden="false" customHeight="true" outlineLevel="0" collapsed="false">
      <c r="A1193" s="6" t="s">
        <v>4420</v>
      </c>
      <c r="B1193" s="6" t="s">
        <v>559</v>
      </c>
      <c r="C1193" s="9" t="s">
        <v>4421</v>
      </c>
      <c r="D1193" s="9" t="s">
        <v>2298</v>
      </c>
      <c r="E1193" s="36" t="s">
        <v>762</v>
      </c>
      <c r="F1193" s="36" t="s">
        <v>782</v>
      </c>
      <c r="H1193" s="9" t="s">
        <v>3839</v>
      </c>
      <c r="M1193" s="6" t="n">
        <v>23775.88</v>
      </c>
      <c r="Q1193" s="1" t="str">
        <f aca="false">IF(OR($A1005="",P1005=""),"",ROUND(YEARFRAC(P1005,README!$C$5),1))</f>
        <v/>
      </c>
      <c r="S1193" s="6" t="n">
        <v>11300</v>
      </c>
      <c r="T1193" s="6" t="n">
        <v>11280</v>
      </c>
      <c r="U1193" s="6" t="n">
        <v>10600</v>
      </c>
      <c r="V1193" s="6" t="n">
        <v>-680</v>
      </c>
      <c r="W1193" s="6" t="n">
        <v>0.99</v>
      </c>
      <c r="X1193" s="6" t="n">
        <v>37</v>
      </c>
      <c r="Z1193" s="6" t="s">
        <v>3629</v>
      </c>
      <c r="AA1193" s="9" t="s">
        <v>774</v>
      </c>
      <c r="AB1193" s="6" t="s">
        <v>4422</v>
      </c>
      <c r="AC1193" s="27" t="n">
        <f aca="false">COUNTIF(環境認証!$A$2:$A$849,A1005)</f>
        <v>1</v>
      </c>
      <c r="AD1193" s="6" t="n">
        <v>-6</v>
      </c>
      <c r="AE1193" s="6" t="n">
        <v>-6.2</v>
      </c>
    </row>
    <row r="1194" customFormat="false" ht="15" hidden="false" customHeight="true" outlineLevel="0" collapsed="false">
      <c r="A1194" s="6" t="s">
        <v>4423</v>
      </c>
      <c r="B1194" s="6" t="s">
        <v>559</v>
      </c>
      <c r="C1194" s="9" t="s">
        <v>4424</v>
      </c>
      <c r="D1194" s="9" t="s">
        <v>2298</v>
      </c>
      <c r="E1194" s="36" t="s">
        <v>762</v>
      </c>
      <c r="F1194" s="36" t="s">
        <v>782</v>
      </c>
      <c r="H1194" s="9" t="s">
        <v>3839</v>
      </c>
      <c r="M1194" s="6" t="n">
        <v>65382.12</v>
      </c>
      <c r="Q1194" s="1" t="str">
        <f aca="false">IF(OR($A1006="",P1006=""),"",ROUND(YEARFRAC(P1006,README!$C$5),1))</f>
        <v/>
      </c>
      <c r="S1194" s="6" t="n">
        <v>5135</v>
      </c>
      <c r="T1194" s="6" t="n">
        <v>5058</v>
      </c>
      <c r="U1194" s="6" t="n">
        <v>5180</v>
      </c>
      <c r="V1194" s="6" t="n">
        <v>122</v>
      </c>
      <c r="W1194" s="6" t="n">
        <v>0.997</v>
      </c>
      <c r="X1194" s="6" t="n">
        <v>29</v>
      </c>
      <c r="Z1194" s="6" t="s">
        <v>3629</v>
      </c>
      <c r="AA1194" s="9" t="s">
        <v>774</v>
      </c>
      <c r="AB1194" s="6" t="s">
        <v>4425</v>
      </c>
      <c r="AC1194" s="27" t="n">
        <f aca="false">COUNTIF(環境認証!$A$2:$A$849,A1006)</f>
        <v>1</v>
      </c>
      <c r="AD1194" s="6" t="n">
        <v>2.4</v>
      </c>
      <c r="AE1194" s="6" t="n">
        <v>0.9</v>
      </c>
    </row>
    <row r="1195" customFormat="false" ht="15" hidden="false" customHeight="true" outlineLevel="0" collapsed="false">
      <c r="A1195" s="6" t="s">
        <v>4426</v>
      </c>
      <c r="B1195" s="6" t="s">
        <v>559</v>
      </c>
      <c r="C1195" s="9" t="s">
        <v>4427</v>
      </c>
      <c r="D1195" s="9" t="s">
        <v>2298</v>
      </c>
      <c r="E1195" s="36" t="s">
        <v>762</v>
      </c>
      <c r="F1195" s="36" t="s">
        <v>782</v>
      </c>
      <c r="H1195" s="9" t="s">
        <v>3839</v>
      </c>
      <c r="M1195" s="6" t="n">
        <v>12768.77</v>
      </c>
      <c r="Q1195" s="1" t="str">
        <f aca="false">IF(OR($A1007="",P1007=""),"",ROUND(YEARFRAC(P1007,README!$C$5),1))</f>
        <v/>
      </c>
      <c r="S1195" s="6" t="n">
        <v>2600</v>
      </c>
      <c r="T1195" s="6" t="n">
        <v>2586</v>
      </c>
      <c r="U1195" s="6" t="n">
        <v>2870</v>
      </c>
      <c r="V1195" s="6" t="n">
        <v>284</v>
      </c>
      <c r="W1195" s="6" t="n">
        <v>1</v>
      </c>
      <c r="X1195" s="6" t="n">
        <v>2</v>
      </c>
      <c r="Z1195" s="6" t="s">
        <v>3629</v>
      </c>
      <c r="AA1195" s="9" t="s">
        <v>774</v>
      </c>
      <c r="AB1195" s="6" t="s">
        <v>4428</v>
      </c>
      <c r="AC1195" s="27" t="n">
        <f aca="false">COUNTIF(環境認証!$A$2:$A$849,A1007)</f>
        <v>0</v>
      </c>
      <c r="AD1195" s="6" t="n">
        <v>11</v>
      </c>
      <c r="AE1195" s="6" t="n">
        <v>10.4</v>
      </c>
    </row>
    <row r="1196" customFormat="false" ht="15" hidden="false" customHeight="true" outlineLevel="0" collapsed="false">
      <c r="A1196" s="6" t="s">
        <v>4429</v>
      </c>
      <c r="B1196" s="6" t="s">
        <v>559</v>
      </c>
      <c r="C1196" s="9" t="s">
        <v>4430</v>
      </c>
      <c r="D1196" s="9" t="s">
        <v>2298</v>
      </c>
      <c r="E1196" s="36" t="s">
        <v>762</v>
      </c>
      <c r="F1196" s="36" t="s">
        <v>782</v>
      </c>
      <c r="H1196" s="9" t="s">
        <v>3839</v>
      </c>
      <c r="M1196" s="6" t="n">
        <v>2228.04</v>
      </c>
      <c r="Q1196" s="1" t="str">
        <f aca="false">IF(OR($A1008="",P1008=""),"",ROUND(YEARFRAC(P1008,README!$C$5),1))</f>
        <v/>
      </c>
      <c r="S1196" s="6" t="n">
        <v>979</v>
      </c>
      <c r="T1196" s="6" t="n">
        <v>944</v>
      </c>
      <c r="U1196" s="6" t="n">
        <v>1020</v>
      </c>
      <c r="V1196" s="6" t="n">
        <v>76</v>
      </c>
      <c r="W1196" s="6" t="n">
        <v>1</v>
      </c>
      <c r="X1196" s="6" t="n">
        <v>1</v>
      </c>
      <c r="Z1196" s="6" t="s">
        <v>3629</v>
      </c>
      <c r="AA1196" s="9" t="s">
        <v>774</v>
      </c>
      <c r="AB1196" s="6" t="s">
        <v>4431</v>
      </c>
      <c r="AC1196" s="27" t="n">
        <f aca="false">COUNTIF(環境認証!$A$2:$A$849,A1008)</f>
        <v>1</v>
      </c>
      <c r="AD1196" s="6" t="n">
        <v>8.1</v>
      </c>
      <c r="AE1196" s="6" t="n">
        <v>4.2</v>
      </c>
    </row>
    <row r="1197" customFormat="false" ht="15" hidden="false" customHeight="true" outlineLevel="0" collapsed="false">
      <c r="A1197" s="6" t="s">
        <v>4432</v>
      </c>
      <c r="B1197" s="6" t="s">
        <v>559</v>
      </c>
      <c r="C1197" s="9" t="s">
        <v>4433</v>
      </c>
      <c r="D1197" s="9" t="s">
        <v>2298</v>
      </c>
      <c r="E1197" s="36" t="s">
        <v>762</v>
      </c>
      <c r="F1197" s="36" t="s">
        <v>782</v>
      </c>
      <c r="H1197" s="9" t="s">
        <v>3839</v>
      </c>
      <c r="M1197" s="6" t="n">
        <v>2679.52</v>
      </c>
      <c r="Q1197" s="1" t="str">
        <f aca="false">IF(OR($A1009="",P1009=""),"",ROUND(YEARFRAC(P1009,README!$C$5),1))</f>
        <v/>
      </c>
      <c r="S1197" s="6" t="n">
        <v>1790</v>
      </c>
      <c r="T1197" s="6" t="n">
        <v>1773</v>
      </c>
      <c r="U1197" s="6" t="n">
        <v>1820</v>
      </c>
      <c r="V1197" s="6" t="n">
        <v>47</v>
      </c>
      <c r="W1197" s="6" t="n">
        <v>1</v>
      </c>
      <c r="X1197" s="6" t="n">
        <v>1</v>
      </c>
      <c r="Z1197" s="6" t="s">
        <v>3629</v>
      </c>
      <c r="AA1197" s="9" t="s">
        <v>774</v>
      </c>
      <c r="AB1197" s="6" t="s">
        <v>4434</v>
      </c>
      <c r="AC1197" s="27" t="n">
        <f aca="false">COUNTIF(環境認証!$A$2:$A$849,A1009)</f>
        <v>1</v>
      </c>
      <c r="AD1197" s="6" t="n">
        <v>2.7</v>
      </c>
      <c r="AE1197" s="6" t="n">
        <v>1.7</v>
      </c>
    </row>
    <row r="1198" customFormat="false" ht="15" hidden="false" customHeight="true" outlineLevel="0" collapsed="false">
      <c r="A1198" s="6" t="s">
        <v>4435</v>
      </c>
      <c r="B1198" s="6" t="s">
        <v>559</v>
      </c>
      <c r="C1198" s="9" t="s">
        <v>4436</v>
      </c>
      <c r="D1198" s="9" t="s">
        <v>2298</v>
      </c>
      <c r="E1198" s="36" t="s">
        <v>762</v>
      </c>
      <c r="F1198" s="36" t="s">
        <v>782</v>
      </c>
      <c r="H1198" s="9" t="s">
        <v>3839</v>
      </c>
      <c r="M1198" s="6" t="n">
        <v>20329.07</v>
      </c>
      <c r="Q1198" s="1" t="str">
        <f aca="false">IF(OR($A1010="",P1010=""),"",ROUND(YEARFRAC(P1010,README!$C$5),1))</f>
        <v/>
      </c>
      <c r="S1198" s="6" t="n">
        <v>7480</v>
      </c>
      <c r="T1198" s="6" t="n">
        <v>7286</v>
      </c>
      <c r="U1198" s="6" t="n">
        <v>7220</v>
      </c>
      <c r="V1198" s="6" t="n">
        <v>-66</v>
      </c>
      <c r="W1198" s="6" t="n">
        <v>1</v>
      </c>
      <c r="X1198" s="6" t="n">
        <v>1</v>
      </c>
      <c r="Z1198" s="6" t="s">
        <v>3629</v>
      </c>
      <c r="AA1198" s="9" t="s">
        <v>774</v>
      </c>
      <c r="AB1198" s="6" t="s">
        <v>4437</v>
      </c>
      <c r="AC1198" s="27" t="n">
        <f aca="false">COUNTIF(環境認証!$A$2:$A$849,A1010)</f>
        <v>0</v>
      </c>
      <c r="AD1198" s="6" t="n">
        <v>-0.9</v>
      </c>
      <c r="AE1198" s="6" t="n">
        <v>-3.5</v>
      </c>
    </row>
    <row r="1199" customFormat="false" ht="15" hidden="false" customHeight="true" outlineLevel="0" collapsed="false">
      <c r="A1199" s="6" t="s">
        <v>4438</v>
      </c>
      <c r="B1199" s="6" t="s">
        <v>559</v>
      </c>
      <c r="C1199" s="9" t="s">
        <v>4439</v>
      </c>
      <c r="D1199" s="9" t="s">
        <v>2298</v>
      </c>
      <c r="E1199" s="36" t="s">
        <v>762</v>
      </c>
      <c r="F1199" s="36" t="s">
        <v>782</v>
      </c>
      <c r="H1199" s="9" t="s">
        <v>3839</v>
      </c>
      <c r="M1199" s="6" t="n">
        <v>8264.46</v>
      </c>
      <c r="Q1199" s="1" t="str">
        <f aca="false">IF(OR($A1011="",P1011=""),"",ROUND(YEARFRAC(P1011,README!$C$5),1))</f>
        <v/>
      </c>
      <c r="S1199" s="6" t="n">
        <v>4310</v>
      </c>
      <c r="T1199" s="6" t="n">
        <v>4310</v>
      </c>
      <c r="U1199" s="6" t="n">
        <v>4580</v>
      </c>
      <c r="V1199" s="6" t="n">
        <v>270</v>
      </c>
      <c r="W1199" s="6" t="n">
        <v>1</v>
      </c>
      <c r="X1199" s="6" t="n">
        <v>1</v>
      </c>
      <c r="Z1199" s="6" t="s">
        <v>3629</v>
      </c>
      <c r="AA1199" s="9" t="s">
        <v>774</v>
      </c>
      <c r="AB1199" s="6" t="s">
        <v>4440</v>
      </c>
      <c r="AC1199" s="27" t="n">
        <f aca="false">COUNTIF(環境認証!$A$2:$A$849,A1011)</f>
        <v>1</v>
      </c>
      <c r="AD1199" s="6" t="n">
        <v>6.3</v>
      </c>
      <c r="AE1199" s="6" t="n">
        <v>6.3</v>
      </c>
    </row>
    <row r="1200" customFormat="false" ht="15" hidden="false" customHeight="true" outlineLevel="0" collapsed="false">
      <c r="A1200" s="6" t="s">
        <v>4441</v>
      </c>
      <c r="B1200" s="6" t="s">
        <v>559</v>
      </c>
      <c r="C1200" s="9" t="s">
        <v>4442</v>
      </c>
      <c r="D1200" s="9" t="s">
        <v>2298</v>
      </c>
      <c r="E1200" s="36" t="s">
        <v>762</v>
      </c>
      <c r="F1200" s="36" t="s">
        <v>782</v>
      </c>
      <c r="H1200" s="9" t="s">
        <v>3839</v>
      </c>
      <c r="M1200" s="6" t="n">
        <v>12030.83</v>
      </c>
      <c r="Q1200" s="1" t="str">
        <f aca="false">IF(OR($A1012="",P1012=""),"",ROUND(YEARFRAC(P1012,README!$C$5),1))</f>
        <v/>
      </c>
      <c r="S1200" s="6" t="n">
        <v>4180</v>
      </c>
      <c r="T1200" s="6" t="n">
        <v>4193</v>
      </c>
      <c r="U1200" s="6" t="n">
        <v>4020</v>
      </c>
      <c r="V1200" s="6" t="n">
        <v>-173</v>
      </c>
      <c r="W1200" s="6" t="n">
        <v>1</v>
      </c>
      <c r="X1200" s="6" t="n">
        <v>7</v>
      </c>
      <c r="Z1200" s="6" t="s">
        <v>3629</v>
      </c>
      <c r="AA1200" s="9" t="s">
        <v>774</v>
      </c>
      <c r="AB1200" s="6" t="s">
        <v>4443</v>
      </c>
      <c r="AC1200" s="27" t="n">
        <f aca="false">COUNTIF(環境認証!$A$2:$A$849,A1012)</f>
        <v>1</v>
      </c>
      <c r="AD1200" s="6" t="n">
        <v>-4.1</v>
      </c>
      <c r="AE1200" s="6" t="n">
        <v>-3.8</v>
      </c>
    </row>
    <row r="1201" customFormat="false" ht="15" hidden="false" customHeight="true" outlineLevel="0" collapsed="false">
      <c r="A1201" s="6" t="s">
        <v>4444</v>
      </c>
      <c r="B1201" s="6" t="s">
        <v>559</v>
      </c>
      <c r="C1201" s="9" t="s">
        <v>4445</v>
      </c>
      <c r="D1201" s="9" t="s">
        <v>2298</v>
      </c>
      <c r="E1201" s="36" t="s">
        <v>762</v>
      </c>
      <c r="F1201" s="36" t="s">
        <v>771</v>
      </c>
      <c r="H1201" s="9" t="s">
        <v>3839</v>
      </c>
      <c r="M1201" s="1" t="n">
        <v>56145</v>
      </c>
      <c r="Q1201" s="1" t="str">
        <f aca="false">IF(OR($A1013="",P1013=""),"",ROUND(YEARFRAC(P1013,README!$C$5),1))</f>
        <v/>
      </c>
      <c r="S1201" s="6" t="n">
        <v>4350</v>
      </c>
      <c r="T1201" s="6" t="n">
        <v>4350</v>
      </c>
      <c r="U1201" s="6" t="n">
        <v>4630</v>
      </c>
      <c r="V1201" s="6" t="n">
        <v>280</v>
      </c>
      <c r="W1201" s="6" t="n">
        <v>1</v>
      </c>
      <c r="X1201" s="6" t="n">
        <v>1</v>
      </c>
      <c r="Z1201" s="6" t="s">
        <v>3629</v>
      </c>
      <c r="AA1201" s="9" t="s">
        <v>774</v>
      </c>
      <c r="AB1201" s="6" t="s">
        <v>4446</v>
      </c>
      <c r="AC1201" s="27" t="n">
        <f aca="false">COUNTIF(環境認証!$A$2:$A$849,A1013)</f>
        <v>1</v>
      </c>
      <c r="AD1201" s="6" t="n">
        <v>6.4</v>
      </c>
      <c r="AE1201" s="6" t="n">
        <v>6.4</v>
      </c>
    </row>
    <row r="1202" customFormat="false" ht="15" hidden="false" customHeight="true" outlineLevel="0" collapsed="false">
      <c r="A1202" s="6" t="s">
        <v>4447</v>
      </c>
      <c r="B1202" s="6" t="s">
        <v>559</v>
      </c>
      <c r="C1202" s="9" t="s">
        <v>4448</v>
      </c>
      <c r="D1202" s="9" t="s">
        <v>2298</v>
      </c>
      <c r="E1202" s="36" t="s">
        <v>762</v>
      </c>
      <c r="F1202" s="36" t="s">
        <v>771</v>
      </c>
      <c r="H1202" s="9" t="s">
        <v>3839</v>
      </c>
      <c r="M1202" s="6" t="n">
        <v>28026.61</v>
      </c>
      <c r="Q1202" s="1" t="str">
        <f aca="false">IF(OR($A1014="",P1014=""),"",ROUND(YEARFRAC(P1014,README!$C$5),1))</f>
        <v/>
      </c>
      <c r="S1202" s="6" t="n">
        <v>5900</v>
      </c>
      <c r="T1202" s="6" t="n">
        <v>5812</v>
      </c>
      <c r="U1202" s="6" t="n">
        <v>7840</v>
      </c>
      <c r="V1202" s="6" t="n">
        <v>2028</v>
      </c>
      <c r="W1202" s="6" t="n">
        <v>1</v>
      </c>
      <c r="X1202" s="6" t="n">
        <v>1</v>
      </c>
      <c r="Z1202" s="6" t="s">
        <v>3629</v>
      </c>
      <c r="AA1202" s="9" t="s">
        <v>774</v>
      </c>
      <c r="AB1202" s="6" t="s">
        <v>4449</v>
      </c>
      <c r="AC1202" s="27" t="n">
        <f aca="false">COUNTIF(環境認証!$A$2:$A$849,A1014)</f>
        <v>1</v>
      </c>
      <c r="AD1202" s="6" t="n">
        <v>34.9</v>
      </c>
      <c r="AE1202" s="6" t="n">
        <v>32.9</v>
      </c>
    </row>
    <row r="1203" customFormat="false" ht="15" hidden="false" customHeight="true" outlineLevel="0" collapsed="false">
      <c r="A1203" s="6" t="s">
        <v>4450</v>
      </c>
      <c r="B1203" s="6" t="s">
        <v>559</v>
      </c>
      <c r="C1203" s="9" t="s">
        <v>4451</v>
      </c>
      <c r="D1203" s="9" t="s">
        <v>2298</v>
      </c>
      <c r="E1203" s="36" t="s">
        <v>762</v>
      </c>
      <c r="F1203" s="36" t="s">
        <v>771</v>
      </c>
      <c r="H1203" s="9" t="s">
        <v>3839</v>
      </c>
      <c r="M1203" s="6" t="n">
        <v>4641.1</v>
      </c>
      <c r="Q1203" s="1" t="str">
        <f aca="false">IF(OR($A1015="",P1015=""),"",ROUND(YEARFRAC(P1015,README!$C$5),1))</f>
        <v/>
      </c>
      <c r="S1203" s="6" t="n">
        <v>1900</v>
      </c>
      <c r="T1203" s="6" t="n">
        <v>1874</v>
      </c>
      <c r="U1203" s="6" t="n">
        <v>1890</v>
      </c>
      <c r="V1203" s="6" t="n">
        <v>16</v>
      </c>
      <c r="W1203" s="6" t="n">
        <v>1</v>
      </c>
      <c r="X1203" s="6" t="n">
        <v>4</v>
      </c>
      <c r="Z1203" s="6" t="s">
        <v>3629</v>
      </c>
      <c r="AA1203" s="9" t="s">
        <v>774</v>
      </c>
      <c r="AB1203" s="6" t="s">
        <v>4452</v>
      </c>
      <c r="AC1203" s="27" t="n">
        <f aca="false">COUNTIF(環境認証!$A$2:$A$849,A1015)</f>
        <v>1</v>
      </c>
      <c r="AD1203" s="6" t="n">
        <v>0.9</v>
      </c>
      <c r="AE1203" s="6" t="n">
        <v>-0.5</v>
      </c>
    </row>
    <row r="1204" customFormat="false" ht="15" hidden="false" customHeight="true" outlineLevel="0" collapsed="false">
      <c r="A1204" s="6" t="s">
        <v>4453</v>
      </c>
      <c r="B1204" s="6" t="s">
        <v>559</v>
      </c>
      <c r="C1204" s="9" t="s">
        <v>4454</v>
      </c>
      <c r="D1204" s="9" t="s">
        <v>2298</v>
      </c>
      <c r="E1204" s="36" t="s">
        <v>762</v>
      </c>
      <c r="F1204" s="36" t="s">
        <v>771</v>
      </c>
      <c r="H1204" s="9" t="s">
        <v>3839</v>
      </c>
      <c r="M1204" s="6" t="n">
        <v>54304.75</v>
      </c>
      <c r="Q1204" s="1" t="str">
        <f aca="false">IF(OR($A1016="",P1016=""),"",ROUND(YEARFRAC(P1016,README!$C$5),1))</f>
        <v/>
      </c>
      <c r="S1204" s="6" t="n">
        <v>12000</v>
      </c>
      <c r="T1204" s="6" t="n">
        <v>11806</v>
      </c>
      <c r="U1204" s="6" t="n">
        <v>12600</v>
      </c>
      <c r="V1204" s="6" t="n">
        <v>794</v>
      </c>
      <c r="W1204" s="6" t="n">
        <v>0.987</v>
      </c>
      <c r="X1204" s="6" t="n">
        <v>47</v>
      </c>
      <c r="Z1204" s="6" t="s">
        <v>3629</v>
      </c>
      <c r="AA1204" s="9" t="s">
        <v>774</v>
      </c>
      <c r="AB1204" s="6" t="s">
        <v>4455</v>
      </c>
      <c r="AC1204" s="27" t="n">
        <f aca="false">COUNTIF(環境認証!$A$2:$A$849,A1016)</f>
        <v>1</v>
      </c>
      <c r="AD1204" s="6" t="n">
        <v>6.7</v>
      </c>
      <c r="AE1204" s="6" t="n">
        <v>5</v>
      </c>
    </row>
    <row r="1205" customFormat="false" ht="15" hidden="false" customHeight="true" outlineLevel="0" collapsed="false">
      <c r="A1205" s="6" t="s">
        <v>4456</v>
      </c>
      <c r="B1205" s="6" t="s">
        <v>559</v>
      </c>
      <c r="C1205" s="9" t="s">
        <v>4457</v>
      </c>
      <c r="D1205" s="9" t="s">
        <v>2298</v>
      </c>
      <c r="E1205" s="36" t="s">
        <v>762</v>
      </c>
      <c r="F1205" s="36" t="s">
        <v>771</v>
      </c>
      <c r="H1205" s="9" t="s">
        <v>3839</v>
      </c>
      <c r="M1205" s="6" t="n">
        <v>24006.16</v>
      </c>
      <c r="Q1205" s="1" t="str">
        <f aca="false">IF(OR($A1017="",P1017=""),"",ROUND(YEARFRAC(P1017,README!$C$5),1))</f>
        <v/>
      </c>
      <c r="S1205" s="6" t="n">
        <v>4690</v>
      </c>
      <c r="T1205" s="6" t="n">
        <v>4659</v>
      </c>
      <c r="U1205" s="6" t="n">
        <v>4650</v>
      </c>
      <c r="V1205" s="6" t="n">
        <v>-9</v>
      </c>
      <c r="W1205" s="6" t="n">
        <v>1</v>
      </c>
      <c r="X1205" s="6" t="n">
        <v>1</v>
      </c>
      <c r="Z1205" s="6" t="s">
        <v>3629</v>
      </c>
      <c r="AA1205" s="9" t="s">
        <v>774</v>
      </c>
      <c r="AB1205" s="6" t="s">
        <v>4458</v>
      </c>
      <c r="AC1205" s="27" t="n">
        <f aca="false">COUNTIF(環境認証!$A$2:$A$849,A1017)</f>
        <v>1</v>
      </c>
      <c r="AD1205" s="6" t="n">
        <v>-0.2</v>
      </c>
      <c r="AE1205" s="6" t="n">
        <v>-0.9</v>
      </c>
    </row>
    <row r="1206" customFormat="false" ht="15" hidden="false" customHeight="true" outlineLevel="0" collapsed="false">
      <c r="A1206" s="6" t="s">
        <v>4459</v>
      </c>
      <c r="B1206" s="6" t="s">
        <v>559</v>
      </c>
      <c r="C1206" s="9" t="s">
        <v>4460</v>
      </c>
      <c r="D1206" s="9" t="s">
        <v>2298</v>
      </c>
      <c r="E1206" s="36" t="s">
        <v>762</v>
      </c>
      <c r="F1206" s="36" t="s">
        <v>815</v>
      </c>
      <c r="H1206" s="9" t="s">
        <v>3839</v>
      </c>
      <c r="M1206" s="6" t="n">
        <v>6447.81</v>
      </c>
      <c r="Q1206" s="1" t="str">
        <f aca="false">IF(OR($A1018="",P1018=""),"",ROUND(YEARFRAC(P1018,README!$C$5),1))</f>
        <v/>
      </c>
      <c r="S1206" s="6" t="n">
        <v>2030</v>
      </c>
      <c r="T1206" s="6" t="n">
        <v>2029</v>
      </c>
      <c r="U1206" s="6" t="n">
        <v>2020</v>
      </c>
      <c r="V1206" s="6" t="n">
        <v>-9</v>
      </c>
      <c r="W1206" s="6" t="n">
        <v>1</v>
      </c>
      <c r="X1206" s="6" t="n">
        <v>2</v>
      </c>
      <c r="Z1206" s="6" t="s">
        <v>3629</v>
      </c>
      <c r="AA1206" s="9" t="s">
        <v>774</v>
      </c>
      <c r="AB1206" s="6" t="s">
        <v>4461</v>
      </c>
      <c r="AC1206" s="27" t="n">
        <f aca="false">COUNTIF(環境認証!$A$2:$A$849,A1018)</f>
        <v>2</v>
      </c>
      <c r="AD1206" s="6" t="n">
        <v>-0.4</v>
      </c>
      <c r="AE1206" s="6" t="n">
        <v>-0.5</v>
      </c>
    </row>
    <row r="1207" customFormat="false" ht="15" hidden="false" customHeight="true" outlineLevel="0" collapsed="false">
      <c r="A1207" s="6" t="s">
        <v>4462</v>
      </c>
      <c r="B1207" s="6" t="s">
        <v>559</v>
      </c>
      <c r="C1207" s="9" t="s">
        <v>4463</v>
      </c>
      <c r="D1207" s="9" t="s">
        <v>2298</v>
      </c>
      <c r="E1207" s="36" t="s">
        <v>762</v>
      </c>
      <c r="F1207" s="36" t="s">
        <v>815</v>
      </c>
      <c r="H1207" s="9" t="s">
        <v>3839</v>
      </c>
      <c r="M1207" s="6" t="n">
        <v>13480.42</v>
      </c>
      <c r="Q1207" s="1" t="str">
        <f aca="false">IF(OR($A1019="",P1019=""),"",ROUND(YEARFRAC(P1019,README!$C$5),1))</f>
        <v/>
      </c>
      <c r="S1207" s="6" t="n">
        <v>2640</v>
      </c>
      <c r="T1207" s="6" t="n">
        <v>2640</v>
      </c>
      <c r="U1207" s="6" t="n">
        <v>2740</v>
      </c>
      <c r="V1207" s="6" t="n">
        <v>100</v>
      </c>
      <c r="W1207" s="6" t="n">
        <v>1</v>
      </c>
      <c r="X1207" s="6" t="n">
        <v>1</v>
      </c>
      <c r="Z1207" s="6" t="s">
        <v>3629</v>
      </c>
      <c r="AA1207" s="9" t="s">
        <v>774</v>
      </c>
      <c r="AB1207" s="6" t="s">
        <v>4464</v>
      </c>
      <c r="AC1207" s="27" t="n">
        <f aca="false">COUNTIF(環境認証!$A$2:$A$849,A1019)</f>
        <v>1</v>
      </c>
      <c r="AD1207" s="6" t="n">
        <v>3.8</v>
      </c>
      <c r="AE1207" s="6" t="n">
        <v>3.8</v>
      </c>
    </row>
    <row r="1208" customFormat="false" ht="15" hidden="false" customHeight="true" outlineLevel="0" collapsed="false">
      <c r="A1208" s="6" t="s">
        <v>4465</v>
      </c>
      <c r="B1208" s="6" t="s">
        <v>559</v>
      </c>
      <c r="C1208" s="9" t="s">
        <v>4466</v>
      </c>
      <c r="D1208" s="9" t="s">
        <v>2298</v>
      </c>
      <c r="E1208" s="36" t="s">
        <v>762</v>
      </c>
      <c r="F1208" s="36" t="s">
        <v>815</v>
      </c>
      <c r="H1208" s="9" t="s">
        <v>3839</v>
      </c>
      <c r="M1208" s="6" t="n">
        <v>11922.77</v>
      </c>
      <c r="Q1208" s="1" t="str">
        <f aca="false">IF(OR($A1020="",P1020=""),"",ROUND(YEARFRAC(P1020,README!$C$5),1))</f>
        <v/>
      </c>
      <c r="S1208" s="6" t="n">
        <v>5920</v>
      </c>
      <c r="T1208" s="6" t="n">
        <v>5909</v>
      </c>
      <c r="U1208" s="6" t="n">
        <v>5820</v>
      </c>
      <c r="V1208" s="6" t="n">
        <v>-89</v>
      </c>
      <c r="W1208" s="6" t="n">
        <v>1</v>
      </c>
      <c r="X1208" s="6" t="n">
        <v>7</v>
      </c>
      <c r="Z1208" s="6" t="s">
        <v>3629</v>
      </c>
      <c r="AA1208" s="9" t="s">
        <v>774</v>
      </c>
      <c r="AB1208" s="6" t="s">
        <v>4467</v>
      </c>
      <c r="AC1208" s="27" t="n">
        <f aca="false">COUNTIF(環境認証!$A$2:$A$849,A1020)</f>
        <v>1</v>
      </c>
      <c r="AD1208" s="6" t="n">
        <v>-1.5</v>
      </c>
      <c r="AE1208" s="6" t="n">
        <v>-1.7</v>
      </c>
    </row>
    <row r="1209" customFormat="false" ht="15" hidden="false" customHeight="true" outlineLevel="0" collapsed="false">
      <c r="A1209" s="6" t="s">
        <v>4468</v>
      </c>
      <c r="B1209" s="6" t="s">
        <v>559</v>
      </c>
      <c r="C1209" s="9" t="s">
        <v>4469</v>
      </c>
      <c r="D1209" s="9" t="s">
        <v>2298</v>
      </c>
      <c r="E1209" s="36" t="s">
        <v>762</v>
      </c>
      <c r="F1209" s="36" t="s">
        <v>815</v>
      </c>
      <c r="H1209" s="9" t="s">
        <v>3839</v>
      </c>
      <c r="M1209" s="6" t="n">
        <v>6355.66</v>
      </c>
      <c r="Q1209" s="1" t="str">
        <f aca="false">IF(OR($A1021="",P1021=""),"",ROUND(YEARFRAC(P1021,README!$C$5),1))</f>
        <v/>
      </c>
      <c r="S1209" s="6" t="n">
        <v>6160</v>
      </c>
      <c r="T1209" s="6" t="n">
        <v>6252</v>
      </c>
      <c r="U1209" s="6" t="n">
        <v>5880</v>
      </c>
      <c r="V1209" s="6" t="n">
        <v>-372</v>
      </c>
      <c r="W1209" s="6" t="n">
        <v>0.775</v>
      </c>
      <c r="X1209" s="6" t="n">
        <v>12</v>
      </c>
      <c r="Z1209" s="6" t="s">
        <v>3629</v>
      </c>
      <c r="AA1209" s="9" t="s">
        <v>774</v>
      </c>
      <c r="AB1209" s="6" t="s">
        <v>4470</v>
      </c>
      <c r="AC1209" s="27" t="n">
        <f aca="false">COUNTIF(環境認証!$A$2:$A$849,A1021)</f>
        <v>1</v>
      </c>
      <c r="AD1209" s="6" t="n">
        <v>-6</v>
      </c>
      <c r="AE1209" s="6" t="n">
        <v>-4.5</v>
      </c>
    </row>
    <row r="1210" customFormat="false" ht="15" hidden="false" customHeight="true" outlineLevel="0" collapsed="false">
      <c r="A1210" s="6" t="s">
        <v>4471</v>
      </c>
      <c r="B1210" s="6" t="s">
        <v>559</v>
      </c>
      <c r="C1210" s="9" t="s">
        <v>4472</v>
      </c>
      <c r="D1210" s="9" t="s">
        <v>2298</v>
      </c>
      <c r="E1210" s="36" t="s">
        <v>762</v>
      </c>
      <c r="F1210" s="36" t="s">
        <v>815</v>
      </c>
      <c r="H1210" s="9" t="s">
        <v>3839</v>
      </c>
      <c r="M1210" s="6" t="n">
        <v>7214.92</v>
      </c>
      <c r="Q1210" s="1" t="str">
        <f aca="false">IF(OR($A1022="",P1022=""),"",ROUND(YEARFRAC(P1022,README!$C$5),1))</f>
        <v/>
      </c>
      <c r="S1210" s="6" t="n">
        <v>1230</v>
      </c>
      <c r="T1210" s="6" t="n">
        <v>1235</v>
      </c>
      <c r="U1210" s="6" t="n">
        <v>1250</v>
      </c>
      <c r="V1210" s="6" t="n">
        <v>15</v>
      </c>
      <c r="W1210" s="6" t="n">
        <v>1</v>
      </c>
      <c r="X1210" s="6" t="n">
        <v>1</v>
      </c>
      <c r="Z1210" s="6" t="s">
        <v>3629</v>
      </c>
      <c r="AA1210" s="9" t="s">
        <v>774</v>
      </c>
      <c r="AB1210" s="6" t="s">
        <v>4473</v>
      </c>
      <c r="AC1210" s="27" t="n">
        <f aca="false">COUNTIF(環境認証!$A$2:$A$849,A1022)</f>
        <v>1</v>
      </c>
      <c r="AD1210" s="6" t="n">
        <v>1.2</v>
      </c>
      <c r="AE1210" s="6" t="n">
        <v>1.6</v>
      </c>
    </row>
    <row r="1211" customFormat="false" ht="15" hidden="false" customHeight="true" outlineLevel="0" collapsed="false">
      <c r="A1211" s="6" t="s">
        <v>4474</v>
      </c>
      <c r="B1211" s="6" t="s">
        <v>559</v>
      </c>
      <c r="C1211" s="9" t="s">
        <v>4475</v>
      </c>
      <c r="D1211" s="9" t="s">
        <v>2298</v>
      </c>
      <c r="E1211" s="36" t="s">
        <v>762</v>
      </c>
      <c r="F1211" s="36" t="s">
        <v>815</v>
      </c>
      <c r="H1211" s="9" t="s">
        <v>3839</v>
      </c>
      <c r="M1211" s="6" t="n">
        <v>39693.21</v>
      </c>
      <c r="Q1211" s="1" t="str">
        <f aca="false">IF(OR($A1023="",P1023=""),"",ROUND(YEARFRAC(P1023,README!$C$5),1))</f>
        <v/>
      </c>
      <c r="S1211" s="6" t="n">
        <v>20625</v>
      </c>
      <c r="T1211" s="6" t="n">
        <v>20513</v>
      </c>
      <c r="U1211" s="6" t="n">
        <v>21000</v>
      </c>
      <c r="V1211" s="6" t="n">
        <v>487</v>
      </c>
      <c r="W1211" s="6" t="n">
        <v>0.995</v>
      </c>
      <c r="X1211" s="6" t="n">
        <v>66</v>
      </c>
      <c r="Z1211" s="6" t="s">
        <v>3629</v>
      </c>
      <c r="AA1211" s="9" t="s">
        <v>774</v>
      </c>
      <c r="AB1211" s="6" t="s">
        <v>4476</v>
      </c>
      <c r="AC1211" s="27" t="n">
        <f aca="false">COUNTIF(環境認証!$A$2:$A$849,A1023)</f>
        <v>1</v>
      </c>
      <c r="AD1211" s="6" t="n">
        <v>2.4</v>
      </c>
      <c r="AE1211" s="6" t="n">
        <v>1.8</v>
      </c>
    </row>
    <row r="1212" customFormat="false" ht="15" hidden="false" customHeight="true" outlineLevel="0" collapsed="false">
      <c r="A1212" s="6" t="s">
        <v>4477</v>
      </c>
      <c r="B1212" s="6" t="s">
        <v>559</v>
      </c>
      <c r="C1212" s="9" t="s">
        <v>4478</v>
      </c>
      <c r="D1212" s="9" t="s">
        <v>2298</v>
      </c>
      <c r="E1212" s="36" t="s">
        <v>762</v>
      </c>
      <c r="F1212" s="36" t="s">
        <v>815</v>
      </c>
      <c r="H1212" s="9" t="s">
        <v>3839</v>
      </c>
      <c r="M1212" s="6" t="n">
        <v>23498.99</v>
      </c>
      <c r="Q1212" s="1" t="str">
        <f aca="false">IF(OR($A1024="",P1024=""),"",ROUND(YEARFRAC(P1024,README!$C$5),1))</f>
        <v/>
      </c>
      <c r="S1212" s="6" t="n">
        <v>2630</v>
      </c>
      <c r="T1212" s="6" t="n">
        <v>2672</v>
      </c>
      <c r="U1212" s="6" t="n">
        <v>2680</v>
      </c>
      <c r="V1212" s="6" t="n">
        <v>8</v>
      </c>
      <c r="W1212" s="6" t="n">
        <v>1</v>
      </c>
      <c r="X1212" s="6" t="n">
        <v>1</v>
      </c>
      <c r="Z1212" s="6" t="s">
        <v>3629</v>
      </c>
      <c r="AA1212" s="9" t="s">
        <v>774</v>
      </c>
      <c r="AB1212" s="6" t="s">
        <v>4479</v>
      </c>
      <c r="AC1212" s="27" t="n">
        <f aca="false">COUNTIF(環境認証!$A$2:$A$849,A1024)</f>
        <v>0</v>
      </c>
      <c r="AD1212" s="6" t="n">
        <v>0.3</v>
      </c>
      <c r="AE1212" s="6" t="n">
        <v>1.9</v>
      </c>
    </row>
    <row r="1213" customFormat="false" ht="15" hidden="false" customHeight="true" outlineLevel="0" collapsed="false">
      <c r="A1213" s="6" t="s">
        <v>4480</v>
      </c>
      <c r="B1213" s="6" t="s">
        <v>559</v>
      </c>
      <c r="C1213" s="9" t="s">
        <v>4481</v>
      </c>
      <c r="D1213" s="9" t="s">
        <v>3608</v>
      </c>
      <c r="E1213" s="36" t="s">
        <v>762</v>
      </c>
      <c r="F1213" s="36" t="s">
        <v>895</v>
      </c>
      <c r="H1213" s="9" t="s">
        <v>3633</v>
      </c>
      <c r="M1213" s="6" t="n">
        <v>32935.54</v>
      </c>
      <c r="Q1213" s="1" t="str">
        <f aca="false">IF(OR($A1025="",P1025=""),"",ROUND(YEARFRAC(P1025,README!$C$5),1))</f>
        <v/>
      </c>
      <c r="S1213" s="6" t="n">
        <v>4550</v>
      </c>
      <c r="T1213" s="6" t="n">
        <v>4352</v>
      </c>
      <c r="U1213" s="6" t="n">
        <v>4580</v>
      </c>
      <c r="V1213" s="6" t="n">
        <v>228</v>
      </c>
      <c r="W1213" s="6" t="n">
        <v>1</v>
      </c>
      <c r="X1213" s="6" t="n">
        <v>1</v>
      </c>
      <c r="Z1213" s="6" t="s">
        <v>3629</v>
      </c>
      <c r="AA1213" s="9" t="s">
        <v>774</v>
      </c>
      <c r="AB1213" s="6" t="s">
        <v>4482</v>
      </c>
      <c r="AC1213" s="27" t="n">
        <f aca="false">COUNTIF(環境認証!$A$2:$A$849,A1025)</f>
        <v>0</v>
      </c>
      <c r="AD1213" s="6" t="n">
        <v>5.2</v>
      </c>
      <c r="AE1213" s="6" t="n">
        <v>0.7</v>
      </c>
    </row>
    <row r="1214" customFormat="false" ht="15" hidden="false" customHeight="true" outlineLevel="0" collapsed="false">
      <c r="A1214" s="6" t="s">
        <v>4483</v>
      </c>
      <c r="B1214" s="6" t="s">
        <v>559</v>
      </c>
      <c r="C1214" s="9" t="s">
        <v>4484</v>
      </c>
      <c r="D1214" s="9" t="s">
        <v>3608</v>
      </c>
      <c r="E1214" s="36" t="s">
        <v>762</v>
      </c>
      <c r="F1214" s="36" t="s">
        <v>881</v>
      </c>
      <c r="H1214" s="9" t="s">
        <v>3633</v>
      </c>
      <c r="M1214" s="6" t="n">
        <v>5479.92</v>
      </c>
      <c r="Q1214" s="1" t="str">
        <f aca="false">IF(OR($A1026="",P1026=""),"",ROUND(YEARFRAC(P1026,README!$C$5),1))</f>
        <v/>
      </c>
      <c r="S1214" s="6" t="n">
        <v>1890</v>
      </c>
      <c r="T1214" s="6" t="n">
        <v>1963</v>
      </c>
      <c r="U1214" s="6" t="n">
        <v>1880</v>
      </c>
      <c r="V1214" s="6" t="n">
        <v>-83</v>
      </c>
      <c r="W1214" s="6" t="n">
        <v>1</v>
      </c>
      <c r="X1214" s="6" t="n">
        <v>1</v>
      </c>
      <c r="Z1214" s="6" t="s">
        <v>3629</v>
      </c>
      <c r="AA1214" s="9" t="s">
        <v>774</v>
      </c>
      <c r="AB1214" s="6" t="s">
        <v>4485</v>
      </c>
      <c r="AC1214" s="27" t="n">
        <f aca="false">COUNTIF(環境認証!$A$2:$A$849,A1026)</f>
        <v>1</v>
      </c>
      <c r="AD1214" s="6" t="n">
        <v>-4.2</v>
      </c>
      <c r="AE1214" s="6" t="n">
        <v>-0.5</v>
      </c>
    </row>
    <row r="1215" customFormat="false" ht="15" hidden="false" customHeight="true" outlineLevel="0" collapsed="false">
      <c r="A1215" s="6" t="s">
        <v>4486</v>
      </c>
      <c r="B1215" s="6" t="s">
        <v>559</v>
      </c>
      <c r="C1215" s="9" t="s">
        <v>4487</v>
      </c>
      <c r="D1215" s="9" t="s">
        <v>3608</v>
      </c>
      <c r="E1215" s="36" t="s">
        <v>762</v>
      </c>
      <c r="F1215" s="36" t="s">
        <v>881</v>
      </c>
      <c r="H1215" s="9" t="s">
        <v>3633</v>
      </c>
      <c r="M1215" s="6" t="n">
        <v>6543.87</v>
      </c>
      <c r="Q1215" s="1" t="str">
        <f aca="false">IF(OR($A1027="",P1027=""),"",ROUND(YEARFRAC(P1027,README!$C$5),1))</f>
        <v/>
      </c>
      <c r="S1215" s="6" t="n">
        <v>1790</v>
      </c>
      <c r="T1215" s="6" t="n">
        <v>1830</v>
      </c>
      <c r="U1215" s="6" t="n">
        <v>1780</v>
      </c>
      <c r="V1215" s="6" t="n">
        <v>-50</v>
      </c>
      <c r="W1215" s="6" t="n">
        <v>1</v>
      </c>
      <c r="X1215" s="6" t="n">
        <v>1</v>
      </c>
      <c r="Z1215" s="6" t="s">
        <v>3629</v>
      </c>
      <c r="AA1215" s="9" t="s">
        <v>774</v>
      </c>
      <c r="AB1215" s="6" t="s">
        <v>4488</v>
      </c>
      <c r="AC1215" s="27" t="n">
        <f aca="false">COUNTIF(環境認証!$A$2:$A$849,A1027)</f>
        <v>1</v>
      </c>
      <c r="AD1215" s="6" t="n">
        <v>-2.7</v>
      </c>
      <c r="AE1215" s="6" t="n">
        <v>-0.6</v>
      </c>
    </row>
    <row r="1216" customFormat="false" ht="15" hidden="false" customHeight="true" outlineLevel="0" collapsed="false">
      <c r="A1216" s="6" t="s">
        <v>4489</v>
      </c>
      <c r="B1216" s="6" t="s">
        <v>559</v>
      </c>
      <c r="C1216" s="9" t="s">
        <v>4490</v>
      </c>
      <c r="D1216" s="9" t="s">
        <v>3608</v>
      </c>
      <c r="E1216" s="36" t="s">
        <v>762</v>
      </c>
      <c r="F1216" s="36" t="s">
        <v>848</v>
      </c>
      <c r="H1216" s="9" t="s">
        <v>3633</v>
      </c>
      <c r="M1216" s="6" t="n">
        <v>2040.05</v>
      </c>
      <c r="Q1216" s="1" t="str">
        <f aca="false">IF(OR($A1028="",P1028=""),"",ROUND(YEARFRAC(P1028,README!$C$5),1))</f>
        <v/>
      </c>
      <c r="S1216" s="6" t="n">
        <v>1090</v>
      </c>
      <c r="T1216" s="6" t="n">
        <v>1074</v>
      </c>
      <c r="U1216" s="6" t="n">
        <v>1080</v>
      </c>
      <c r="V1216" s="6" t="n">
        <v>6</v>
      </c>
      <c r="W1216" s="6" t="n">
        <v>1</v>
      </c>
      <c r="X1216" s="6" t="n">
        <v>2</v>
      </c>
      <c r="Z1216" s="6" t="s">
        <v>3629</v>
      </c>
      <c r="AA1216" s="9" t="s">
        <v>774</v>
      </c>
      <c r="AB1216" s="6" t="s">
        <v>4491</v>
      </c>
      <c r="AC1216" s="27" t="n">
        <f aca="false">COUNTIF(環境認証!$A$2:$A$849,A1028)</f>
        <v>1</v>
      </c>
      <c r="AD1216" s="6" t="n">
        <v>0.6</v>
      </c>
      <c r="AE1216" s="6" t="n">
        <v>-0.9</v>
      </c>
    </row>
    <row r="1217" customFormat="false" ht="15" hidden="false" customHeight="true" outlineLevel="0" collapsed="false">
      <c r="A1217" s="6" t="s">
        <v>4492</v>
      </c>
      <c r="B1217" s="6" t="s">
        <v>559</v>
      </c>
      <c r="C1217" s="9" t="s">
        <v>4493</v>
      </c>
      <c r="D1217" s="9" t="s">
        <v>3608</v>
      </c>
      <c r="E1217" s="36" t="s">
        <v>762</v>
      </c>
      <c r="F1217" s="36" t="s">
        <v>848</v>
      </c>
      <c r="H1217" s="9" t="s">
        <v>3633</v>
      </c>
      <c r="M1217" s="6" t="n">
        <v>21956.09</v>
      </c>
      <c r="Q1217" s="1" t="str">
        <f aca="false">IF(OR($A1029="",P1029=""),"",ROUND(YEARFRAC(P1029,README!$C$5),1))</f>
        <v/>
      </c>
      <c r="S1217" s="6" t="n">
        <v>3840</v>
      </c>
      <c r="T1217" s="6" t="n">
        <v>3727</v>
      </c>
      <c r="U1217" s="6" t="n">
        <v>3770</v>
      </c>
      <c r="V1217" s="6" t="n">
        <v>43</v>
      </c>
      <c r="W1217" s="6" t="n">
        <v>0.497</v>
      </c>
      <c r="X1217" s="6" t="n">
        <v>1</v>
      </c>
      <c r="Z1217" s="6" t="s">
        <v>3629</v>
      </c>
      <c r="AA1217" s="9" t="s">
        <v>774</v>
      </c>
      <c r="AB1217" s="6" t="s">
        <v>4494</v>
      </c>
      <c r="AC1217" s="27" t="n">
        <f aca="false">COUNTIF(環境認証!$A$2:$A$849,A1029)</f>
        <v>1</v>
      </c>
      <c r="AD1217" s="6" t="n">
        <v>1.2</v>
      </c>
      <c r="AE1217" s="6" t="n">
        <v>-1.8</v>
      </c>
    </row>
    <row r="1218" customFormat="false" ht="15" hidden="false" customHeight="true" outlineLevel="0" collapsed="false">
      <c r="A1218" s="6" t="s">
        <v>4495</v>
      </c>
      <c r="B1218" s="6" t="s">
        <v>559</v>
      </c>
      <c r="C1218" s="9" t="s">
        <v>4496</v>
      </c>
      <c r="D1218" s="9" t="s">
        <v>3608</v>
      </c>
      <c r="E1218" s="36" t="s">
        <v>762</v>
      </c>
      <c r="F1218" s="36" t="s">
        <v>1148</v>
      </c>
      <c r="H1218" s="9" t="s">
        <v>3633</v>
      </c>
      <c r="M1218" s="6" t="n">
        <v>790.52</v>
      </c>
      <c r="Q1218" s="1" t="str">
        <f aca="false">IF(OR($A1030="",P1030=""),"",ROUND(YEARFRAC(P1030,README!$C$5),1))</f>
        <v/>
      </c>
      <c r="S1218" s="6" t="n">
        <v>857</v>
      </c>
      <c r="T1218" s="6" t="n">
        <v>861</v>
      </c>
      <c r="U1218" s="6" t="n">
        <v>824</v>
      </c>
      <c r="V1218" s="6" t="n">
        <v>-37</v>
      </c>
      <c r="W1218" s="6" t="n">
        <v>1</v>
      </c>
      <c r="X1218" s="6" t="n">
        <v>1</v>
      </c>
      <c r="Z1218" s="6" t="s">
        <v>3629</v>
      </c>
      <c r="AA1218" s="9" t="s">
        <v>774</v>
      </c>
      <c r="AB1218" s="6" t="s">
        <v>4497</v>
      </c>
      <c r="AC1218" s="27" t="n">
        <f aca="false">COUNTIF(環境認証!$A$2:$A$849,A1030)</f>
        <v>2</v>
      </c>
      <c r="AD1218" s="6" t="n">
        <v>-4.3</v>
      </c>
      <c r="AE1218" s="6" t="n">
        <v>-3.9</v>
      </c>
    </row>
    <row r="1219" customFormat="false" ht="15" hidden="false" customHeight="true" outlineLevel="0" collapsed="false">
      <c r="A1219" s="6" t="s">
        <v>4498</v>
      </c>
      <c r="B1219" s="6" t="s">
        <v>559</v>
      </c>
      <c r="C1219" s="9" t="s">
        <v>4499</v>
      </c>
      <c r="D1219" s="9" t="s">
        <v>3608</v>
      </c>
      <c r="E1219" s="36" t="s">
        <v>762</v>
      </c>
      <c r="F1219" s="36" t="s">
        <v>1152</v>
      </c>
      <c r="H1219" s="9" t="s">
        <v>3633</v>
      </c>
      <c r="M1219" s="6" t="n">
        <v>5684.13</v>
      </c>
      <c r="Q1219" s="1" t="str">
        <f aca="false">IF(OR($A1031="",P1031=""),"",ROUND(YEARFRAC(P1031,README!$C$5),1))</f>
        <v/>
      </c>
      <c r="S1219" s="6" t="n">
        <v>1550</v>
      </c>
      <c r="T1219" s="6" t="n">
        <v>1497</v>
      </c>
      <c r="U1219" s="6" t="n">
        <v>1630</v>
      </c>
      <c r="V1219" s="6" t="n">
        <v>133</v>
      </c>
      <c r="W1219" s="6" t="n">
        <v>1</v>
      </c>
      <c r="X1219" s="6" t="n">
        <v>1</v>
      </c>
      <c r="Z1219" s="6" t="s">
        <v>3629</v>
      </c>
      <c r="AA1219" s="9" t="s">
        <v>774</v>
      </c>
      <c r="AB1219" s="6" t="s">
        <v>4500</v>
      </c>
      <c r="AC1219" s="27" t="n">
        <f aca="false">COUNTIF(環境認証!$A$2:$A$849,A1031)</f>
        <v>1</v>
      </c>
      <c r="AD1219" s="6" t="n">
        <v>8.9</v>
      </c>
      <c r="AE1219" s="6" t="n">
        <v>5.2</v>
      </c>
    </row>
    <row r="1220" customFormat="false" ht="15" hidden="false" customHeight="true" outlineLevel="0" collapsed="false">
      <c r="A1220" s="6" t="s">
        <v>4501</v>
      </c>
      <c r="B1220" s="6" t="s">
        <v>559</v>
      </c>
      <c r="C1220" s="9" t="s">
        <v>4502</v>
      </c>
      <c r="D1220" s="9" t="s">
        <v>3608</v>
      </c>
      <c r="E1220" s="36" t="s">
        <v>762</v>
      </c>
      <c r="F1220" s="36" t="s">
        <v>911</v>
      </c>
      <c r="H1220" s="9" t="s">
        <v>3633</v>
      </c>
      <c r="M1220" s="6" t="n">
        <v>10803.53</v>
      </c>
      <c r="Q1220" s="1" t="str">
        <f aca="false">IF(OR($A1032="",P1032=""),"",ROUND(YEARFRAC(P1032,README!$C$5),1))</f>
        <v/>
      </c>
      <c r="S1220" s="6" t="n">
        <v>1872</v>
      </c>
      <c r="T1220" s="6" t="n">
        <v>1899</v>
      </c>
      <c r="U1220" s="6" t="n">
        <v>2320</v>
      </c>
      <c r="V1220" s="6" t="n">
        <v>421</v>
      </c>
      <c r="W1220" s="6" t="n">
        <v>1</v>
      </c>
      <c r="X1220" s="6" t="n">
        <v>1</v>
      </c>
      <c r="Z1220" s="6" t="s">
        <v>3629</v>
      </c>
      <c r="AA1220" s="9" t="s">
        <v>774</v>
      </c>
      <c r="AB1220" s="6" t="s">
        <v>4503</v>
      </c>
      <c r="AC1220" s="27" t="n">
        <f aca="false">COUNTIF(環境認証!$A$2:$A$849,A1032)</f>
        <v>0</v>
      </c>
      <c r="AD1220" s="6" t="n">
        <v>22.2</v>
      </c>
      <c r="AE1220" s="6" t="n">
        <v>23.9</v>
      </c>
    </row>
    <row r="1221" customFormat="false" ht="15" hidden="false" customHeight="true" outlineLevel="0" collapsed="false">
      <c r="A1221" s="6" t="s">
        <v>4504</v>
      </c>
      <c r="B1221" s="6" t="s">
        <v>559</v>
      </c>
      <c r="C1221" s="6" t="s">
        <v>4505</v>
      </c>
      <c r="D1221" s="9" t="s">
        <v>3608</v>
      </c>
      <c r="E1221" s="36" t="s">
        <v>762</v>
      </c>
      <c r="F1221" s="36" t="s">
        <v>911</v>
      </c>
      <c r="H1221" s="9" t="s">
        <v>3633</v>
      </c>
      <c r="M1221" s="6" t="n">
        <v>15121.74</v>
      </c>
      <c r="Q1221" s="1" t="str">
        <f aca="false">IF(OR($A1033="",P1033=""),"",ROUND(YEARFRAC(P1033,README!$C$5),1))</f>
        <v/>
      </c>
      <c r="S1221" s="6" t="n">
        <v>4950</v>
      </c>
      <c r="T1221" s="6" t="n">
        <v>4961</v>
      </c>
      <c r="U1221" s="6" t="n">
        <v>5070</v>
      </c>
      <c r="V1221" s="6" t="n">
        <v>109</v>
      </c>
      <c r="W1221" s="6" t="n">
        <v>1</v>
      </c>
      <c r="X1221" s="6" t="n">
        <v>1</v>
      </c>
      <c r="Z1221" s="6" t="s">
        <v>3629</v>
      </c>
      <c r="AA1221" s="9" t="s">
        <v>774</v>
      </c>
      <c r="AB1221" s="6" t="s">
        <v>4506</v>
      </c>
      <c r="AC1221" s="27" t="n">
        <f aca="false">COUNTIF(環境認証!$A$2:$A$849,A1033)</f>
        <v>1</v>
      </c>
      <c r="AD1221" s="6" t="n">
        <v>2.2</v>
      </c>
      <c r="AE1221" s="6" t="n">
        <v>2.4</v>
      </c>
    </row>
    <row r="1222" customFormat="false" ht="15" hidden="false" customHeight="true" outlineLevel="0" collapsed="false">
      <c r="A1222" s="6" t="s">
        <v>4507</v>
      </c>
      <c r="B1222" s="6" t="s">
        <v>559</v>
      </c>
      <c r="C1222" s="6" t="s">
        <v>4508</v>
      </c>
      <c r="D1222" s="9" t="s">
        <v>3608</v>
      </c>
      <c r="E1222" s="36" t="s">
        <v>762</v>
      </c>
      <c r="F1222" s="36" t="s">
        <v>1165</v>
      </c>
      <c r="H1222" s="9" t="s">
        <v>3633</v>
      </c>
      <c r="M1222" s="6" t="n">
        <v>26781.82</v>
      </c>
      <c r="Q1222" s="1" t="str">
        <f aca="false">IF(OR($A1034="",P1034=""),"",ROUND(YEARFRAC(P1034,README!$C$5),1))</f>
        <v/>
      </c>
      <c r="S1222" s="6" t="n">
        <v>6137</v>
      </c>
      <c r="T1222" s="6" t="n">
        <v>6197</v>
      </c>
      <c r="U1222" s="6" t="n">
        <v>6740</v>
      </c>
      <c r="V1222" s="6" t="n">
        <v>543</v>
      </c>
      <c r="W1222" s="6" t="n">
        <v>1</v>
      </c>
      <c r="X1222" s="6" t="n">
        <v>2</v>
      </c>
      <c r="Z1222" s="6" t="s">
        <v>3629</v>
      </c>
      <c r="AA1222" s="9" t="s">
        <v>774</v>
      </c>
      <c r="AB1222" s="6" t="s">
        <v>4509</v>
      </c>
      <c r="AC1222" s="27" t="n">
        <f aca="false">COUNTIF(環境認証!$A$2:$A$849,A1034)</f>
        <v>1</v>
      </c>
      <c r="AD1222" s="6" t="n">
        <v>8.8</v>
      </c>
      <c r="AE1222" s="6" t="n">
        <v>9.8</v>
      </c>
    </row>
    <row r="1223" customFormat="false" ht="15" hidden="false" customHeight="true" outlineLevel="0" collapsed="false">
      <c r="A1223" s="6" t="s">
        <v>4510</v>
      </c>
      <c r="B1223" s="6" t="s">
        <v>559</v>
      </c>
      <c r="C1223" s="9" t="s">
        <v>4511</v>
      </c>
      <c r="D1223" s="9" t="s">
        <v>3608</v>
      </c>
      <c r="E1223" s="36" t="s">
        <v>939</v>
      </c>
      <c r="F1223" s="36" t="s">
        <v>940</v>
      </c>
      <c r="H1223" s="9" t="s">
        <v>3839</v>
      </c>
      <c r="M1223" s="6" t="n">
        <v>7393.08</v>
      </c>
      <c r="Q1223" s="1" t="str">
        <f aca="false">IF(OR($A1035="",P1035=""),"",ROUND(YEARFRAC(P1035,README!$C$5),1))</f>
        <v/>
      </c>
      <c r="S1223" s="6" t="n">
        <v>1110</v>
      </c>
      <c r="T1223" s="6" t="n">
        <v>1093</v>
      </c>
      <c r="U1223" s="6" t="n">
        <v>1140</v>
      </c>
      <c r="V1223" s="6" t="n">
        <v>47</v>
      </c>
      <c r="W1223" s="6" t="n">
        <v>1</v>
      </c>
      <c r="X1223" s="6" t="n">
        <v>1</v>
      </c>
      <c r="Z1223" s="6" t="s">
        <v>3629</v>
      </c>
      <c r="AA1223" s="9" t="s">
        <v>774</v>
      </c>
      <c r="AB1223" s="6" t="s">
        <v>4512</v>
      </c>
      <c r="AC1223" s="27" t="n">
        <f aca="false">COUNTIF(環境認証!$A$2:$A$849,A1035)</f>
        <v>1</v>
      </c>
      <c r="AD1223" s="6" t="n">
        <v>4.3</v>
      </c>
      <c r="AE1223" s="6" t="n">
        <v>2.7</v>
      </c>
    </row>
    <row r="1224" customFormat="false" ht="15" hidden="false" customHeight="true" outlineLevel="0" collapsed="false">
      <c r="A1224" s="6" t="s">
        <v>4513</v>
      </c>
      <c r="B1224" s="6" t="s">
        <v>559</v>
      </c>
      <c r="C1224" s="9" t="s">
        <v>4514</v>
      </c>
      <c r="D1224" s="9" t="s">
        <v>3608</v>
      </c>
      <c r="E1224" s="36" t="s">
        <v>925</v>
      </c>
      <c r="F1224" s="36" t="s">
        <v>926</v>
      </c>
      <c r="H1224" s="9" t="s">
        <v>3839</v>
      </c>
      <c r="M1224" s="6" t="n">
        <v>6274.32</v>
      </c>
      <c r="Q1224" s="1" t="str">
        <f aca="false">IF(OR($A1036="",P1036=""),"",ROUND(YEARFRAC(P1036,README!$C$5),1))</f>
        <v/>
      </c>
      <c r="S1224" s="6" t="n">
        <v>1107</v>
      </c>
      <c r="T1224" s="6" t="n">
        <v>1117</v>
      </c>
      <c r="U1224" s="6" t="n">
        <v>1107</v>
      </c>
      <c r="V1224" s="6" t="n">
        <v>-10</v>
      </c>
      <c r="W1224" s="6" t="n">
        <v>1</v>
      </c>
      <c r="X1224" s="6" t="n">
        <v>1</v>
      </c>
      <c r="Z1224" s="6" t="s">
        <v>3629</v>
      </c>
      <c r="AA1224" s="9" t="s">
        <v>774</v>
      </c>
      <c r="AB1224" s="6" t="s">
        <v>4515</v>
      </c>
      <c r="AC1224" s="27" t="n">
        <f aca="false">COUNTIF(環境認証!$A$2:$A$849,A1036)</f>
        <v>1</v>
      </c>
      <c r="AD1224" s="6" t="n">
        <v>-0.9</v>
      </c>
      <c r="AE1224" s="6" t="n">
        <v>0</v>
      </c>
    </row>
    <row r="1225" customFormat="false" ht="15" hidden="false" customHeight="true" outlineLevel="0" collapsed="false">
      <c r="A1225" s="6" t="s">
        <v>4516</v>
      </c>
      <c r="B1225" s="6" t="s">
        <v>559</v>
      </c>
      <c r="C1225" s="6" t="s">
        <v>4517</v>
      </c>
      <c r="D1225" s="9" t="s">
        <v>3608</v>
      </c>
      <c r="E1225" s="36" t="s">
        <v>925</v>
      </c>
      <c r="F1225" s="36" t="s">
        <v>926</v>
      </c>
      <c r="H1225" s="9" t="s">
        <v>3839</v>
      </c>
      <c r="M1225" s="6" t="n">
        <v>852.8</v>
      </c>
      <c r="Q1225" s="1" t="str">
        <f aca="false">IF(OR($A1037="",P1037=""),"",ROUND(YEARFRAC(P1037,README!$C$5),1))</f>
        <v/>
      </c>
      <c r="S1225" s="6" t="n">
        <v>616</v>
      </c>
      <c r="T1225" s="6" t="n">
        <v>648</v>
      </c>
      <c r="U1225" s="6" t="n">
        <v>619</v>
      </c>
      <c r="V1225" s="6" t="n">
        <v>-29</v>
      </c>
      <c r="W1225" s="6" t="n">
        <v>1</v>
      </c>
      <c r="X1225" s="6" t="n">
        <v>1</v>
      </c>
      <c r="Z1225" s="6" t="s">
        <v>3629</v>
      </c>
      <c r="AA1225" s="9" t="s">
        <v>774</v>
      </c>
      <c r="AB1225" s="6" t="s">
        <v>4518</v>
      </c>
      <c r="AC1225" s="27" t="n">
        <f aca="false">COUNTIF(環境認証!$A$2:$A$849,A1037)</f>
        <v>1</v>
      </c>
      <c r="AD1225" s="6" t="n">
        <v>-4.5</v>
      </c>
      <c r="AE1225" s="6" t="n">
        <v>0.5</v>
      </c>
    </row>
    <row r="1226" customFormat="false" ht="15" hidden="false" customHeight="true" outlineLevel="0" collapsed="false">
      <c r="A1226" s="6" t="s">
        <v>4519</v>
      </c>
      <c r="B1226" s="6" t="s">
        <v>559</v>
      </c>
      <c r="C1226" s="6" t="s">
        <v>4520</v>
      </c>
      <c r="D1226" s="9" t="s">
        <v>3608</v>
      </c>
      <c r="E1226" s="36" t="s">
        <v>925</v>
      </c>
      <c r="F1226" s="36" t="s">
        <v>930</v>
      </c>
      <c r="H1226" s="9" t="s">
        <v>3839</v>
      </c>
      <c r="M1226" s="6" t="n">
        <v>45622.8</v>
      </c>
      <c r="Q1226" s="1" t="str">
        <f aca="false">IF(OR($A1038="",P1038=""),"",ROUND(YEARFRAC(P1038,README!$C$5),1))</f>
        <v/>
      </c>
      <c r="S1226" s="6" t="n">
        <v>12400</v>
      </c>
      <c r="T1226" s="6" t="n">
        <v>12402</v>
      </c>
      <c r="U1226" s="6" t="n">
        <v>12600</v>
      </c>
      <c r="V1226" s="6" t="n">
        <v>198</v>
      </c>
      <c r="W1226" s="6" t="n">
        <v>1</v>
      </c>
      <c r="X1226" s="6" t="n">
        <v>3</v>
      </c>
      <c r="Z1226" s="6" t="s">
        <v>3629</v>
      </c>
      <c r="AA1226" s="9" t="s">
        <v>774</v>
      </c>
      <c r="AB1226" s="6" t="s">
        <v>4521</v>
      </c>
      <c r="AC1226" s="27" t="n">
        <f aca="false">COUNTIF(環境認証!$A$2:$A$849,A1038)</f>
        <v>0</v>
      </c>
      <c r="AD1226" s="6" t="n">
        <v>1.6</v>
      </c>
      <c r="AE1226" s="6" t="n">
        <v>1.6</v>
      </c>
    </row>
    <row r="1227" customFormat="false" ht="15" hidden="false" customHeight="true" outlineLevel="0" collapsed="false">
      <c r="A1227" s="6" t="s">
        <v>4522</v>
      </c>
      <c r="B1227" s="6" t="s">
        <v>559</v>
      </c>
      <c r="C1227" s="9" t="s">
        <v>4523</v>
      </c>
      <c r="D1227" s="9" t="s">
        <v>2051</v>
      </c>
      <c r="E1227" s="36" t="s">
        <v>950</v>
      </c>
      <c r="F1227" s="36" t="s">
        <v>951</v>
      </c>
      <c r="H1227" s="9" t="s">
        <v>3633</v>
      </c>
      <c r="M1227" s="6" t="n">
        <v>1997.18</v>
      </c>
      <c r="Q1227" s="1" t="str">
        <f aca="false">IF(OR($A1039="",P1039=""),"",ROUND(YEARFRAC(P1039,README!$C$5),1))</f>
        <v/>
      </c>
      <c r="S1227" s="6" t="n">
        <v>2600</v>
      </c>
      <c r="T1227" s="6" t="n">
        <v>2569</v>
      </c>
      <c r="U1227" s="6" t="n">
        <v>2540</v>
      </c>
      <c r="V1227" s="6" t="n">
        <v>-29</v>
      </c>
      <c r="W1227" s="6" t="n">
        <v>1</v>
      </c>
      <c r="X1227" s="6" t="n">
        <v>1</v>
      </c>
      <c r="Z1227" s="6" t="s">
        <v>3629</v>
      </c>
      <c r="AA1227" s="9" t="s">
        <v>774</v>
      </c>
      <c r="AB1227" s="6" t="s">
        <v>4524</v>
      </c>
      <c r="AC1227" s="27" t="n">
        <f aca="false">COUNTIF(環境認証!$A$2:$A$849,A1039)</f>
        <v>0</v>
      </c>
      <c r="AD1227" s="6" t="n">
        <v>-1.1</v>
      </c>
      <c r="AE1227" s="6" t="n">
        <v>-2.3</v>
      </c>
    </row>
    <row r="1228" customFormat="false" ht="15" hidden="false" customHeight="true" outlineLevel="0" collapsed="false">
      <c r="A1228" s="6" t="s">
        <v>4525</v>
      </c>
      <c r="B1228" s="6" t="s">
        <v>559</v>
      </c>
      <c r="C1228" s="9" t="s">
        <v>4526</v>
      </c>
      <c r="D1228" s="9" t="s">
        <v>2051</v>
      </c>
      <c r="E1228" s="36" t="s">
        <v>950</v>
      </c>
      <c r="F1228" s="36" t="s">
        <v>951</v>
      </c>
      <c r="H1228" s="9" t="s">
        <v>3633</v>
      </c>
      <c r="M1228" s="6" t="n">
        <v>1660.21</v>
      </c>
      <c r="Q1228" s="1" t="str">
        <f aca="false">IF(OR($A1040="",P1040=""),"",ROUND(YEARFRAC(P1040,README!$C$5),1))</f>
        <v/>
      </c>
      <c r="S1228" s="6" t="n">
        <v>2370</v>
      </c>
      <c r="T1228" s="6" t="n">
        <v>2345</v>
      </c>
      <c r="U1228" s="6" t="n">
        <v>2330</v>
      </c>
      <c r="V1228" s="6" t="n">
        <v>-15</v>
      </c>
      <c r="W1228" s="6" t="n">
        <v>1</v>
      </c>
      <c r="X1228" s="6" t="n">
        <v>2</v>
      </c>
      <c r="Z1228" s="6" t="s">
        <v>3629</v>
      </c>
      <c r="AA1228" s="9" t="s">
        <v>774</v>
      </c>
      <c r="AB1228" s="6" t="s">
        <v>4527</v>
      </c>
      <c r="AC1228" s="27" t="n">
        <f aca="false">COUNTIF(環境認証!$A$2:$A$849,A1040)</f>
        <v>1</v>
      </c>
      <c r="AD1228" s="6" t="n">
        <v>-0.6</v>
      </c>
      <c r="AE1228" s="6" t="n">
        <v>-1.7</v>
      </c>
    </row>
    <row r="1229" customFormat="false" ht="15" hidden="false" customHeight="true" outlineLevel="0" collapsed="false">
      <c r="A1229" s="6" t="s">
        <v>4528</v>
      </c>
      <c r="B1229" s="6" t="s">
        <v>559</v>
      </c>
      <c r="C1229" s="9" t="s">
        <v>4529</v>
      </c>
      <c r="D1229" s="9" t="s">
        <v>2051</v>
      </c>
      <c r="E1229" s="36" t="s">
        <v>950</v>
      </c>
      <c r="F1229" s="36" t="s">
        <v>951</v>
      </c>
      <c r="H1229" s="9" t="s">
        <v>3633</v>
      </c>
      <c r="M1229" s="6" t="n">
        <v>6155.76</v>
      </c>
      <c r="Q1229" s="1" t="str">
        <f aca="false">IF(OR($A1041="",P1041=""),"",ROUND(YEARFRAC(P1041,README!$C$5),1))</f>
        <v/>
      </c>
      <c r="S1229" s="6" t="n">
        <v>9900</v>
      </c>
      <c r="T1229" s="6" t="n">
        <v>9961</v>
      </c>
      <c r="U1229" s="6" t="n">
        <v>10400</v>
      </c>
      <c r="V1229" s="6" t="n">
        <v>439</v>
      </c>
      <c r="W1229" s="6" t="n">
        <v>1</v>
      </c>
      <c r="X1229" s="6" t="n">
        <v>4</v>
      </c>
      <c r="Z1229" s="6" t="s">
        <v>3629</v>
      </c>
      <c r="AA1229" s="9" t="s">
        <v>774</v>
      </c>
      <c r="AB1229" s="6" t="s">
        <v>4530</v>
      </c>
      <c r="AC1229" s="27" t="n">
        <f aca="false">COUNTIF(環境認証!$A$2:$A$849,A1041)</f>
        <v>0</v>
      </c>
      <c r="AD1229" s="6" t="n">
        <v>4.4</v>
      </c>
      <c r="AE1229" s="6" t="n">
        <v>5.1</v>
      </c>
    </row>
    <row r="1230" customFormat="false" ht="15" hidden="false" customHeight="true" outlineLevel="0" collapsed="false">
      <c r="A1230" s="6" t="s">
        <v>4531</v>
      </c>
      <c r="B1230" s="6" t="s">
        <v>559</v>
      </c>
      <c r="C1230" s="9" t="s">
        <v>4532</v>
      </c>
      <c r="D1230" s="9" t="s">
        <v>2051</v>
      </c>
      <c r="E1230" s="36" t="s">
        <v>1197</v>
      </c>
      <c r="F1230" s="36" t="s">
        <v>1198</v>
      </c>
      <c r="H1230" s="9" t="s">
        <v>3839</v>
      </c>
      <c r="M1230" s="6" t="n">
        <v>29210.96</v>
      </c>
      <c r="Q1230" s="1" t="str">
        <f aca="false">IF(OR($A1042="",P1042=""),"",ROUND(YEARFRAC(P1042,README!$C$5),1))</f>
        <v/>
      </c>
      <c r="S1230" s="6" t="n">
        <v>22000</v>
      </c>
      <c r="T1230" s="6" t="n">
        <v>21775</v>
      </c>
      <c r="U1230" s="6" t="n">
        <v>25100</v>
      </c>
      <c r="V1230" s="6" t="n">
        <v>3325</v>
      </c>
      <c r="W1230" s="6" t="n">
        <v>1</v>
      </c>
      <c r="X1230" s="6" t="n">
        <v>1</v>
      </c>
      <c r="Z1230" s="6" t="s">
        <v>3629</v>
      </c>
      <c r="AA1230" s="9" t="s">
        <v>774</v>
      </c>
      <c r="AB1230" s="6" t="s">
        <v>4533</v>
      </c>
      <c r="AC1230" s="27" t="n">
        <f aca="false">COUNTIF(環境認証!$A$2:$A$849,A1042)</f>
        <v>1</v>
      </c>
      <c r="AD1230" s="6" t="n">
        <v>15.3</v>
      </c>
      <c r="AE1230" s="6" t="n">
        <v>14.1</v>
      </c>
    </row>
    <row r="1231" customFormat="false" ht="15" hidden="false" customHeight="true" outlineLevel="0" collapsed="false">
      <c r="A1231" s="6" t="s">
        <v>4534</v>
      </c>
      <c r="B1231" s="6" t="s">
        <v>559</v>
      </c>
      <c r="C1231" s="9" t="s">
        <v>4535</v>
      </c>
      <c r="D1231" s="9" t="s">
        <v>2051</v>
      </c>
      <c r="E1231" s="36" t="s">
        <v>1197</v>
      </c>
      <c r="F1231" s="36" t="s">
        <v>1198</v>
      </c>
      <c r="H1231" s="9" t="s">
        <v>3839</v>
      </c>
      <c r="M1231" s="6" t="n">
        <v>21881.58</v>
      </c>
      <c r="Q1231" s="1" t="str">
        <f aca="false">IF(OR($A1043="",P1043=""),"",ROUND(YEARFRAC(P1043,README!$C$5),1))</f>
        <v/>
      </c>
      <c r="S1231" s="6" t="n">
        <v>11770</v>
      </c>
      <c r="T1231" s="6" t="n">
        <v>11770</v>
      </c>
      <c r="U1231" s="6" t="n">
        <v>13300</v>
      </c>
      <c r="V1231" s="6" t="n">
        <v>1530</v>
      </c>
      <c r="W1231" s="6" t="n">
        <v>0.999</v>
      </c>
      <c r="X1231" s="6" t="n">
        <v>31</v>
      </c>
      <c r="Z1231" s="6" t="s">
        <v>3629</v>
      </c>
      <c r="AA1231" s="9" t="s">
        <v>774</v>
      </c>
      <c r="AB1231" s="6" t="s">
        <v>4536</v>
      </c>
      <c r="AC1231" s="27" t="n">
        <f aca="false">COUNTIF(環境認証!$A$2:$A$849,A1043)</f>
        <v>0</v>
      </c>
      <c r="AD1231" s="6" t="n">
        <v>13</v>
      </c>
      <c r="AE1231" s="6" t="n">
        <v>13</v>
      </c>
    </row>
    <row r="1232" customFormat="false" ht="15" hidden="false" customHeight="true" outlineLevel="0" collapsed="false">
      <c r="A1232" s="6" t="s">
        <v>4537</v>
      </c>
      <c r="B1232" s="6" t="s">
        <v>559</v>
      </c>
      <c r="C1232" s="9" t="s">
        <v>4538</v>
      </c>
      <c r="D1232" s="9" t="s">
        <v>2051</v>
      </c>
      <c r="E1232" s="36" t="s">
        <v>1197</v>
      </c>
      <c r="F1232" s="36" t="s">
        <v>1198</v>
      </c>
      <c r="H1232" s="9" t="s">
        <v>3839</v>
      </c>
      <c r="M1232" s="6" t="n">
        <v>9065.23</v>
      </c>
      <c r="Q1232" s="1" t="str">
        <f aca="false">IF(OR($A1044="",P1044=""),"",ROUND(YEARFRAC(P1044,README!$C$5),1))</f>
        <v/>
      </c>
      <c r="S1232" s="6" t="n">
        <v>7420</v>
      </c>
      <c r="T1232" s="6" t="n">
        <v>7420</v>
      </c>
      <c r="U1232" s="6" t="n">
        <v>8060</v>
      </c>
      <c r="V1232" s="6" t="n">
        <v>640</v>
      </c>
      <c r="W1232" s="6" t="n">
        <v>1</v>
      </c>
      <c r="X1232" s="6" t="n">
        <v>1</v>
      </c>
      <c r="Z1232" s="6" t="s">
        <v>3629</v>
      </c>
      <c r="AA1232" s="9" t="s">
        <v>774</v>
      </c>
      <c r="AB1232" s="6" t="s">
        <v>4539</v>
      </c>
      <c r="AC1232" s="27" t="n">
        <f aca="false">COUNTIF(環境認証!$A$2:$A$849,A1044)</f>
        <v>0</v>
      </c>
      <c r="AD1232" s="6" t="n">
        <v>8.6</v>
      </c>
      <c r="AE1232" s="6" t="n">
        <v>8.6</v>
      </c>
    </row>
    <row r="1233" customFormat="false" ht="15" hidden="false" customHeight="true" outlineLevel="0" collapsed="false">
      <c r="A1233" s="6" t="s">
        <v>4540</v>
      </c>
      <c r="B1233" s="6" t="s">
        <v>559</v>
      </c>
      <c r="C1233" s="9" t="s">
        <v>4541</v>
      </c>
      <c r="D1233" s="9" t="s">
        <v>2343</v>
      </c>
      <c r="E1233" s="36" t="s">
        <v>1197</v>
      </c>
      <c r="F1233" s="36" t="s">
        <v>1198</v>
      </c>
      <c r="H1233" s="9" t="s">
        <v>3633</v>
      </c>
      <c r="M1233" s="6" t="n">
        <v>13812.27</v>
      </c>
      <c r="Q1233" s="1" t="str">
        <f aca="false">IF(OR($A1045="",P1045=""),"",ROUND(YEARFRAC(P1045,README!$C$5),1))</f>
        <v/>
      </c>
      <c r="S1233" s="6" t="n">
        <v>4150</v>
      </c>
      <c r="T1233" s="6" t="n">
        <v>4199</v>
      </c>
      <c r="U1233" s="6" t="n">
        <v>4270</v>
      </c>
      <c r="V1233" s="6" t="n">
        <v>71</v>
      </c>
      <c r="W1233" s="6" t="n">
        <v>1</v>
      </c>
      <c r="X1233" s="6" t="n">
        <v>1</v>
      </c>
      <c r="Z1233" s="6" t="s">
        <v>3629</v>
      </c>
      <c r="AA1233" s="9" t="s">
        <v>774</v>
      </c>
      <c r="AB1233" s="6" t="s">
        <v>4542</v>
      </c>
      <c r="AC1233" s="27" t="n">
        <f aca="false">COUNTIF(環境認証!$A$2:$A$849,A1045)</f>
        <v>0</v>
      </c>
      <c r="AD1233" s="6" t="n">
        <v>1.7</v>
      </c>
      <c r="AE1233" s="6" t="n">
        <v>2.9</v>
      </c>
    </row>
    <row r="1234" customFormat="false" ht="15" hidden="false" customHeight="true" outlineLevel="0" collapsed="false">
      <c r="A1234" s="6" t="s">
        <v>4543</v>
      </c>
      <c r="B1234" s="6" t="s">
        <v>559</v>
      </c>
      <c r="C1234" s="9" t="s">
        <v>4544</v>
      </c>
      <c r="D1234" s="9" t="s">
        <v>2343</v>
      </c>
      <c r="E1234" s="36" t="s">
        <v>1207</v>
      </c>
      <c r="F1234" s="36" t="s">
        <v>1208</v>
      </c>
      <c r="H1234" s="9" t="s">
        <v>3633</v>
      </c>
      <c r="M1234" s="6" t="n">
        <v>8208.65</v>
      </c>
      <c r="Q1234" s="1" t="str">
        <f aca="false">IF(OR($A1046="",P1046=""),"",ROUND(YEARFRAC(P1046,README!$C$5),1))</f>
        <v/>
      </c>
      <c r="S1234" s="6" t="n">
        <v>3160</v>
      </c>
      <c r="T1234" s="6" t="n">
        <v>3070</v>
      </c>
      <c r="U1234" s="6" t="n">
        <v>2960</v>
      </c>
      <c r="V1234" s="6" t="n">
        <v>-110</v>
      </c>
      <c r="W1234" s="6" t="n">
        <v>1</v>
      </c>
      <c r="X1234" s="6" t="n">
        <v>1</v>
      </c>
      <c r="Z1234" s="6" t="s">
        <v>3629</v>
      </c>
      <c r="AA1234" s="9" t="s">
        <v>774</v>
      </c>
      <c r="AB1234" s="6" t="s">
        <v>4545</v>
      </c>
      <c r="AC1234" s="27" t="n">
        <f aca="false">COUNTIF(環境認証!$A$2:$A$849,A1046)</f>
        <v>1</v>
      </c>
      <c r="AD1234" s="6" t="n">
        <v>-3.6</v>
      </c>
      <c r="AE1234" s="6" t="n">
        <v>-6.3</v>
      </c>
    </row>
    <row r="1235" customFormat="false" ht="15" hidden="false" customHeight="true" outlineLevel="0" collapsed="false">
      <c r="A1235" s="6" t="s">
        <v>4546</v>
      </c>
      <c r="B1235" s="6" t="s">
        <v>559</v>
      </c>
      <c r="C1235" s="9" t="s">
        <v>4547</v>
      </c>
      <c r="D1235" s="9" t="s">
        <v>2343</v>
      </c>
      <c r="E1235" s="36" t="s">
        <v>1212</v>
      </c>
      <c r="F1235" s="36" t="s">
        <v>1213</v>
      </c>
      <c r="H1235" s="9" t="s">
        <v>3633</v>
      </c>
      <c r="M1235" s="6" t="n">
        <v>3339</v>
      </c>
      <c r="Q1235" s="1" t="str">
        <f aca="false">IF(OR($A1047="",P1047=""),"",ROUND(YEARFRAC(P1047,README!$C$5),1))</f>
        <v/>
      </c>
      <c r="S1235" s="6" t="n">
        <v>2110</v>
      </c>
      <c r="T1235" s="6" t="n">
        <v>2214</v>
      </c>
      <c r="U1235" s="6" t="n">
        <v>2240</v>
      </c>
      <c r="V1235" s="6" t="n">
        <v>26</v>
      </c>
      <c r="W1235" s="6" t="n">
        <v>1</v>
      </c>
      <c r="X1235" s="6" t="n">
        <v>1</v>
      </c>
      <c r="Z1235" s="6" t="s">
        <v>3629</v>
      </c>
      <c r="AA1235" s="9" t="s">
        <v>774</v>
      </c>
      <c r="AB1235" s="6" t="s">
        <v>4548</v>
      </c>
      <c r="AC1235" s="27" t="n">
        <f aca="false">COUNTIF(環境認証!$A$2:$A$849,A1047)</f>
        <v>0</v>
      </c>
      <c r="AD1235" s="6" t="n">
        <v>1.2</v>
      </c>
      <c r="AE1235" s="6" t="n">
        <v>6.2</v>
      </c>
    </row>
    <row r="1236" customFormat="false" ht="15" hidden="false" customHeight="true" outlineLevel="0" collapsed="false">
      <c r="A1236" s="6" t="s">
        <v>4549</v>
      </c>
      <c r="B1236" s="6" t="s">
        <v>559</v>
      </c>
      <c r="C1236" s="9" t="s">
        <v>4550</v>
      </c>
      <c r="D1236" s="9" t="s">
        <v>2343</v>
      </c>
      <c r="E1236" s="36" t="s">
        <v>1212</v>
      </c>
      <c r="F1236" s="36" t="s">
        <v>1213</v>
      </c>
      <c r="H1236" s="9" t="s">
        <v>3633</v>
      </c>
      <c r="M1236" s="6" t="n">
        <v>4385.53</v>
      </c>
      <c r="Q1236" s="1" t="str">
        <f aca="false">IF(OR($A1048="",P1048=""),"",ROUND(YEARFRAC(P1048,README!$C$5),1))</f>
        <v/>
      </c>
      <c r="S1236" s="6" t="n">
        <v>1190</v>
      </c>
      <c r="T1236" s="6" t="n">
        <v>1140</v>
      </c>
      <c r="U1236" s="6" t="n">
        <v>1190</v>
      </c>
      <c r="V1236" s="6" t="n">
        <v>50</v>
      </c>
      <c r="W1236" s="6" t="n">
        <v>1</v>
      </c>
      <c r="X1236" s="6" t="n">
        <v>1</v>
      </c>
      <c r="Z1236" s="6" t="s">
        <v>3629</v>
      </c>
      <c r="AA1236" s="9" t="s">
        <v>774</v>
      </c>
      <c r="AB1236" s="6" t="s">
        <v>4551</v>
      </c>
      <c r="AC1236" s="27" t="n">
        <f aca="false">COUNTIF(環境認証!$A$2:$A$849,A1048)</f>
        <v>0</v>
      </c>
      <c r="AD1236" s="6" t="n">
        <v>4.4</v>
      </c>
      <c r="AE1236" s="6" t="n">
        <v>0</v>
      </c>
    </row>
    <row r="1237" customFormat="false" ht="15" hidden="false" customHeight="true" outlineLevel="0" collapsed="false">
      <c r="A1237" s="6" t="s">
        <v>4552</v>
      </c>
      <c r="B1237" s="6" t="s">
        <v>559</v>
      </c>
      <c r="C1237" s="9" t="s">
        <v>4553</v>
      </c>
      <c r="D1237" s="9" t="s">
        <v>2343</v>
      </c>
      <c r="E1237" s="36" t="s">
        <v>969</v>
      </c>
      <c r="F1237" s="36" t="s">
        <v>970</v>
      </c>
      <c r="H1237" s="9" t="s">
        <v>3633</v>
      </c>
      <c r="M1237" s="6" t="n">
        <v>2086.4</v>
      </c>
      <c r="Q1237" s="1" t="str">
        <f aca="false">IF(OR($A1049="",P1049=""),"",ROUND(YEARFRAC(P1049,README!$C$5),1))</f>
        <v/>
      </c>
      <c r="S1237" s="6" t="n">
        <v>1120</v>
      </c>
      <c r="T1237" s="6" t="n">
        <v>1095</v>
      </c>
      <c r="U1237" s="6" t="n">
        <v>1090</v>
      </c>
      <c r="V1237" s="6" t="n">
        <v>-5</v>
      </c>
      <c r="W1237" s="6" t="n">
        <v>1</v>
      </c>
      <c r="X1237" s="6" t="n">
        <v>1</v>
      </c>
      <c r="Z1237" s="6" t="s">
        <v>3629</v>
      </c>
      <c r="AA1237" s="9" t="s">
        <v>774</v>
      </c>
      <c r="AB1237" s="6" t="s">
        <v>4554</v>
      </c>
      <c r="AC1237" s="27" t="n">
        <f aca="false">COUNTIF(環境認証!$A$2:$A$849,A1049)</f>
        <v>0</v>
      </c>
      <c r="AD1237" s="6" t="n">
        <v>-0.5</v>
      </c>
      <c r="AE1237" s="6" t="n">
        <v>-2.7</v>
      </c>
    </row>
    <row r="1238" customFormat="false" ht="15" hidden="false" customHeight="true" outlineLevel="0" collapsed="false">
      <c r="A1238" s="6" t="s">
        <v>4555</v>
      </c>
      <c r="B1238" s="6" t="s">
        <v>559</v>
      </c>
      <c r="C1238" s="9" t="s">
        <v>4556</v>
      </c>
      <c r="D1238" s="9" t="s">
        <v>2343</v>
      </c>
      <c r="E1238" s="36" t="s">
        <v>969</v>
      </c>
      <c r="F1238" s="36" t="s">
        <v>970</v>
      </c>
      <c r="H1238" s="9" t="s">
        <v>3633</v>
      </c>
      <c r="M1238" s="6" t="n">
        <v>3175.15</v>
      </c>
      <c r="Q1238" s="1" t="str">
        <f aca="false">IF(OR($A1050="",P1050=""),"",ROUND(YEARFRAC(P1050,README!$C$5),1))</f>
        <v/>
      </c>
      <c r="S1238" s="6" t="n">
        <v>3490</v>
      </c>
      <c r="T1238" s="6" t="n">
        <v>3448</v>
      </c>
      <c r="U1238" s="6" t="n">
        <v>3440</v>
      </c>
      <c r="V1238" s="6" t="n">
        <v>-8</v>
      </c>
      <c r="W1238" s="6" t="n">
        <v>1</v>
      </c>
      <c r="X1238" s="6" t="n">
        <v>1</v>
      </c>
      <c r="Z1238" s="6" t="s">
        <v>3629</v>
      </c>
      <c r="AA1238" s="9" t="s">
        <v>774</v>
      </c>
      <c r="AB1238" s="6" t="s">
        <v>4557</v>
      </c>
      <c r="AC1238" s="27" t="n">
        <f aca="false">COUNTIF(環境認証!$A$2:$A$849,A1050)</f>
        <v>0</v>
      </c>
      <c r="AD1238" s="6" t="n">
        <v>-0.2</v>
      </c>
      <c r="AE1238" s="6" t="n">
        <v>-1.4</v>
      </c>
    </row>
    <row r="1239" customFormat="false" ht="15" hidden="false" customHeight="true" outlineLevel="0" collapsed="false">
      <c r="A1239" s="6" t="s">
        <v>4558</v>
      </c>
      <c r="B1239" s="6" t="s">
        <v>559</v>
      </c>
      <c r="C1239" s="9" t="s">
        <v>4559</v>
      </c>
      <c r="D1239" s="9" t="s">
        <v>2343</v>
      </c>
      <c r="E1239" s="36" t="s">
        <v>969</v>
      </c>
      <c r="F1239" s="36" t="s">
        <v>970</v>
      </c>
      <c r="H1239" s="9" t="s">
        <v>3633</v>
      </c>
      <c r="M1239" s="6" t="n">
        <v>15553.33</v>
      </c>
      <c r="Q1239" s="1" t="str">
        <f aca="false">IF(OR($A1051="",P1051=""),"",ROUND(YEARFRAC(P1051,README!$C$5),1))</f>
        <v/>
      </c>
      <c r="S1239" s="6" t="n">
        <v>7650</v>
      </c>
      <c r="T1239" s="6" t="n">
        <v>7505</v>
      </c>
      <c r="U1239" s="6" t="n">
        <v>7150</v>
      </c>
      <c r="V1239" s="6" t="n">
        <v>-355</v>
      </c>
      <c r="W1239" s="6" t="n">
        <v>1</v>
      </c>
      <c r="X1239" s="6" t="n">
        <v>1</v>
      </c>
      <c r="Z1239" s="6" t="s">
        <v>3629</v>
      </c>
      <c r="AA1239" s="9" t="s">
        <v>774</v>
      </c>
      <c r="AB1239" s="6" t="s">
        <v>4560</v>
      </c>
      <c r="AC1239" s="27" t="n">
        <f aca="false">COUNTIF(環境認証!$A$2:$A$849,A1051)</f>
        <v>0</v>
      </c>
      <c r="AD1239" s="6" t="n">
        <v>-4.7</v>
      </c>
      <c r="AE1239" s="6" t="n">
        <v>-6.5</v>
      </c>
    </row>
    <row r="1240" customFormat="false" ht="15" hidden="false" customHeight="true" outlineLevel="0" collapsed="false">
      <c r="A1240" s="6" t="s">
        <v>4561</v>
      </c>
      <c r="B1240" s="6" t="s">
        <v>559</v>
      </c>
      <c r="C1240" s="9" t="s">
        <v>4562</v>
      </c>
      <c r="D1240" s="9" t="s">
        <v>2343</v>
      </c>
      <c r="E1240" s="36" t="s">
        <v>1225</v>
      </c>
      <c r="F1240" s="36" t="s">
        <v>1226</v>
      </c>
      <c r="H1240" s="9" t="s">
        <v>3633</v>
      </c>
      <c r="M1240" s="6" t="n">
        <v>1557.73</v>
      </c>
      <c r="Q1240" s="1" t="str">
        <f aca="false">IF(OR($A1052="",P1052=""),"",ROUND(YEARFRAC(P1052,README!$C$5),1))</f>
        <v/>
      </c>
      <c r="S1240" s="6" t="n">
        <v>1740</v>
      </c>
      <c r="T1240" s="6" t="n">
        <v>1753</v>
      </c>
      <c r="U1240" s="6" t="n">
        <v>1770</v>
      </c>
      <c r="V1240" s="6" t="n">
        <v>17</v>
      </c>
      <c r="W1240" s="6" t="n">
        <v>1</v>
      </c>
      <c r="X1240" s="6" t="n">
        <v>1</v>
      </c>
      <c r="Z1240" s="6" t="s">
        <v>3629</v>
      </c>
      <c r="AA1240" s="9" t="s">
        <v>774</v>
      </c>
      <c r="AB1240" s="6" t="s">
        <v>4563</v>
      </c>
      <c r="AC1240" s="27" t="n">
        <f aca="false">COUNTIF(環境認証!$A$2:$A$849,A1052)</f>
        <v>0</v>
      </c>
      <c r="AD1240" s="6" t="n">
        <v>1</v>
      </c>
      <c r="AE1240" s="6" t="n">
        <v>1.7</v>
      </c>
    </row>
    <row r="1241" customFormat="false" ht="15" hidden="false" customHeight="true" outlineLevel="0" collapsed="false">
      <c r="A1241" s="6" t="s">
        <v>4564</v>
      </c>
      <c r="B1241" s="6" t="s">
        <v>559</v>
      </c>
      <c r="C1241" s="6" t="s">
        <v>4565</v>
      </c>
      <c r="D1241" s="9" t="s">
        <v>2343</v>
      </c>
      <c r="E1241" s="36" t="s">
        <v>981</v>
      </c>
      <c r="F1241" s="36" t="s">
        <v>982</v>
      </c>
      <c r="H1241" s="9" t="s">
        <v>3633</v>
      </c>
      <c r="M1241" s="6" t="n">
        <v>3693.83</v>
      </c>
      <c r="Q1241" s="1" t="str">
        <f aca="false">IF(OR($A1053="",P1053=""),"",ROUND(YEARFRAC(P1053,README!$C$5),1))</f>
        <v/>
      </c>
      <c r="S1241" s="6" t="n">
        <v>1630</v>
      </c>
      <c r="T1241" s="6" t="n">
        <v>1594</v>
      </c>
      <c r="U1241" s="6" t="n">
        <v>1630</v>
      </c>
      <c r="V1241" s="6" t="n">
        <v>36</v>
      </c>
      <c r="W1241" s="6" t="n">
        <v>1</v>
      </c>
      <c r="X1241" s="6" t="n">
        <v>1</v>
      </c>
      <c r="Z1241" s="6" t="s">
        <v>3629</v>
      </c>
      <c r="AA1241" s="9" t="s">
        <v>774</v>
      </c>
      <c r="AB1241" s="6" t="s">
        <v>4566</v>
      </c>
      <c r="AC1241" s="27" t="n">
        <f aca="false">COUNTIF(環境認証!$A$2:$A$849,A1053)</f>
        <v>0</v>
      </c>
      <c r="AD1241" s="6" t="n">
        <v>2.3</v>
      </c>
      <c r="AE1241" s="6" t="n">
        <v>0</v>
      </c>
    </row>
    <row r="1242" customFormat="false" ht="15" hidden="false" customHeight="true" outlineLevel="0" collapsed="false">
      <c r="A1242" s="6" t="s">
        <v>4567</v>
      </c>
      <c r="B1242" s="6" t="s">
        <v>559</v>
      </c>
      <c r="C1242" s="6" t="s">
        <v>4568</v>
      </c>
      <c r="D1242" s="9" t="s">
        <v>2343</v>
      </c>
      <c r="E1242" s="36" t="s">
        <v>981</v>
      </c>
      <c r="F1242" s="36" t="s">
        <v>982</v>
      </c>
      <c r="H1242" s="9" t="s">
        <v>3633</v>
      </c>
      <c r="M1242" s="6" t="n">
        <v>3455.79</v>
      </c>
      <c r="Q1242" s="1" t="str">
        <f aca="false">IF(OR($A1054="",P1054=""),"",ROUND(YEARFRAC(P1054,README!$C$5),1))</f>
        <v/>
      </c>
      <c r="S1242" s="6" t="n">
        <v>1600</v>
      </c>
      <c r="T1242" s="6" t="n">
        <v>1566</v>
      </c>
      <c r="U1242" s="6" t="n">
        <v>1600</v>
      </c>
      <c r="V1242" s="6" t="n">
        <v>34</v>
      </c>
      <c r="W1242" s="6" t="n">
        <v>1</v>
      </c>
      <c r="X1242" s="6" t="n">
        <v>1</v>
      </c>
      <c r="Z1242" s="6" t="s">
        <v>3629</v>
      </c>
      <c r="AA1242" s="9" t="s">
        <v>774</v>
      </c>
      <c r="AB1242" s="6" t="s">
        <v>4569</v>
      </c>
      <c r="AC1242" s="27" t="n">
        <f aca="false">COUNTIF(環境認証!$A$2:$A$849,A1054)</f>
        <v>0</v>
      </c>
      <c r="AD1242" s="6" t="n">
        <v>2.2</v>
      </c>
      <c r="AE1242" s="6" t="n">
        <v>0</v>
      </c>
    </row>
    <row r="1243" customFormat="false" ht="15" hidden="false" customHeight="true" outlineLevel="0" collapsed="false">
      <c r="A1243" s="6" t="s">
        <v>4570</v>
      </c>
      <c r="B1243" s="6" t="s">
        <v>559</v>
      </c>
      <c r="C1243" s="9" t="s">
        <v>4571</v>
      </c>
      <c r="D1243" s="9" t="s">
        <v>2343</v>
      </c>
      <c r="E1243" s="36" t="s">
        <v>981</v>
      </c>
      <c r="F1243" s="36" t="s">
        <v>982</v>
      </c>
      <c r="H1243" s="9" t="s">
        <v>3633</v>
      </c>
      <c r="M1243" s="6" t="n">
        <v>2204.45</v>
      </c>
      <c r="Q1243" s="1" t="str">
        <f aca="false">IF(OR($A1055="",P1055=""),"",ROUND(YEARFRAC(P1055,README!$C$5),1))</f>
        <v/>
      </c>
      <c r="S1243" s="6" t="n">
        <v>915</v>
      </c>
      <c r="T1243" s="6" t="n">
        <v>907</v>
      </c>
      <c r="U1243" s="6" t="n">
        <v>892</v>
      </c>
      <c r="V1243" s="6" t="n">
        <v>-15</v>
      </c>
      <c r="W1243" s="6" t="n">
        <v>1</v>
      </c>
      <c r="X1243" s="6" t="n">
        <v>1</v>
      </c>
      <c r="Z1243" s="6" t="s">
        <v>3629</v>
      </c>
      <c r="AA1243" s="9" t="s">
        <v>774</v>
      </c>
      <c r="AB1243" s="6" t="s">
        <v>4572</v>
      </c>
      <c r="AC1243" s="27" t="n">
        <f aca="false">COUNTIF(環境認証!$A$2:$A$849,A1055)</f>
        <v>0</v>
      </c>
      <c r="AD1243" s="6" t="n">
        <v>-1.7</v>
      </c>
      <c r="AE1243" s="6" t="n">
        <v>-2.5</v>
      </c>
    </row>
    <row r="1244" customFormat="false" ht="15" hidden="false" customHeight="true" outlineLevel="0" collapsed="false">
      <c r="A1244" s="6" t="s">
        <v>4573</v>
      </c>
      <c r="B1244" s="6" t="s">
        <v>559</v>
      </c>
      <c r="C1244" s="6" t="s">
        <v>4574</v>
      </c>
      <c r="D1244" s="9" t="s">
        <v>2343</v>
      </c>
      <c r="E1244" s="36" t="s">
        <v>981</v>
      </c>
      <c r="F1244" s="36" t="s">
        <v>982</v>
      </c>
      <c r="H1244" s="9" t="s">
        <v>3633</v>
      </c>
      <c r="M1244" s="6" t="n">
        <v>2306.95</v>
      </c>
      <c r="Q1244" s="1" t="str">
        <f aca="false">IF(OR($A1056="",P1056=""),"",ROUND(YEARFRAC(P1056,README!$C$5),1))</f>
        <v/>
      </c>
      <c r="S1244" s="6" t="n">
        <v>1260</v>
      </c>
      <c r="T1244" s="6" t="n">
        <v>1260</v>
      </c>
      <c r="U1244" s="6" t="n">
        <v>1230</v>
      </c>
      <c r="V1244" s="6" t="n">
        <v>-30</v>
      </c>
      <c r="W1244" s="6" t="n">
        <v>1</v>
      </c>
      <c r="X1244" s="6" t="n">
        <v>1</v>
      </c>
      <c r="Z1244" s="6" t="s">
        <v>3629</v>
      </c>
      <c r="AA1244" s="9" t="s">
        <v>774</v>
      </c>
      <c r="AB1244" s="6" t="s">
        <v>4575</v>
      </c>
      <c r="AC1244" s="27" t="n">
        <f aca="false">COUNTIF(環境認証!$A$2:$A$849,A1056)</f>
        <v>1</v>
      </c>
      <c r="AD1244" s="6" t="n">
        <v>-2.4</v>
      </c>
      <c r="AE1244" s="6" t="n">
        <v>-2.4</v>
      </c>
    </row>
    <row r="1245" customFormat="false" ht="15" hidden="false" customHeight="true" outlineLevel="0" collapsed="false">
      <c r="A1245" s="6" t="s">
        <v>4576</v>
      </c>
      <c r="B1245" s="6" t="s">
        <v>559</v>
      </c>
      <c r="C1245" s="9" t="s">
        <v>4577</v>
      </c>
      <c r="D1245" s="9" t="s">
        <v>2343</v>
      </c>
      <c r="E1245" s="36" t="s">
        <v>981</v>
      </c>
      <c r="F1245" s="36" t="s">
        <v>982</v>
      </c>
      <c r="H1245" s="9" t="s">
        <v>3633</v>
      </c>
      <c r="M1245" s="6" t="n">
        <v>2739.47</v>
      </c>
      <c r="Q1245" s="1" t="str">
        <f aca="false">IF(OR($A1057="",P1057=""),"",ROUND(YEARFRAC(P1057,README!$C$5),1))</f>
        <v/>
      </c>
      <c r="S1245" s="6" t="n">
        <v>2410</v>
      </c>
      <c r="T1245" s="6" t="n">
        <v>2366</v>
      </c>
      <c r="U1245" s="6" t="n">
        <v>2400</v>
      </c>
      <c r="V1245" s="6" t="n">
        <v>34</v>
      </c>
      <c r="W1245" s="6" t="n">
        <v>1</v>
      </c>
      <c r="X1245" s="6" t="n">
        <v>1</v>
      </c>
      <c r="Z1245" s="6" t="s">
        <v>3629</v>
      </c>
      <c r="AA1245" s="9" t="s">
        <v>774</v>
      </c>
      <c r="AB1245" s="6" t="s">
        <v>4578</v>
      </c>
      <c r="AC1245" s="27" t="n">
        <f aca="false">COUNTIF(環境認証!$A$2:$A$849,A1057)</f>
        <v>1</v>
      </c>
      <c r="AD1245" s="6" t="n">
        <v>1.4</v>
      </c>
      <c r="AE1245" s="6" t="n">
        <v>-0.4</v>
      </c>
    </row>
    <row r="1246" customFormat="false" ht="15" hidden="false" customHeight="true" outlineLevel="0" collapsed="false">
      <c r="A1246" s="6" t="s">
        <v>4579</v>
      </c>
      <c r="B1246" s="6" t="s">
        <v>559</v>
      </c>
      <c r="C1246" s="9" t="s">
        <v>4580</v>
      </c>
      <c r="D1246" s="9" t="s">
        <v>2343</v>
      </c>
      <c r="E1246" s="36" t="s">
        <v>981</v>
      </c>
      <c r="F1246" s="36" t="s">
        <v>982</v>
      </c>
      <c r="H1246" s="9" t="s">
        <v>3633</v>
      </c>
      <c r="M1246" s="6" t="n">
        <v>3485.36</v>
      </c>
      <c r="Q1246" s="1" t="str">
        <f aca="false">IF(OR($A1058="",P1058=""),"",ROUND(YEARFRAC(P1058,README!$C$5),1))</f>
        <v/>
      </c>
      <c r="S1246" s="6" t="n">
        <v>1960</v>
      </c>
      <c r="T1246" s="6" t="n">
        <v>1926</v>
      </c>
      <c r="U1246" s="6" t="n">
        <v>1950</v>
      </c>
      <c r="V1246" s="6" t="n">
        <v>24</v>
      </c>
      <c r="W1246" s="6" t="n">
        <v>1</v>
      </c>
      <c r="X1246" s="6" t="n">
        <v>1</v>
      </c>
      <c r="Z1246" s="6" t="s">
        <v>3629</v>
      </c>
      <c r="AA1246" s="9" t="s">
        <v>774</v>
      </c>
      <c r="AB1246" s="6" t="s">
        <v>4581</v>
      </c>
      <c r="AC1246" s="27" t="n">
        <f aca="false">COUNTIF(環境認証!$A$2:$A$849,A1058)</f>
        <v>1</v>
      </c>
      <c r="AD1246" s="6" t="n">
        <v>1.2</v>
      </c>
      <c r="AE1246" s="6" t="n">
        <v>-0.5</v>
      </c>
    </row>
    <row r="1247" customFormat="false" ht="15" hidden="false" customHeight="true" outlineLevel="0" collapsed="false">
      <c r="A1247" s="6" t="s">
        <v>4582</v>
      </c>
      <c r="B1247" s="6" t="s">
        <v>559</v>
      </c>
      <c r="C1247" s="9" t="s">
        <v>4583</v>
      </c>
      <c r="D1247" s="9" t="s">
        <v>2343</v>
      </c>
      <c r="E1247" s="36" t="s">
        <v>1242</v>
      </c>
      <c r="F1247" s="36" t="s">
        <v>1243</v>
      </c>
      <c r="H1247" s="9" t="s">
        <v>3633</v>
      </c>
      <c r="M1247" s="6" t="n">
        <v>1979.78</v>
      </c>
      <c r="Q1247" s="1" t="str">
        <f aca="false">IF(OR($A1059="",P1059=""),"",ROUND(YEARFRAC(P1059,README!$C$5),1))</f>
        <v/>
      </c>
      <c r="S1247" s="6" t="n">
        <v>1590</v>
      </c>
      <c r="T1247" s="6" t="n">
        <v>1583</v>
      </c>
      <c r="U1247" s="6" t="n">
        <v>1540</v>
      </c>
      <c r="V1247" s="6" t="n">
        <v>-43</v>
      </c>
      <c r="W1247" s="6" t="n">
        <v>1</v>
      </c>
      <c r="X1247" s="6" t="n">
        <v>1</v>
      </c>
      <c r="Z1247" s="6" t="s">
        <v>3629</v>
      </c>
      <c r="AA1247" s="9" t="s">
        <v>774</v>
      </c>
      <c r="AB1247" s="6" t="s">
        <v>4584</v>
      </c>
      <c r="AC1247" s="27" t="n">
        <f aca="false">COUNTIF(環境認証!$A$2:$A$849,A1059)</f>
        <v>1</v>
      </c>
      <c r="AD1247" s="6" t="n">
        <v>-2.7</v>
      </c>
      <c r="AE1247" s="6" t="n">
        <v>-3.1</v>
      </c>
    </row>
    <row r="1248" customFormat="false" ht="15" hidden="false" customHeight="true" outlineLevel="0" collapsed="false">
      <c r="A1248" s="6" t="s">
        <v>4585</v>
      </c>
      <c r="B1248" s="6" t="s">
        <v>559</v>
      </c>
      <c r="C1248" s="9" t="s">
        <v>4586</v>
      </c>
      <c r="D1248" s="9" t="s">
        <v>2343</v>
      </c>
      <c r="E1248" s="36" t="s">
        <v>1246</v>
      </c>
      <c r="F1248" s="36" t="s">
        <v>1247</v>
      </c>
      <c r="H1248" s="9" t="s">
        <v>3633</v>
      </c>
      <c r="M1248" s="6" t="n">
        <v>2464.51</v>
      </c>
      <c r="Q1248" s="1" t="str">
        <f aca="false">IF(OR($A1060="",P1060=""),"",ROUND(YEARFRAC(P1060,README!$C$5),1))</f>
        <v/>
      </c>
      <c r="S1248" s="6" t="n">
        <v>1351</v>
      </c>
      <c r="T1248" s="6" t="n">
        <v>1394</v>
      </c>
      <c r="U1248" s="6" t="n">
        <v>1490</v>
      </c>
      <c r="V1248" s="6" t="n">
        <v>96</v>
      </c>
      <c r="W1248" s="6" t="n">
        <v>1</v>
      </c>
      <c r="X1248" s="6" t="n">
        <v>1</v>
      </c>
      <c r="Z1248" s="6" t="s">
        <v>3629</v>
      </c>
      <c r="AA1248" s="9" t="s">
        <v>774</v>
      </c>
      <c r="AB1248" s="6" t="s">
        <v>4587</v>
      </c>
      <c r="AC1248" s="27" t="n">
        <f aca="false">COUNTIF(環境認証!$A$2:$A$849,A1060)</f>
        <v>1</v>
      </c>
      <c r="AD1248" s="6" t="n">
        <v>6.9</v>
      </c>
      <c r="AE1248" s="6" t="n">
        <v>10.3</v>
      </c>
    </row>
    <row r="1249" customFormat="false" ht="15" hidden="false" customHeight="true" outlineLevel="0" collapsed="false">
      <c r="A1249" s="6" t="s">
        <v>4588</v>
      </c>
      <c r="B1249" s="6" t="s">
        <v>559</v>
      </c>
      <c r="C1249" s="6" t="s">
        <v>4589</v>
      </c>
      <c r="D1249" s="9" t="s">
        <v>2343</v>
      </c>
      <c r="E1249" s="36" t="s">
        <v>996</v>
      </c>
      <c r="F1249" s="36" t="s">
        <v>997</v>
      </c>
      <c r="H1249" s="9" t="s">
        <v>3633</v>
      </c>
      <c r="M1249" s="6" t="n">
        <v>4101.36</v>
      </c>
      <c r="Q1249" s="1" t="str">
        <f aca="false">IF(OR($A1061="",P1061=""),"",ROUND(YEARFRAC(P1061,README!$C$5),1))</f>
        <v/>
      </c>
      <c r="S1249" s="6" t="n">
        <v>3730</v>
      </c>
      <c r="T1249" s="6" t="n">
        <v>3979</v>
      </c>
      <c r="U1249" s="6" t="n">
        <v>3860</v>
      </c>
      <c r="V1249" s="6" t="n">
        <v>-119</v>
      </c>
      <c r="W1249" s="6" t="n">
        <v>1</v>
      </c>
      <c r="X1249" s="6" t="n">
        <v>1</v>
      </c>
      <c r="Z1249" s="6" t="s">
        <v>3629</v>
      </c>
      <c r="AA1249" s="9" t="s">
        <v>774</v>
      </c>
      <c r="AB1249" s="6" t="s">
        <v>4590</v>
      </c>
      <c r="AC1249" s="27" t="n">
        <f aca="false">COUNTIF(環境認証!$A$2:$A$849,A1061)</f>
        <v>0</v>
      </c>
      <c r="AD1249" s="6" t="n">
        <v>-3</v>
      </c>
      <c r="AE1249" s="6" t="n">
        <v>3.5</v>
      </c>
    </row>
    <row r="1250" customFormat="false" ht="15" hidden="false" customHeight="true" outlineLevel="0" collapsed="false">
      <c r="A1250" s="6" t="s">
        <v>4591</v>
      </c>
      <c r="B1250" s="6" t="s">
        <v>559</v>
      </c>
      <c r="C1250" s="9" t="s">
        <v>4592</v>
      </c>
      <c r="D1250" s="9" t="s">
        <v>2343</v>
      </c>
      <c r="E1250" s="36" t="s">
        <v>1005</v>
      </c>
      <c r="F1250" s="36" t="s">
        <v>1006</v>
      </c>
      <c r="H1250" s="9" t="s">
        <v>3633</v>
      </c>
      <c r="M1250" s="6" t="n">
        <v>1834.43</v>
      </c>
      <c r="Q1250" s="1" t="str">
        <f aca="false">IF(OR($A1062="",P1062=""),"",ROUND(YEARFRAC(P1062,README!$C$5),1))</f>
        <v/>
      </c>
      <c r="S1250" s="6" t="n">
        <v>1780</v>
      </c>
      <c r="T1250" s="6" t="n">
        <v>1891</v>
      </c>
      <c r="U1250" s="6" t="n">
        <v>2020</v>
      </c>
      <c r="V1250" s="6" t="n">
        <v>129</v>
      </c>
      <c r="W1250" s="6" t="n">
        <v>1</v>
      </c>
      <c r="X1250" s="6" t="n">
        <v>1</v>
      </c>
      <c r="Z1250" s="6" t="s">
        <v>3629</v>
      </c>
      <c r="AA1250" s="9" t="s">
        <v>774</v>
      </c>
      <c r="AB1250" s="6" t="s">
        <v>4593</v>
      </c>
      <c r="AC1250" s="27" t="n">
        <f aca="false">COUNTIF(環境認証!$A$2:$A$849,A1062)</f>
        <v>1</v>
      </c>
      <c r="AD1250" s="6" t="n">
        <v>6.8</v>
      </c>
      <c r="AE1250" s="6" t="n">
        <v>13.5</v>
      </c>
    </row>
    <row r="1251" customFormat="false" ht="15" hidden="false" customHeight="true" outlineLevel="0" collapsed="false">
      <c r="A1251" s="6" t="s">
        <v>4594</v>
      </c>
      <c r="B1251" s="6" t="s">
        <v>559</v>
      </c>
      <c r="C1251" s="9" t="s">
        <v>4595</v>
      </c>
      <c r="D1251" s="9" t="s">
        <v>2343</v>
      </c>
      <c r="E1251" s="36" t="s">
        <v>1005</v>
      </c>
      <c r="F1251" s="36" t="s">
        <v>1006</v>
      </c>
      <c r="H1251" s="9" t="s">
        <v>3839</v>
      </c>
      <c r="M1251" s="6" t="n">
        <v>39649.84</v>
      </c>
      <c r="Q1251" s="1" t="str">
        <f aca="false">IF(OR($A1063="",P1063=""),"",ROUND(YEARFRAC(P1063,README!$C$5),1))</f>
        <v/>
      </c>
      <c r="S1251" s="6" t="n">
        <v>6500</v>
      </c>
      <c r="T1251" s="6" t="n">
        <v>7388</v>
      </c>
      <c r="U1251" s="6" t="n">
        <v>6500</v>
      </c>
      <c r="V1251" s="6" t="n">
        <v>-888</v>
      </c>
      <c r="W1251" s="6" t="n">
        <v>1</v>
      </c>
      <c r="X1251" s="6" t="n">
        <v>1</v>
      </c>
      <c r="Z1251" s="6" t="s">
        <v>3629</v>
      </c>
      <c r="AA1251" s="9" t="s">
        <v>774</v>
      </c>
      <c r="AB1251" s="6" t="s">
        <v>4596</v>
      </c>
      <c r="AC1251" s="27" t="n">
        <f aca="false">COUNTIF(環境認証!$A$2:$A$849,A1063)</f>
        <v>0</v>
      </c>
      <c r="AD1251" s="6" t="n">
        <v>-12</v>
      </c>
      <c r="AE1251" s="6" t="n">
        <v>0</v>
      </c>
    </row>
    <row r="1252" customFormat="false" ht="15" hidden="false" customHeight="true" outlineLevel="0" collapsed="false">
      <c r="A1252" s="6" t="s">
        <v>4597</v>
      </c>
      <c r="B1252" s="6" t="s">
        <v>559</v>
      </c>
      <c r="C1252" s="9" t="s">
        <v>4598</v>
      </c>
      <c r="D1252" s="9" t="s">
        <v>2343</v>
      </c>
      <c r="E1252" s="36" t="s">
        <v>1005</v>
      </c>
      <c r="F1252" s="36" t="s">
        <v>1006</v>
      </c>
      <c r="H1252" s="9" t="s">
        <v>3839</v>
      </c>
      <c r="M1252" s="6" t="n">
        <v>6473.6</v>
      </c>
      <c r="Q1252" s="1" t="str">
        <f aca="false">IF(OR($A1064="",P1064=""),"",ROUND(YEARFRAC(P1064,README!$C$5),1))</f>
        <v/>
      </c>
      <c r="S1252" s="6" t="n">
        <v>2660</v>
      </c>
      <c r="T1252" s="6" t="n">
        <v>2569</v>
      </c>
      <c r="U1252" s="6" t="n">
        <v>2610</v>
      </c>
      <c r="V1252" s="6" t="n">
        <v>41</v>
      </c>
      <c r="W1252" s="6" t="n">
        <v>1</v>
      </c>
      <c r="X1252" s="6" t="n">
        <v>1</v>
      </c>
      <c r="Z1252" s="6" t="s">
        <v>3629</v>
      </c>
      <c r="AA1252" s="9" t="s">
        <v>774</v>
      </c>
      <c r="AB1252" s="6" t="s">
        <v>4599</v>
      </c>
      <c r="AC1252" s="27" t="n">
        <f aca="false">COUNTIF(環境認証!$A$2:$A$849,A1064)</f>
        <v>2</v>
      </c>
      <c r="AD1252" s="6" t="n">
        <v>1.6</v>
      </c>
      <c r="AE1252" s="6" t="n">
        <v>-1.9</v>
      </c>
    </row>
    <row r="1253" customFormat="false" ht="15" hidden="false" customHeight="true" outlineLevel="0" collapsed="false">
      <c r="A1253" s="6" t="s">
        <v>4600</v>
      </c>
      <c r="B1253" s="6" t="s">
        <v>559</v>
      </c>
      <c r="C1253" s="6" t="s">
        <v>4601</v>
      </c>
      <c r="D1253" s="9" t="s">
        <v>2343</v>
      </c>
      <c r="H1253" s="9" t="s">
        <v>3839</v>
      </c>
      <c r="M1253" s="6" t="n">
        <v>4493.35</v>
      </c>
      <c r="Q1253" s="1" t="str">
        <f aca="false">IF(OR($A1065="",P1065=""),"",ROUND(YEARFRAC(P1065,README!$C$5),1))</f>
        <v/>
      </c>
      <c r="S1253" s="6" t="n">
        <v>2240</v>
      </c>
      <c r="T1253" s="6" t="n">
        <v>2255</v>
      </c>
      <c r="U1253" s="6" t="n">
        <v>2200</v>
      </c>
      <c r="V1253" s="6" t="n">
        <v>-55</v>
      </c>
      <c r="W1253" s="6" t="n">
        <v>1</v>
      </c>
      <c r="X1253" s="6" t="n">
        <v>1</v>
      </c>
      <c r="Z1253" s="6" t="s">
        <v>3629</v>
      </c>
      <c r="AA1253" s="49" t="s">
        <v>774</v>
      </c>
      <c r="AB1253" s="6" t="s">
        <v>4602</v>
      </c>
      <c r="AC1253" s="27" t="n">
        <f aca="false">COUNTIF(環境認証!$A$2:$A$849,A1065)</f>
        <v>1</v>
      </c>
      <c r="AD1253" s="6" t="n">
        <v>-2.4</v>
      </c>
      <c r="AE1253" s="6" t="n">
        <v>-1.8</v>
      </c>
    </row>
    <row r="1254" customFormat="false" ht="15" hidden="false" customHeight="true" outlineLevel="0" collapsed="false">
      <c r="A1254" s="6" t="s">
        <v>4603</v>
      </c>
      <c r="B1254" s="6" t="s">
        <v>559</v>
      </c>
      <c r="C1254" s="9" t="s">
        <v>4604</v>
      </c>
      <c r="D1254" s="9" t="s">
        <v>2343</v>
      </c>
      <c r="E1254" s="36" t="s">
        <v>762</v>
      </c>
      <c r="F1254" s="36" t="s">
        <v>782</v>
      </c>
      <c r="H1254" s="9" t="s">
        <v>3839</v>
      </c>
      <c r="M1254" s="6" t="n">
        <v>5343.39</v>
      </c>
      <c r="P1254" s="1" t="n">
        <v>38353</v>
      </c>
      <c r="Q1254" s="1" t="str">
        <f aca="false">IF(OR($A1066="",P1066=""),"",ROUND(YEARFRAC(P1066,README!$C$5),1))</f>
        <v/>
      </c>
      <c r="S1254" s="6" t="n">
        <v>1820</v>
      </c>
      <c r="T1254" s="6" t="n">
        <v>1933</v>
      </c>
      <c r="U1254" s="6" t="n">
        <v>1850</v>
      </c>
      <c r="V1254" s="6" t="n">
        <v>-83</v>
      </c>
      <c r="W1254" s="6" t="n">
        <v>0.983</v>
      </c>
      <c r="X1254" s="6" t="n">
        <v>1</v>
      </c>
      <c r="Z1254" s="6" t="s">
        <v>3629</v>
      </c>
      <c r="AA1254" s="9" t="s">
        <v>774</v>
      </c>
      <c r="AB1254" s="6" t="s">
        <v>4605</v>
      </c>
      <c r="AC1254" s="27" t="n">
        <f aca="false">COUNTIF(環境認証!$A$2:$A$849,A1066)</f>
        <v>1</v>
      </c>
      <c r="AD1254" s="6" t="n">
        <v>-4.3</v>
      </c>
      <c r="AE1254" s="6" t="n">
        <v>1.6</v>
      </c>
    </row>
    <row r="1255" customFormat="false" ht="15" hidden="false" customHeight="true" outlineLevel="0" collapsed="false">
      <c r="A1255" s="6" t="s">
        <v>4606</v>
      </c>
      <c r="B1255" s="6" t="s">
        <v>559</v>
      </c>
      <c r="C1255" s="9" t="s">
        <v>4607</v>
      </c>
      <c r="D1255" s="9" t="s">
        <v>2343</v>
      </c>
      <c r="E1255" s="36" t="s">
        <v>762</v>
      </c>
      <c r="F1255" s="36" t="s">
        <v>782</v>
      </c>
      <c r="H1255" s="9" t="s">
        <v>3839</v>
      </c>
      <c r="M1255" s="6" t="n">
        <v>4180.28</v>
      </c>
      <c r="P1255" s="1" t="n">
        <v>43891</v>
      </c>
      <c r="Q1255" s="1" t="str">
        <f aca="false">IF(OR($A1067="",P1067=""),"",ROUND(YEARFRAC(P1067,README!$C$5),1))</f>
        <v/>
      </c>
      <c r="S1255" s="6" t="n">
        <v>1380</v>
      </c>
      <c r="T1255" s="6" t="n">
        <v>1362</v>
      </c>
      <c r="U1255" s="6" t="n">
        <v>1400</v>
      </c>
      <c r="V1255" s="6" t="n">
        <v>38</v>
      </c>
      <c r="W1255" s="6" t="n">
        <v>1</v>
      </c>
      <c r="X1255" s="6" t="n">
        <v>1</v>
      </c>
      <c r="Z1255" s="6" t="s">
        <v>3629</v>
      </c>
      <c r="AA1255" s="9" t="s">
        <v>774</v>
      </c>
      <c r="AB1255" s="6" t="s">
        <v>4608</v>
      </c>
      <c r="AC1255" s="27" t="n">
        <f aca="false">COUNTIF(環境認証!$A$2:$A$849,A1067)</f>
        <v>1</v>
      </c>
      <c r="AD1255" s="6" t="n">
        <v>2.8</v>
      </c>
      <c r="AE1255" s="6" t="n">
        <v>1.4</v>
      </c>
    </row>
    <row r="1256" customFormat="false" ht="15" hidden="false" customHeight="true" outlineLevel="0" collapsed="false">
      <c r="A1256" s="6" t="s">
        <v>4609</v>
      </c>
      <c r="B1256" s="6" t="s">
        <v>559</v>
      </c>
      <c r="C1256" s="9" t="s">
        <v>4610</v>
      </c>
      <c r="D1256" s="9" t="s">
        <v>2343</v>
      </c>
      <c r="E1256" s="36" t="s">
        <v>762</v>
      </c>
      <c r="F1256" s="36" t="s">
        <v>848</v>
      </c>
      <c r="H1256" s="9" t="s">
        <v>3839</v>
      </c>
      <c r="M1256" s="6" t="n">
        <v>3287.8</v>
      </c>
      <c r="P1256" s="1" t="n">
        <v>33178</v>
      </c>
      <c r="Q1256" s="1" t="str">
        <f aca="false">IF(OR($A1068="",P1068=""),"",ROUND(YEARFRAC(P1068,README!$C$5),1))</f>
        <v/>
      </c>
      <c r="S1256" s="6" t="n">
        <v>1340</v>
      </c>
      <c r="T1256" s="6" t="n">
        <v>1291</v>
      </c>
      <c r="U1256" s="6" t="n">
        <v>1330</v>
      </c>
      <c r="V1256" s="6" t="n">
        <v>39</v>
      </c>
      <c r="W1256" s="6" t="n">
        <v>1</v>
      </c>
      <c r="X1256" s="6" t="n">
        <v>1</v>
      </c>
      <c r="Z1256" s="6" t="s">
        <v>3629</v>
      </c>
      <c r="AA1256" s="9" t="s">
        <v>774</v>
      </c>
      <c r="AB1256" s="6" t="s">
        <v>4611</v>
      </c>
      <c r="AC1256" s="27" t="n">
        <f aca="false">COUNTIF(環境認証!$A$2:$A$849,A1068)</f>
        <v>1</v>
      </c>
      <c r="AD1256" s="6" t="n">
        <v>3</v>
      </c>
      <c r="AE1256" s="6" t="n">
        <v>-0.7</v>
      </c>
    </row>
    <row r="1257" customFormat="false" ht="15" hidden="false" customHeight="true" outlineLevel="0" collapsed="false">
      <c r="A1257" s="6" t="s">
        <v>4612</v>
      </c>
      <c r="B1257" s="6" t="s">
        <v>559</v>
      </c>
      <c r="C1257" s="9" t="s">
        <v>4613</v>
      </c>
      <c r="D1257" s="9" t="s">
        <v>2343</v>
      </c>
      <c r="E1257" s="36" t="s">
        <v>762</v>
      </c>
      <c r="F1257" s="36" t="s">
        <v>763</v>
      </c>
      <c r="H1257" s="9" t="s">
        <v>3839</v>
      </c>
      <c r="M1257" s="6" t="n">
        <v>3628.51</v>
      </c>
      <c r="P1257" s="1" t="n">
        <v>32813</v>
      </c>
      <c r="Q1257" s="1" t="str">
        <f aca="false">IF(OR($A1069="",P1069=""),"",ROUND(YEARFRAC(P1069,README!$C$5),1))</f>
        <v/>
      </c>
      <c r="S1257" s="6" t="n">
        <v>1020</v>
      </c>
      <c r="T1257" s="6" t="n">
        <v>1082</v>
      </c>
      <c r="U1257" s="6" t="n">
        <v>1000</v>
      </c>
      <c r="V1257" s="6" t="n">
        <v>-82</v>
      </c>
      <c r="W1257" s="6" t="n">
        <v>1</v>
      </c>
      <c r="X1257" s="6" t="n">
        <v>1</v>
      </c>
      <c r="Z1257" s="6" t="s">
        <v>3629</v>
      </c>
      <c r="AA1257" s="9" t="s">
        <v>774</v>
      </c>
      <c r="AB1257" s="6" t="s">
        <v>4614</v>
      </c>
      <c r="AC1257" s="27" t="n">
        <f aca="false">COUNTIF(環境認証!$A$2:$A$849,A1069)</f>
        <v>1</v>
      </c>
      <c r="AD1257" s="6" t="n">
        <v>-7.6</v>
      </c>
      <c r="AE1257" s="6" t="n">
        <v>-2</v>
      </c>
    </row>
    <row r="1258" customFormat="false" ht="15" hidden="false" customHeight="true" outlineLevel="0" collapsed="false">
      <c r="A1258" s="6" t="s">
        <v>4615</v>
      </c>
      <c r="B1258" s="6" t="s">
        <v>559</v>
      </c>
      <c r="C1258" s="9" t="s">
        <v>4616</v>
      </c>
      <c r="D1258" s="9" t="s">
        <v>2343</v>
      </c>
      <c r="E1258" s="36" t="s">
        <v>762</v>
      </c>
      <c r="F1258" s="36" t="s">
        <v>848</v>
      </c>
      <c r="H1258" s="9" t="s">
        <v>3839</v>
      </c>
      <c r="M1258" s="6" t="n">
        <v>2685.48</v>
      </c>
      <c r="P1258" s="1" t="n">
        <v>34516</v>
      </c>
      <c r="Q1258" s="1" t="str">
        <f aca="false">IF(OR($A1070="",P1070=""),"",ROUND(YEARFRAC(P1070,README!$C$5),1))</f>
        <v/>
      </c>
      <c r="S1258" s="6" t="n">
        <v>973</v>
      </c>
      <c r="T1258" s="6" t="n">
        <v>1068</v>
      </c>
      <c r="U1258" s="6" t="n">
        <v>994</v>
      </c>
      <c r="V1258" s="6" t="n">
        <v>-74</v>
      </c>
      <c r="W1258" s="6" t="n">
        <v>1</v>
      </c>
      <c r="X1258" s="6" t="n">
        <v>1</v>
      </c>
      <c r="Z1258" s="6" t="s">
        <v>3629</v>
      </c>
      <c r="AA1258" s="9" t="s">
        <v>774</v>
      </c>
      <c r="AB1258" s="6" t="s">
        <v>4617</v>
      </c>
      <c r="AC1258" s="27" t="n">
        <f aca="false">COUNTIF(環境認証!$A$2:$A$849,A1070)</f>
        <v>1</v>
      </c>
      <c r="AD1258" s="6" t="n">
        <v>-6.9</v>
      </c>
      <c r="AE1258" s="6" t="n">
        <v>2.2</v>
      </c>
    </row>
    <row r="1259" customFormat="false" ht="15" hidden="false" customHeight="true" outlineLevel="0" collapsed="false">
      <c r="A1259" s="6" t="s">
        <v>4618</v>
      </c>
      <c r="B1259" s="6" t="s">
        <v>559</v>
      </c>
      <c r="C1259" s="9" t="s">
        <v>4619</v>
      </c>
      <c r="D1259" s="9" t="s">
        <v>2343</v>
      </c>
      <c r="E1259" s="36" t="s">
        <v>762</v>
      </c>
      <c r="F1259" s="36" t="s">
        <v>815</v>
      </c>
      <c r="H1259" s="9" t="s">
        <v>3839</v>
      </c>
      <c r="M1259" s="6" t="n">
        <v>3140.27</v>
      </c>
      <c r="P1259" s="1" t="n">
        <v>33909</v>
      </c>
      <c r="Q1259" s="1" t="str">
        <f aca="false">IF(OR($A1071="",P1071=""),"",ROUND(YEARFRAC(P1071,README!$C$5),1))</f>
        <v/>
      </c>
      <c r="S1259" s="6" t="n">
        <v>893</v>
      </c>
      <c r="T1259" s="6" t="n">
        <v>944</v>
      </c>
      <c r="U1259" s="6" t="n">
        <v>896</v>
      </c>
      <c r="V1259" s="6" t="n">
        <v>-48</v>
      </c>
      <c r="W1259" s="6" t="n">
        <v>1</v>
      </c>
      <c r="X1259" s="6" t="n">
        <v>1</v>
      </c>
      <c r="Z1259" s="6" t="s">
        <v>3629</v>
      </c>
      <c r="AA1259" s="9" t="s">
        <v>774</v>
      </c>
      <c r="AB1259" s="6" t="s">
        <v>4620</v>
      </c>
      <c r="AC1259" s="27" t="n">
        <f aca="false">COUNTIF(環境認証!$A$2:$A$849,A1071)</f>
        <v>1</v>
      </c>
      <c r="AD1259" s="6" t="n">
        <v>-5.1</v>
      </c>
      <c r="AE1259" s="6" t="n">
        <v>0.3</v>
      </c>
    </row>
    <row r="1260" customFormat="false" ht="15" hidden="false" customHeight="true" outlineLevel="0" collapsed="false">
      <c r="A1260" s="6" t="s">
        <v>4621</v>
      </c>
      <c r="B1260" s="6" t="s">
        <v>559</v>
      </c>
      <c r="C1260" s="9" t="s">
        <v>4622</v>
      </c>
      <c r="D1260" s="9" t="s">
        <v>2343</v>
      </c>
      <c r="E1260" s="36" t="s">
        <v>1197</v>
      </c>
      <c r="F1260" s="36" t="s">
        <v>3519</v>
      </c>
      <c r="H1260" s="9" t="s">
        <v>3839</v>
      </c>
      <c r="M1260" s="6" t="n">
        <v>1339.58</v>
      </c>
      <c r="P1260" s="1" t="n">
        <v>36220</v>
      </c>
      <c r="Q1260" s="1" t="str">
        <f aca="false">IF(OR($A1072="",P1072=""),"",ROUND(YEARFRAC(P1072,README!$C$5),1))</f>
        <v/>
      </c>
      <c r="S1260" s="6" t="n">
        <v>823</v>
      </c>
      <c r="T1260" s="6" t="n">
        <v>807</v>
      </c>
      <c r="U1260" s="6" t="n">
        <v>843</v>
      </c>
      <c r="V1260" s="6" t="n">
        <v>36</v>
      </c>
      <c r="W1260" s="6" t="n">
        <v>1</v>
      </c>
      <c r="X1260" s="6" t="n">
        <v>1</v>
      </c>
      <c r="Z1260" s="6" t="s">
        <v>3629</v>
      </c>
      <c r="AA1260" s="9" t="s">
        <v>774</v>
      </c>
      <c r="AB1260" s="6" t="s">
        <v>4623</v>
      </c>
      <c r="AC1260" s="27" t="n">
        <f aca="false">COUNTIF(環境認証!$A$2:$A$849,A1072)</f>
        <v>0</v>
      </c>
      <c r="AD1260" s="6" t="n">
        <v>4.5</v>
      </c>
      <c r="AE1260" s="6" t="n">
        <v>2.4</v>
      </c>
    </row>
    <row r="1261" customFormat="false" ht="15" hidden="false" customHeight="true" outlineLevel="0" collapsed="false">
      <c r="A1261" s="6" t="s">
        <v>4624</v>
      </c>
      <c r="B1261" s="6" t="s">
        <v>559</v>
      </c>
      <c r="C1261" s="9" t="s">
        <v>4625</v>
      </c>
      <c r="D1261" s="9" t="s">
        <v>2343</v>
      </c>
      <c r="E1261" s="36" t="s">
        <v>981</v>
      </c>
      <c r="F1261" s="36" t="s">
        <v>1305</v>
      </c>
      <c r="H1261" s="9" t="s">
        <v>3839</v>
      </c>
      <c r="M1261" s="6" t="n">
        <v>7856.64</v>
      </c>
      <c r="P1261" s="1" t="n">
        <v>36220</v>
      </c>
      <c r="Q1261" s="1" t="str">
        <f aca="false">IF(OR($A1073="",P1073=""),"",ROUND(YEARFRAC(P1073,README!$C$5),1))</f>
        <v/>
      </c>
      <c r="S1261" s="6" t="n">
        <v>3580</v>
      </c>
      <c r="T1261" s="6" t="n">
        <v>3429</v>
      </c>
      <c r="U1261" s="6" t="n">
        <v>3600</v>
      </c>
      <c r="V1261" s="6" t="n">
        <v>171</v>
      </c>
      <c r="W1261" s="6" t="n">
        <v>1</v>
      </c>
      <c r="X1261" s="6" t="n">
        <v>1</v>
      </c>
      <c r="Z1261" s="6" t="s">
        <v>3629</v>
      </c>
      <c r="AA1261" s="9" t="s">
        <v>774</v>
      </c>
      <c r="AB1261" s="6" t="s">
        <v>4626</v>
      </c>
      <c r="AC1261" s="27" t="n">
        <f aca="false">COUNTIF(環境認証!$A$2:$A$849,A1073)</f>
        <v>1</v>
      </c>
      <c r="AD1261" s="6" t="n">
        <v>5</v>
      </c>
      <c r="AE1261" s="6" t="n">
        <v>0.6</v>
      </c>
    </row>
    <row r="1262" customFormat="false" ht="15" hidden="false" customHeight="true" outlineLevel="0" collapsed="false">
      <c r="A1262" s="6" t="s">
        <v>4627</v>
      </c>
      <c r="B1262" s="6" t="s">
        <v>559</v>
      </c>
      <c r="C1262" s="9" t="s">
        <v>4628</v>
      </c>
      <c r="D1262" s="9" t="s">
        <v>2343</v>
      </c>
      <c r="E1262" s="36" t="s">
        <v>1005</v>
      </c>
      <c r="F1262" s="36" t="s">
        <v>3526</v>
      </c>
      <c r="H1262" s="9" t="s">
        <v>3839</v>
      </c>
      <c r="M1262" s="6" t="n">
        <v>5995.74</v>
      </c>
      <c r="P1262" s="1" t="n">
        <v>39508</v>
      </c>
      <c r="Q1262" s="1" t="str">
        <f aca="false">IF(OR($A1074="",P1074=""),"",ROUND(YEARFRAC(P1074,README!$C$5),1))</f>
        <v/>
      </c>
      <c r="S1262" s="6" t="n">
        <v>2770</v>
      </c>
      <c r="T1262" s="6" t="n">
        <v>2742</v>
      </c>
      <c r="U1262" s="6" t="n">
        <v>2780</v>
      </c>
      <c r="V1262" s="6" t="n">
        <v>38</v>
      </c>
      <c r="W1262" s="6" t="n">
        <v>1</v>
      </c>
      <c r="X1262" s="6" t="n">
        <v>1</v>
      </c>
      <c r="Z1262" s="6" t="s">
        <v>3629</v>
      </c>
      <c r="AA1262" s="9" t="s">
        <v>774</v>
      </c>
      <c r="AB1262" s="6" t="s">
        <v>4629</v>
      </c>
      <c r="AC1262" s="27" t="n">
        <f aca="false">COUNTIF(環境認証!$A$2:$A$849,A1074)</f>
        <v>0</v>
      </c>
      <c r="AD1262" s="6" t="n">
        <v>1.4</v>
      </c>
      <c r="AE1262" s="6" t="n">
        <v>0.4</v>
      </c>
    </row>
    <row r="1263" customFormat="false" ht="15" hidden="false" customHeight="true" outlineLevel="0" collapsed="false">
      <c r="A1263" s="6" t="s">
        <v>4630</v>
      </c>
      <c r="B1263" s="6" t="s">
        <v>559</v>
      </c>
      <c r="C1263" s="9" t="s">
        <v>4631</v>
      </c>
      <c r="D1263" s="9" t="s">
        <v>2343</v>
      </c>
      <c r="E1263" s="36" t="s">
        <v>925</v>
      </c>
      <c r="F1263" s="36" t="s">
        <v>3530</v>
      </c>
      <c r="H1263" s="9" t="s">
        <v>3839</v>
      </c>
      <c r="M1263" s="6" t="n">
        <v>3860.29</v>
      </c>
      <c r="P1263" s="1" t="n">
        <v>31444</v>
      </c>
      <c r="Q1263" s="1" t="str">
        <f aca="false">IF(OR($A1075="",P1075=""),"",ROUND(YEARFRAC(P1075,README!$C$5),1))</f>
        <v/>
      </c>
      <c r="S1263" s="6" t="n">
        <v>2160</v>
      </c>
      <c r="T1263" s="6" t="n">
        <v>2090</v>
      </c>
      <c r="U1263" s="6" t="n">
        <v>2160</v>
      </c>
      <c r="V1263" s="6" t="n">
        <v>70</v>
      </c>
      <c r="W1263" s="6" t="n">
        <v>1</v>
      </c>
      <c r="X1263" s="6" t="n">
        <v>1</v>
      </c>
      <c r="Z1263" s="6" t="s">
        <v>3629</v>
      </c>
      <c r="AA1263" s="9" t="s">
        <v>774</v>
      </c>
      <c r="AB1263" s="6" t="s">
        <v>4632</v>
      </c>
      <c r="AC1263" s="27" t="n">
        <f aca="false">COUNTIF(環境認証!$A$2:$A$849,A1075)</f>
        <v>0</v>
      </c>
      <c r="AD1263" s="6" t="n">
        <v>3.3</v>
      </c>
      <c r="AE1263" s="6" t="n">
        <v>0</v>
      </c>
    </row>
    <row r="1264" customFormat="false" ht="15" hidden="false" customHeight="true" outlineLevel="0" collapsed="false">
      <c r="A1264" s="6" t="s">
        <v>4633</v>
      </c>
      <c r="B1264" s="6" t="s">
        <v>559</v>
      </c>
      <c r="C1264" s="9" t="s">
        <v>4634</v>
      </c>
      <c r="D1264" s="9" t="s">
        <v>2343</v>
      </c>
      <c r="E1264" s="36" t="s">
        <v>762</v>
      </c>
      <c r="F1264" s="36" t="s">
        <v>763</v>
      </c>
      <c r="H1264" s="9" t="s">
        <v>3839</v>
      </c>
      <c r="M1264" s="6" t="n">
        <v>3731.26</v>
      </c>
      <c r="P1264" s="1" t="n">
        <v>39753</v>
      </c>
      <c r="Q1264" s="1" t="str">
        <f aca="false">IF(OR($A1076="",P1076=""),"",ROUND(YEARFRAC(P1076,README!$C$5),1))</f>
        <v/>
      </c>
      <c r="S1264" s="6" t="n">
        <v>1720</v>
      </c>
      <c r="T1264" s="6" t="n">
        <v>1782</v>
      </c>
      <c r="U1264" s="6" t="n">
        <v>1730</v>
      </c>
      <c r="V1264" s="6" t="n">
        <v>-52</v>
      </c>
      <c r="W1264" s="6" t="n">
        <v>1</v>
      </c>
      <c r="X1264" s="6" t="n">
        <v>1</v>
      </c>
      <c r="Z1264" s="6" t="s">
        <v>3629</v>
      </c>
      <c r="AA1264" s="9" t="s">
        <v>774</v>
      </c>
      <c r="AB1264" s="6" t="s">
        <v>4635</v>
      </c>
      <c r="AC1264" s="27" t="n">
        <f aca="false">COUNTIF(環境認証!$A$2:$A$849,A1076)</f>
        <v>2</v>
      </c>
      <c r="AD1264" s="6" t="n">
        <v>-2.9</v>
      </c>
      <c r="AE1264" s="6" t="n">
        <v>0.6</v>
      </c>
    </row>
    <row r="1265" customFormat="false" ht="15" hidden="false" customHeight="true" outlineLevel="0" collapsed="false">
      <c r="A1265" s="6" t="s">
        <v>4636</v>
      </c>
      <c r="B1265" s="6" t="s">
        <v>559</v>
      </c>
      <c r="C1265" s="9" t="s">
        <v>4637</v>
      </c>
      <c r="D1265" s="9" t="s">
        <v>2343</v>
      </c>
      <c r="E1265" s="36" t="s">
        <v>1242</v>
      </c>
      <c r="F1265" s="36" t="s">
        <v>3537</v>
      </c>
      <c r="H1265" s="9" t="s">
        <v>3839</v>
      </c>
      <c r="M1265" s="6" t="n">
        <v>4415.16</v>
      </c>
      <c r="P1265" s="1" t="n">
        <v>32568</v>
      </c>
      <c r="Q1265" s="1" t="str">
        <f aca="false">IF(OR($A1077="",P1077=""),"",ROUND(YEARFRAC(P1077,README!$C$5),1))</f>
        <v/>
      </c>
      <c r="S1265" s="6" t="n">
        <v>1440</v>
      </c>
      <c r="T1265" s="6" t="n">
        <v>1420</v>
      </c>
      <c r="U1265" s="6" t="n">
        <v>1430</v>
      </c>
      <c r="V1265" s="6" t="n">
        <v>10</v>
      </c>
      <c r="W1265" s="6" t="n">
        <v>1</v>
      </c>
      <c r="X1265" s="6" t="n">
        <v>1</v>
      </c>
      <c r="Z1265" s="6" t="s">
        <v>3629</v>
      </c>
      <c r="AA1265" s="9" t="s">
        <v>774</v>
      </c>
      <c r="AB1265" s="6" t="s">
        <v>4638</v>
      </c>
      <c r="AC1265" s="27" t="n">
        <f aca="false">COUNTIF(環境認証!$A$2:$A$849,A1077)</f>
        <v>1</v>
      </c>
      <c r="AD1265" s="6" t="n">
        <v>0.7</v>
      </c>
      <c r="AE1265" s="6" t="n">
        <v>-0.7</v>
      </c>
    </row>
    <row r="1266" customFormat="false" ht="15" hidden="false" customHeight="true" outlineLevel="0" collapsed="false">
      <c r="A1266" s="6" t="s">
        <v>4639</v>
      </c>
      <c r="B1266" s="6" t="s">
        <v>559</v>
      </c>
      <c r="C1266" s="9" t="s">
        <v>4640</v>
      </c>
      <c r="D1266" s="9" t="s">
        <v>2343</v>
      </c>
      <c r="E1266" s="36" t="s">
        <v>925</v>
      </c>
      <c r="F1266" s="36" t="s">
        <v>3541</v>
      </c>
      <c r="H1266" s="9" t="s">
        <v>3839</v>
      </c>
      <c r="M1266" s="6" t="n">
        <v>3444.81</v>
      </c>
      <c r="P1266" s="1" t="n">
        <v>35704</v>
      </c>
      <c r="Q1266" s="1" t="str">
        <f aca="false">IF(OR($A1078="",P1078=""),"",ROUND(YEARFRAC(P1078,README!$C$5),1))</f>
        <v/>
      </c>
      <c r="S1266" s="6" t="n">
        <v>1370</v>
      </c>
      <c r="T1266" s="6" t="n">
        <v>1423</v>
      </c>
      <c r="U1266" s="6" t="n">
        <v>1310</v>
      </c>
      <c r="V1266" s="6" t="n">
        <v>-113</v>
      </c>
      <c r="W1266" s="6" t="n">
        <v>1</v>
      </c>
      <c r="X1266" s="6" t="n">
        <v>1</v>
      </c>
      <c r="Z1266" s="6" t="s">
        <v>3629</v>
      </c>
      <c r="AA1266" s="9" t="s">
        <v>774</v>
      </c>
      <c r="AB1266" s="6" t="s">
        <v>4641</v>
      </c>
      <c r="AC1266" s="27" t="n">
        <f aca="false">COUNTIF(環境認証!$A$2:$A$849,A1078)</f>
        <v>0</v>
      </c>
      <c r="AD1266" s="6" t="n">
        <v>-7.9</v>
      </c>
      <c r="AE1266" s="6" t="n">
        <v>-4.4</v>
      </c>
    </row>
    <row r="1267" customFormat="false" ht="15" hidden="false" customHeight="true" outlineLevel="0" collapsed="false">
      <c r="A1267" s="6" t="s">
        <v>4642</v>
      </c>
      <c r="B1267" s="6" t="s">
        <v>559</v>
      </c>
      <c r="C1267" s="9" t="s">
        <v>4643</v>
      </c>
      <c r="D1267" s="9" t="s">
        <v>2343</v>
      </c>
      <c r="E1267" s="36" t="s">
        <v>981</v>
      </c>
      <c r="F1267" s="36" t="s">
        <v>3545</v>
      </c>
      <c r="H1267" s="9" t="s">
        <v>3839</v>
      </c>
      <c r="M1267" s="6" t="n">
        <v>3900.59</v>
      </c>
      <c r="P1267" s="1" t="n">
        <v>35490</v>
      </c>
      <c r="Q1267" s="1" t="str">
        <f aca="false">IF(OR($A1079="",P1079=""),"",ROUND(YEARFRAC(P1079,README!$C$5),1))</f>
        <v/>
      </c>
      <c r="S1267" s="6" t="n">
        <v>3000</v>
      </c>
      <c r="T1267" s="6" t="n">
        <v>2934</v>
      </c>
      <c r="U1267" s="6" t="n">
        <v>3010</v>
      </c>
      <c r="V1267" s="6" t="n">
        <v>76</v>
      </c>
      <c r="W1267" s="6" t="n">
        <v>1</v>
      </c>
      <c r="X1267" s="6" t="n">
        <v>1</v>
      </c>
      <c r="Z1267" s="6" t="s">
        <v>3629</v>
      </c>
      <c r="AA1267" s="9" t="s">
        <v>774</v>
      </c>
      <c r="AB1267" s="6" t="s">
        <v>4644</v>
      </c>
      <c r="AC1267" s="27" t="n">
        <f aca="false">COUNTIF(環境認証!$A$2:$A$849,A1079)</f>
        <v>0</v>
      </c>
      <c r="AD1267" s="6" t="n">
        <v>2.6</v>
      </c>
      <c r="AE1267" s="6" t="n">
        <v>0.3</v>
      </c>
    </row>
    <row r="1268" customFormat="false" ht="15" hidden="false" customHeight="true" outlineLevel="0" collapsed="false">
      <c r="A1268" s="6" t="s">
        <v>4645</v>
      </c>
      <c r="B1268" s="6" t="s">
        <v>559</v>
      </c>
      <c r="C1268" s="9" t="s">
        <v>4646</v>
      </c>
      <c r="D1268" s="9" t="s">
        <v>2343</v>
      </c>
      <c r="E1268" s="36" t="s">
        <v>762</v>
      </c>
      <c r="F1268" s="36" t="s">
        <v>820</v>
      </c>
      <c r="H1268" s="9" t="s">
        <v>3839</v>
      </c>
      <c r="M1268" s="6" t="n">
        <v>2725.53</v>
      </c>
      <c r="P1268" s="1" t="n">
        <v>41671</v>
      </c>
      <c r="Q1268" s="1" t="str">
        <f aca="false">IF(OR($A1080="",P1080=""),"",ROUND(YEARFRAC(P1080,README!$C$5),1))</f>
        <v/>
      </c>
      <c r="S1268" s="6" t="n">
        <v>2030</v>
      </c>
      <c r="T1268" s="6" t="n">
        <v>1988</v>
      </c>
      <c r="U1268" s="6" t="n">
        <v>1960</v>
      </c>
      <c r="V1268" s="6" t="n">
        <v>-28</v>
      </c>
      <c r="W1268" s="6" t="n">
        <v>1</v>
      </c>
      <c r="X1268" s="6" t="n">
        <v>1</v>
      </c>
      <c r="Z1268" s="6" t="s">
        <v>3629</v>
      </c>
      <c r="AA1268" s="9" t="s">
        <v>774</v>
      </c>
      <c r="AB1268" s="6" t="s">
        <v>4647</v>
      </c>
      <c r="AC1268" s="27" t="n">
        <f aca="false">COUNTIF(環境認証!$A$2:$A$849,A1080)</f>
        <v>0</v>
      </c>
      <c r="AD1268" s="6" t="n">
        <v>-1.4</v>
      </c>
      <c r="AE1268" s="6" t="n">
        <v>-3.4</v>
      </c>
    </row>
    <row r="1269" customFormat="false" ht="15" hidden="false" customHeight="true" outlineLevel="0" collapsed="false">
      <c r="A1269" s="6" t="s">
        <v>4648</v>
      </c>
      <c r="B1269" s="6" t="s">
        <v>559</v>
      </c>
      <c r="C1269" s="9" t="s">
        <v>4649</v>
      </c>
      <c r="D1269" s="9" t="s">
        <v>2343</v>
      </c>
      <c r="E1269" s="36" t="s">
        <v>762</v>
      </c>
      <c r="F1269" s="36" t="s">
        <v>815</v>
      </c>
      <c r="H1269" s="9" t="s">
        <v>3839</v>
      </c>
      <c r="M1269" s="6" t="n">
        <v>3469.84</v>
      </c>
      <c r="P1269" s="1" t="n">
        <v>39295</v>
      </c>
      <c r="Q1269" s="1" t="str">
        <f aca="false">IF(OR($A1081="",P1081=""),"",ROUND(YEARFRAC(P1081,README!$C$5),1))</f>
        <v/>
      </c>
      <c r="S1269" s="6" t="n">
        <v>1470</v>
      </c>
      <c r="T1269" s="6" t="n">
        <v>1422</v>
      </c>
      <c r="U1269" s="6" t="n">
        <v>1500</v>
      </c>
      <c r="V1269" s="6" t="n">
        <v>78</v>
      </c>
      <c r="W1269" s="6" t="n">
        <v>1</v>
      </c>
      <c r="X1269" s="6" t="n">
        <v>1</v>
      </c>
      <c r="Z1269" s="6" t="s">
        <v>3629</v>
      </c>
      <c r="AA1269" s="9" t="s">
        <v>774</v>
      </c>
      <c r="AB1269" s="6" t="s">
        <v>4650</v>
      </c>
      <c r="AC1269" s="27" t="n">
        <f aca="false">COUNTIF(環境認証!$A$2:$A$849,A1081)</f>
        <v>0</v>
      </c>
      <c r="AD1269" s="6" t="n">
        <v>5.5</v>
      </c>
      <c r="AE1269" s="6" t="n">
        <v>2</v>
      </c>
    </row>
    <row r="1270" customFormat="false" ht="15" hidden="false" customHeight="true" outlineLevel="0" collapsed="false">
      <c r="A1270" s="6" t="s">
        <v>4651</v>
      </c>
      <c r="B1270" s="6" t="s">
        <v>559</v>
      </c>
      <c r="C1270" s="9" t="s">
        <v>4652</v>
      </c>
      <c r="D1270" s="9" t="s">
        <v>2343</v>
      </c>
      <c r="E1270" s="36" t="s">
        <v>762</v>
      </c>
      <c r="F1270" s="36" t="s">
        <v>815</v>
      </c>
      <c r="H1270" s="9" t="s">
        <v>3839</v>
      </c>
      <c r="M1270" s="6" t="n">
        <v>2278.43</v>
      </c>
      <c r="P1270" s="1" t="n">
        <v>40026</v>
      </c>
      <c r="Q1270" s="1" t="str">
        <f aca="false">IF(OR($A1082="",P1082=""),"",ROUND(YEARFRAC(P1082,README!$C$5),1))</f>
        <v/>
      </c>
      <c r="S1270" s="6" t="n">
        <v>1420</v>
      </c>
      <c r="T1270" s="6" t="n">
        <v>1385</v>
      </c>
      <c r="U1270" s="6" t="n">
        <v>1450</v>
      </c>
      <c r="V1270" s="6" t="n">
        <v>65</v>
      </c>
      <c r="W1270" s="6" t="n">
        <v>1</v>
      </c>
      <c r="X1270" s="6" t="n">
        <v>1</v>
      </c>
      <c r="Z1270" s="6" t="s">
        <v>3629</v>
      </c>
      <c r="AA1270" s="9" t="s">
        <v>774</v>
      </c>
      <c r="AB1270" s="6" t="s">
        <v>4653</v>
      </c>
      <c r="AC1270" s="27" t="n">
        <f aca="false">COUNTIF(環境認証!$A$2:$A$849,A1082)</f>
        <v>0</v>
      </c>
      <c r="AD1270" s="6" t="n">
        <v>4.7</v>
      </c>
      <c r="AE1270" s="6" t="n">
        <v>2.1</v>
      </c>
    </row>
    <row r="1271" customFormat="false" ht="15" hidden="false" customHeight="true" outlineLevel="0" collapsed="false">
      <c r="A1271" s="6" t="s">
        <v>4654</v>
      </c>
      <c r="B1271" s="6" t="s">
        <v>559</v>
      </c>
      <c r="C1271" s="9" t="s">
        <v>4655</v>
      </c>
      <c r="D1271" s="9" t="s">
        <v>2343</v>
      </c>
      <c r="E1271" s="36" t="s">
        <v>925</v>
      </c>
      <c r="F1271" s="36" t="s">
        <v>2966</v>
      </c>
      <c r="H1271" s="9" t="s">
        <v>3839</v>
      </c>
      <c r="M1271" s="6" t="n">
        <v>5414.02</v>
      </c>
      <c r="P1271" s="1" t="n">
        <v>37561</v>
      </c>
      <c r="Q1271" s="1" t="str">
        <f aca="false">IF(OR($A1083="",P1083=""),"",ROUND(YEARFRAC(P1083,README!$C$5),1))</f>
        <v/>
      </c>
      <c r="S1271" s="6" t="n">
        <v>2610</v>
      </c>
      <c r="T1271" s="6" t="n">
        <v>2539</v>
      </c>
      <c r="U1271" s="6" t="n">
        <v>2670</v>
      </c>
      <c r="V1271" s="6" t="n">
        <v>131</v>
      </c>
      <c r="W1271" s="6" t="n">
        <v>1</v>
      </c>
      <c r="X1271" s="6" t="n">
        <v>1</v>
      </c>
      <c r="Z1271" s="6" t="s">
        <v>3629</v>
      </c>
      <c r="AA1271" s="9" t="s">
        <v>774</v>
      </c>
      <c r="AB1271" s="6" t="s">
        <v>4656</v>
      </c>
      <c r="AC1271" s="27" t="n">
        <f aca="false">COUNTIF(環境認証!$A$2:$A$849,A1083)</f>
        <v>0</v>
      </c>
      <c r="AD1271" s="6" t="n">
        <v>5.2</v>
      </c>
      <c r="AE1271" s="6" t="n">
        <v>2.3</v>
      </c>
    </row>
    <row r="1272" customFormat="false" ht="15" hidden="false" customHeight="true" outlineLevel="0" collapsed="false">
      <c r="A1272" s="6" t="s">
        <v>4657</v>
      </c>
      <c r="B1272" s="6" t="s">
        <v>559</v>
      </c>
      <c r="C1272" s="9" t="s">
        <v>4658</v>
      </c>
      <c r="D1272" s="9" t="s">
        <v>2343</v>
      </c>
      <c r="E1272" s="36" t="s">
        <v>946</v>
      </c>
      <c r="F1272" s="36" t="s">
        <v>3561</v>
      </c>
      <c r="H1272" s="9" t="s">
        <v>3839</v>
      </c>
      <c r="M1272" s="6" t="n">
        <v>3406.41</v>
      </c>
      <c r="Q1272" s="1" t="str">
        <f aca="false">IF(OR($A1084="",P1084=""),"",ROUND(YEARFRAC(P1084,README!$C$5),1))</f>
        <v/>
      </c>
      <c r="S1272" s="6" t="n">
        <v>1210</v>
      </c>
      <c r="T1272" s="6" t="n">
        <v>1163</v>
      </c>
      <c r="U1272" s="6" t="n">
        <v>1210</v>
      </c>
      <c r="V1272" s="6" t="n">
        <v>47</v>
      </c>
      <c r="W1272" s="6" t="n">
        <v>1</v>
      </c>
      <c r="X1272" s="6" t="n">
        <v>1</v>
      </c>
      <c r="Z1272" s="6" t="s">
        <v>3629</v>
      </c>
      <c r="AA1272" s="9" t="s">
        <v>774</v>
      </c>
      <c r="AB1272" s="6" t="s">
        <v>4659</v>
      </c>
      <c r="AC1272" s="27" t="n">
        <f aca="false">COUNTIF(環境認証!$A$2:$A$849,A1084)</f>
        <v>0</v>
      </c>
      <c r="AD1272" s="6" t="n">
        <v>4</v>
      </c>
      <c r="AE1272" s="6" t="n">
        <v>0</v>
      </c>
    </row>
    <row r="1273" customFormat="false" ht="15" hidden="false" customHeight="true" outlineLevel="0" collapsed="false">
      <c r="A1273" s="6" t="s">
        <v>4660</v>
      </c>
      <c r="B1273" s="6" t="s">
        <v>559</v>
      </c>
      <c r="C1273" s="9" t="s">
        <v>4661</v>
      </c>
      <c r="D1273" s="9" t="s">
        <v>2343</v>
      </c>
      <c r="E1273" s="36" t="s">
        <v>762</v>
      </c>
      <c r="F1273" s="36" t="s">
        <v>815</v>
      </c>
      <c r="H1273" s="9" t="s">
        <v>3839</v>
      </c>
      <c r="M1273" s="6" t="n">
        <v>3413.76</v>
      </c>
      <c r="P1273" s="1" t="n">
        <v>32295</v>
      </c>
      <c r="Q1273" s="1" t="str">
        <f aca="false">IF(OR($A1085="",P1085=""),"",ROUND(YEARFRAC(P1085,README!$C$5),1))</f>
        <v/>
      </c>
      <c r="S1273" s="6" t="n">
        <v>1120</v>
      </c>
      <c r="T1273" s="6" t="n">
        <v>1074</v>
      </c>
      <c r="U1273" s="6" t="n">
        <v>1120</v>
      </c>
      <c r="V1273" s="6" t="n">
        <v>46</v>
      </c>
      <c r="W1273" s="6" t="n">
        <v>1</v>
      </c>
      <c r="X1273" s="6" t="n">
        <v>1</v>
      </c>
      <c r="Z1273" s="6" t="s">
        <v>3629</v>
      </c>
      <c r="AA1273" s="9" t="s">
        <v>774</v>
      </c>
      <c r="AB1273" s="6" t="s">
        <v>4662</v>
      </c>
      <c r="AC1273" s="27" t="n">
        <f aca="false">COUNTIF(環境認証!$A$2:$A$849,A1085)</f>
        <v>0</v>
      </c>
      <c r="AD1273" s="6" t="n">
        <v>4.3</v>
      </c>
      <c r="AE1273" s="6" t="n">
        <v>0</v>
      </c>
    </row>
    <row r="1274" customFormat="false" ht="15" hidden="false" customHeight="true" outlineLevel="0" collapsed="false">
      <c r="A1274" s="6" t="s">
        <v>4663</v>
      </c>
      <c r="B1274" s="6" t="s">
        <v>559</v>
      </c>
      <c r="C1274" s="9" t="s">
        <v>4664</v>
      </c>
      <c r="D1274" s="9" t="s">
        <v>2343</v>
      </c>
      <c r="H1274" s="9" t="s">
        <v>3839</v>
      </c>
      <c r="M1274" s="6" t="n">
        <v>3397.74</v>
      </c>
      <c r="Q1274" s="1" t="str">
        <f aca="false">IF(OR($A1086="",P1086=""),"",ROUND(YEARFRAC(P1086,README!$C$5),1))</f>
        <v/>
      </c>
      <c r="S1274" s="6" t="n">
        <v>893</v>
      </c>
      <c r="T1274" s="6" t="n">
        <v>832</v>
      </c>
      <c r="U1274" s="6" t="n">
        <v>898</v>
      </c>
      <c r="V1274" s="6" t="n">
        <v>66</v>
      </c>
      <c r="W1274" s="6" t="n">
        <v>1</v>
      </c>
      <c r="X1274" s="6" t="n">
        <v>1</v>
      </c>
      <c r="Z1274" s="6" t="s">
        <v>3629</v>
      </c>
      <c r="AA1274" s="49" t="s">
        <v>774</v>
      </c>
      <c r="AB1274" s="6" t="s">
        <v>4665</v>
      </c>
      <c r="AC1274" s="27" t="n">
        <f aca="false">COUNTIF(環境認証!$A$2:$A$849,A1086)</f>
        <v>2</v>
      </c>
      <c r="AD1274" s="6" t="n">
        <v>7.9</v>
      </c>
      <c r="AE1274" s="6" t="n">
        <v>0.6</v>
      </c>
    </row>
    <row r="1275" customFormat="false" ht="15" hidden="false" customHeight="true" outlineLevel="0" collapsed="false">
      <c r="A1275" s="27" t="s">
        <v>4666</v>
      </c>
      <c r="B1275" s="27" t="s">
        <v>566</v>
      </c>
      <c r="C1275" s="28" t="s">
        <v>4667</v>
      </c>
      <c r="D1275" s="27" t="s">
        <v>4668</v>
      </c>
      <c r="E1275" s="28" t="s">
        <v>762</v>
      </c>
      <c r="F1275" s="28" t="s">
        <v>782</v>
      </c>
      <c r="H1275" s="28" t="s">
        <v>772</v>
      </c>
      <c r="I1275" s="9" t="s">
        <v>4669</v>
      </c>
      <c r="J1275" s="6" t="s">
        <v>4670</v>
      </c>
      <c r="L1275" s="27" t="n">
        <v>2517.5</v>
      </c>
      <c r="P1275" s="27" t="s">
        <v>4671</v>
      </c>
      <c r="Q1275" s="27" t="n">
        <v>25.6</v>
      </c>
      <c r="R1275" s="6" t="s">
        <v>4672</v>
      </c>
      <c r="S1275" s="27" t="n">
        <v>2500</v>
      </c>
      <c r="U1275" s="27" t="n">
        <v>3420</v>
      </c>
      <c r="V1275" s="1" t="str">
        <f aca="false">IF($A1275="","",IF(OR(T1275="",U1275=""),"",U1275-T1275))</f>
        <v/>
      </c>
      <c r="Z1275" s="28" t="s">
        <v>4673</v>
      </c>
      <c r="AA1275" s="28" t="s">
        <v>774</v>
      </c>
      <c r="AB1275" s="28" t="s">
        <v>4674</v>
      </c>
    </row>
    <row r="1276" customFormat="false" ht="15" hidden="false" customHeight="true" outlineLevel="0" collapsed="false">
      <c r="A1276" s="27" t="s">
        <v>4675</v>
      </c>
      <c r="B1276" s="27" t="s">
        <v>566</v>
      </c>
      <c r="C1276" s="28" t="s">
        <v>4676</v>
      </c>
      <c r="D1276" s="27" t="s">
        <v>4668</v>
      </c>
      <c r="E1276" s="28" t="s">
        <v>762</v>
      </c>
      <c r="F1276" s="28" t="s">
        <v>763</v>
      </c>
      <c r="H1276" s="28" t="s">
        <v>772</v>
      </c>
      <c r="I1276" s="9" t="s">
        <v>4669</v>
      </c>
      <c r="J1276" s="6" t="s">
        <v>4670</v>
      </c>
      <c r="L1276" s="27" t="n">
        <v>6261.06</v>
      </c>
      <c r="P1276" s="27" t="s">
        <v>4677</v>
      </c>
      <c r="Q1276" s="27" t="n">
        <v>25</v>
      </c>
      <c r="R1276" s="6" t="s">
        <v>4672</v>
      </c>
      <c r="S1276" s="27" t="n">
        <v>4250</v>
      </c>
      <c r="U1276" s="27" t="n">
        <v>5890</v>
      </c>
      <c r="V1276" s="1" t="str">
        <f aca="false">IF($A1276="","",IF(OR(T1276="",U1276=""),"",U1276-T1276))</f>
        <v/>
      </c>
      <c r="Z1276" s="28" t="s">
        <v>4673</v>
      </c>
      <c r="AA1276" s="28" t="s">
        <v>774</v>
      </c>
      <c r="AB1276" s="28" t="s">
        <v>4674</v>
      </c>
    </row>
    <row r="1277" customFormat="false" ht="15" hidden="false" customHeight="true" outlineLevel="0" collapsed="false">
      <c r="A1277" s="27" t="s">
        <v>4678</v>
      </c>
      <c r="B1277" s="27" t="s">
        <v>566</v>
      </c>
      <c r="C1277" s="28" t="s">
        <v>4679</v>
      </c>
      <c r="D1277" s="27" t="s">
        <v>4668</v>
      </c>
      <c r="E1277" s="28" t="s">
        <v>762</v>
      </c>
      <c r="F1277" s="28" t="s">
        <v>771</v>
      </c>
      <c r="H1277" s="28" t="s">
        <v>772</v>
      </c>
      <c r="I1277" s="9" t="s">
        <v>4669</v>
      </c>
      <c r="J1277" s="6" t="s">
        <v>4670</v>
      </c>
      <c r="L1277" s="27" t="n">
        <v>6084.32</v>
      </c>
      <c r="P1277" s="27" t="s">
        <v>4680</v>
      </c>
      <c r="Q1277" s="27" t="n">
        <v>25.1</v>
      </c>
      <c r="R1277" s="6" t="s">
        <v>4672</v>
      </c>
      <c r="S1277" s="27" t="n">
        <v>5020</v>
      </c>
      <c r="U1277" s="27" t="n">
        <v>7290</v>
      </c>
      <c r="V1277" s="1" t="str">
        <f aca="false">IF($A1277="","",IF(OR(T1277="",U1277=""),"",U1277-T1277))</f>
        <v/>
      </c>
      <c r="Z1277" s="28" t="s">
        <v>4673</v>
      </c>
      <c r="AA1277" s="28" t="s">
        <v>774</v>
      </c>
      <c r="AB1277" s="28" t="s">
        <v>4681</v>
      </c>
    </row>
    <row r="1278" customFormat="false" ht="15" hidden="false" customHeight="true" outlineLevel="0" collapsed="false">
      <c r="A1278" s="27" t="s">
        <v>4682</v>
      </c>
      <c r="B1278" s="27" t="s">
        <v>566</v>
      </c>
      <c r="C1278" s="28" t="s">
        <v>4683</v>
      </c>
      <c r="D1278" s="27" t="s">
        <v>4668</v>
      </c>
      <c r="E1278" s="28" t="s">
        <v>762</v>
      </c>
      <c r="F1278" s="28" t="s">
        <v>782</v>
      </c>
      <c r="H1278" s="28" t="s">
        <v>772</v>
      </c>
      <c r="I1278" s="9" t="s">
        <v>4669</v>
      </c>
      <c r="J1278" s="6" t="s">
        <v>4670</v>
      </c>
      <c r="L1278" s="27" t="n">
        <v>1356.51</v>
      </c>
      <c r="P1278" s="27" t="s">
        <v>4684</v>
      </c>
      <c r="Q1278" s="27" t="n">
        <v>34.9</v>
      </c>
      <c r="R1278" s="6" t="s">
        <v>4672</v>
      </c>
      <c r="S1278" s="27" t="n">
        <v>880</v>
      </c>
      <c r="U1278" s="27" t="n">
        <v>1310</v>
      </c>
      <c r="V1278" s="1" t="str">
        <f aca="false">IF($A1278="","",IF(OR(T1278="",U1278=""),"",U1278-T1278))</f>
        <v/>
      </c>
      <c r="Z1278" s="28" t="s">
        <v>4673</v>
      </c>
      <c r="AA1278" s="28" t="s">
        <v>774</v>
      </c>
      <c r="AB1278" s="28" t="s">
        <v>4674</v>
      </c>
    </row>
    <row r="1279" customFormat="false" ht="15" hidden="false" customHeight="true" outlineLevel="0" collapsed="false">
      <c r="A1279" s="27" t="s">
        <v>4685</v>
      </c>
      <c r="B1279" s="27" t="s">
        <v>566</v>
      </c>
      <c r="C1279" s="28" t="s">
        <v>4686</v>
      </c>
      <c r="D1279" s="27" t="s">
        <v>4668</v>
      </c>
      <c r="E1279" s="28" t="s">
        <v>762</v>
      </c>
      <c r="F1279" s="28" t="s">
        <v>782</v>
      </c>
      <c r="H1279" s="28" t="s">
        <v>772</v>
      </c>
      <c r="I1279" s="9" t="s">
        <v>4669</v>
      </c>
      <c r="J1279" s="6" t="s">
        <v>4670</v>
      </c>
      <c r="L1279" s="27" t="n">
        <v>2570.13</v>
      </c>
      <c r="P1279" s="27" t="s">
        <v>4687</v>
      </c>
      <c r="Q1279" s="27" t="n">
        <v>26.3</v>
      </c>
      <c r="R1279" s="6" t="s">
        <v>4672</v>
      </c>
      <c r="S1279" s="27" t="n">
        <v>1550</v>
      </c>
      <c r="U1279" s="27" t="n">
        <v>2000</v>
      </c>
      <c r="V1279" s="1" t="str">
        <f aca="false">IF($A1279="","",IF(OR(T1279="",U1279=""),"",U1279-T1279))</f>
        <v/>
      </c>
      <c r="Z1279" s="28" t="s">
        <v>4673</v>
      </c>
      <c r="AA1279" s="28" t="s">
        <v>774</v>
      </c>
      <c r="AB1279" s="28" t="s">
        <v>4674</v>
      </c>
    </row>
    <row r="1280" customFormat="false" ht="15" hidden="false" customHeight="true" outlineLevel="0" collapsed="false">
      <c r="A1280" s="27" t="s">
        <v>4688</v>
      </c>
      <c r="B1280" s="27" t="s">
        <v>566</v>
      </c>
      <c r="C1280" s="28" t="s">
        <v>4689</v>
      </c>
      <c r="D1280" s="27" t="s">
        <v>4668</v>
      </c>
      <c r="E1280" s="28" t="s">
        <v>762</v>
      </c>
      <c r="F1280" s="28" t="s">
        <v>895</v>
      </c>
      <c r="H1280" s="28" t="s">
        <v>882</v>
      </c>
      <c r="I1280" s="9" t="s">
        <v>4669</v>
      </c>
      <c r="J1280" s="6" t="s">
        <v>4670</v>
      </c>
      <c r="L1280" s="27" t="n">
        <v>1942.54</v>
      </c>
      <c r="P1280" s="27" t="s">
        <v>4690</v>
      </c>
      <c r="Q1280" s="27" t="n">
        <v>26.9</v>
      </c>
      <c r="R1280" s="6" t="s">
        <v>4672</v>
      </c>
      <c r="S1280" s="27" t="n">
        <v>1150</v>
      </c>
      <c r="U1280" s="27" t="n">
        <v>1820</v>
      </c>
      <c r="V1280" s="1" t="str">
        <f aca="false">IF($A1280="","",IF(OR(T1280="",U1280=""),"",U1280-T1280))</f>
        <v/>
      </c>
      <c r="Z1280" s="28" t="s">
        <v>4673</v>
      </c>
      <c r="AA1280" s="28" t="s">
        <v>774</v>
      </c>
      <c r="AB1280" s="28" t="s">
        <v>4674</v>
      </c>
    </row>
    <row r="1281" customFormat="false" ht="15" hidden="false" customHeight="true" outlineLevel="0" collapsed="false">
      <c r="A1281" s="27" t="s">
        <v>4691</v>
      </c>
      <c r="B1281" s="27" t="s">
        <v>566</v>
      </c>
      <c r="C1281" s="28" t="s">
        <v>4692</v>
      </c>
      <c r="D1281" s="27" t="s">
        <v>4668</v>
      </c>
      <c r="E1281" s="28" t="s">
        <v>762</v>
      </c>
      <c r="F1281" s="28" t="s">
        <v>1165</v>
      </c>
      <c r="H1281" s="28" t="s">
        <v>921</v>
      </c>
      <c r="I1281" s="9" t="s">
        <v>4669</v>
      </c>
      <c r="J1281" s="6" t="s">
        <v>4670</v>
      </c>
      <c r="L1281" s="27" t="n">
        <v>7404.81</v>
      </c>
      <c r="P1281" s="27" t="s">
        <v>4693</v>
      </c>
      <c r="Q1281" s="27" t="n">
        <v>33.2</v>
      </c>
      <c r="R1281" s="6" t="s">
        <v>4672</v>
      </c>
      <c r="S1281" s="27" t="n">
        <v>2600</v>
      </c>
      <c r="U1281" s="27" t="n">
        <v>3870</v>
      </c>
      <c r="V1281" s="1" t="str">
        <f aca="false">IF($A1281="","",IF(OR(T1281="",U1281=""),"",U1281-T1281))</f>
        <v/>
      </c>
      <c r="Z1281" s="28" t="s">
        <v>4673</v>
      </c>
      <c r="AA1281" s="28" t="s">
        <v>774</v>
      </c>
      <c r="AB1281" s="28" t="s">
        <v>4674</v>
      </c>
    </row>
    <row r="1282" customFormat="false" ht="15" hidden="false" customHeight="true" outlineLevel="0" collapsed="false">
      <c r="A1282" s="27" t="s">
        <v>4694</v>
      </c>
      <c r="B1282" s="27" t="s">
        <v>566</v>
      </c>
      <c r="C1282" s="28" t="s">
        <v>4695</v>
      </c>
      <c r="D1282" s="27" t="s">
        <v>4668</v>
      </c>
      <c r="E1282" s="28" t="s">
        <v>950</v>
      </c>
      <c r="F1282" s="28" t="s">
        <v>951</v>
      </c>
      <c r="H1282" s="27" t="s">
        <v>952</v>
      </c>
      <c r="I1282" s="9" t="s">
        <v>4669</v>
      </c>
      <c r="J1282" s="6" t="s">
        <v>4670</v>
      </c>
      <c r="L1282" s="27" t="n">
        <v>4270.89</v>
      </c>
      <c r="P1282" s="27" t="s">
        <v>4696</v>
      </c>
      <c r="Q1282" s="27" t="n">
        <v>5.5</v>
      </c>
      <c r="R1282" s="6" t="s">
        <v>4697</v>
      </c>
      <c r="S1282" s="27" t="n">
        <v>4707</v>
      </c>
      <c r="U1282" s="27" t="n">
        <v>5080</v>
      </c>
      <c r="V1282" s="1" t="str">
        <f aca="false">IF($A1282="","",IF(OR(T1282="",U1282=""),"",U1282-T1282))</f>
        <v/>
      </c>
      <c r="Z1282" s="28" t="s">
        <v>4673</v>
      </c>
      <c r="AA1282" s="28" t="s">
        <v>774</v>
      </c>
      <c r="AB1282" s="28" t="s">
        <v>4674</v>
      </c>
    </row>
    <row r="1283" customFormat="false" ht="15" hidden="false" customHeight="true" outlineLevel="0" collapsed="false">
      <c r="A1283" s="27" t="s">
        <v>4698</v>
      </c>
      <c r="B1283" s="27" t="s">
        <v>566</v>
      </c>
      <c r="C1283" s="28" t="s">
        <v>4699</v>
      </c>
      <c r="D1283" s="27" t="s">
        <v>4668</v>
      </c>
      <c r="E1283" s="28" t="s">
        <v>762</v>
      </c>
      <c r="F1283" s="28" t="s">
        <v>881</v>
      </c>
      <c r="H1283" s="28" t="s">
        <v>882</v>
      </c>
      <c r="I1283" s="9" t="s">
        <v>4669</v>
      </c>
      <c r="J1283" s="6" t="s">
        <v>4670</v>
      </c>
      <c r="L1283" s="27" t="n">
        <v>2995.81</v>
      </c>
      <c r="P1283" s="27" t="s">
        <v>4700</v>
      </c>
      <c r="Q1283" s="27" t="n">
        <v>33.4</v>
      </c>
      <c r="R1283" s="6" t="s">
        <v>4697</v>
      </c>
      <c r="S1283" s="27" t="n">
        <v>2003</v>
      </c>
      <c r="U1283" s="27" t="n">
        <v>2190</v>
      </c>
      <c r="V1283" s="1" t="str">
        <f aca="false">IF($A1283="","",IF(OR(T1283="",U1283=""),"",U1283-T1283))</f>
        <v/>
      </c>
      <c r="Z1283" s="28" t="s">
        <v>4673</v>
      </c>
      <c r="AA1283" s="28" t="s">
        <v>774</v>
      </c>
      <c r="AB1283" s="28" t="s">
        <v>4674</v>
      </c>
    </row>
    <row r="1284" customFormat="false" ht="15" hidden="false" customHeight="true" outlineLevel="0" collapsed="false">
      <c r="A1284" s="27" t="s">
        <v>4701</v>
      </c>
      <c r="B1284" s="27" t="s">
        <v>566</v>
      </c>
      <c r="C1284" s="28" t="s">
        <v>4702</v>
      </c>
      <c r="D1284" s="27" t="s">
        <v>4668</v>
      </c>
      <c r="E1284" s="28" t="s">
        <v>969</v>
      </c>
      <c r="F1284" s="28" t="s">
        <v>970</v>
      </c>
      <c r="G1284" s="9" t="s">
        <v>4703</v>
      </c>
      <c r="H1284" s="28" t="s">
        <v>971</v>
      </c>
      <c r="I1284" s="9" t="s">
        <v>4704</v>
      </c>
      <c r="J1284" s="6" t="s">
        <v>4705</v>
      </c>
      <c r="K1284" s="9" t="n">
        <v>1811.04</v>
      </c>
      <c r="L1284" s="6" t="n">
        <v>18661.77</v>
      </c>
      <c r="M1284" s="9" t="n">
        <v>1273.23</v>
      </c>
      <c r="N1284" s="9" t="n">
        <v>16</v>
      </c>
      <c r="O1284" s="9" t="n">
        <v>2</v>
      </c>
      <c r="P1284" s="6" t="s">
        <v>4706</v>
      </c>
      <c r="Q1284" s="6" t="n">
        <v>2.7</v>
      </c>
      <c r="R1284" s="6" t="s">
        <v>4707</v>
      </c>
      <c r="S1284" s="27" t="n">
        <v>3410</v>
      </c>
      <c r="U1284" s="27" t="n">
        <v>3500</v>
      </c>
      <c r="V1284" s="1" t="str">
        <f aca="false">IF($A1284="","",IF(OR(T1284="",U1284=""),"",U1284-T1284))</f>
        <v/>
      </c>
      <c r="W1284" s="6" t="n">
        <v>0.915</v>
      </c>
      <c r="X1284" s="6" t="n">
        <v>23</v>
      </c>
      <c r="Y1284" s="6" t="n">
        <v>1.8</v>
      </c>
      <c r="Z1284" s="28" t="s">
        <v>4673</v>
      </c>
      <c r="AA1284" s="28" t="s">
        <v>774</v>
      </c>
      <c r="AB1284" s="28" t="s">
        <v>4708</v>
      </c>
    </row>
    <row r="1285" customFormat="false" ht="15" hidden="false" customHeight="true" outlineLevel="0" collapsed="false">
      <c r="A1285" s="27" t="s">
        <v>4709</v>
      </c>
      <c r="B1285" s="27" t="s">
        <v>566</v>
      </c>
      <c r="C1285" s="28" t="s">
        <v>4710</v>
      </c>
      <c r="D1285" s="27" t="s">
        <v>4668</v>
      </c>
      <c r="E1285" s="28" t="s">
        <v>969</v>
      </c>
      <c r="F1285" s="28" t="s">
        <v>970</v>
      </c>
      <c r="G1285" s="9" t="s">
        <v>4711</v>
      </c>
      <c r="H1285" s="28" t="s">
        <v>971</v>
      </c>
      <c r="I1285" s="9" t="s">
        <v>4712</v>
      </c>
      <c r="J1285" s="6" t="s">
        <v>4670</v>
      </c>
      <c r="K1285" s="6" t="n">
        <v>1673.77</v>
      </c>
      <c r="L1285" s="6" t="n">
        <v>9915.56</v>
      </c>
      <c r="M1285" s="6" t="n">
        <v>7872.82</v>
      </c>
      <c r="N1285" s="6" t="n">
        <v>9</v>
      </c>
      <c r="P1285" s="6" t="s">
        <v>4713</v>
      </c>
      <c r="Q1285" s="6" t="n">
        <v>38</v>
      </c>
      <c r="R1285" s="6" t="s">
        <v>4707</v>
      </c>
      <c r="S1285" s="27" t="n">
        <v>3320</v>
      </c>
      <c r="U1285" s="27" t="n">
        <v>3620</v>
      </c>
      <c r="V1285" s="1" t="str">
        <f aca="false">IF($A1285="","",IF(OR(T1285="",U1285=""),"",U1285-T1285))</f>
        <v/>
      </c>
      <c r="W1285" s="6" t="n">
        <v>0.962</v>
      </c>
      <c r="X1285" s="6" t="n">
        <v>30</v>
      </c>
      <c r="Y1285" s="6" t="n">
        <v>4.6</v>
      </c>
      <c r="Z1285" s="28" t="s">
        <v>4673</v>
      </c>
      <c r="AA1285" s="28" t="s">
        <v>774</v>
      </c>
      <c r="AB1285" s="27" t="s">
        <v>4714</v>
      </c>
    </row>
    <row r="1286" customFormat="false" ht="15" hidden="false" customHeight="true" outlineLevel="0" collapsed="false">
      <c r="A1286" s="27" t="s">
        <v>4715</v>
      </c>
      <c r="B1286" s="27" t="s">
        <v>566</v>
      </c>
      <c r="C1286" s="28" t="s">
        <v>4716</v>
      </c>
      <c r="D1286" s="27" t="s">
        <v>4717</v>
      </c>
      <c r="E1286" s="28" t="s">
        <v>925</v>
      </c>
      <c r="F1286" s="28" t="s">
        <v>930</v>
      </c>
      <c r="H1286" s="28" t="s">
        <v>921</v>
      </c>
      <c r="I1286" s="9" t="s">
        <v>4718</v>
      </c>
      <c r="J1286" s="6" t="s">
        <v>4719</v>
      </c>
      <c r="L1286" s="27" t="n">
        <v>108955.9</v>
      </c>
      <c r="P1286" s="27" t="s">
        <v>4720</v>
      </c>
      <c r="Q1286" s="27" t="n">
        <v>22.2</v>
      </c>
      <c r="R1286" s="6" t="s">
        <v>4672</v>
      </c>
      <c r="S1286" s="27" t="n">
        <v>4100</v>
      </c>
      <c r="U1286" s="27" t="n">
        <v>5630</v>
      </c>
      <c r="V1286" s="1" t="str">
        <f aca="false">IF($A1286="","",IF(OR(T1286="",U1286=""),"",U1286-T1286))</f>
        <v/>
      </c>
      <c r="Z1286" s="28" t="s">
        <v>4673</v>
      </c>
      <c r="AA1286" s="28" t="s">
        <v>774</v>
      </c>
      <c r="AB1286" s="28" t="s">
        <v>4721</v>
      </c>
    </row>
    <row r="1287" customFormat="false" ht="15" hidden="false" customHeight="true" outlineLevel="0" collapsed="false">
      <c r="A1287" s="27" t="s">
        <v>4722</v>
      </c>
      <c r="B1287" s="27" t="s">
        <v>566</v>
      </c>
      <c r="C1287" s="28" t="s">
        <v>4723</v>
      </c>
      <c r="D1287" s="27" t="s">
        <v>4717</v>
      </c>
      <c r="E1287" s="28" t="s">
        <v>925</v>
      </c>
      <c r="F1287" s="28" t="s">
        <v>930</v>
      </c>
      <c r="H1287" s="28" t="s">
        <v>921</v>
      </c>
      <c r="I1287" s="9" t="s">
        <v>4669</v>
      </c>
      <c r="J1287" s="6" t="s">
        <v>4670</v>
      </c>
      <c r="L1287" s="27" t="n">
        <v>2596.8</v>
      </c>
      <c r="P1287" s="27" t="s">
        <v>4724</v>
      </c>
      <c r="Q1287" s="27" t="n">
        <v>29.2</v>
      </c>
      <c r="R1287" s="6" t="s">
        <v>4672</v>
      </c>
      <c r="S1287" s="27" t="n">
        <v>790</v>
      </c>
      <c r="U1287" s="27" t="n">
        <v>1020</v>
      </c>
      <c r="V1287" s="1" t="str">
        <f aca="false">IF($A1287="","",IF(OR(T1287="",U1287=""),"",U1287-T1287))</f>
        <v/>
      </c>
      <c r="Z1287" s="28" t="s">
        <v>4673</v>
      </c>
      <c r="AA1287" s="28" t="s">
        <v>774</v>
      </c>
      <c r="AB1287" s="28" t="s">
        <v>4674</v>
      </c>
    </row>
    <row r="1288" customFormat="false" ht="15" hidden="false" customHeight="true" outlineLevel="0" collapsed="false">
      <c r="A1288" s="27" t="s">
        <v>4725</v>
      </c>
      <c r="B1288" s="27" t="s">
        <v>566</v>
      </c>
      <c r="C1288" s="28" t="s">
        <v>4726</v>
      </c>
      <c r="D1288" s="27" t="s">
        <v>4717</v>
      </c>
      <c r="E1288" s="28" t="s">
        <v>762</v>
      </c>
      <c r="F1288" s="28" t="s">
        <v>4727</v>
      </c>
      <c r="H1288" s="28" t="s">
        <v>921</v>
      </c>
      <c r="I1288" s="9" t="s">
        <v>4718</v>
      </c>
      <c r="J1288" s="6" t="s">
        <v>4719</v>
      </c>
      <c r="L1288" s="27" t="n">
        <v>62849.56</v>
      </c>
      <c r="P1288" s="27" t="s">
        <v>4728</v>
      </c>
      <c r="Q1288" s="27" t="n">
        <v>26.5</v>
      </c>
      <c r="R1288" s="6" t="s">
        <v>4672</v>
      </c>
      <c r="S1288" s="27" t="n">
        <v>3100</v>
      </c>
      <c r="U1288" s="27" t="n">
        <v>3950</v>
      </c>
      <c r="V1288" s="1" t="str">
        <f aca="false">IF($A1288="","",IF(OR(T1288="",U1288=""),"",U1288-T1288))</f>
        <v/>
      </c>
      <c r="Z1288" s="28" t="s">
        <v>4673</v>
      </c>
      <c r="AA1288" s="28" t="s">
        <v>774</v>
      </c>
      <c r="AB1288" s="28" t="s">
        <v>4729</v>
      </c>
    </row>
    <row r="1289" customFormat="false" ht="15" hidden="false" customHeight="true" outlineLevel="0" collapsed="false">
      <c r="A1289" s="27" t="s">
        <v>4730</v>
      </c>
      <c r="B1289" s="27" t="s">
        <v>566</v>
      </c>
      <c r="C1289" s="28" t="s">
        <v>4731</v>
      </c>
      <c r="D1289" s="27" t="s">
        <v>4717</v>
      </c>
      <c r="E1289" s="28" t="s">
        <v>981</v>
      </c>
      <c r="F1289" s="28" t="s">
        <v>4732</v>
      </c>
      <c r="H1289" s="28" t="s">
        <v>971</v>
      </c>
      <c r="I1289" s="9" t="s">
        <v>4669</v>
      </c>
      <c r="J1289" s="6" t="s">
        <v>4670</v>
      </c>
      <c r="L1289" s="27" t="n">
        <v>3358.26</v>
      </c>
      <c r="P1289" s="27" t="s">
        <v>4733</v>
      </c>
      <c r="Q1289" s="27" t="n">
        <v>29.2</v>
      </c>
      <c r="R1289" s="6" t="s">
        <v>4696</v>
      </c>
      <c r="S1289" s="27" t="n">
        <v>1065</v>
      </c>
      <c r="U1289" s="27" t="n">
        <v>1070</v>
      </c>
      <c r="V1289" s="1" t="str">
        <f aca="false">IF($A1289="","",IF(OR(T1289="",U1289=""),"",U1289-T1289))</f>
        <v/>
      </c>
      <c r="Z1289" s="28" t="s">
        <v>4673</v>
      </c>
      <c r="AA1289" s="28" t="s">
        <v>774</v>
      </c>
      <c r="AB1289" s="28" t="s">
        <v>4674</v>
      </c>
    </row>
    <row r="1290" customFormat="false" ht="15" hidden="false" customHeight="true" outlineLevel="0" collapsed="false">
      <c r="A1290" s="27" t="s">
        <v>4734</v>
      </c>
      <c r="B1290" s="27" t="s">
        <v>566</v>
      </c>
      <c r="C1290" s="28" t="s">
        <v>4735</v>
      </c>
      <c r="D1290" s="27" t="s">
        <v>4717</v>
      </c>
      <c r="E1290" s="28" t="s">
        <v>925</v>
      </c>
      <c r="F1290" s="28" t="s">
        <v>926</v>
      </c>
      <c r="H1290" s="28" t="s">
        <v>921</v>
      </c>
      <c r="I1290" s="9" t="s">
        <v>4718</v>
      </c>
      <c r="J1290" s="6" t="s">
        <v>4719</v>
      </c>
      <c r="L1290" s="27" t="n">
        <v>12236.5</v>
      </c>
      <c r="P1290" s="27" t="s">
        <v>4736</v>
      </c>
      <c r="Q1290" s="27" t="n">
        <v>7.8</v>
      </c>
      <c r="R1290" s="6" t="s">
        <v>4737</v>
      </c>
      <c r="S1290" s="27" t="n">
        <v>540</v>
      </c>
      <c r="U1290" s="27" t="n">
        <v>664</v>
      </c>
      <c r="V1290" s="1" t="str">
        <f aca="false">IF($A1290="","",IF(OR(T1290="",U1290=""),"",U1290-T1290))</f>
        <v/>
      </c>
      <c r="Z1290" s="28" t="s">
        <v>4673</v>
      </c>
      <c r="AA1290" s="28" t="s">
        <v>774</v>
      </c>
      <c r="AB1290" s="28" t="s">
        <v>4721</v>
      </c>
    </row>
    <row r="1291" customFormat="false" ht="15" hidden="false" customHeight="true" outlineLevel="0" collapsed="false">
      <c r="A1291" s="27" t="s">
        <v>4738</v>
      </c>
      <c r="B1291" s="27" t="s">
        <v>566</v>
      </c>
      <c r="C1291" s="28" t="s">
        <v>4739</v>
      </c>
      <c r="D1291" s="27" t="s">
        <v>4717</v>
      </c>
      <c r="E1291" s="28" t="s">
        <v>969</v>
      </c>
      <c r="F1291" s="28" t="s">
        <v>4740</v>
      </c>
      <c r="H1291" s="28" t="s">
        <v>971</v>
      </c>
      <c r="I1291" s="9" t="s">
        <v>4704</v>
      </c>
      <c r="J1291" s="6" t="s">
        <v>4741</v>
      </c>
      <c r="Q1291" s="1" t="str">
        <f aca="false">IF(OR($A1291="",P1291=""),"",ROUND(YEARFRAC(P1291,README!$C$5),1))</f>
        <v/>
      </c>
      <c r="R1291" s="6" t="s">
        <v>4742</v>
      </c>
      <c r="S1291" s="27" t="n">
        <v>3245</v>
      </c>
      <c r="U1291" s="27" t="n">
        <v>3740</v>
      </c>
      <c r="V1291" s="1" t="str">
        <f aca="false">IF($A1291="","",IF(OR(T1291="",U1291=""),"",U1291-T1291))</f>
        <v/>
      </c>
      <c r="Z1291" s="28" t="s">
        <v>4673</v>
      </c>
      <c r="AA1291" s="28" t="s">
        <v>774</v>
      </c>
      <c r="AB1291" s="28" t="s">
        <v>4743</v>
      </c>
    </row>
    <row r="1292" customFormat="false" ht="15" hidden="false" customHeight="true" outlineLevel="0" collapsed="false">
      <c r="A1292" s="27" t="s">
        <v>4744</v>
      </c>
      <c r="B1292" s="27" t="s">
        <v>566</v>
      </c>
      <c r="C1292" s="28" t="s">
        <v>4745</v>
      </c>
      <c r="D1292" s="27" t="s">
        <v>4746</v>
      </c>
      <c r="E1292" s="28" t="s">
        <v>1197</v>
      </c>
      <c r="F1292" s="28" t="s">
        <v>1198</v>
      </c>
      <c r="H1292" s="27" t="s">
        <v>952</v>
      </c>
      <c r="I1292" s="9" t="s">
        <v>4669</v>
      </c>
      <c r="J1292" s="6" t="s">
        <v>4670</v>
      </c>
      <c r="L1292" s="27" t="n">
        <v>6977.47</v>
      </c>
      <c r="P1292" s="27" t="s">
        <v>4747</v>
      </c>
      <c r="Q1292" s="27" t="n">
        <v>10</v>
      </c>
      <c r="R1292" s="6" t="s">
        <v>4672</v>
      </c>
      <c r="S1292" s="27" t="n">
        <v>4400</v>
      </c>
      <c r="U1292" s="27" t="n">
        <v>6310</v>
      </c>
      <c r="V1292" s="1" t="str">
        <f aca="false">IF($A1292="","",IF(OR(T1292="",U1292=""),"",U1292-T1292))</f>
        <v/>
      </c>
      <c r="Z1292" s="28" t="s">
        <v>4673</v>
      </c>
      <c r="AA1292" s="28" t="s">
        <v>774</v>
      </c>
      <c r="AB1292" s="28" t="s">
        <v>4674</v>
      </c>
    </row>
    <row r="1293" customFormat="false" ht="15" hidden="false" customHeight="true" outlineLevel="0" collapsed="false">
      <c r="A1293" s="27" t="s">
        <v>4748</v>
      </c>
      <c r="B1293" s="27" t="s">
        <v>566</v>
      </c>
      <c r="C1293" s="28" t="s">
        <v>4749</v>
      </c>
      <c r="D1293" s="27" t="s">
        <v>4746</v>
      </c>
      <c r="E1293" s="28" t="s">
        <v>950</v>
      </c>
      <c r="F1293" s="28" t="s">
        <v>951</v>
      </c>
      <c r="H1293" s="27" t="s">
        <v>952</v>
      </c>
      <c r="I1293" s="9" t="s">
        <v>4704</v>
      </c>
      <c r="J1293" s="6" t="s">
        <v>4750</v>
      </c>
      <c r="Q1293" s="1" t="str">
        <f aca="false">IF(OR($A1293="",P1293=""),"",ROUND(YEARFRAC(P1293,README!$C$5),1))</f>
        <v/>
      </c>
      <c r="R1293" s="6" t="s">
        <v>4751</v>
      </c>
      <c r="S1293" s="27" t="n">
        <v>1060</v>
      </c>
      <c r="U1293" s="27" t="n">
        <v>1190</v>
      </c>
      <c r="V1293" s="1" t="str">
        <f aca="false">IF($A1293="","",IF(OR(T1293="",U1293=""),"",U1293-T1293))</f>
        <v/>
      </c>
      <c r="Z1293" s="28" t="s">
        <v>4673</v>
      </c>
      <c r="AA1293" s="28" t="s">
        <v>774</v>
      </c>
      <c r="AB1293" s="28" t="s">
        <v>4752</v>
      </c>
    </row>
    <row r="1294" customFormat="false" ht="15" hidden="false" customHeight="true" outlineLevel="0" collapsed="false">
      <c r="A1294" s="27" t="s">
        <v>4753</v>
      </c>
      <c r="B1294" s="27" t="s">
        <v>566</v>
      </c>
      <c r="C1294" s="28" t="s">
        <v>4754</v>
      </c>
      <c r="D1294" s="27" t="s">
        <v>4755</v>
      </c>
      <c r="E1294" s="28" t="s">
        <v>762</v>
      </c>
      <c r="F1294" s="28" t="s">
        <v>2753</v>
      </c>
      <c r="H1294" s="28" t="s">
        <v>882</v>
      </c>
      <c r="I1294" s="9" t="s">
        <v>4669</v>
      </c>
      <c r="J1294" s="6" t="s">
        <v>4670</v>
      </c>
      <c r="L1294" s="27" t="n">
        <v>2044.18</v>
      </c>
      <c r="P1294" s="27" t="s">
        <v>4756</v>
      </c>
      <c r="Q1294" s="27" t="n">
        <v>39.7</v>
      </c>
      <c r="R1294" s="6" t="s">
        <v>4697</v>
      </c>
      <c r="S1294" s="27" t="n">
        <v>901</v>
      </c>
      <c r="U1294" s="27" t="n">
        <v>1060</v>
      </c>
      <c r="V1294" s="1" t="str">
        <f aca="false">IF($A1294="","",IF(OR(T1294="",U1294=""),"",U1294-T1294))</f>
        <v/>
      </c>
      <c r="Z1294" s="28" t="s">
        <v>4673</v>
      </c>
      <c r="AA1294" s="28" t="s">
        <v>774</v>
      </c>
      <c r="AB1294" s="28" t="s">
        <v>4674</v>
      </c>
    </row>
    <row r="1295" customFormat="false" ht="15" hidden="false" customHeight="true" outlineLevel="0" collapsed="false">
      <c r="A1295" s="27" t="s">
        <v>4757</v>
      </c>
      <c r="B1295" s="27" t="s">
        <v>575</v>
      </c>
      <c r="C1295" s="27" t="s">
        <v>4758</v>
      </c>
      <c r="D1295" s="27" t="s">
        <v>4668</v>
      </c>
      <c r="E1295" s="28" t="s">
        <v>762</v>
      </c>
      <c r="F1295" s="28" t="s">
        <v>763</v>
      </c>
      <c r="H1295" s="28" t="s">
        <v>772</v>
      </c>
      <c r="I1295" s="28" t="s">
        <v>4759</v>
      </c>
      <c r="J1295" s="27" t="s">
        <v>4670</v>
      </c>
      <c r="M1295" s="27" t="n">
        <v>5257.13</v>
      </c>
      <c r="N1295" s="27" t="n">
        <v>10</v>
      </c>
      <c r="P1295" s="27" t="s">
        <v>4760</v>
      </c>
      <c r="Q1295" s="27" t="n">
        <v>18.9</v>
      </c>
      <c r="R1295" s="27" t="s">
        <v>4761</v>
      </c>
      <c r="S1295" s="27" t="n">
        <v>7350</v>
      </c>
      <c r="T1295" s="6" t="n">
        <v>6047</v>
      </c>
      <c r="U1295" s="27" t="n">
        <v>9640</v>
      </c>
      <c r="V1295" s="6" t="n">
        <v>3593</v>
      </c>
      <c r="W1295" s="6" t="n">
        <v>0.991</v>
      </c>
      <c r="X1295" s="6" t="n">
        <v>29</v>
      </c>
      <c r="Y1295" s="27" t="n">
        <v>4.4</v>
      </c>
      <c r="Z1295" s="27" t="s">
        <v>4762</v>
      </c>
      <c r="AA1295" s="28" t="s">
        <v>774</v>
      </c>
    </row>
    <row r="1296" customFormat="false" ht="15" hidden="false" customHeight="true" outlineLevel="0" collapsed="false">
      <c r="A1296" s="27" t="s">
        <v>4763</v>
      </c>
      <c r="B1296" s="27" t="s">
        <v>575</v>
      </c>
      <c r="C1296" s="28" t="s">
        <v>4764</v>
      </c>
      <c r="D1296" s="27" t="s">
        <v>4668</v>
      </c>
      <c r="E1296" s="28" t="s">
        <v>762</v>
      </c>
      <c r="F1296" s="28" t="s">
        <v>1705</v>
      </c>
      <c r="H1296" s="28" t="s">
        <v>921</v>
      </c>
      <c r="I1296" s="28" t="s">
        <v>4669</v>
      </c>
      <c r="J1296" s="27" t="s">
        <v>4670</v>
      </c>
      <c r="M1296" s="27" t="n">
        <v>5616.11</v>
      </c>
      <c r="N1296" s="27" t="n">
        <v>8</v>
      </c>
      <c r="P1296" s="27" t="s">
        <v>4765</v>
      </c>
      <c r="Q1296" s="27" t="n">
        <v>34.7</v>
      </c>
      <c r="R1296" s="27" t="s">
        <v>4761</v>
      </c>
      <c r="S1296" s="27" t="n">
        <v>3264</v>
      </c>
      <c r="T1296" s="6" t="n">
        <v>2988</v>
      </c>
      <c r="U1296" s="27" t="n">
        <v>4250</v>
      </c>
      <c r="V1296" s="6" t="n">
        <v>1262</v>
      </c>
      <c r="W1296" s="6" t="n">
        <v>1</v>
      </c>
      <c r="X1296" s="6" t="n">
        <v>22</v>
      </c>
      <c r="Y1296" s="27" t="n">
        <v>5</v>
      </c>
      <c r="Z1296" s="27" t="s">
        <v>4762</v>
      </c>
      <c r="AA1296" s="28" t="s">
        <v>774</v>
      </c>
    </row>
    <row r="1297" customFormat="false" ht="15" hidden="false" customHeight="true" outlineLevel="0" collapsed="false">
      <c r="A1297" s="27" t="s">
        <v>4766</v>
      </c>
      <c r="B1297" s="27" t="s">
        <v>575</v>
      </c>
      <c r="C1297" s="27" t="s">
        <v>4767</v>
      </c>
      <c r="D1297" s="27" t="s">
        <v>4668</v>
      </c>
      <c r="E1297" s="28" t="s">
        <v>925</v>
      </c>
      <c r="F1297" s="28" t="s">
        <v>926</v>
      </c>
      <c r="H1297" s="28" t="s">
        <v>921</v>
      </c>
      <c r="I1297" s="28" t="s">
        <v>4669</v>
      </c>
      <c r="J1297" s="27" t="s">
        <v>4670</v>
      </c>
      <c r="M1297" s="27" t="n">
        <v>4183.52</v>
      </c>
      <c r="N1297" s="27" t="n">
        <v>8</v>
      </c>
      <c r="P1297" s="27" t="s">
        <v>4768</v>
      </c>
      <c r="Q1297" s="27" t="n">
        <v>42.8</v>
      </c>
      <c r="R1297" s="27" t="s">
        <v>4761</v>
      </c>
      <c r="S1297" s="27" t="n">
        <v>3110</v>
      </c>
      <c r="T1297" s="6" t="n">
        <v>3030</v>
      </c>
      <c r="U1297" s="27" t="n">
        <v>3920</v>
      </c>
      <c r="V1297" s="6" t="n">
        <v>890</v>
      </c>
      <c r="W1297" s="6" t="n">
        <v>0.93</v>
      </c>
      <c r="X1297" s="6" t="n">
        <v>10</v>
      </c>
      <c r="Y1297" s="27" t="n">
        <v>8.6</v>
      </c>
      <c r="Z1297" s="27" t="s">
        <v>4762</v>
      </c>
      <c r="AA1297" s="28" t="s">
        <v>774</v>
      </c>
    </row>
    <row r="1298" customFormat="false" ht="15" hidden="false" customHeight="true" outlineLevel="0" collapsed="false">
      <c r="A1298" s="27" t="s">
        <v>4769</v>
      </c>
      <c r="B1298" s="27" t="s">
        <v>575</v>
      </c>
      <c r="C1298" s="27" t="s">
        <v>4770</v>
      </c>
      <c r="D1298" s="27" t="s">
        <v>4668</v>
      </c>
      <c r="E1298" s="28" t="s">
        <v>762</v>
      </c>
      <c r="F1298" s="28" t="s">
        <v>1152</v>
      </c>
      <c r="H1298" s="28" t="s">
        <v>882</v>
      </c>
      <c r="I1298" s="28" t="s">
        <v>4669</v>
      </c>
      <c r="J1298" s="27" t="s">
        <v>4670</v>
      </c>
      <c r="M1298" s="27" t="n">
        <v>3116.49</v>
      </c>
      <c r="N1298" s="27" t="n">
        <v>7</v>
      </c>
      <c r="P1298" s="27" t="s">
        <v>4771</v>
      </c>
      <c r="Q1298" s="27" t="n">
        <v>31.6</v>
      </c>
      <c r="R1298" s="27" t="s">
        <v>4761</v>
      </c>
      <c r="S1298" s="27" t="n">
        <v>2880</v>
      </c>
      <c r="T1298" s="6" t="n">
        <v>2834</v>
      </c>
      <c r="U1298" s="27" t="n">
        <v>3520</v>
      </c>
      <c r="V1298" s="6" t="n">
        <v>686</v>
      </c>
      <c r="W1298" s="6" t="n">
        <v>1</v>
      </c>
      <c r="X1298" s="6" t="n">
        <v>7</v>
      </c>
      <c r="Y1298" s="27" t="n">
        <v>4.9</v>
      </c>
      <c r="Z1298" s="27" t="s">
        <v>4762</v>
      </c>
      <c r="AA1298" s="28" t="s">
        <v>774</v>
      </c>
    </row>
    <row r="1299" customFormat="false" ht="15" hidden="false" customHeight="true" outlineLevel="0" collapsed="false">
      <c r="A1299" s="27" t="s">
        <v>4772</v>
      </c>
      <c r="B1299" s="27" t="s">
        <v>575</v>
      </c>
      <c r="C1299" s="28" t="s">
        <v>4773</v>
      </c>
      <c r="D1299" s="27" t="s">
        <v>4668</v>
      </c>
      <c r="E1299" s="28" t="s">
        <v>762</v>
      </c>
      <c r="F1299" s="28" t="s">
        <v>1165</v>
      </c>
      <c r="H1299" s="28" t="s">
        <v>921</v>
      </c>
      <c r="I1299" s="28" t="s">
        <v>4669</v>
      </c>
      <c r="J1299" s="27" t="s">
        <v>4670</v>
      </c>
      <c r="M1299" s="27" t="n">
        <v>2749.83</v>
      </c>
      <c r="N1299" s="27" t="n">
        <v>9</v>
      </c>
      <c r="P1299" s="27" t="s">
        <v>4774</v>
      </c>
      <c r="Q1299" s="27" t="n">
        <v>32.5</v>
      </c>
      <c r="R1299" s="27" t="s">
        <v>4761</v>
      </c>
      <c r="S1299" s="27" t="n">
        <v>730</v>
      </c>
      <c r="T1299" s="6" t="n">
        <v>700</v>
      </c>
      <c r="U1299" s="27" t="n">
        <v>838</v>
      </c>
      <c r="V1299" s="6" t="n">
        <v>138</v>
      </c>
      <c r="W1299" s="6" t="n">
        <v>1</v>
      </c>
      <c r="X1299" s="6" t="n">
        <v>14</v>
      </c>
      <c r="Y1299" s="27" t="n">
        <v>3.5</v>
      </c>
      <c r="Z1299" s="27" t="s">
        <v>4762</v>
      </c>
      <c r="AA1299" s="28" t="s">
        <v>774</v>
      </c>
    </row>
    <row r="1300" customFormat="false" ht="15" hidden="false" customHeight="true" outlineLevel="0" collapsed="false">
      <c r="A1300" s="27" t="s">
        <v>4775</v>
      </c>
      <c r="B1300" s="27" t="s">
        <v>575</v>
      </c>
      <c r="C1300" s="27" t="s">
        <v>4776</v>
      </c>
      <c r="D1300" s="27" t="s">
        <v>4668</v>
      </c>
      <c r="E1300" s="28" t="s">
        <v>762</v>
      </c>
      <c r="F1300" s="28" t="s">
        <v>815</v>
      </c>
      <c r="H1300" s="28" t="s">
        <v>772</v>
      </c>
      <c r="I1300" s="28" t="s">
        <v>4669</v>
      </c>
      <c r="J1300" s="27" t="s">
        <v>4670</v>
      </c>
      <c r="M1300" s="27" t="n">
        <v>7579.15</v>
      </c>
      <c r="N1300" s="27" t="n">
        <v>8</v>
      </c>
      <c r="P1300" s="27" t="s">
        <v>4777</v>
      </c>
      <c r="Q1300" s="27" t="n">
        <v>33.9</v>
      </c>
      <c r="R1300" s="27" t="s">
        <v>4778</v>
      </c>
      <c r="S1300" s="27" t="n">
        <v>7500</v>
      </c>
      <c r="T1300" s="6" t="n">
        <v>7378</v>
      </c>
      <c r="U1300" s="27" t="n">
        <v>9340</v>
      </c>
      <c r="V1300" s="6" t="n">
        <v>1962</v>
      </c>
      <c r="W1300" s="6" t="n">
        <v>1</v>
      </c>
      <c r="X1300" s="6" t="n">
        <v>8</v>
      </c>
      <c r="Y1300" s="27" t="n">
        <v>6.4</v>
      </c>
      <c r="Z1300" s="27" t="s">
        <v>4762</v>
      </c>
      <c r="AA1300" s="28" t="s">
        <v>774</v>
      </c>
    </row>
    <row r="1301" customFormat="false" ht="15" hidden="false" customHeight="true" outlineLevel="0" collapsed="false">
      <c r="A1301" s="27" t="s">
        <v>4779</v>
      </c>
      <c r="B1301" s="27" t="s">
        <v>575</v>
      </c>
      <c r="C1301" s="27" t="s">
        <v>4780</v>
      </c>
      <c r="D1301" s="27" t="s">
        <v>4668</v>
      </c>
      <c r="E1301" s="28" t="s">
        <v>762</v>
      </c>
      <c r="F1301" s="28" t="s">
        <v>895</v>
      </c>
      <c r="H1301" s="28" t="s">
        <v>882</v>
      </c>
      <c r="I1301" s="28" t="s">
        <v>4669</v>
      </c>
      <c r="J1301" s="27" t="s">
        <v>4670</v>
      </c>
      <c r="L1301" s="1" t="n">
        <v>2517.5</v>
      </c>
      <c r="M1301" s="27" t="n">
        <v>2953.93</v>
      </c>
      <c r="N1301" s="27" t="n">
        <v>9</v>
      </c>
      <c r="P1301" s="27" t="s">
        <v>4781</v>
      </c>
      <c r="Q1301" s="27" t="n">
        <v>39.8</v>
      </c>
      <c r="R1301" s="27" t="s">
        <v>4778</v>
      </c>
      <c r="S1301" s="27" t="n">
        <v>2700</v>
      </c>
      <c r="T1301" s="6" t="n">
        <v>2757</v>
      </c>
      <c r="U1301" s="27" t="n">
        <v>3160</v>
      </c>
      <c r="V1301" s="6" t="n">
        <v>403</v>
      </c>
      <c r="W1301" s="6" t="n">
        <v>1</v>
      </c>
      <c r="X1301" s="6" t="n">
        <v>11</v>
      </c>
      <c r="Y1301" s="27" t="n">
        <v>7.5</v>
      </c>
      <c r="Z1301" s="27" t="s">
        <v>4762</v>
      </c>
      <c r="AA1301" s="28" t="s">
        <v>774</v>
      </c>
      <c r="AB1301" s="36" t="s">
        <v>4674</v>
      </c>
    </row>
    <row r="1302" customFormat="false" ht="15" hidden="false" customHeight="true" outlineLevel="0" collapsed="false">
      <c r="A1302" s="27" t="s">
        <v>4782</v>
      </c>
      <c r="B1302" s="27" t="s">
        <v>575</v>
      </c>
      <c r="C1302" s="27" t="s">
        <v>4783</v>
      </c>
      <c r="D1302" s="27" t="s">
        <v>4668</v>
      </c>
      <c r="E1302" s="28" t="s">
        <v>939</v>
      </c>
      <c r="F1302" s="28" t="s">
        <v>940</v>
      </c>
      <c r="H1302" s="28" t="s">
        <v>921</v>
      </c>
      <c r="I1302" s="28" t="s">
        <v>4669</v>
      </c>
      <c r="J1302" s="27" t="s">
        <v>4670</v>
      </c>
      <c r="L1302" s="1" t="n">
        <v>6261.06</v>
      </c>
      <c r="M1302" s="27" t="n">
        <v>3523.51</v>
      </c>
      <c r="N1302" s="27" t="n">
        <v>8</v>
      </c>
      <c r="P1302" s="27" t="s">
        <v>4784</v>
      </c>
      <c r="Q1302" s="27" t="n">
        <v>34.4</v>
      </c>
      <c r="R1302" s="27" t="s">
        <v>4785</v>
      </c>
      <c r="S1302" s="27" t="n">
        <v>3000</v>
      </c>
      <c r="T1302" s="6" t="n">
        <v>3127</v>
      </c>
      <c r="U1302" s="27" t="n">
        <v>3760</v>
      </c>
      <c r="V1302" s="6" t="n">
        <v>633</v>
      </c>
      <c r="W1302" s="6" t="n">
        <v>1</v>
      </c>
      <c r="X1302" s="6" t="n">
        <v>20</v>
      </c>
      <c r="Y1302" s="27" t="n">
        <v>5.7</v>
      </c>
      <c r="Z1302" s="27" t="s">
        <v>4762</v>
      </c>
      <c r="AA1302" s="28" t="s">
        <v>774</v>
      </c>
      <c r="AB1302" s="36" t="s">
        <v>4674</v>
      </c>
    </row>
    <row r="1303" customFormat="false" ht="15" hidden="false" customHeight="true" outlineLevel="0" collapsed="false">
      <c r="A1303" s="27" t="s">
        <v>4786</v>
      </c>
      <c r="B1303" s="27" t="s">
        <v>575</v>
      </c>
      <c r="C1303" s="27" t="s">
        <v>4787</v>
      </c>
      <c r="D1303" s="27" t="s">
        <v>4668</v>
      </c>
      <c r="E1303" s="28" t="s">
        <v>762</v>
      </c>
      <c r="F1303" s="28" t="s">
        <v>911</v>
      </c>
      <c r="H1303" s="28" t="s">
        <v>882</v>
      </c>
      <c r="I1303" s="28" t="s">
        <v>4669</v>
      </c>
      <c r="J1303" s="27" t="s">
        <v>4670</v>
      </c>
      <c r="L1303" s="1" t="n">
        <v>6084.32</v>
      </c>
      <c r="M1303" s="27" t="n">
        <v>2677.8</v>
      </c>
      <c r="N1303" s="27" t="n">
        <v>8</v>
      </c>
      <c r="P1303" s="27" t="s">
        <v>4788</v>
      </c>
      <c r="Q1303" s="27" t="n">
        <v>34.5</v>
      </c>
      <c r="R1303" s="27" t="s">
        <v>4785</v>
      </c>
      <c r="S1303" s="27" t="n">
        <v>2200</v>
      </c>
      <c r="T1303" s="6" t="n">
        <v>2180</v>
      </c>
      <c r="U1303" s="27" t="n">
        <v>2300</v>
      </c>
      <c r="V1303" s="6" t="n">
        <v>120</v>
      </c>
      <c r="W1303" s="6" t="n">
        <v>1</v>
      </c>
      <c r="X1303" s="6" t="n">
        <v>7</v>
      </c>
      <c r="Y1303" s="27" t="n">
        <v>8.5</v>
      </c>
      <c r="Z1303" s="27" t="s">
        <v>4762</v>
      </c>
      <c r="AA1303" s="28" t="s">
        <v>774</v>
      </c>
      <c r="AB1303" s="36" t="s">
        <v>4681</v>
      </c>
    </row>
    <row r="1304" customFormat="false" ht="15" hidden="false" customHeight="true" outlineLevel="0" collapsed="false">
      <c r="A1304" s="27" t="s">
        <v>4789</v>
      </c>
      <c r="B1304" s="27" t="s">
        <v>575</v>
      </c>
      <c r="C1304" s="28" t="s">
        <v>4790</v>
      </c>
      <c r="D1304" s="27" t="s">
        <v>4668</v>
      </c>
      <c r="E1304" s="28" t="s">
        <v>925</v>
      </c>
      <c r="F1304" s="28" t="s">
        <v>926</v>
      </c>
      <c r="H1304" s="28" t="s">
        <v>921</v>
      </c>
      <c r="I1304" s="28" t="s">
        <v>4669</v>
      </c>
      <c r="J1304" s="27" t="s">
        <v>4670</v>
      </c>
      <c r="L1304" s="1" t="n">
        <v>1356.51</v>
      </c>
      <c r="M1304" s="27" t="n">
        <v>4216.89</v>
      </c>
      <c r="N1304" s="27" t="n">
        <v>9</v>
      </c>
      <c r="P1304" s="27" t="s">
        <v>4791</v>
      </c>
      <c r="Q1304" s="27" t="n">
        <v>38.7</v>
      </c>
      <c r="R1304" s="27" t="s">
        <v>4792</v>
      </c>
      <c r="S1304" s="27" t="n">
        <v>2466</v>
      </c>
      <c r="T1304" s="6" t="n">
        <v>2559</v>
      </c>
      <c r="U1304" s="27" t="n">
        <v>2660</v>
      </c>
      <c r="V1304" s="6" t="n">
        <v>101</v>
      </c>
      <c r="W1304" s="6" t="n">
        <v>1</v>
      </c>
      <c r="X1304" s="6" t="n">
        <v>32</v>
      </c>
      <c r="Y1304" s="27" t="n">
        <v>8.1</v>
      </c>
      <c r="Z1304" s="27" t="s">
        <v>4762</v>
      </c>
      <c r="AA1304" s="28" t="s">
        <v>774</v>
      </c>
      <c r="AB1304" s="36" t="s">
        <v>4674</v>
      </c>
    </row>
    <row r="1305" customFormat="false" ht="15" hidden="false" customHeight="true" outlineLevel="0" collapsed="false">
      <c r="A1305" s="27" t="s">
        <v>4793</v>
      </c>
      <c r="B1305" s="27" t="s">
        <v>575</v>
      </c>
      <c r="C1305" s="28" t="s">
        <v>4794</v>
      </c>
      <c r="D1305" s="27" t="s">
        <v>4668</v>
      </c>
      <c r="E1305" s="28" t="s">
        <v>762</v>
      </c>
      <c r="F1305" s="28" t="s">
        <v>881</v>
      </c>
      <c r="H1305" s="28" t="s">
        <v>882</v>
      </c>
      <c r="I1305" s="28" t="s">
        <v>4669</v>
      </c>
      <c r="J1305" s="27" t="s">
        <v>4670</v>
      </c>
      <c r="L1305" s="1" t="n">
        <v>2570.13</v>
      </c>
      <c r="M1305" s="27" t="n">
        <v>12920.17</v>
      </c>
      <c r="N1305" s="27" t="n">
        <v>14</v>
      </c>
      <c r="P1305" s="27" t="s">
        <v>4788</v>
      </c>
      <c r="Q1305" s="27" t="n">
        <v>34.5</v>
      </c>
      <c r="R1305" s="27" t="s">
        <v>4792</v>
      </c>
      <c r="S1305" s="27" t="n">
        <v>10450</v>
      </c>
      <c r="T1305" s="6" t="n">
        <v>10491</v>
      </c>
      <c r="U1305" s="27" t="n">
        <v>11500</v>
      </c>
      <c r="V1305" s="6" t="n">
        <v>1009</v>
      </c>
      <c r="W1305" s="6" t="n">
        <v>0.877</v>
      </c>
      <c r="X1305" s="6" t="n">
        <v>14</v>
      </c>
      <c r="Y1305" s="27" t="n">
        <v>6.2</v>
      </c>
      <c r="Z1305" s="27" t="s">
        <v>4762</v>
      </c>
      <c r="AA1305" s="28" t="s">
        <v>774</v>
      </c>
      <c r="AB1305" s="36" t="s">
        <v>4674</v>
      </c>
    </row>
    <row r="1306" customFormat="false" ht="15" hidden="false" customHeight="true" outlineLevel="0" collapsed="false">
      <c r="A1306" s="27" t="s">
        <v>4795</v>
      </c>
      <c r="B1306" s="27" t="s">
        <v>575</v>
      </c>
      <c r="C1306" s="27" t="s">
        <v>4796</v>
      </c>
      <c r="D1306" s="27" t="s">
        <v>4668</v>
      </c>
      <c r="E1306" s="28" t="s">
        <v>762</v>
      </c>
      <c r="F1306" s="28" t="s">
        <v>848</v>
      </c>
      <c r="H1306" s="28" t="s">
        <v>882</v>
      </c>
      <c r="I1306" s="28" t="s">
        <v>4669</v>
      </c>
      <c r="J1306" s="27" t="s">
        <v>4670</v>
      </c>
      <c r="L1306" s="1" t="n">
        <v>1942.54</v>
      </c>
      <c r="M1306" s="27" t="n">
        <v>4248.63</v>
      </c>
      <c r="N1306" s="27" t="n">
        <v>8</v>
      </c>
      <c r="P1306" s="27" t="s">
        <v>4797</v>
      </c>
      <c r="Q1306" s="27" t="n">
        <v>38.2</v>
      </c>
      <c r="R1306" s="27" t="s">
        <v>4798</v>
      </c>
      <c r="S1306" s="27" t="n">
        <v>4500</v>
      </c>
      <c r="T1306" s="6" t="n">
        <v>4700</v>
      </c>
      <c r="U1306" s="27" t="n">
        <v>4710</v>
      </c>
      <c r="V1306" s="6" t="n">
        <v>10</v>
      </c>
      <c r="W1306" s="6" t="n">
        <v>0.929</v>
      </c>
      <c r="X1306" s="6" t="n">
        <v>10</v>
      </c>
      <c r="Y1306" s="27" t="n">
        <v>6.7</v>
      </c>
      <c r="Z1306" s="27" t="s">
        <v>4762</v>
      </c>
      <c r="AA1306" s="28" t="s">
        <v>774</v>
      </c>
      <c r="AB1306" s="36" t="s">
        <v>4674</v>
      </c>
    </row>
    <row r="1307" customFormat="false" ht="15" hidden="false" customHeight="true" outlineLevel="0" collapsed="false">
      <c r="A1307" s="27" t="s">
        <v>4799</v>
      </c>
      <c r="B1307" s="27" t="s">
        <v>575</v>
      </c>
      <c r="C1307" s="27" t="s">
        <v>4800</v>
      </c>
      <c r="D1307" s="27" t="s">
        <v>4668</v>
      </c>
      <c r="E1307" s="28" t="s">
        <v>762</v>
      </c>
      <c r="F1307" s="28" t="s">
        <v>1676</v>
      </c>
      <c r="H1307" s="28" t="s">
        <v>882</v>
      </c>
      <c r="I1307" s="28" t="s">
        <v>4669</v>
      </c>
      <c r="J1307" s="27" t="s">
        <v>4670</v>
      </c>
      <c r="L1307" s="1" t="n">
        <v>7404.81</v>
      </c>
      <c r="M1307" s="27" t="n">
        <v>4454.15</v>
      </c>
      <c r="N1307" s="27" t="n">
        <v>8</v>
      </c>
      <c r="P1307" s="27" t="s">
        <v>4801</v>
      </c>
      <c r="Q1307" s="27" t="n">
        <v>38.2</v>
      </c>
      <c r="R1307" s="27" t="s">
        <v>4802</v>
      </c>
      <c r="S1307" s="27" t="n">
        <v>5406</v>
      </c>
      <c r="T1307" s="6" t="n">
        <v>5414</v>
      </c>
      <c r="U1307" s="27" t="n">
        <v>5250</v>
      </c>
      <c r="V1307" s="6" t="n">
        <v>-164</v>
      </c>
      <c r="W1307" s="6" t="n">
        <v>1</v>
      </c>
      <c r="X1307" s="6" t="n">
        <v>7</v>
      </c>
      <c r="Y1307" s="27" t="n">
        <v>6.6</v>
      </c>
      <c r="Z1307" s="27" t="s">
        <v>4762</v>
      </c>
      <c r="AA1307" s="28" t="s">
        <v>774</v>
      </c>
      <c r="AB1307" s="36" t="s">
        <v>4674</v>
      </c>
    </row>
    <row r="1308" customFormat="false" ht="15" hidden="false" customHeight="true" outlineLevel="0" collapsed="false">
      <c r="A1308" s="27" t="s">
        <v>4803</v>
      </c>
      <c r="B1308" s="27" t="s">
        <v>575</v>
      </c>
      <c r="C1308" s="27" t="s">
        <v>4804</v>
      </c>
      <c r="D1308" s="27" t="s">
        <v>4668</v>
      </c>
      <c r="E1308" s="28" t="s">
        <v>762</v>
      </c>
      <c r="F1308" s="28" t="s">
        <v>763</v>
      </c>
      <c r="H1308" s="28" t="s">
        <v>772</v>
      </c>
      <c r="I1308" s="28" t="s">
        <v>4669</v>
      </c>
      <c r="J1308" s="27" t="s">
        <v>4670</v>
      </c>
      <c r="L1308" s="1" t="n">
        <v>4270.89</v>
      </c>
      <c r="M1308" s="27" t="n">
        <v>1695.77</v>
      </c>
      <c r="N1308" s="27" t="n">
        <v>8</v>
      </c>
      <c r="P1308" s="27" t="s">
        <v>4805</v>
      </c>
      <c r="Q1308" s="27" t="n">
        <v>30.1</v>
      </c>
      <c r="R1308" s="27" t="s">
        <v>4802</v>
      </c>
      <c r="S1308" s="27" t="n">
        <v>2100</v>
      </c>
      <c r="T1308" s="6" t="n">
        <v>2146</v>
      </c>
      <c r="U1308" s="27" t="n">
        <v>2200</v>
      </c>
      <c r="V1308" s="6" t="n">
        <v>54</v>
      </c>
      <c r="W1308" s="6" t="n">
        <v>0.919</v>
      </c>
      <c r="X1308" s="6" t="n">
        <v>7</v>
      </c>
      <c r="Y1308" s="27" t="n">
        <v>6.5</v>
      </c>
      <c r="Z1308" s="27" t="s">
        <v>4762</v>
      </c>
      <c r="AA1308" s="28" t="s">
        <v>774</v>
      </c>
      <c r="AB1308" s="36" t="s">
        <v>4674</v>
      </c>
    </row>
    <row r="1309" customFormat="false" ht="15" hidden="false" customHeight="true" outlineLevel="0" collapsed="false">
      <c r="A1309" s="27" t="s">
        <v>4806</v>
      </c>
      <c r="B1309" s="27" t="s">
        <v>575</v>
      </c>
      <c r="C1309" s="27" t="s">
        <v>4807</v>
      </c>
      <c r="D1309" s="27" t="s">
        <v>4668</v>
      </c>
      <c r="E1309" s="28" t="s">
        <v>762</v>
      </c>
      <c r="F1309" s="28" t="s">
        <v>1316</v>
      </c>
      <c r="H1309" s="28" t="s">
        <v>882</v>
      </c>
      <c r="I1309" s="28" t="s">
        <v>4669</v>
      </c>
      <c r="J1309" s="27" t="s">
        <v>4670</v>
      </c>
      <c r="L1309" s="1" t="n">
        <v>2995.81</v>
      </c>
      <c r="M1309" s="27" t="n">
        <v>3910.34</v>
      </c>
      <c r="N1309" s="27" t="n">
        <v>9</v>
      </c>
      <c r="P1309" s="27" t="s">
        <v>4777</v>
      </c>
      <c r="Q1309" s="27" t="n">
        <v>33.9</v>
      </c>
      <c r="R1309" s="27" t="s">
        <v>4808</v>
      </c>
      <c r="S1309" s="27" t="n">
        <v>3951</v>
      </c>
      <c r="T1309" s="6" t="n">
        <v>3987</v>
      </c>
      <c r="U1309" s="27" t="n">
        <v>4390</v>
      </c>
      <c r="V1309" s="6" t="n">
        <v>403</v>
      </c>
      <c r="W1309" s="6" t="n">
        <v>0.866</v>
      </c>
      <c r="X1309" s="6" t="n">
        <v>7</v>
      </c>
      <c r="Y1309" s="27" t="n">
        <v>7.6</v>
      </c>
      <c r="Z1309" s="27" t="s">
        <v>4762</v>
      </c>
      <c r="AA1309" s="28" t="s">
        <v>774</v>
      </c>
      <c r="AB1309" s="36" t="s">
        <v>4674</v>
      </c>
    </row>
    <row r="1310" customFormat="false" ht="15" hidden="false" customHeight="true" outlineLevel="0" collapsed="false">
      <c r="A1310" s="27" t="s">
        <v>4809</v>
      </c>
      <c r="B1310" s="27" t="s">
        <v>575</v>
      </c>
      <c r="C1310" s="28" t="s">
        <v>4810</v>
      </c>
      <c r="D1310" s="27" t="s">
        <v>4668</v>
      </c>
      <c r="E1310" s="28" t="s">
        <v>946</v>
      </c>
      <c r="F1310" s="28" t="s">
        <v>1996</v>
      </c>
      <c r="G1310" s="36" t="s">
        <v>4703</v>
      </c>
      <c r="H1310" s="28" t="s">
        <v>921</v>
      </c>
      <c r="I1310" s="28" t="s">
        <v>4669</v>
      </c>
      <c r="J1310" s="27" t="s">
        <v>4670</v>
      </c>
      <c r="K1310" s="1" t="n">
        <v>1811.04</v>
      </c>
      <c r="L1310" s="1" t="n">
        <v>18661.77</v>
      </c>
      <c r="M1310" s="27" t="n">
        <v>6068.42</v>
      </c>
      <c r="N1310" s="27" t="n">
        <v>8</v>
      </c>
      <c r="O1310" s="1" t="n">
        <v>2</v>
      </c>
      <c r="P1310" s="27" t="s">
        <v>4811</v>
      </c>
      <c r="Q1310" s="27" t="n">
        <v>28.5</v>
      </c>
      <c r="R1310" s="27" t="s">
        <v>4808</v>
      </c>
      <c r="S1310" s="27" t="n">
        <v>4475</v>
      </c>
      <c r="T1310" s="6" t="n">
        <v>4525</v>
      </c>
      <c r="U1310" s="27" t="n">
        <v>4720</v>
      </c>
      <c r="V1310" s="6" t="n">
        <v>195</v>
      </c>
      <c r="W1310" s="6" t="n">
        <v>1</v>
      </c>
      <c r="X1310" s="6" t="n">
        <v>17</v>
      </c>
      <c r="Y1310" s="27" t="n">
        <v>6.7</v>
      </c>
      <c r="Z1310" s="27" t="s">
        <v>4762</v>
      </c>
      <c r="AA1310" s="28" t="s">
        <v>774</v>
      </c>
      <c r="AB1310" s="36" t="s">
        <v>4708</v>
      </c>
    </row>
    <row r="1311" customFormat="false" ht="15" hidden="false" customHeight="true" outlineLevel="0" collapsed="false">
      <c r="A1311" s="27" t="s">
        <v>4812</v>
      </c>
      <c r="B1311" s="27" t="s">
        <v>575</v>
      </c>
      <c r="C1311" s="27" t="s">
        <v>4813</v>
      </c>
      <c r="D1311" s="27" t="s">
        <v>4668</v>
      </c>
      <c r="E1311" s="28" t="s">
        <v>762</v>
      </c>
      <c r="F1311" s="28" t="s">
        <v>820</v>
      </c>
      <c r="G1311" s="36" t="s">
        <v>4711</v>
      </c>
      <c r="H1311" s="28" t="s">
        <v>772</v>
      </c>
      <c r="I1311" s="28" t="s">
        <v>4669</v>
      </c>
      <c r="J1311" s="27" t="s">
        <v>4670</v>
      </c>
      <c r="K1311" s="1" t="n">
        <v>1673.77</v>
      </c>
      <c r="L1311" s="1" t="n">
        <v>9915.56</v>
      </c>
      <c r="M1311" s="27" t="n">
        <v>1751.61</v>
      </c>
      <c r="N1311" s="27" t="n">
        <v>9</v>
      </c>
      <c r="P1311" s="27" t="s">
        <v>4814</v>
      </c>
      <c r="Q1311" s="27" t="n">
        <v>35</v>
      </c>
      <c r="R1311" s="27" t="s">
        <v>4808</v>
      </c>
      <c r="S1311" s="27" t="n">
        <v>1771</v>
      </c>
      <c r="T1311" s="6" t="n">
        <v>1771</v>
      </c>
      <c r="U1311" s="27" t="n">
        <v>1810</v>
      </c>
      <c r="V1311" s="6" t="n">
        <v>39</v>
      </c>
      <c r="W1311" s="6" t="n">
        <v>0.776</v>
      </c>
      <c r="X1311" s="6" t="n">
        <v>5</v>
      </c>
      <c r="Y1311" s="27" t="n">
        <v>8</v>
      </c>
      <c r="Z1311" s="27" t="s">
        <v>4762</v>
      </c>
      <c r="AA1311" s="28" t="s">
        <v>774</v>
      </c>
      <c r="AB1311" s="1" t="s">
        <v>4815</v>
      </c>
    </row>
    <row r="1312" customFormat="false" ht="15" hidden="false" customHeight="true" outlineLevel="0" collapsed="false">
      <c r="A1312" s="27" t="s">
        <v>4816</v>
      </c>
      <c r="B1312" s="27" t="s">
        <v>575</v>
      </c>
      <c r="C1312" s="27" t="s">
        <v>4817</v>
      </c>
      <c r="D1312" s="27" t="s">
        <v>4668</v>
      </c>
      <c r="E1312" s="28" t="s">
        <v>762</v>
      </c>
      <c r="F1312" s="28" t="s">
        <v>1152</v>
      </c>
      <c r="H1312" s="28" t="s">
        <v>882</v>
      </c>
      <c r="I1312" s="28" t="s">
        <v>4669</v>
      </c>
      <c r="J1312" s="27" t="s">
        <v>4670</v>
      </c>
      <c r="L1312" s="1" t="n">
        <v>108955.9</v>
      </c>
      <c r="M1312" s="27" t="n">
        <v>2040.28</v>
      </c>
      <c r="N1312" s="27" t="n">
        <v>10</v>
      </c>
      <c r="P1312" s="27" t="s">
        <v>4818</v>
      </c>
      <c r="Q1312" s="27" t="n">
        <v>31.9</v>
      </c>
      <c r="R1312" s="27" t="s">
        <v>4808</v>
      </c>
      <c r="S1312" s="27" t="n">
        <v>1710</v>
      </c>
      <c r="T1312" s="6" t="n">
        <v>1752</v>
      </c>
      <c r="U1312" s="27" t="n">
        <v>1860</v>
      </c>
      <c r="V1312" s="6" t="n">
        <v>108</v>
      </c>
      <c r="W1312" s="6" t="n">
        <v>1</v>
      </c>
      <c r="X1312" s="6" t="n">
        <v>8</v>
      </c>
      <c r="Y1312" s="27" t="n">
        <v>5.1</v>
      </c>
      <c r="Z1312" s="27" t="s">
        <v>4762</v>
      </c>
      <c r="AA1312" s="28" t="s">
        <v>774</v>
      </c>
      <c r="AB1312" s="36" t="s">
        <v>4721</v>
      </c>
    </row>
    <row r="1313" customFormat="false" ht="15" hidden="false" customHeight="true" outlineLevel="0" collapsed="false">
      <c r="A1313" s="27" t="s">
        <v>4819</v>
      </c>
      <c r="B1313" s="27" t="s">
        <v>575</v>
      </c>
      <c r="C1313" s="28" t="s">
        <v>4820</v>
      </c>
      <c r="D1313" s="27" t="s">
        <v>4668</v>
      </c>
      <c r="E1313" s="28" t="s">
        <v>762</v>
      </c>
      <c r="F1313" s="28" t="s">
        <v>815</v>
      </c>
      <c r="H1313" s="28" t="s">
        <v>772</v>
      </c>
      <c r="I1313" s="28" t="s">
        <v>4669</v>
      </c>
      <c r="J1313" s="27" t="s">
        <v>4670</v>
      </c>
      <c r="L1313" s="1" t="n">
        <v>2596.8</v>
      </c>
      <c r="M1313" s="27" t="n">
        <v>1873.47</v>
      </c>
      <c r="N1313" s="27" t="n">
        <v>6</v>
      </c>
      <c r="P1313" s="27" t="s">
        <v>4821</v>
      </c>
      <c r="Q1313" s="27" t="n">
        <v>17.4</v>
      </c>
      <c r="R1313" s="27" t="s">
        <v>4822</v>
      </c>
      <c r="S1313" s="27" t="n">
        <v>3750</v>
      </c>
      <c r="T1313" s="6" t="n">
        <v>3824</v>
      </c>
      <c r="U1313" s="27" t="n">
        <v>4050</v>
      </c>
      <c r="V1313" s="6" t="n">
        <v>226</v>
      </c>
      <c r="W1313" s="6" t="n">
        <v>1</v>
      </c>
      <c r="X1313" s="6" t="n">
        <v>4</v>
      </c>
      <c r="Y1313" s="27" t="n">
        <v>6.4</v>
      </c>
      <c r="Z1313" s="27" t="s">
        <v>4762</v>
      </c>
      <c r="AA1313" s="28" t="s">
        <v>774</v>
      </c>
      <c r="AB1313" s="36" t="s">
        <v>4674</v>
      </c>
    </row>
    <row r="1314" customFormat="false" ht="15" hidden="false" customHeight="true" outlineLevel="0" collapsed="false">
      <c r="A1314" s="27" t="s">
        <v>4823</v>
      </c>
      <c r="B1314" s="27" t="s">
        <v>575</v>
      </c>
      <c r="C1314" s="27" t="s">
        <v>4824</v>
      </c>
      <c r="D1314" s="27" t="s">
        <v>4668</v>
      </c>
      <c r="E1314" s="28" t="s">
        <v>762</v>
      </c>
      <c r="F1314" s="28" t="s">
        <v>771</v>
      </c>
      <c r="H1314" s="28" t="s">
        <v>772</v>
      </c>
      <c r="I1314" s="28" t="s">
        <v>4669</v>
      </c>
      <c r="J1314" s="27" t="s">
        <v>4670</v>
      </c>
      <c r="L1314" s="1" t="n">
        <v>62849.56</v>
      </c>
      <c r="M1314" s="27" t="n">
        <v>2852.76</v>
      </c>
      <c r="P1314" s="1" t="s">
        <v>4728</v>
      </c>
      <c r="Q1314" s="1" t="n">
        <v>26.5</v>
      </c>
      <c r="R1314" s="27" t="s">
        <v>4707</v>
      </c>
      <c r="S1314" s="27" t="n">
        <v>4750</v>
      </c>
      <c r="U1314" s="27" t="n">
        <v>5010</v>
      </c>
      <c r="Y1314" s="27" t="n">
        <v>7.7</v>
      </c>
      <c r="Z1314" s="27" t="s">
        <v>4762</v>
      </c>
      <c r="AA1314" s="28" t="s">
        <v>774</v>
      </c>
      <c r="AB1314" s="27" t="s">
        <v>4825</v>
      </c>
    </row>
    <row r="1315" customFormat="false" ht="15" hidden="false" customHeight="true" outlineLevel="0" collapsed="false">
      <c r="A1315" s="27" t="s">
        <v>4826</v>
      </c>
      <c r="B1315" s="27" t="s">
        <v>575</v>
      </c>
      <c r="C1315" s="27" t="s">
        <v>4827</v>
      </c>
      <c r="D1315" s="27" t="s">
        <v>4668</v>
      </c>
      <c r="E1315" s="28" t="s">
        <v>981</v>
      </c>
      <c r="F1315" s="28" t="s">
        <v>982</v>
      </c>
      <c r="H1315" s="28" t="s">
        <v>971</v>
      </c>
      <c r="I1315" s="28" t="s">
        <v>4669</v>
      </c>
      <c r="J1315" s="27" t="s">
        <v>4670</v>
      </c>
      <c r="L1315" s="1" t="n">
        <v>3358.26</v>
      </c>
      <c r="M1315" s="27" t="n">
        <v>9437.82</v>
      </c>
      <c r="N1315" s="27" t="n">
        <v>12</v>
      </c>
      <c r="P1315" s="27" t="s">
        <v>4828</v>
      </c>
      <c r="Q1315" s="27" t="n">
        <v>33.7</v>
      </c>
      <c r="R1315" s="27" t="s">
        <v>4761</v>
      </c>
      <c r="S1315" s="27" t="n">
        <v>4612</v>
      </c>
      <c r="T1315" s="6" t="n">
        <v>4251</v>
      </c>
      <c r="U1315" s="27" t="n">
        <v>6720</v>
      </c>
      <c r="V1315" s="6" t="n">
        <v>2469</v>
      </c>
      <c r="W1315" s="6" t="n">
        <v>1</v>
      </c>
      <c r="X1315" s="6" t="n">
        <v>29</v>
      </c>
      <c r="Y1315" s="27" t="n">
        <v>2.6</v>
      </c>
      <c r="Z1315" s="27" t="s">
        <v>4762</v>
      </c>
      <c r="AA1315" s="28" t="s">
        <v>774</v>
      </c>
      <c r="AB1315" s="36" t="s">
        <v>4674</v>
      </c>
    </row>
    <row r="1316" customFormat="false" ht="15" hidden="false" customHeight="true" outlineLevel="0" collapsed="false">
      <c r="A1316" s="27" t="s">
        <v>4829</v>
      </c>
      <c r="B1316" s="27" t="s">
        <v>575</v>
      </c>
      <c r="C1316" s="27" t="s">
        <v>4830</v>
      </c>
      <c r="D1316" s="27" t="s">
        <v>4668</v>
      </c>
      <c r="E1316" s="28" t="s">
        <v>1225</v>
      </c>
      <c r="F1316" s="28" t="s">
        <v>1226</v>
      </c>
      <c r="H1316" s="28" t="s">
        <v>971</v>
      </c>
      <c r="I1316" s="28" t="s">
        <v>4669</v>
      </c>
      <c r="J1316" s="27" t="s">
        <v>4831</v>
      </c>
      <c r="L1316" s="1" t="n">
        <v>12236.5</v>
      </c>
      <c r="M1316" s="27" t="n">
        <v>7993.86</v>
      </c>
      <c r="N1316" s="27" t="n">
        <v>8</v>
      </c>
      <c r="P1316" s="27" t="s">
        <v>4832</v>
      </c>
      <c r="Q1316" s="27" t="n">
        <v>39.3</v>
      </c>
      <c r="R1316" s="27" t="s">
        <v>4761</v>
      </c>
      <c r="S1316" s="27" t="n">
        <v>3330</v>
      </c>
      <c r="T1316" s="6" t="n">
        <v>3827</v>
      </c>
      <c r="U1316" s="27" t="n">
        <v>3735</v>
      </c>
      <c r="V1316" s="6" t="n">
        <v>-92</v>
      </c>
      <c r="W1316" s="6" t="n">
        <v>0.918</v>
      </c>
      <c r="X1316" s="6" t="n">
        <v>9</v>
      </c>
      <c r="Y1316" s="27" t="n">
        <v>1.1</v>
      </c>
      <c r="Z1316" s="27" t="s">
        <v>4762</v>
      </c>
      <c r="AA1316" s="28" t="s">
        <v>774</v>
      </c>
      <c r="AB1316" s="28" t="s">
        <v>4833</v>
      </c>
    </row>
    <row r="1317" customFormat="false" ht="15" hidden="false" customHeight="true" outlineLevel="0" collapsed="false">
      <c r="A1317" s="27" t="s">
        <v>4834</v>
      </c>
      <c r="B1317" s="27" t="s">
        <v>575</v>
      </c>
      <c r="C1317" s="27" t="s">
        <v>4835</v>
      </c>
      <c r="D1317" s="27" t="s">
        <v>4668</v>
      </c>
      <c r="E1317" s="28" t="s">
        <v>969</v>
      </c>
      <c r="F1317" s="28" t="s">
        <v>970</v>
      </c>
      <c r="H1317" s="28" t="s">
        <v>971</v>
      </c>
      <c r="I1317" s="28" t="s">
        <v>4669</v>
      </c>
      <c r="J1317" s="27" t="s">
        <v>4670</v>
      </c>
      <c r="M1317" s="27" t="n">
        <v>5801.8</v>
      </c>
      <c r="N1317" s="27" t="n">
        <v>8</v>
      </c>
      <c r="P1317" s="27" t="s">
        <v>4684</v>
      </c>
      <c r="Q1317" s="27" t="n">
        <v>34.9</v>
      </c>
      <c r="R1317" s="27" t="s">
        <v>4761</v>
      </c>
      <c r="S1317" s="27" t="n">
        <v>2381</v>
      </c>
      <c r="T1317" s="6" t="n">
        <v>2173</v>
      </c>
      <c r="U1317" s="27" t="n">
        <v>3720</v>
      </c>
      <c r="V1317" s="6" t="n">
        <v>1547</v>
      </c>
      <c r="W1317" s="6" t="n">
        <v>1</v>
      </c>
      <c r="X1317" s="6" t="n">
        <v>7</v>
      </c>
      <c r="Y1317" s="27" t="n">
        <v>6.9</v>
      </c>
      <c r="Z1317" s="27" t="s">
        <v>4762</v>
      </c>
      <c r="AA1317" s="28" t="s">
        <v>774</v>
      </c>
      <c r="AB1317" s="36" t="s">
        <v>4743</v>
      </c>
    </row>
    <row r="1318" customFormat="false" ht="15" hidden="false" customHeight="true" outlineLevel="0" collapsed="false">
      <c r="A1318" s="27" t="s">
        <v>4836</v>
      </c>
      <c r="B1318" s="27" t="s">
        <v>575</v>
      </c>
      <c r="C1318" s="28" t="s">
        <v>4837</v>
      </c>
      <c r="D1318" s="27" t="s">
        <v>4668</v>
      </c>
      <c r="E1318" s="28" t="s">
        <v>969</v>
      </c>
      <c r="F1318" s="28" t="s">
        <v>970</v>
      </c>
      <c r="H1318" s="28" t="s">
        <v>971</v>
      </c>
      <c r="I1318" s="28" t="s">
        <v>4669</v>
      </c>
      <c r="J1318" s="27" t="s">
        <v>4838</v>
      </c>
      <c r="L1318" s="1" t="n">
        <v>6977.47</v>
      </c>
      <c r="M1318" s="27" t="n">
        <v>6735.06</v>
      </c>
      <c r="N1318" s="27" t="n">
        <v>13</v>
      </c>
      <c r="P1318" s="27" t="s">
        <v>4839</v>
      </c>
      <c r="Q1318" s="27" t="n">
        <v>38.3</v>
      </c>
      <c r="R1318" s="27" t="s">
        <v>4778</v>
      </c>
      <c r="S1318" s="27" t="n">
        <v>3850</v>
      </c>
      <c r="T1318" s="6" t="n">
        <v>4756</v>
      </c>
      <c r="U1318" s="27" t="n">
        <v>4552</v>
      </c>
      <c r="V1318" s="6" t="n">
        <v>-204</v>
      </c>
      <c r="W1318" s="6" t="n">
        <v>0.979</v>
      </c>
      <c r="X1318" s="6" t="n">
        <v>40</v>
      </c>
      <c r="Y1318" s="27" t="n">
        <v>2.8</v>
      </c>
      <c r="Z1318" s="27" t="s">
        <v>4762</v>
      </c>
      <c r="AA1318" s="28" t="s">
        <v>774</v>
      </c>
      <c r="AB1318" s="28" t="s">
        <v>4840</v>
      </c>
    </row>
    <row r="1319" customFormat="false" ht="15" hidden="false" customHeight="true" outlineLevel="0" collapsed="false">
      <c r="A1319" s="27" t="s">
        <v>4841</v>
      </c>
      <c r="B1319" s="27" t="s">
        <v>575</v>
      </c>
      <c r="C1319" s="28" t="s">
        <v>4842</v>
      </c>
      <c r="D1319" s="27" t="s">
        <v>4668</v>
      </c>
      <c r="E1319" s="28" t="s">
        <v>1005</v>
      </c>
      <c r="F1319" s="28" t="s">
        <v>1006</v>
      </c>
      <c r="H1319" s="27" t="s">
        <v>952</v>
      </c>
      <c r="I1319" s="28" t="s">
        <v>4669</v>
      </c>
      <c r="J1319" s="27" t="s">
        <v>4670</v>
      </c>
      <c r="M1319" s="27" t="n">
        <v>15457.95</v>
      </c>
      <c r="N1319" s="27" t="n">
        <v>14</v>
      </c>
      <c r="P1319" s="27" t="s">
        <v>4843</v>
      </c>
      <c r="Q1319" s="27" t="n">
        <v>50.6</v>
      </c>
      <c r="R1319" s="27" t="s">
        <v>4785</v>
      </c>
      <c r="S1319" s="27" t="n">
        <v>10650</v>
      </c>
      <c r="T1319" s="6" t="n">
        <v>10900</v>
      </c>
      <c r="U1319" s="27" t="n">
        <v>11400</v>
      </c>
      <c r="V1319" s="6" t="n">
        <v>500</v>
      </c>
      <c r="W1319" s="6" t="n">
        <v>0.999</v>
      </c>
      <c r="X1319" s="6" t="n">
        <v>61</v>
      </c>
      <c r="Y1319" s="27" t="n">
        <v>0.05</v>
      </c>
      <c r="Z1319" s="27" t="s">
        <v>4762</v>
      </c>
      <c r="AA1319" s="28" t="s">
        <v>774</v>
      </c>
      <c r="AB1319" s="36" t="s">
        <v>4752</v>
      </c>
    </row>
    <row r="1320" customFormat="false" ht="15" hidden="false" customHeight="true" outlineLevel="0" collapsed="false">
      <c r="A1320" s="27" t="s">
        <v>4844</v>
      </c>
      <c r="B1320" s="27" t="s">
        <v>575</v>
      </c>
      <c r="C1320" s="28" t="s">
        <v>4845</v>
      </c>
      <c r="D1320" s="27" t="s">
        <v>4668</v>
      </c>
      <c r="E1320" s="28" t="s">
        <v>981</v>
      </c>
      <c r="F1320" s="28" t="s">
        <v>982</v>
      </c>
      <c r="H1320" s="28" t="s">
        <v>971</v>
      </c>
      <c r="I1320" s="28" t="s">
        <v>4669</v>
      </c>
      <c r="J1320" s="27" t="s">
        <v>4670</v>
      </c>
      <c r="L1320" s="1" t="n">
        <v>2044.18</v>
      </c>
      <c r="M1320" s="27" t="n">
        <v>15872.58</v>
      </c>
      <c r="N1320" s="27" t="n">
        <v>18</v>
      </c>
      <c r="P1320" s="27" t="s">
        <v>4846</v>
      </c>
      <c r="Q1320" s="27" t="n">
        <v>48.5</v>
      </c>
      <c r="R1320" s="27" t="s">
        <v>4792</v>
      </c>
      <c r="S1320" s="27" t="n">
        <v>8930</v>
      </c>
      <c r="T1320" s="6" t="n">
        <v>9606</v>
      </c>
      <c r="U1320" s="27" t="n">
        <v>11300</v>
      </c>
      <c r="V1320" s="6" t="n">
        <v>1694</v>
      </c>
      <c r="W1320" s="6" t="n">
        <v>0.996</v>
      </c>
      <c r="X1320" s="6" t="n">
        <v>62</v>
      </c>
      <c r="Y1320" s="27" t="n">
        <v>2.9</v>
      </c>
      <c r="Z1320" s="27" t="s">
        <v>4762</v>
      </c>
      <c r="AA1320" s="28" t="s">
        <v>774</v>
      </c>
      <c r="AB1320" s="36" t="s">
        <v>4674</v>
      </c>
    </row>
    <row r="1321" customFormat="false" ht="15" hidden="false" customHeight="true" outlineLevel="0" collapsed="false">
      <c r="A1321" s="27" t="s">
        <v>4847</v>
      </c>
      <c r="B1321" s="27" t="s">
        <v>575</v>
      </c>
      <c r="C1321" s="28" t="s">
        <v>4848</v>
      </c>
      <c r="D1321" s="27" t="s">
        <v>4668</v>
      </c>
      <c r="E1321" s="28" t="s">
        <v>4849</v>
      </c>
      <c r="F1321" s="28" t="s">
        <v>4850</v>
      </c>
      <c r="H1321" s="28" t="s">
        <v>965</v>
      </c>
      <c r="I1321" s="28" t="s">
        <v>4669</v>
      </c>
      <c r="J1321" s="27" t="s">
        <v>4670</v>
      </c>
      <c r="M1321" s="27" t="n">
        <v>3710.23</v>
      </c>
      <c r="N1321" s="27" t="n">
        <v>10</v>
      </c>
      <c r="P1321" s="27" t="s">
        <v>4851</v>
      </c>
      <c r="Q1321" s="27" t="n">
        <v>36.2</v>
      </c>
      <c r="R1321" s="27" t="s">
        <v>4808</v>
      </c>
      <c r="S1321" s="27" t="n">
        <v>1650</v>
      </c>
      <c r="T1321" s="6" t="n">
        <v>1739</v>
      </c>
      <c r="U1321" s="27" t="n">
        <v>1810</v>
      </c>
      <c r="V1321" s="6" t="n">
        <v>71</v>
      </c>
      <c r="W1321" s="6" t="n">
        <v>1</v>
      </c>
      <c r="X1321" s="6" t="n">
        <v>20</v>
      </c>
      <c r="Y1321" s="27" t="n">
        <v>4.6</v>
      </c>
      <c r="Z1321" s="27" t="s">
        <v>4762</v>
      </c>
      <c r="AA1321" s="28" t="s">
        <v>774</v>
      </c>
    </row>
    <row r="1322" customFormat="false" ht="15" hidden="false" customHeight="true" outlineLevel="0" collapsed="false">
      <c r="A1322" s="27" t="s">
        <v>4852</v>
      </c>
      <c r="B1322" s="27" t="s">
        <v>575</v>
      </c>
      <c r="C1322" s="28" t="s">
        <v>4853</v>
      </c>
      <c r="D1322" s="27" t="s">
        <v>4746</v>
      </c>
      <c r="E1322" s="28" t="s">
        <v>969</v>
      </c>
      <c r="F1322" s="28" t="s">
        <v>970</v>
      </c>
      <c r="H1322" s="28" t="s">
        <v>971</v>
      </c>
      <c r="I1322" s="28" t="s">
        <v>4669</v>
      </c>
      <c r="J1322" s="27" t="s">
        <v>4670</v>
      </c>
      <c r="M1322" s="27" t="n">
        <v>5186.54</v>
      </c>
      <c r="N1322" s="27" t="n">
        <v>13</v>
      </c>
      <c r="P1322" s="27" t="s">
        <v>4854</v>
      </c>
      <c r="Q1322" s="27" t="n">
        <v>12</v>
      </c>
      <c r="R1322" s="27" t="s">
        <v>4855</v>
      </c>
      <c r="S1322" s="27" t="n">
        <v>7740</v>
      </c>
      <c r="T1322" s="6" t="n">
        <v>7763</v>
      </c>
      <c r="U1322" s="27" t="n">
        <v>8340</v>
      </c>
      <c r="V1322" s="6" t="n">
        <v>577</v>
      </c>
      <c r="W1322" s="6" t="n">
        <v>1</v>
      </c>
      <c r="X1322" s="6" t="n">
        <v>1</v>
      </c>
      <c r="Y1322" s="27" t="n">
        <v>4</v>
      </c>
      <c r="Z1322" s="27" t="s">
        <v>4762</v>
      </c>
      <c r="AA1322" s="28" t="s">
        <v>774</v>
      </c>
    </row>
    <row r="1323" customFormat="false" ht="15" hidden="false" customHeight="true" outlineLevel="0" collapsed="false">
      <c r="A1323" s="27" t="s">
        <v>4856</v>
      </c>
      <c r="B1323" s="27" t="s">
        <v>575</v>
      </c>
      <c r="C1323" s="28" t="s">
        <v>4857</v>
      </c>
      <c r="D1323" s="27" t="s">
        <v>4746</v>
      </c>
      <c r="E1323" s="28" t="s">
        <v>1225</v>
      </c>
      <c r="F1323" s="28" t="s">
        <v>1226</v>
      </c>
      <c r="H1323" s="28" t="s">
        <v>971</v>
      </c>
      <c r="I1323" s="28" t="s">
        <v>4669</v>
      </c>
      <c r="J1323" s="27" t="s">
        <v>4670</v>
      </c>
      <c r="M1323" s="27" t="n">
        <v>3454.06</v>
      </c>
      <c r="N1323" s="27" t="n">
        <v>10</v>
      </c>
      <c r="P1323" s="27" t="s">
        <v>4802</v>
      </c>
      <c r="Q1323" s="27" t="n">
        <v>5</v>
      </c>
      <c r="R1323" s="27" t="s">
        <v>4858</v>
      </c>
      <c r="S1323" s="27" t="n">
        <v>4800</v>
      </c>
      <c r="T1323" s="6" t="n">
        <v>4851</v>
      </c>
      <c r="U1323" s="27" t="n">
        <v>5160</v>
      </c>
      <c r="V1323" s="6" t="n">
        <v>309</v>
      </c>
      <c r="W1323" s="6" t="n">
        <v>1</v>
      </c>
      <c r="X1323" s="6" t="n">
        <v>1</v>
      </c>
      <c r="Y1323" s="27" t="n">
        <v>0.5</v>
      </c>
      <c r="Z1323" s="27" t="s">
        <v>4762</v>
      </c>
      <c r="AA1323" s="28" t="s">
        <v>774</v>
      </c>
    </row>
    <row r="1324" customFormat="false" ht="15" hidden="false" customHeight="true" outlineLevel="0" collapsed="false">
      <c r="A1324" s="27" t="s">
        <v>4859</v>
      </c>
      <c r="B1324" s="27" t="s">
        <v>575</v>
      </c>
      <c r="C1324" s="28" t="s">
        <v>4860</v>
      </c>
      <c r="D1324" s="27" t="s">
        <v>4746</v>
      </c>
      <c r="E1324" s="28" t="s">
        <v>950</v>
      </c>
      <c r="F1324" s="28" t="s">
        <v>951</v>
      </c>
      <c r="H1324" s="27" t="s">
        <v>952</v>
      </c>
      <c r="I1324" s="28" t="s">
        <v>4669</v>
      </c>
      <c r="J1324" s="27" t="s">
        <v>4670</v>
      </c>
      <c r="M1324" s="27" t="n">
        <v>3583.74</v>
      </c>
      <c r="N1324" s="1" t="n">
        <v>7</v>
      </c>
      <c r="P1324" s="1" t="s">
        <v>4771</v>
      </c>
      <c r="Q1324" s="1" t="n">
        <v>31.6</v>
      </c>
      <c r="R1324" s="27" t="s">
        <v>4707</v>
      </c>
      <c r="S1324" s="27" t="n">
        <v>4020</v>
      </c>
      <c r="T1324" s="1" t="n">
        <v>2834</v>
      </c>
      <c r="U1324" s="27" t="n">
        <v>4150</v>
      </c>
      <c r="V1324" s="1" t="n">
        <v>686</v>
      </c>
      <c r="W1324" s="1" t="n">
        <v>1</v>
      </c>
      <c r="X1324" s="1" t="n">
        <v>7</v>
      </c>
      <c r="Y1324" s="27" t="n">
        <v>1.6</v>
      </c>
      <c r="Z1324" s="27" t="s">
        <v>4762</v>
      </c>
      <c r="AA1324" s="28" t="s">
        <v>774</v>
      </c>
      <c r="AB1324" s="27" t="s">
        <v>4825</v>
      </c>
    </row>
    <row r="1325" customFormat="false" ht="15" hidden="false" customHeight="true" outlineLevel="0" collapsed="false">
      <c r="A1325" s="27" t="s">
        <v>4861</v>
      </c>
      <c r="B1325" s="27" t="s">
        <v>575</v>
      </c>
      <c r="C1325" s="28" t="s">
        <v>4862</v>
      </c>
      <c r="D1325" s="27" t="s">
        <v>4746</v>
      </c>
      <c r="E1325" s="28" t="s">
        <v>4863</v>
      </c>
      <c r="F1325" s="28" t="s">
        <v>4864</v>
      </c>
      <c r="H1325" s="27" t="s">
        <v>952</v>
      </c>
      <c r="I1325" s="28" t="s">
        <v>4669</v>
      </c>
      <c r="J1325" s="27" t="s">
        <v>4670</v>
      </c>
      <c r="M1325" s="27" t="n">
        <v>2662.51</v>
      </c>
      <c r="N1325" s="1" t="n">
        <v>9</v>
      </c>
      <c r="P1325" s="1" t="s">
        <v>4774</v>
      </c>
      <c r="Q1325" s="1" t="n">
        <v>32.5</v>
      </c>
      <c r="R1325" s="27" t="s">
        <v>4707</v>
      </c>
      <c r="S1325" s="27" t="n">
        <v>1762</v>
      </c>
      <c r="T1325" s="1" t="n">
        <v>700</v>
      </c>
      <c r="U1325" s="27" t="n">
        <v>1990</v>
      </c>
      <c r="V1325" s="1" t="n">
        <v>138</v>
      </c>
      <c r="W1325" s="1" t="n">
        <v>1</v>
      </c>
      <c r="X1325" s="1" t="n">
        <v>14</v>
      </c>
      <c r="Y1325" s="27" t="n">
        <v>1.4</v>
      </c>
      <c r="Z1325" s="27" t="s">
        <v>4762</v>
      </c>
      <c r="AA1325" s="28" t="s">
        <v>774</v>
      </c>
      <c r="AB1325" s="27" t="s">
        <v>4825</v>
      </c>
    </row>
    <row r="1326" customFormat="false" ht="15" hidden="false" customHeight="true" outlineLevel="0" collapsed="false">
      <c r="A1326" s="27" t="s">
        <v>4865</v>
      </c>
      <c r="B1326" s="27" t="s">
        <v>575</v>
      </c>
      <c r="C1326" s="28" t="s">
        <v>4866</v>
      </c>
      <c r="D1326" s="27" t="s">
        <v>4746</v>
      </c>
      <c r="E1326" s="28" t="s">
        <v>1005</v>
      </c>
      <c r="F1326" s="28" t="s">
        <v>1006</v>
      </c>
      <c r="H1326" s="27" t="s">
        <v>952</v>
      </c>
      <c r="I1326" s="28" t="s">
        <v>4669</v>
      </c>
      <c r="J1326" s="27" t="s">
        <v>4670</v>
      </c>
      <c r="M1326" s="27" t="n">
        <v>1706.74</v>
      </c>
      <c r="N1326" s="1" t="n">
        <v>8</v>
      </c>
      <c r="P1326" s="1" t="s">
        <v>4777</v>
      </c>
      <c r="Q1326" s="1" t="n">
        <v>33.9</v>
      </c>
      <c r="R1326" s="27" t="s">
        <v>4707</v>
      </c>
      <c r="S1326" s="27" t="n">
        <v>4184</v>
      </c>
      <c r="T1326" s="1" t="n">
        <v>7378</v>
      </c>
      <c r="U1326" s="27" t="n">
        <v>4300</v>
      </c>
      <c r="V1326" s="1" t="n">
        <v>1962</v>
      </c>
      <c r="W1326" s="1" t="n">
        <v>1</v>
      </c>
      <c r="X1326" s="1" t="n">
        <v>8</v>
      </c>
      <c r="Y1326" s="27" t="n">
        <v>0.05</v>
      </c>
      <c r="Z1326" s="27" t="s">
        <v>4762</v>
      </c>
      <c r="AA1326" s="28" t="s">
        <v>774</v>
      </c>
      <c r="AB1326" s="27" t="s">
        <v>4825</v>
      </c>
    </row>
    <row r="1327" customFormat="false" ht="15" hidden="false" customHeight="true" outlineLevel="0" collapsed="false">
      <c r="A1327" s="27" t="s">
        <v>4867</v>
      </c>
      <c r="B1327" s="27" t="s">
        <v>575</v>
      </c>
      <c r="C1327" s="28" t="s">
        <v>4868</v>
      </c>
      <c r="D1327" s="27" t="s">
        <v>4746</v>
      </c>
      <c r="E1327" s="28" t="s">
        <v>946</v>
      </c>
      <c r="F1327" s="28" t="s">
        <v>4869</v>
      </c>
      <c r="H1327" s="28" t="s">
        <v>921</v>
      </c>
      <c r="I1327" s="28" t="s">
        <v>4669</v>
      </c>
      <c r="J1327" s="27" t="s">
        <v>4670</v>
      </c>
      <c r="M1327" s="27" t="n">
        <v>7794.5</v>
      </c>
      <c r="N1327" s="1" t="n">
        <v>9</v>
      </c>
      <c r="P1327" s="1" t="s">
        <v>4781</v>
      </c>
      <c r="Q1327" s="1" t="n">
        <v>39.8</v>
      </c>
      <c r="R1327" s="27" t="s">
        <v>4707</v>
      </c>
      <c r="S1327" s="27" t="n">
        <v>4770</v>
      </c>
      <c r="T1327" s="1" t="n">
        <v>2757</v>
      </c>
      <c r="U1327" s="27" t="n">
        <v>5190</v>
      </c>
      <c r="V1327" s="1" t="n">
        <v>403</v>
      </c>
      <c r="W1327" s="1" t="n">
        <v>1</v>
      </c>
      <c r="X1327" s="1" t="n">
        <v>11</v>
      </c>
      <c r="Y1327" s="27" t="n">
        <v>11.5</v>
      </c>
      <c r="Z1327" s="27" t="s">
        <v>4762</v>
      </c>
      <c r="AA1327" s="28" t="s">
        <v>774</v>
      </c>
      <c r="AB1327" s="27" t="s">
        <v>4825</v>
      </c>
    </row>
    <row r="1328" customFormat="false" ht="15" hidden="false" customHeight="true" outlineLevel="0" collapsed="false">
      <c r="A1328" s="27" t="s">
        <v>4870</v>
      </c>
      <c r="B1328" s="27" t="s">
        <v>575</v>
      </c>
      <c r="C1328" s="28" t="s">
        <v>4871</v>
      </c>
      <c r="D1328" s="27" t="s">
        <v>4746</v>
      </c>
      <c r="E1328" s="28" t="s">
        <v>1849</v>
      </c>
      <c r="F1328" s="28" t="s">
        <v>1850</v>
      </c>
      <c r="H1328" s="28" t="s">
        <v>965</v>
      </c>
      <c r="I1328" s="28" t="s">
        <v>4669</v>
      </c>
      <c r="J1328" s="27" t="s">
        <v>4670</v>
      </c>
      <c r="M1328" s="27" t="n">
        <v>27934.89</v>
      </c>
      <c r="N1328" s="1" t="n">
        <v>8</v>
      </c>
      <c r="P1328" s="1" t="s">
        <v>4784</v>
      </c>
      <c r="Q1328" s="1" t="n">
        <v>34.4</v>
      </c>
      <c r="R1328" s="27" t="s">
        <v>4707</v>
      </c>
      <c r="S1328" s="27" t="n">
        <v>10460</v>
      </c>
      <c r="T1328" s="1" t="n">
        <v>3127</v>
      </c>
      <c r="U1328" s="27" t="n">
        <v>11500</v>
      </c>
      <c r="V1328" s="1" t="n">
        <v>633</v>
      </c>
      <c r="W1328" s="1" t="n">
        <v>1</v>
      </c>
      <c r="X1328" s="1" t="n">
        <v>20</v>
      </c>
      <c r="Y1328" s="27" t="n">
        <v>7.2</v>
      </c>
      <c r="Z1328" s="27" t="s">
        <v>4762</v>
      </c>
      <c r="AA1328" s="28" t="s">
        <v>774</v>
      </c>
      <c r="AB1328" s="27" t="s">
        <v>4825</v>
      </c>
    </row>
    <row r="1329" customFormat="false" ht="15" hidden="false" customHeight="true" outlineLevel="0" collapsed="false"/>
    <row r="1330" customFormat="false" ht="15" hidden="false" customHeight="true" outlineLevel="0" collapsed="false"/>
    <row r="1331" customFormat="false" ht="15" hidden="false" customHeight="true" outlineLevel="0" collapsed="false"/>
    <row r="1332" customFormat="false" ht="15" hidden="false" customHeight="true" outlineLevel="0" collapsed="false"/>
    <row r="1333" customFormat="false" ht="15" hidden="false" customHeight="true" outlineLevel="0" collapsed="false"/>
    <row r="1334" customFormat="false" ht="15" hidden="false" customHeight="true" outlineLevel="0" collapsed="false"/>
    <row r="1335" customFormat="false" ht="15" hidden="false" customHeight="true" outlineLevel="0" collapsed="false"/>
    <row r="1336" customFormat="false" ht="15" hidden="false" customHeight="true" outlineLevel="0" collapsed="false"/>
    <row r="1337" customFormat="false" ht="15" hidden="false" customHeight="true" outlineLevel="0" collapsed="false"/>
    <row r="1338" customFormat="false" ht="15" hidden="false" customHeight="true" outlineLevel="0" collapsed="false"/>
    <row r="1339" customFormat="false" ht="15" hidden="false" customHeight="true" outlineLevel="0" collapsed="false"/>
    <row r="1340" customFormat="false" ht="15" hidden="false" customHeight="true" outlineLevel="0" collapsed="false"/>
    <row r="1341" customFormat="false" ht="15" hidden="false" customHeight="true" outlineLevel="0" collapsed="false"/>
    <row r="1342" customFormat="false" ht="15" hidden="false" customHeight="true" outlineLevel="0" collapsed="false"/>
    <row r="1343" customFormat="false" ht="15" hidden="false" customHeight="true" outlineLevel="0" collapsed="false"/>
    <row r="1344" customFormat="false" ht="15" hidden="false" customHeight="true" outlineLevel="0" collapsed="false"/>
    <row r="1345" customFormat="false" ht="15" hidden="false" customHeight="true" outlineLevel="0" collapsed="false"/>
    <row r="1346" customFormat="false" ht="15" hidden="false" customHeight="true" outlineLevel="0" collapsed="false"/>
    <row r="1347" customFormat="false" ht="15" hidden="false" customHeight="true" outlineLevel="0" collapsed="false"/>
    <row r="1348" customFormat="false" ht="15" hidden="false" customHeight="true" outlineLevel="0" collapsed="false"/>
    <row r="1349" customFormat="false" ht="15" hidden="false" customHeight="true" outlineLevel="0" collapsed="false"/>
    <row r="1350" customFormat="false" ht="15" hidden="false" customHeight="true" outlineLevel="0" collapsed="false"/>
    <row r="1351" customFormat="false" ht="15" hidden="false" customHeight="true" outlineLevel="0" collapsed="false"/>
    <row r="1352" customFormat="false" ht="15" hidden="false" customHeight="true" outlineLevel="0" collapsed="false"/>
    <row r="1353" customFormat="false" ht="15" hidden="false" customHeight="true" outlineLevel="0" collapsed="false"/>
    <row r="1354" customFormat="false" ht="15" hidden="false" customHeight="true" outlineLevel="0" collapsed="false"/>
  </sheetData>
  <autoFilter ref="A1:AB3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3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22"/>
    <col collapsed="false" customWidth="true" hidden="false" outlineLevel="0" max="4" min="4" style="1" width="9"/>
    <col collapsed="false" customWidth="true" hidden="false" outlineLevel="0" max="5" min="5" style="1" width="11"/>
    <col collapsed="false" customWidth="true" hidden="false" outlineLevel="0" max="7" min="6" style="1" width="14"/>
    <col collapsed="false" customWidth="true" hidden="false" outlineLevel="0" max="8" min="8" style="1" width="13"/>
    <col collapsed="false" customWidth="true" hidden="false" outlineLevel="0" max="9" min="9" style="1" width="14"/>
    <col collapsed="false" customWidth="true" hidden="false" outlineLevel="0" max="11" min="10" style="1" width="13"/>
    <col collapsed="false" customWidth="true" hidden="false" outlineLevel="0" max="14" min="12" style="1" width="12"/>
    <col collapsed="false" customWidth="true" hidden="false" outlineLevel="0" max="18" min="15" style="1" width="13"/>
    <col collapsed="false" customWidth="true" hidden="false" outlineLevel="0" max="21" min="19" style="1" width="12"/>
    <col collapsed="false" customWidth="true" hidden="false" outlineLevel="0" max="22" min="22" style="1" width="26"/>
    <col collapsed="false" customWidth="true" hidden="false" outlineLevel="0" max="23" min="23" style="1" width="11"/>
    <col collapsed="false" customWidth="true" hidden="false" outlineLevel="0" max="24" min="24" style="1" width="22"/>
    <col collapsed="false" customWidth="true" hidden="false" outlineLevel="0" max="29" min="29" style="1" width="18"/>
    <col collapsed="false" customWidth="true" hidden="false" outlineLevel="0" max="30" min="30" style="1" width="44"/>
    <col collapsed="false" customWidth="true" hidden="false" outlineLevel="0" max="31" min="31" style="1" width="34"/>
  </cols>
  <sheetData>
    <row r="1" customFormat="false" ht="43.5" hidden="false" customHeight="true" outlineLevel="0" collapsed="false">
      <c r="A1" s="20" t="s">
        <v>731</v>
      </c>
      <c r="B1" s="20" t="s">
        <v>435</v>
      </c>
      <c r="C1" s="20" t="s">
        <v>4872</v>
      </c>
      <c r="D1" s="20" t="s">
        <v>4873</v>
      </c>
      <c r="E1" s="20" t="s">
        <v>4874</v>
      </c>
      <c r="F1" s="20" t="s">
        <v>4875</v>
      </c>
      <c r="G1" s="20" t="s">
        <v>4876</v>
      </c>
      <c r="H1" s="20" t="s">
        <v>4877</v>
      </c>
      <c r="I1" s="20" t="s">
        <v>4878</v>
      </c>
      <c r="J1" s="20" t="s">
        <v>4879</v>
      </c>
      <c r="K1" s="20" t="s">
        <v>4880</v>
      </c>
      <c r="L1" s="20" t="s">
        <v>4881</v>
      </c>
      <c r="M1" s="20" t="s">
        <v>4882</v>
      </c>
      <c r="N1" s="20" t="s">
        <v>4883</v>
      </c>
      <c r="O1" s="20" t="s">
        <v>4884</v>
      </c>
      <c r="P1" s="20" t="s">
        <v>4885</v>
      </c>
      <c r="Q1" s="20" t="s">
        <v>4886</v>
      </c>
      <c r="R1" s="33" t="s">
        <v>4887</v>
      </c>
      <c r="S1" s="20" t="s">
        <v>4888</v>
      </c>
      <c r="T1" s="33" t="s">
        <v>4889</v>
      </c>
      <c r="U1" s="20" t="s">
        <v>4890</v>
      </c>
      <c r="V1" s="20" t="s">
        <v>755</v>
      </c>
      <c r="W1" s="20" t="s">
        <v>446</v>
      </c>
      <c r="X1" s="20" t="s">
        <v>447</v>
      </c>
      <c r="Y1" s="35" t="s">
        <v>4891</v>
      </c>
      <c r="Z1" s="35" t="s">
        <v>4892</v>
      </c>
      <c r="AA1" s="15" t="s">
        <v>4893</v>
      </c>
    </row>
    <row r="2" customFormat="false" ht="15" hidden="false" customHeight="true" outlineLevel="0" collapsed="false">
      <c r="A2" s="6" t="s">
        <v>759</v>
      </c>
      <c r="B2" s="6" t="s">
        <v>448</v>
      </c>
      <c r="C2" s="6" t="s">
        <v>455</v>
      </c>
      <c r="D2" s="6" t="n">
        <v>6</v>
      </c>
      <c r="E2" s="9" t="s">
        <v>4894</v>
      </c>
      <c r="F2" s="42" t="n">
        <v>48547009</v>
      </c>
      <c r="G2" s="42" t="n">
        <v>44809206</v>
      </c>
      <c r="H2" s="42" t="n">
        <v>3737803</v>
      </c>
      <c r="I2" s="42" t="n">
        <v>25250123</v>
      </c>
      <c r="J2" s="42" t="n">
        <v>7600503</v>
      </c>
      <c r="K2" s="42" t="n">
        <v>0</v>
      </c>
      <c r="L2" s="42" t="n">
        <v>4854835</v>
      </c>
      <c r="M2" s="42" t="n">
        <v>43257</v>
      </c>
      <c r="N2" s="42" t="n">
        <v>976251</v>
      </c>
      <c r="O2" s="42" t="n">
        <v>7852749</v>
      </c>
      <c r="P2" s="42" t="n">
        <v>3922526</v>
      </c>
      <c r="Q2" s="43" t="n">
        <f aca="false">IF($A198="","",IF(OR(F198="",I198=""),"",F198-I198))</f>
        <v>-24977805</v>
      </c>
      <c r="R2" s="43" t="n">
        <f aca="false">IF($A198="","",IF(Q198="","",Q198+IF(O198="",0,O198)))</f>
        <v>8394749</v>
      </c>
      <c r="S2" s="42" t="n">
        <v>4987000</v>
      </c>
      <c r="T2" s="43" t="n">
        <f aca="false">IF($A198="","",IF(R198="","",R198-IF(S198="",0,S198)))</f>
        <v>-5234000</v>
      </c>
      <c r="U2" s="43" t="n">
        <f aca="false">IF($A198="","",IF(I198="","",I198-SUM(J198:P198)))</f>
        <v>2</v>
      </c>
      <c r="V2" s="6" t="s">
        <v>4895</v>
      </c>
      <c r="W2" s="52" t="s">
        <v>767</v>
      </c>
      <c r="X2" s="9" t="s">
        <v>4896</v>
      </c>
      <c r="Y2" s="9" t="s">
        <v>4897</v>
      </c>
      <c r="Z2" s="9" t="s">
        <v>4898</v>
      </c>
      <c r="AA2" s="9" t="s">
        <v>4899</v>
      </c>
    </row>
    <row r="3" customFormat="false" ht="15" hidden="false" customHeight="true" outlineLevel="0" collapsed="false">
      <c r="A3" s="6" t="s">
        <v>769</v>
      </c>
      <c r="B3" s="6" t="s">
        <v>448</v>
      </c>
      <c r="C3" s="6" t="s">
        <v>455</v>
      </c>
      <c r="D3" s="6" t="n">
        <v>6</v>
      </c>
      <c r="E3" s="9" t="s">
        <v>4900</v>
      </c>
      <c r="F3" s="42" t="n">
        <v>5077000</v>
      </c>
      <c r="G3" s="48"/>
      <c r="H3" s="48"/>
      <c r="I3" s="48"/>
      <c r="J3" s="48"/>
      <c r="K3" s="48"/>
      <c r="L3" s="48"/>
      <c r="M3" s="48"/>
      <c r="N3" s="48"/>
      <c r="O3" s="48"/>
      <c r="P3" s="48"/>
      <c r="Q3" s="43" t="n">
        <f aca="false">IF($A128="","",IF(OR(F128="",I128=""),"",F128-I128))</f>
        <v>242000</v>
      </c>
      <c r="R3" s="43" t="n">
        <f aca="false">IF($A128="","",IF(Q128="","",Q128+IF(O128="",0,O128)))</f>
        <v>283000</v>
      </c>
      <c r="S3" s="48"/>
      <c r="T3" s="43" t="str">
        <f aca="false">IF($A128="","",IF(R128="","",R128-IF(S128="",0,S128)))</f>
        <v/>
      </c>
      <c r="U3" s="43" t="n">
        <f aca="false">IF($A128="","",IF(I128="","",I128-SUM(J128:P128)))</f>
        <v>2000</v>
      </c>
      <c r="V3" s="6" t="s">
        <v>4901</v>
      </c>
      <c r="W3" s="52" t="s">
        <v>774</v>
      </c>
      <c r="X3" s="9" t="s">
        <v>4902</v>
      </c>
      <c r="Y3" s="9" t="s">
        <v>4897</v>
      </c>
      <c r="Z3" s="9" t="s">
        <v>4898</v>
      </c>
      <c r="AA3" s="9" t="s">
        <v>4903</v>
      </c>
    </row>
    <row r="4" customFormat="false" ht="15" hidden="false" customHeight="true" outlineLevel="0" collapsed="false">
      <c r="A4" s="6" t="s">
        <v>776</v>
      </c>
      <c r="B4" s="6" t="s">
        <v>448</v>
      </c>
      <c r="C4" s="6" t="s">
        <v>455</v>
      </c>
      <c r="D4" s="6" t="n">
        <v>6</v>
      </c>
      <c r="E4" s="9" t="s">
        <v>4900</v>
      </c>
      <c r="F4" s="42" t="n">
        <v>3084000</v>
      </c>
      <c r="G4" s="48"/>
      <c r="H4" s="48"/>
      <c r="I4" s="48"/>
      <c r="J4" s="48"/>
      <c r="K4" s="48"/>
      <c r="L4" s="48"/>
      <c r="M4" s="48"/>
      <c r="N4" s="48"/>
      <c r="O4" s="48"/>
      <c r="P4" s="48"/>
      <c r="Q4" s="43" t="n">
        <f aca="false">IF($A129="","",IF(OR(F129="",I129=""),"",F129-I129))</f>
        <v>98000</v>
      </c>
      <c r="R4" s="43" t="n">
        <f aca="false">IF($A129="","",IF(Q129="","",Q129+IF(O129="",0,O129)))</f>
        <v>243000</v>
      </c>
      <c r="S4" s="48"/>
      <c r="T4" s="43" t="str">
        <f aca="false">IF($A129="","",IF(R129="","",R129-IF(S129="",0,S129)))</f>
        <v/>
      </c>
      <c r="U4" s="43" t="n">
        <f aca="false">IF($A129="","",IF(I129="","",I129-SUM(J129:P129)))</f>
        <v>2000</v>
      </c>
      <c r="V4" s="6" t="s">
        <v>4901</v>
      </c>
      <c r="W4" s="52" t="s">
        <v>774</v>
      </c>
      <c r="X4" s="9" t="s">
        <v>4904</v>
      </c>
      <c r="Y4" s="9" t="s">
        <v>4897</v>
      </c>
      <c r="Z4" s="9" t="s">
        <v>4898</v>
      </c>
      <c r="AA4" s="9" t="s">
        <v>4903</v>
      </c>
    </row>
    <row r="5" customFormat="false" ht="15" hidden="false" customHeight="true" outlineLevel="0" collapsed="false">
      <c r="A5" s="6" t="s">
        <v>780</v>
      </c>
      <c r="B5" s="6" t="s">
        <v>448</v>
      </c>
      <c r="C5" s="6" t="s">
        <v>455</v>
      </c>
      <c r="D5" s="6" t="n">
        <v>6</v>
      </c>
      <c r="E5" s="9" t="s">
        <v>4900</v>
      </c>
      <c r="F5" s="42" t="n">
        <v>1532000</v>
      </c>
      <c r="G5" s="48"/>
      <c r="H5" s="48"/>
      <c r="I5" s="48"/>
      <c r="J5" s="48"/>
      <c r="K5" s="48"/>
      <c r="L5" s="48"/>
      <c r="M5" s="48"/>
      <c r="N5" s="48"/>
      <c r="O5" s="48"/>
      <c r="P5" s="48"/>
      <c r="Q5" s="43" t="n">
        <f aca="false">IF($A130="","",IF(OR(F130="",I130=""),"",F130-I130))</f>
        <v>19000</v>
      </c>
      <c r="R5" s="43" t="n">
        <f aca="false">IF($A130="","",IF(Q130="","",Q130+IF(O130="",0,O130)))</f>
        <v>32000</v>
      </c>
      <c r="S5" s="48"/>
      <c r="T5" s="43" t="str">
        <f aca="false">IF($A130="","",IF(R130="","",R130-IF(S130="",0,S130)))</f>
        <v/>
      </c>
      <c r="U5" s="43" t="n">
        <f aca="false">IF($A130="","",IF(I130="","",I130-SUM(J130:P130)))</f>
        <v>1000</v>
      </c>
      <c r="V5" s="6" t="s">
        <v>4901</v>
      </c>
      <c r="W5" s="52" t="s">
        <v>774</v>
      </c>
      <c r="X5" s="9" t="s">
        <v>4905</v>
      </c>
      <c r="Y5" s="9" t="s">
        <v>4897</v>
      </c>
      <c r="Z5" s="9" t="s">
        <v>4898</v>
      </c>
      <c r="AA5" s="9" t="s">
        <v>4903</v>
      </c>
    </row>
    <row r="6" customFormat="false" ht="15" hidden="false" customHeight="true" outlineLevel="0" collapsed="false">
      <c r="A6" s="6" t="s">
        <v>784</v>
      </c>
      <c r="B6" s="6" t="s">
        <v>448</v>
      </c>
      <c r="C6" s="6" t="s">
        <v>455</v>
      </c>
      <c r="D6" s="6" t="n">
        <v>6</v>
      </c>
      <c r="E6" s="9" t="s">
        <v>4900</v>
      </c>
      <c r="F6" s="42" t="n">
        <v>1283000</v>
      </c>
      <c r="G6" s="48"/>
      <c r="H6" s="48"/>
      <c r="I6" s="48"/>
      <c r="J6" s="48"/>
      <c r="K6" s="48"/>
      <c r="L6" s="48"/>
      <c r="M6" s="48"/>
      <c r="N6" s="48"/>
      <c r="O6" s="48"/>
      <c r="P6" s="48"/>
      <c r="Q6" s="43" t="n">
        <f aca="false">IF($A131="","",IF(OR(F131="",I131=""),"",F131-I131))</f>
        <v>386000</v>
      </c>
      <c r="R6" s="43" t="n">
        <f aca="false">IF($A131="","",IF(Q131="","",Q131+IF(O131="",0,O131)))</f>
        <v>453000</v>
      </c>
      <c r="S6" s="48"/>
      <c r="T6" s="43" t="str">
        <f aca="false">IF($A131="","",IF(R131="","",R131-IF(S131="",0,S131)))</f>
        <v/>
      </c>
      <c r="U6" s="43" t="n">
        <f aca="false">IF($A131="","",IF(I131="","",I131-SUM(J131:P131)))</f>
        <v>2000</v>
      </c>
      <c r="V6" s="6" t="s">
        <v>4901</v>
      </c>
      <c r="W6" s="52" t="s">
        <v>774</v>
      </c>
      <c r="X6" s="9" t="s">
        <v>4906</v>
      </c>
      <c r="Y6" s="9" t="s">
        <v>4897</v>
      </c>
      <c r="Z6" s="9" t="s">
        <v>4898</v>
      </c>
      <c r="AA6" s="9" t="s">
        <v>4903</v>
      </c>
    </row>
    <row r="7" customFormat="false" ht="15" hidden="false" customHeight="true" outlineLevel="0" collapsed="false">
      <c r="A7" s="6" t="s">
        <v>788</v>
      </c>
      <c r="B7" s="6" t="s">
        <v>448</v>
      </c>
      <c r="C7" s="6" t="s">
        <v>455</v>
      </c>
      <c r="D7" s="6" t="n">
        <v>6</v>
      </c>
      <c r="E7" s="9" t="s">
        <v>4900</v>
      </c>
      <c r="F7" s="42" t="n">
        <v>1481000</v>
      </c>
      <c r="G7" s="48"/>
      <c r="H7" s="48"/>
      <c r="I7" s="48"/>
      <c r="J7" s="48"/>
      <c r="K7" s="48"/>
      <c r="L7" s="48"/>
      <c r="M7" s="48"/>
      <c r="N7" s="48"/>
      <c r="O7" s="48"/>
      <c r="P7" s="48"/>
      <c r="Q7" s="43" t="n">
        <f aca="false">IF($A132="","",IF(OR(F132="",I132=""),"",F132-I132))</f>
        <v>17000</v>
      </c>
      <c r="R7" s="43" t="n">
        <f aca="false">IF($A132="","",IF(Q132="","",Q132+IF(O132="",0,O132)))</f>
        <v>40000</v>
      </c>
      <c r="S7" s="48"/>
      <c r="T7" s="43" t="str">
        <f aca="false">IF($A132="","",IF(R132="","",R132-IF(S132="",0,S132)))</f>
        <v/>
      </c>
      <c r="U7" s="43" t="n">
        <f aca="false">IF($A132="","",IF(I132="","",I132-SUM(J132:P132)))</f>
        <v>3000</v>
      </c>
      <c r="V7" s="6" t="s">
        <v>4901</v>
      </c>
      <c r="W7" s="52" t="s">
        <v>774</v>
      </c>
      <c r="X7" s="9" t="s">
        <v>4907</v>
      </c>
      <c r="Y7" s="9" t="s">
        <v>4897</v>
      </c>
      <c r="Z7" s="9" t="s">
        <v>4898</v>
      </c>
      <c r="AA7" s="9" t="s">
        <v>4903</v>
      </c>
    </row>
    <row r="8" customFormat="false" ht="15" hidden="false" customHeight="true" outlineLevel="0" collapsed="false">
      <c r="A8" s="6" t="s">
        <v>793</v>
      </c>
      <c r="B8" s="6" t="s">
        <v>448</v>
      </c>
      <c r="C8" s="6" t="s">
        <v>455</v>
      </c>
      <c r="D8" s="6" t="n">
        <v>6</v>
      </c>
      <c r="E8" s="9" t="s">
        <v>4908</v>
      </c>
      <c r="F8" s="48" t="n">
        <v>1001000</v>
      </c>
      <c r="G8" s="48"/>
      <c r="H8" s="48"/>
      <c r="I8" s="48"/>
      <c r="J8" s="48"/>
      <c r="K8" s="48"/>
      <c r="L8" s="48"/>
      <c r="M8" s="48"/>
      <c r="N8" s="48"/>
      <c r="O8" s="48"/>
      <c r="P8" s="48"/>
      <c r="Q8" s="43" t="n">
        <f aca="false">IF($A133="","",IF(OR(F133="",I133=""),"",F133-I133))</f>
        <v>352000</v>
      </c>
      <c r="R8" s="43" t="n">
        <f aca="false">IF($A133="","",IF(Q133="","",Q133+IF(O133="",0,O133)))</f>
        <v>486000</v>
      </c>
      <c r="S8" s="48"/>
      <c r="T8" s="43" t="str">
        <f aca="false">IF($A133="","",IF(R133="","",R133-IF(S133="",0,S133)))</f>
        <v/>
      </c>
      <c r="U8" s="43" t="n">
        <f aca="false">IF($A133="","",IF(I133="","",I133-SUM(J133:P133)))</f>
        <v>3000</v>
      </c>
      <c r="V8" s="6" t="s">
        <v>4909</v>
      </c>
      <c r="W8" s="52" t="s">
        <v>774</v>
      </c>
      <c r="X8" s="9" t="s">
        <v>4910</v>
      </c>
      <c r="Y8" s="9" t="s">
        <v>4897</v>
      </c>
      <c r="Z8" s="9" t="s">
        <v>4898</v>
      </c>
      <c r="AA8" s="9" t="s">
        <v>4899</v>
      </c>
    </row>
    <row r="9" customFormat="false" ht="15" hidden="false" customHeight="true" outlineLevel="0" collapsed="false">
      <c r="A9" s="6" t="s">
        <v>797</v>
      </c>
      <c r="B9" s="6" t="s">
        <v>448</v>
      </c>
      <c r="C9" s="6" t="s">
        <v>455</v>
      </c>
      <c r="D9" s="6" t="n">
        <v>6</v>
      </c>
      <c r="E9" s="9" t="s">
        <v>4900</v>
      </c>
      <c r="F9" s="42" t="n">
        <v>1420000</v>
      </c>
      <c r="G9" s="48"/>
      <c r="H9" s="48"/>
      <c r="I9" s="48"/>
      <c r="J9" s="48"/>
      <c r="K9" s="48"/>
      <c r="L9" s="48"/>
      <c r="M9" s="48"/>
      <c r="N9" s="48"/>
      <c r="O9" s="48"/>
      <c r="P9" s="48"/>
      <c r="Q9" s="43" t="n">
        <f aca="false">IF($A134="","",IF(OR(F134="",I134=""),"",F134-I134))</f>
        <v>9000</v>
      </c>
      <c r="R9" s="43" t="n">
        <f aca="false">IF($A134="","",IF(Q134="","",Q134+IF(O134="",0,O134)))</f>
        <v>39000</v>
      </c>
      <c r="S9" s="48"/>
      <c r="T9" s="43" t="str">
        <f aca="false">IF($A134="","",IF(R134="","",R134-IF(S134="",0,S134)))</f>
        <v/>
      </c>
      <c r="U9" s="43" t="n">
        <f aca="false">IF($A134="","",IF(I134="","",I134-SUM(J134:P134)))</f>
        <v>2000</v>
      </c>
      <c r="V9" s="6" t="s">
        <v>4901</v>
      </c>
      <c r="W9" s="52" t="s">
        <v>774</v>
      </c>
      <c r="X9" s="9" t="s">
        <v>4911</v>
      </c>
      <c r="Y9" s="9" t="s">
        <v>4897</v>
      </c>
      <c r="Z9" s="9" t="s">
        <v>4898</v>
      </c>
      <c r="AA9" s="9" t="s">
        <v>4903</v>
      </c>
    </row>
    <row r="10" customFormat="false" ht="15" hidden="false" customHeight="true" outlineLevel="0" collapsed="false">
      <c r="A10" s="6" t="s">
        <v>802</v>
      </c>
      <c r="B10" s="6" t="s">
        <v>448</v>
      </c>
      <c r="C10" s="6" t="s">
        <v>455</v>
      </c>
      <c r="D10" s="6" t="n">
        <v>6</v>
      </c>
      <c r="E10" s="9" t="s">
        <v>4900</v>
      </c>
      <c r="F10" s="42" t="n">
        <v>856000</v>
      </c>
      <c r="G10" s="48"/>
      <c r="H10" s="48"/>
      <c r="I10" s="48"/>
      <c r="J10" s="48"/>
      <c r="K10" s="48"/>
      <c r="L10" s="48"/>
      <c r="M10" s="48"/>
      <c r="N10" s="48"/>
      <c r="O10" s="48"/>
      <c r="P10" s="48"/>
      <c r="Q10" s="43" t="n">
        <f aca="false">IF($A135="","",IF(OR(F135="",I135=""),"",F135-I135))</f>
        <v>217000</v>
      </c>
      <c r="R10" s="43" t="n">
        <f aca="false">IF($A135="","",IF(Q135="","",Q135+IF(O135="",0,O135)))</f>
        <v>321000</v>
      </c>
      <c r="S10" s="48"/>
      <c r="T10" s="43" t="str">
        <f aca="false">IF($A135="","",IF(R135="","",R135-IF(S135="",0,S135)))</f>
        <v/>
      </c>
      <c r="U10" s="43" t="n">
        <f aca="false">IF($A135="","",IF(I135="","",I135-SUM(J135:P135)))</f>
        <v>3000</v>
      </c>
      <c r="V10" s="6" t="s">
        <v>4901</v>
      </c>
      <c r="W10" s="52" t="s">
        <v>774</v>
      </c>
      <c r="X10" s="9" t="s">
        <v>4912</v>
      </c>
      <c r="Y10" s="9" t="s">
        <v>4897</v>
      </c>
      <c r="Z10" s="9" t="s">
        <v>4898</v>
      </c>
      <c r="AA10" s="9" t="s">
        <v>4903</v>
      </c>
    </row>
    <row r="11" customFormat="false" ht="15" hidden="false" customHeight="true" outlineLevel="0" collapsed="false">
      <c r="A11" s="6" t="s">
        <v>805</v>
      </c>
      <c r="B11" s="6" t="s">
        <v>448</v>
      </c>
      <c r="C11" s="6" t="s">
        <v>455</v>
      </c>
      <c r="D11" s="6" t="n">
        <v>6</v>
      </c>
      <c r="E11" s="9" t="s">
        <v>4900</v>
      </c>
      <c r="F11" s="42" t="n">
        <v>551000</v>
      </c>
      <c r="G11" s="48"/>
      <c r="H11" s="48"/>
      <c r="I11" s="48"/>
      <c r="J11" s="48"/>
      <c r="K11" s="48"/>
      <c r="L11" s="48"/>
      <c r="M11" s="48"/>
      <c r="N11" s="48"/>
      <c r="O11" s="48"/>
      <c r="P11" s="48"/>
      <c r="Q11" s="43" t="n">
        <f aca="false">IF($A136="","",IF(OR(F136="",I136=""),"",F136-I136))</f>
        <v>54000</v>
      </c>
      <c r="R11" s="43" t="n">
        <f aca="false">IF($A136="","",IF(Q136="","",Q136+IF(O136="",0,O136)))</f>
        <v>81000</v>
      </c>
      <c r="S11" s="48"/>
      <c r="T11" s="43" t="str">
        <f aca="false">IF($A136="","",IF(R136="","",R136-IF(S136="",0,S136)))</f>
        <v/>
      </c>
      <c r="U11" s="43" t="n">
        <f aca="false">IF($A136="","",IF(I136="","",I136-SUM(J136:P136)))</f>
        <v>3000</v>
      </c>
      <c r="V11" s="6" t="s">
        <v>4901</v>
      </c>
      <c r="W11" s="52" t="s">
        <v>774</v>
      </c>
      <c r="X11" s="9" t="s">
        <v>4913</v>
      </c>
      <c r="Y11" s="9" t="s">
        <v>4897</v>
      </c>
      <c r="Z11" s="9" t="s">
        <v>4898</v>
      </c>
      <c r="AA11" s="9" t="s">
        <v>4903</v>
      </c>
    </row>
    <row r="12" customFormat="false" ht="15" hidden="false" customHeight="true" outlineLevel="0" collapsed="false">
      <c r="A12" s="6" t="s">
        <v>809</v>
      </c>
      <c r="B12" s="6" t="s">
        <v>448</v>
      </c>
      <c r="C12" s="6" t="s">
        <v>455</v>
      </c>
      <c r="D12" s="6" t="n">
        <v>6</v>
      </c>
      <c r="E12" s="9" t="s">
        <v>4900</v>
      </c>
      <c r="F12" s="42" t="n">
        <v>889000</v>
      </c>
      <c r="G12" s="48"/>
      <c r="H12" s="48"/>
      <c r="I12" s="48"/>
      <c r="J12" s="48"/>
      <c r="K12" s="48"/>
      <c r="L12" s="48"/>
      <c r="M12" s="48"/>
      <c r="N12" s="48"/>
      <c r="O12" s="48"/>
      <c r="P12" s="48"/>
      <c r="Q12" s="43" t="n">
        <f aca="false">IF($A137="","",IF(OR(F137="",I137=""),"",F137-I137))</f>
        <v>99000</v>
      </c>
      <c r="R12" s="43" t="n">
        <f aca="false">IF($A137="","",IF(Q137="","",Q137+IF(O137="",0,O137)))</f>
        <v>163000</v>
      </c>
      <c r="S12" s="48"/>
      <c r="T12" s="43" t="str">
        <f aca="false">IF($A137="","",IF(R137="","",R137-IF(S137="",0,S137)))</f>
        <v/>
      </c>
      <c r="U12" s="43" t="n">
        <f aca="false">IF($A137="","",IF(I137="","",I137-SUM(J137:P137)))</f>
        <v>3000</v>
      </c>
      <c r="V12" s="6" t="s">
        <v>4901</v>
      </c>
      <c r="W12" s="52" t="s">
        <v>774</v>
      </c>
      <c r="X12" s="9" t="s">
        <v>4914</v>
      </c>
      <c r="Y12" s="9" t="s">
        <v>4897</v>
      </c>
      <c r="Z12" s="9" t="s">
        <v>4898</v>
      </c>
      <c r="AA12" s="9" t="s">
        <v>4903</v>
      </c>
    </row>
    <row r="13" customFormat="false" ht="15" hidden="false" customHeight="true" outlineLevel="0" collapsed="false">
      <c r="A13" s="6" t="s">
        <v>813</v>
      </c>
      <c r="B13" s="6" t="s">
        <v>448</v>
      </c>
      <c r="C13" s="6" t="s">
        <v>455</v>
      </c>
      <c r="D13" s="6" t="n">
        <v>6</v>
      </c>
      <c r="E13" s="9" t="s">
        <v>4908</v>
      </c>
      <c r="F13" s="48" t="n">
        <v>91000</v>
      </c>
      <c r="G13" s="48"/>
      <c r="H13" s="48"/>
      <c r="I13" s="48"/>
      <c r="J13" s="48"/>
      <c r="K13" s="48"/>
      <c r="L13" s="48"/>
      <c r="M13" s="48"/>
      <c r="N13" s="48"/>
      <c r="O13" s="48"/>
      <c r="P13" s="48"/>
      <c r="Q13" s="43" t="n">
        <f aca="false">IF($A138="","",IF(OR(F138="",I138=""),"",F138-I138))</f>
        <v>202000</v>
      </c>
      <c r="R13" s="43" t="n">
        <f aca="false">IF($A138="","",IF(Q138="","",Q138+IF(O138="",0,O138)))</f>
        <v>265000</v>
      </c>
      <c r="S13" s="48"/>
      <c r="T13" s="43" t="str">
        <f aca="false">IF($A138="","",IF(R138="","",R138-IF(S138="",0,S138)))</f>
        <v/>
      </c>
      <c r="U13" s="43" t="n">
        <f aca="false">IF($A138="","",IF(I138="","",I138-SUM(J138:P138)))</f>
        <v>3000</v>
      </c>
      <c r="V13" s="6" t="s">
        <v>4909</v>
      </c>
      <c r="W13" s="52" t="s">
        <v>774</v>
      </c>
      <c r="X13" s="9" t="s">
        <v>4915</v>
      </c>
      <c r="Y13" s="9" t="s">
        <v>4897</v>
      </c>
      <c r="Z13" s="9" t="s">
        <v>4898</v>
      </c>
      <c r="AA13" s="9" t="s">
        <v>4899</v>
      </c>
    </row>
    <row r="14" customFormat="false" ht="15" hidden="false" customHeight="true" outlineLevel="0" collapsed="false">
      <c r="A14" s="6" t="s">
        <v>818</v>
      </c>
      <c r="B14" s="6" t="s">
        <v>448</v>
      </c>
      <c r="C14" s="6" t="s">
        <v>455</v>
      </c>
      <c r="D14" s="6" t="n">
        <v>6</v>
      </c>
      <c r="E14" s="9" t="s">
        <v>4908</v>
      </c>
      <c r="F14" s="48" t="n">
        <v>274000</v>
      </c>
      <c r="G14" s="48"/>
      <c r="H14" s="48"/>
      <c r="I14" s="48"/>
      <c r="J14" s="48"/>
      <c r="K14" s="48"/>
      <c r="L14" s="48"/>
      <c r="M14" s="48"/>
      <c r="N14" s="48"/>
      <c r="O14" s="48"/>
      <c r="P14" s="48"/>
      <c r="Q14" s="43" t="n">
        <f aca="false">IF($A139="","",IF(OR(F139="",I139=""),"",F139-I139))</f>
        <v>58000</v>
      </c>
      <c r="R14" s="43" t="n">
        <f aca="false">IF($A139="","",IF(Q139="","",Q139+IF(O139="",0,O139)))</f>
        <v>205000</v>
      </c>
      <c r="S14" s="48"/>
      <c r="T14" s="43" t="str">
        <f aca="false">IF($A139="","",IF(R139="","",R139-IF(S139="",0,S139)))</f>
        <v/>
      </c>
      <c r="U14" s="43" t="n">
        <f aca="false">IF($A139="","",IF(I139="","",I139-SUM(J139:P139)))</f>
        <v>4000</v>
      </c>
      <c r="V14" s="6" t="s">
        <v>4909</v>
      </c>
      <c r="W14" s="52" t="s">
        <v>774</v>
      </c>
      <c r="X14" s="9" t="s">
        <v>4916</v>
      </c>
      <c r="Y14" s="9" t="s">
        <v>4897</v>
      </c>
      <c r="Z14" s="9" t="s">
        <v>4898</v>
      </c>
      <c r="AA14" s="9" t="s">
        <v>4899</v>
      </c>
    </row>
    <row r="15" customFormat="false" ht="15" hidden="false" customHeight="true" outlineLevel="0" collapsed="false">
      <c r="A15" s="6" t="s">
        <v>824</v>
      </c>
      <c r="B15" s="6" t="s">
        <v>448</v>
      </c>
      <c r="C15" s="6" t="s">
        <v>455</v>
      </c>
      <c r="D15" s="6" t="n">
        <v>6</v>
      </c>
      <c r="E15" s="9" t="s">
        <v>4900</v>
      </c>
      <c r="F15" s="42" t="n">
        <v>617000</v>
      </c>
      <c r="G15" s="48"/>
      <c r="H15" s="48"/>
      <c r="I15" s="48"/>
      <c r="J15" s="48"/>
      <c r="K15" s="48"/>
      <c r="L15" s="48"/>
      <c r="M15" s="48"/>
      <c r="N15" s="48"/>
      <c r="O15" s="48"/>
      <c r="P15" s="48"/>
      <c r="Q15" s="43" t="n">
        <f aca="false">IF($A140="","",IF(OR(F140="",I140=""),"",F140-I140))</f>
        <v>168000</v>
      </c>
      <c r="R15" s="43" t="n">
        <f aca="false">IF($A140="","",IF(Q140="","",Q140+IF(O140="",0,O140)))</f>
        <v>190000</v>
      </c>
      <c r="S15" s="48"/>
      <c r="T15" s="43" t="str">
        <f aca="false">IF($A140="","",IF(R140="","",R140-IF(S140="",0,S140)))</f>
        <v/>
      </c>
      <c r="U15" s="43" t="n">
        <f aca="false">IF($A140="","",IF(I140="","",I140-SUM(J140:P140)))</f>
        <v>4000</v>
      </c>
      <c r="V15" s="6" t="s">
        <v>4901</v>
      </c>
      <c r="W15" s="52" t="s">
        <v>774</v>
      </c>
      <c r="X15" s="9" t="s">
        <v>4912</v>
      </c>
      <c r="Y15" s="9" t="s">
        <v>4897</v>
      </c>
      <c r="Z15" s="9" t="s">
        <v>4898</v>
      </c>
      <c r="AA15" s="9" t="s">
        <v>4903</v>
      </c>
    </row>
    <row r="16" customFormat="false" ht="15" hidden="false" customHeight="true" outlineLevel="0" collapsed="false">
      <c r="A16" s="6" t="s">
        <v>827</v>
      </c>
      <c r="B16" s="6" t="s">
        <v>448</v>
      </c>
      <c r="C16" s="6" t="s">
        <v>455</v>
      </c>
      <c r="D16" s="6" t="n">
        <v>6</v>
      </c>
      <c r="E16" s="9" t="s">
        <v>4900</v>
      </c>
      <c r="F16" s="42" t="n">
        <v>422000</v>
      </c>
      <c r="G16" s="48"/>
      <c r="H16" s="48"/>
      <c r="I16" s="48"/>
      <c r="J16" s="48"/>
      <c r="K16" s="48"/>
      <c r="L16" s="48"/>
      <c r="M16" s="48"/>
      <c r="N16" s="48"/>
      <c r="O16" s="48"/>
      <c r="P16" s="48"/>
      <c r="Q16" s="43" t="str">
        <f aca="false">IF($A141="","",IF(OR(F141="",I141=""),"",F141-I141))</f>
        <v/>
      </c>
      <c r="R16" s="43" t="str">
        <f aca="false">IF($A141="","",IF(Q141="","",Q141+IF(O141="",0,O141)))</f>
        <v/>
      </c>
      <c r="S16" s="48"/>
      <c r="T16" s="43" t="str">
        <f aca="false">IF($A141="","",IF(R141="","",R141-IF(S141="",0,S141)))</f>
        <v/>
      </c>
      <c r="U16" s="43" t="str">
        <f aca="false">IF($A141="","",IF(I141="","",I141-SUM(J141:P141)))</f>
        <v/>
      </c>
      <c r="V16" s="6" t="s">
        <v>4901</v>
      </c>
      <c r="W16" s="52" t="s">
        <v>774</v>
      </c>
      <c r="X16" s="9" t="s">
        <v>4917</v>
      </c>
      <c r="Y16" s="9" t="s">
        <v>4897</v>
      </c>
      <c r="Z16" s="9" t="s">
        <v>4898</v>
      </c>
      <c r="AA16" s="9" t="s">
        <v>4903</v>
      </c>
    </row>
    <row r="17" customFormat="false" ht="15" hidden="false" customHeight="true" outlineLevel="0" collapsed="false">
      <c r="A17" s="6" t="s">
        <v>832</v>
      </c>
      <c r="B17" s="6" t="s">
        <v>448</v>
      </c>
      <c r="C17" s="6" t="s">
        <v>455</v>
      </c>
      <c r="D17" s="6" t="n">
        <v>6</v>
      </c>
      <c r="E17" s="9" t="s">
        <v>4900</v>
      </c>
      <c r="F17" s="42" t="n">
        <v>564000</v>
      </c>
      <c r="G17" s="48"/>
      <c r="H17" s="48"/>
      <c r="I17" s="48"/>
      <c r="J17" s="48"/>
      <c r="K17" s="48"/>
      <c r="L17" s="48"/>
      <c r="M17" s="48"/>
      <c r="N17" s="48"/>
      <c r="O17" s="48"/>
      <c r="P17" s="48"/>
      <c r="Q17" s="43" t="str">
        <f aca="false">IF($A142="","",IF(OR(F142="",I142=""),"",F142-I142))</f>
        <v/>
      </c>
      <c r="R17" s="43" t="str">
        <f aca="false">IF($A142="","",IF(Q142="","",Q142+IF(O142="",0,O142)))</f>
        <v/>
      </c>
      <c r="S17" s="48"/>
      <c r="T17" s="43" t="str">
        <f aca="false">IF($A142="","",IF(R142="","",R142-IF(S142="",0,S142)))</f>
        <v/>
      </c>
      <c r="U17" s="43" t="str">
        <f aca="false">IF($A142="","",IF(I142="","",I142-SUM(J142:P142)))</f>
        <v/>
      </c>
      <c r="V17" s="6" t="s">
        <v>4901</v>
      </c>
      <c r="W17" s="52" t="s">
        <v>774</v>
      </c>
      <c r="X17" s="9" t="s">
        <v>4912</v>
      </c>
      <c r="Y17" s="9" t="s">
        <v>4897</v>
      </c>
      <c r="Z17" s="9" t="s">
        <v>4898</v>
      </c>
      <c r="AA17" s="9" t="s">
        <v>4903</v>
      </c>
    </row>
    <row r="18" customFormat="false" ht="15" hidden="false" customHeight="true" outlineLevel="0" collapsed="false">
      <c r="A18" s="6" t="s">
        <v>834</v>
      </c>
      <c r="B18" s="6" t="s">
        <v>448</v>
      </c>
      <c r="C18" s="6" t="s">
        <v>455</v>
      </c>
      <c r="D18" s="6" t="n">
        <v>6</v>
      </c>
      <c r="E18" s="9" t="s">
        <v>4900</v>
      </c>
      <c r="F18" s="42" t="n">
        <v>318000</v>
      </c>
      <c r="G18" s="48"/>
      <c r="H18" s="48"/>
      <c r="I18" s="48"/>
      <c r="J18" s="48"/>
      <c r="K18" s="48"/>
      <c r="L18" s="48"/>
      <c r="M18" s="48"/>
      <c r="N18" s="48"/>
      <c r="O18" s="48"/>
      <c r="P18" s="48"/>
      <c r="Q18" s="43" t="n">
        <f aca="false">IF($A143="","",IF(OR(F143="",I143=""),"",F143-I143))</f>
        <v>259000</v>
      </c>
      <c r="R18" s="43" t="n">
        <f aca="false">IF($A143="","",IF(Q143="","",Q143+IF(O143="",0,O143)))</f>
        <v>349000</v>
      </c>
      <c r="S18" s="48"/>
      <c r="T18" s="43" t="str">
        <f aca="false">IF($A143="","",IF(R143="","",R143-IF(S143="",0,S143)))</f>
        <v/>
      </c>
      <c r="U18" s="43" t="n">
        <f aca="false">IF($A143="","",IF(I143="","",I143-SUM(J143:P143)))</f>
        <v>2000</v>
      </c>
      <c r="V18" s="6" t="s">
        <v>4901</v>
      </c>
      <c r="W18" s="52" t="s">
        <v>774</v>
      </c>
      <c r="X18" s="9" t="s">
        <v>4912</v>
      </c>
      <c r="Y18" s="9" t="s">
        <v>4897</v>
      </c>
      <c r="Z18" s="9" t="s">
        <v>4898</v>
      </c>
      <c r="AA18" s="9" t="s">
        <v>4903</v>
      </c>
    </row>
    <row r="19" customFormat="false" ht="15" hidden="false" customHeight="true" outlineLevel="0" collapsed="false">
      <c r="A19" s="6" t="s">
        <v>838</v>
      </c>
      <c r="B19" s="6" t="s">
        <v>448</v>
      </c>
      <c r="C19" s="6" t="s">
        <v>455</v>
      </c>
      <c r="D19" s="6" t="n">
        <v>6</v>
      </c>
      <c r="E19" s="9" t="s">
        <v>4900</v>
      </c>
      <c r="F19" s="42" t="n">
        <v>98000</v>
      </c>
      <c r="G19" s="48" t="n">
        <v>5013812</v>
      </c>
      <c r="H19" s="48" t="n">
        <v>525450</v>
      </c>
      <c r="I19" s="48" t="n">
        <v>2268046</v>
      </c>
      <c r="J19" s="48" t="n">
        <v>569792</v>
      </c>
      <c r="K19" s="48" t="n">
        <v>362982</v>
      </c>
      <c r="L19" s="48" t="n">
        <v>429193</v>
      </c>
      <c r="M19" s="48" t="n">
        <v>12561</v>
      </c>
      <c r="N19" s="48" t="n">
        <v>102215</v>
      </c>
      <c r="O19" s="48" t="n">
        <v>774962</v>
      </c>
      <c r="P19" s="48" t="n">
        <v>16338</v>
      </c>
      <c r="Q19" s="43" t="n">
        <f aca="false">IF($A144="","",IF(OR(F144="",I144=""),"",F144-I144))</f>
        <v>146000</v>
      </c>
      <c r="R19" s="43" t="n">
        <f aca="false">IF($A144="","",IF(Q144="","",Q144+IF(O144="",0,O144)))</f>
        <v>170000</v>
      </c>
      <c r="S19" s="48" t="n">
        <v>624656</v>
      </c>
      <c r="T19" s="43" t="str">
        <f aca="false">IF($A144="","",IF(R144="","",R144-IF(S144="",0,S144)))</f>
        <v/>
      </c>
      <c r="U19" s="43" t="n">
        <f aca="false">IF($A144="","",IF(I144="","",I144-SUM(J144:P144)))</f>
        <v>3000</v>
      </c>
      <c r="V19" s="6" t="s">
        <v>4901</v>
      </c>
      <c r="W19" s="9" t="s">
        <v>774</v>
      </c>
      <c r="X19" s="9" t="s">
        <v>4918</v>
      </c>
      <c r="Y19" s="9" t="s">
        <v>4897</v>
      </c>
      <c r="Z19" s="9" t="s">
        <v>4898</v>
      </c>
      <c r="AA19" s="9" t="s">
        <v>4903</v>
      </c>
    </row>
    <row r="20" customFormat="false" ht="15" hidden="false" customHeight="true" outlineLevel="0" collapsed="false">
      <c r="A20" s="6" t="s">
        <v>842</v>
      </c>
      <c r="B20" s="6" t="s">
        <v>448</v>
      </c>
      <c r="C20" s="6" t="s">
        <v>455</v>
      </c>
      <c r="D20" s="6" t="n">
        <v>6</v>
      </c>
      <c r="E20" s="9" t="s">
        <v>4900</v>
      </c>
      <c r="F20" s="42" t="n">
        <v>151000</v>
      </c>
      <c r="G20" s="48"/>
      <c r="H20" s="48"/>
      <c r="I20" s="48"/>
      <c r="J20" s="48"/>
      <c r="K20" s="48"/>
      <c r="L20" s="48"/>
      <c r="M20" s="48"/>
      <c r="N20" s="48"/>
      <c r="O20" s="48"/>
      <c r="P20" s="48"/>
      <c r="Q20" s="43" t="n">
        <f aca="false">IF($A145="","",IF(OR(F145="",I145=""),"",F145-I145))</f>
        <v>168000</v>
      </c>
      <c r="R20" s="43" t="n">
        <f aca="false">IF($A145="","",IF(Q145="","",Q145+IF(O145="",0,O145)))</f>
        <v>298000</v>
      </c>
      <c r="S20" s="48"/>
      <c r="T20" s="43" t="str">
        <f aca="false">IF($A145="","",IF(R145="","",R145-IF(S145="",0,S145)))</f>
        <v/>
      </c>
      <c r="U20" s="43" t="n">
        <f aca="false">IF($A145="","",IF(I145="","",I145-SUM(J145:P145)))</f>
        <v>3000</v>
      </c>
      <c r="V20" s="6" t="s">
        <v>4901</v>
      </c>
      <c r="W20" s="9" t="s">
        <v>774</v>
      </c>
      <c r="X20" s="9" t="s">
        <v>4919</v>
      </c>
      <c r="Y20" s="6" t="s">
        <v>4920</v>
      </c>
      <c r="Z20" s="9" t="s">
        <v>4921</v>
      </c>
      <c r="AA20" s="9" t="s">
        <v>4903</v>
      </c>
    </row>
    <row r="21" customFormat="false" ht="15" hidden="false" customHeight="true" outlineLevel="0" collapsed="false">
      <c r="A21" s="6" t="s">
        <v>846</v>
      </c>
      <c r="B21" s="6" t="s">
        <v>448</v>
      </c>
      <c r="C21" s="6" t="s">
        <v>455</v>
      </c>
      <c r="D21" s="6" t="n">
        <v>6</v>
      </c>
      <c r="E21" s="9" t="s">
        <v>4900</v>
      </c>
      <c r="F21" s="42" t="n">
        <v>323000</v>
      </c>
      <c r="G21" s="48"/>
      <c r="H21" s="48"/>
      <c r="I21" s="48"/>
      <c r="J21" s="48"/>
      <c r="K21" s="48"/>
      <c r="L21" s="48"/>
      <c r="M21" s="48"/>
      <c r="N21" s="48"/>
      <c r="O21" s="48"/>
      <c r="P21" s="48"/>
      <c r="Q21" s="43" t="n">
        <f aca="false">IF($A146="","",IF(OR(F146="",I146=""),"",F146-I146))</f>
        <v>294000</v>
      </c>
      <c r="R21" s="43" t="n">
        <f aca="false">IF($A146="","",IF(Q146="","",Q146+IF(O146="",0,O146)))</f>
        <v>377000</v>
      </c>
      <c r="S21" s="48"/>
      <c r="T21" s="43" t="str">
        <f aca="false">IF($A146="","",IF(R146="","",R146-IF(S146="",0,S146)))</f>
        <v/>
      </c>
      <c r="U21" s="43" t="n">
        <f aca="false">IF($A146="","",IF(I146="","",I146-SUM(J146:P146)))</f>
        <v>3000</v>
      </c>
      <c r="V21" s="6" t="s">
        <v>4901</v>
      </c>
      <c r="W21" s="9" t="s">
        <v>774</v>
      </c>
      <c r="X21" s="9" t="s">
        <v>4912</v>
      </c>
      <c r="Y21" s="9" t="s">
        <v>4897</v>
      </c>
      <c r="Z21" s="9" t="s">
        <v>4898</v>
      </c>
      <c r="AA21" s="9" t="s">
        <v>4903</v>
      </c>
    </row>
    <row r="22" customFormat="false" ht="15" hidden="false" customHeight="true" outlineLevel="0" collapsed="false">
      <c r="A22" s="6" t="s">
        <v>849</v>
      </c>
      <c r="B22" s="6" t="s">
        <v>448</v>
      </c>
      <c r="C22" s="6" t="s">
        <v>455</v>
      </c>
      <c r="D22" s="6" t="n">
        <v>6</v>
      </c>
      <c r="E22" s="9" t="s">
        <v>4900</v>
      </c>
      <c r="F22" s="42" t="n">
        <v>236000</v>
      </c>
      <c r="G22" s="48"/>
      <c r="H22" s="48"/>
      <c r="I22" s="48"/>
      <c r="J22" s="48"/>
      <c r="K22" s="48"/>
      <c r="L22" s="48"/>
      <c r="M22" s="48"/>
      <c r="N22" s="48"/>
      <c r="O22" s="48"/>
      <c r="P22" s="48"/>
      <c r="Q22" s="43" t="n">
        <f aca="false">IF($A147="","",IF(OR(F147="",I147=""),"",F147-I147))</f>
        <v>235000</v>
      </c>
      <c r="R22" s="43" t="n">
        <f aca="false">IF($A147="","",IF(Q147="","",Q147+IF(O147="",0,O147)))</f>
        <v>309000</v>
      </c>
      <c r="S22" s="48"/>
      <c r="T22" s="43" t="str">
        <f aca="false">IF($A147="","",IF(R147="","",R147-IF(S147="",0,S147)))</f>
        <v/>
      </c>
      <c r="U22" s="43" t="n">
        <f aca="false">IF($A147="","",IF(I147="","",I147-SUM(J147:P147)))</f>
        <v>3000</v>
      </c>
      <c r="V22" s="6" t="s">
        <v>4901</v>
      </c>
      <c r="W22" s="9" t="s">
        <v>774</v>
      </c>
      <c r="X22" s="9" t="s">
        <v>4922</v>
      </c>
      <c r="Y22" s="9" t="s">
        <v>4897</v>
      </c>
      <c r="Z22" s="9" t="s">
        <v>4898</v>
      </c>
      <c r="AA22" s="9" t="s">
        <v>4903</v>
      </c>
    </row>
    <row r="23" customFormat="false" ht="15" hidden="false" customHeight="true" outlineLevel="0" collapsed="false">
      <c r="A23" s="6" t="s">
        <v>852</v>
      </c>
      <c r="B23" s="6" t="s">
        <v>448</v>
      </c>
      <c r="C23" s="6" t="s">
        <v>455</v>
      </c>
      <c r="D23" s="6" t="n">
        <v>6</v>
      </c>
      <c r="E23" s="9" t="s">
        <v>4900</v>
      </c>
      <c r="F23" s="42" t="n">
        <v>242000</v>
      </c>
      <c r="G23" s="48"/>
      <c r="H23" s="48"/>
      <c r="I23" s="48"/>
      <c r="J23" s="48"/>
      <c r="K23" s="48"/>
      <c r="L23" s="48"/>
      <c r="M23" s="48"/>
      <c r="N23" s="48"/>
      <c r="O23" s="48"/>
      <c r="P23" s="48"/>
      <c r="Q23" s="43" t="n">
        <f aca="false">IF($A148="","",IF(OR(F148="",I148=""),"",F148-I148))</f>
        <v>83000</v>
      </c>
      <c r="R23" s="43" t="n">
        <f aca="false">IF($A148="","",IF(Q148="","",Q148+IF(O148="",0,O148)))</f>
        <v>127000</v>
      </c>
      <c r="S23" s="48"/>
      <c r="T23" s="43" t="str">
        <f aca="false">IF($A148="","",IF(R148="","",R148-IF(S148="",0,S148)))</f>
        <v/>
      </c>
      <c r="U23" s="43" t="n">
        <f aca="false">IF($A148="","",IF(I148="","",I148-SUM(J148:P148)))</f>
        <v>1000</v>
      </c>
      <c r="V23" s="6" t="s">
        <v>4901</v>
      </c>
      <c r="W23" s="9" t="s">
        <v>774</v>
      </c>
      <c r="X23" s="9" t="s">
        <v>4912</v>
      </c>
      <c r="Y23" s="9" t="s">
        <v>4897</v>
      </c>
      <c r="Z23" s="9" t="s">
        <v>4898</v>
      </c>
      <c r="AA23" s="9" t="s">
        <v>4903</v>
      </c>
    </row>
    <row r="24" customFormat="false" ht="15" hidden="false" customHeight="true" outlineLevel="0" collapsed="false">
      <c r="A24" s="6" t="s">
        <v>854</v>
      </c>
      <c r="B24" s="6" t="s">
        <v>448</v>
      </c>
      <c r="C24" s="6" t="s">
        <v>455</v>
      </c>
      <c r="D24" s="6" t="n">
        <v>6</v>
      </c>
      <c r="E24" s="9" t="s">
        <v>4900</v>
      </c>
      <c r="F24" s="42" t="n">
        <v>304000</v>
      </c>
      <c r="G24" s="48"/>
      <c r="H24" s="48"/>
      <c r="I24" s="48"/>
      <c r="J24" s="48"/>
      <c r="K24" s="48"/>
      <c r="L24" s="48"/>
      <c r="M24" s="48"/>
      <c r="N24" s="48"/>
      <c r="O24" s="48"/>
      <c r="P24" s="48"/>
      <c r="Q24" s="43" t="n">
        <f aca="false">IF($A149="","",IF(OR(F149="",I149=""),"",F149-I149))</f>
        <v>24000</v>
      </c>
      <c r="R24" s="43" t="n">
        <f aca="false">IF($A149="","",IF(Q149="","",Q149+IF(O149="",0,O149)))</f>
        <v>107000</v>
      </c>
      <c r="S24" s="48"/>
      <c r="T24" s="43" t="str">
        <f aca="false">IF($A149="","",IF(R149="","",R149-IF(S149="",0,S149)))</f>
        <v/>
      </c>
      <c r="U24" s="43" t="n">
        <f aca="false">IF($A149="","",IF(I149="","",I149-SUM(J149:P149)))</f>
        <v>3000</v>
      </c>
      <c r="V24" s="6" t="s">
        <v>4901</v>
      </c>
      <c r="W24" s="9" t="s">
        <v>774</v>
      </c>
      <c r="X24" s="9" t="s">
        <v>4912</v>
      </c>
      <c r="Y24" s="9" t="s">
        <v>4897</v>
      </c>
      <c r="Z24" s="9" t="s">
        <v>4898</v>
      </c>
      <c r="AA24" s="9" t="s">
        <v>4903</v>
      </c>
    </row>
    <row r="25" customFormat="false" ht="15" hidden="false" customHeight="true" outlineLevel="0" collapsed="false">
      <c r="A25" s="6" t="s">
        <v>856</v>
      </c>
      <c r="B25" s="6" t="s">
        <v>448</v>
      </c>
      <c r="C25" s="6" t="s">
        <v>455</v>
      </c>
      <c r="D25" s="6" t="n">
        <v>6</v>
      </c>
      <c r="E25" s="9" t="s">
        <v>4900</v>
      </c>
      <c r="F25" s="42" t="n">
        <v>203000</v>
      </c>
      <c r="G25" s="48"/>
      <c r="H25" s="48"/>
      <c r="I25" s="48"/>
      <c r="J25" s="48"/>
      <c r="K25" s="48"/>
      <c r="L25" s="48"/>
      <c r="M25" s="48"/>
      <c r="N25" s="48"/>
      <c r="O25" s="48"/>
      <c r="P25" s="48"/>
      <c r="Q25" s="43" t="n">
        <f aca="false">IF($A150="","",IF(OR(F150="",I150=""),"",F150-I150))</f>
        <v>50000</v>
      </c>
      <c r="R25" s="43" t="n">
        <f aca="false">IF($A150="","",IF(Q150="","",Q150+IF(O150="",0,O150)))</f>
        <v>64000</v>
      </c>
      <c r="S25" s="48"/>
      <c r="T25" s="43" t="str">
        <f aca="false">IF($A150="","",IF(R150="","",R150-IF(S150="",0,S150)))</f>
        <v/>
      </c>
      <c r="U25" s="43" t="n">
        <f aca="false">IF($A150="","",IF(I150="","",I150-SUM(J150:P150)))</f>
        <v>1000</v>
      </c>
      <c r="V25" s="6" t="s">
        <v>4901</v>
      </c>
      <c r="W25" s="9" t="s">
        <v>774</v>
      </c>
      <c r="X25" s="9" t="s">
        <v>4912</v>
      </c>
      <c r="Y25" s="9" t="s">
        <v>4897</v>
      </c>
      <c r="Z25" s="9" t="s">
        <v>4898</v>
      </c>
      <c r="AA25" s="9" t="s">
        <v>4903</v>
      </c>
    </row>
    <row r="26" customFormat="false" ht="15" hidden="false" customHeight="true" outlineLevel="0" collapsed="false">
      <c r="A26" s="6" t="s">
        <v>858</v>
      </c>
      <c r="B26" s="6" t="s">
        <v>448</v>
      </c>
      <c r="C26" s="6" t="s">
        <v>455</v>
      </c>
      <c r="D26" s="6" t="n">
        <v>6</v>
      </c>
      <c r="E26" s="9" t="s">
        <v>4900</v>
      </c>
      <c r="F26" s="42" t="n">
        <v>211000</v>
      </c>
      <c r="G26" s="48"/>
      <c r="H26" s="48"/>
      <c r="I26" s="48"/>
      <c r="J26" s="48"/>
      <c r="K26" s="48"/>
      <c r="L26" s="48"/>
      <c r="M26" s="48"/>
      <c r="N26" s="48"/>
      <c r="O26" s="48"/>
      <c r="P26" s="48"/>
      <c r="Q26" s="43" t="n">
        <f aca="false">IF($A151="","",IF(OR(F151="",I151=""),"",F151-I151))</f>
        <v>20000</v>
      </c>
      <c r="R26" s="43" t="n">
        <f aca="false">IF($A151="","",IF(Q151="","",Q151+IF(O151="",0,O151)))</f>
        <v>88000</v>
      </c>
      <c r="S26" s="48"/>
      <c r="T26" s="43" t="str">
        <f aca="false">IF($A151="","",IF(R151="","",R151-IF(S151="",0,S151)))</f>
        <v/>
      </c>
      <c r="U26" s="43" t="n">
        <f aca="false">IF($A151="","",IF(I151="","",I151-SUM(J151:P151)))</f>
        <v>1000</v>
      </c>
      <c r="V26" s="6" t="s">
        <v>4901</v>
      </c>
      <c r="W26" s="9" t="s">
        <v>774</v>
      </c>
      <c r="X26" s="9" t="s">
        <v>4912</v>
      </c>
      <c r="Y26" s="9" t="s">
        <v>4897</v>
      </c>
      <c r="Z26" s="9" t="s">
        <v>4898</v>
      </c>
      <c r="AA26" s="9" t="s">
        <v>4903</v>
      </c>
    </row>
    <row r="27" customFormat="false" ht="15" hidden="false" customHeight="true" outlineLevel="0" collapsed="false">
      <c r="A27" s="6" t="s">
        <v>860</v>
      </c>
      <c r="B27" s="6" t="s">
        <v>448</v>
      </c>
      <c r="C27" s="6" t="s">
        <v>455</v>
      </c>
      <c r="D27" s="6" t="n">
        <v>6</v>
      </c>
      <c r="E27" s="9" t="s">
        <v>4900</v>
      </c>
      <c r="F27" s="42" t="n">
        <v>199000</v>
      </c>
      <c r="G27" s="48"/>
      <c r="H27" s="48"/>
      <c r="I27" s="48"/>
      <c r="J27" s="48"/>
      <c r="K27" s="48"/>
      <c r="L27" s="48"/>
      <c r="M27" s="48"/>
      <c r="N27" s="48"/>
      <c r="O27" s="48"/>
      <c r="P27" s="48"/>
      <c r="Q27" s="43" t="n">
        <f aca="false">IF($A152="","",IF(OR(F152="",I152=""),"",F152-I152))</f>
        <v>79000</v>
      </c>
      <c r="R27" s="43" t="n">
        <f aca="false">IF($A152="","",IF(Q152="","",Q152+IF(O152="",0,O152)))</f>
        <v>97000</v>
      </c>
      <c r="S27" s="48"/>
      <c r="T27" s="43" t="str">
        <f aca="false">IF($A152="","",IF(R152="","",R152-IF(S152="",0,S152)))</f>
        <v/>
      </c>
      <c r="U27" s="43" t="n">
        <f aca="false">IF($A152="","",IF(I152="","",I152-SUM(J152:P152)))</f>
        <v>2000</v>
      </c>
      <c r="V27" s="6" t="s">
        <v>4901</v>
      </c>
      <c r="W27" s="9" t="s">
        <v>774</v>
      </c>
      <c r="X27" s="9" t="s">
        <v>4923</v>
      </c>
      <c r="Y27" s="9" t="s">
        <v>4897</v>
      </c>
      <c r="Z27" s="9" t="s">
        <v>4898</v>
      </c>
      <c r="AA27" s="9" t="s">
        <v>4903</v>
      </c>
    </row>
    <row r="28" customFormat="false" ht="15" hidden="false" customHeight="true" outlineLevel="0" collapsed="false">
      <c r="A28" s="6" t="s">
        <v>863</v>
      </c>
      <c r="B28" s="6" t="s">
        <v>448</v>
      </c>
      <c r="C28" s="6" t="s">
        <v>455</v>
      </c>
      <c r="D28" s="6" t="n">
        <v>6</v>
      </c>
      <c r="E28" s="9" t="s">
        <v>4908</v>
      </c>
      <c r="F28" s="48"/>
      <c r="G28" s="48"/>
      <c r="H28" s="48"/>
      <c r="I28" s="48"/>
      <c r="J28" s="48"/>
      <c r="K28" s="48"/>
      <c r="L28" s="48"/>
      <c r="M28" s="48"/>
      <c r="N28" s="48"/>
      <c r="O28" s="48"/>
      <c r="P28" s="48"/>
      <c r="Q28" s="43" t="n">
        <f aca="false">IF($A153="","",IF(OR(F153="",I153=""),"",F153-I153))</f>
        <v>3271216</v>
      </c>
      <c r="R28" s="43" t="n">
        <f aca="false">IF($A153="","",IF(Q153="","",Q153+IF(O153="",0,O153)))</f>
        <v>-1395084</v>
      </c>
      <c r="S28" s="48"/>
      <c r="T28" s="43" t="n">
        <f aca="false">IF($A153="","",IF(R153="","",R153-IF(S153="",0,S153)))</f>
        <v>296306</v>
      </c>
      <c r="U28" s="43" t="n">
        <f aca="false">IF($A153="","",IF(I153="","",I153-SUM(J153:P153)))</f>
        <v>3</v>
      </c>
      <c r="V28" s="6" t="s">
        <v>4909</v>
      </c>
      <c r="W28" s="9" t="s">
        <v>774</v>
      </c>
      <c r="X28" s="9" t="s">
        <v>4924</v>
      </c>
      <c r="Y28" s="9" t="s">
        <v>4897</v>
      </c>
      <c r="Z28" s="9" t="s">
        <v>4898</v>
      </c>
      <c r="AA28" s="9" t="s">
        <v>4899</v>
      </c>
    </row>
    <row r="29" customFormat="false" ht="15" hidden="false" customHeight="true" outlineLevel="0" collapsed="false">
      <c r="A29" s="6" t="s">
        <v>866</v>
      </c>
      <c r="B29" s="6" t="s">
        <v>448</v>
      </c>
      <c r="C29" s="6" t="s">
        <v>455</v>
      </c>
      <c r="D29" s="6" t="n">
        <v>6</v>
      </c>
      <c r="E29" s="9" t="s">
        <v>4900</v>
      </c>
      <c r="F29" s="42" t="n">
        <v>194000</v>
      </c>
      <c r="G29" s="48"/>
      <c r="H29" s="48"/>
      <c r="I29" s="48"/>
      <c r="J29" s="48"/>
      <c r="K29" s="48"/>
      <c r="L29" s="48"/>
      <c r="M29" s="48"/>
      <c r="N29" s="48"/>
      <c r="O29" s="48"/>
      <c r="P29" s="48"/>
      <c r="Q29" s="43" t="str">
        <f aca="false">IF($A154="","",IF(OR(F154="",I154=""),"",F154-I154))</f>
        <v/>
      </c>
      <c r="R29" s="43" t="n">
        <f aca="false">IF($A154="","",IF(Q154="","",Q154+IF(O154="",0,O154)))</f>
        <v>23296886</v>
      </c>
      <c r="S29" s="48"/>
      <c r="T29" s="43" t="n">
        <f aca="false">IF($A154="","",IF(R154="","",R154-IF(S154="",0,S154)))</f>
        <v>-17125056</v>
      </c>
      <c r="U29" s="43" t="str">
        <f aca="false">IF($A154="","",IF(I154="","",I154-SUM(J154:P154)))</f>
        <v/>
      </c>
      <c r="V29" s="6" t="s">
        <v>4901</v>
      </c>
      <c r="W29" s="9" t="s">
        <v>774</v>
      </c>
      <c r="X29" s="9" t="s">
        <v>4912</v>
      </c>
      <c r="Y29" s="9" t="s">
        <v>4897</v>
      </c>
      <c r="Z29" s="9" t="s">
        <v>4898</v>
      </c>
      <c r="AA29" s="9" t="s">
        <v>4903</v>
      </c>
    </row>
    <row r="30" customFormat="false" ht="15" hidden="false" customHeight="true" outlineLevel="0" collapsed="false">
      <c r="A30" s="6" t="s">
        <v>869</v>
      </c>
      <c r="B30" s="6" t="s">
        <v>448</v>
      </c>
      <c r="C30" s="6" t="s">
        <v>455</v>
      </c>
      <c r="D30" s="6" t="n">
        <v>6</v>
      </c>
      <c r="E30" s="9" t="s">
        <v>4908</v>
      </c>
      <c r="F30" s="48"/>
      <c r="G30" s="48"/>
      <c r="H30" s="48"/>
      <c r="I30" s="48"/>
      <c r="J30" s="48"/>
      <c r="K30" s="48"/>
      <c r="L30" s="48"/>
      <c r="M30" s="48"/>
      <c r="N30" s="48"/>
      <c r="O30" s="48"/>
      <c r="P30" s="48"/>
      <c r="Q30" s="43" t="str">
        <f aca="false">IF($A155="","",IF(OR(F155="",I155=""),"",F155-I155))</f>
        <v/>
      </c>
      <c r="R30" s="43" t="str">
        <f aca="false">IF($A155="","",IF(Q155="","",Q155+IF(O155="",0,O155)))</f>
        <v/>
      </c>
      <c r="S30" s="48"/>
      <c r="T30" s="43" t="n">
        <f aca="false">IF($A155="","",IF(R155="","",R155-IF(S155="",0,S155)))</f>
        <v>242000</v>
      </c>
      <c r="U30" s="43" t="str">
        <f aca="false">IF($A155="","",IF(I155="","",I155-SUM(J155:P155)))</f>
        <v/>
      </c>
      <c r="V30" s="6" t="s">
        <v>4909</v>
      </c>
      <c r="W30" s="9" t="s">
        <v>774</v>
      </c>
      <c r="X30" s="9" t="s">
        <v>4925</v>
      </c>
      <c r="Y30" s="9" t="s">
        <v>4897</v>
      </c>
      <c r="Z30" s="9" t="s">
        <v>4898</v>
      </c>
      <c r="AA30" s="9" t="s">
        <v>4899</v>
      </c>
    </row>
    <row r="31" customFormat="false" ht="15" hidden="false" customHeight="true" outlineLevel="0" collapsed="false">
      <c r="A31" s="6" t="s">
        <v>872</v>
      </c>
      <c r="B31" s="6" t="s">
        <v>448</v>
      </c>
      <c r="C31" s="6" t="s">
        <v>455</v>
      </c>
      <c r="D31" s="6" t="n">
        <v>6</v>
      </c>
      <c r="E31" s="9" t="s">
        <v>4908</v>
      </c>
      <c r="F31" s="48" t="n">
        <v>163769</v>
      </c>
      <c r="G31" s="48"/>
      <c r="H31" s="48"/>
      <c r="I31" s="48"/>
      <c r="J31" s="48"/>
      <c r="K31" s="48"/>
      <c r="L31" s="48"/>
      <c r="M31" s="48"/>
      <c r="N31" s="48"/>
      <c r="O31" s="48"/>
      <c r="P31" s="48"/>
      <c r="Q31" s="43" t="str">
        <f aca="false">IF($A156="","",IF(OR(F156="",I156=""),"",F156-I156))</f>
        <v/>
      </c>
      <c r="R31" s="43" t="str">
        <f aca="false">IF($A156="","",IF(Q156="","",Q156+IF(O156="",0,O156)))</f>
        <v/>
      </c>
      <c r="S31" s="48"/>
      <c r="T31" s="43" t="n">
        <f aca="false">IF($A156="","",IF(R156="","",R156-IF(S156="",0,S156)))</f>
        <v>98000</v>
      </c>
      <c r="U31" s="43" t="str">
        <f aca="false">IF($A156="","",IF(I156="","",I156-SUM(J156:P156)))</f>
        <v/>
      </c>
      <c r="V31" s="6" t="s">
        <v>4909</v>
      </c>
      <c r="W31" s="9" t="s">
        <v>774</v>
      </c>
      <c r="X31" s="9" t="s">
        <v>4926</v>
      </c>
      <c r="Y31" s="9" t="s">
        <v>4897</v>
      </c>
      <c r="Z31" s="9" t="s">
        <v>4898</v>
      </c>
      <c r="AA31" s="9" t="s">
        <v>4899</v>
      </c>
    </row>
    <row r="32" customFormat="false" ht="15" hidden="false" customHeight="true" outlineLevel="0" collapsed="false">
      <c r="A32" s="6" t="s">
        <v>875</v>
      </c>
      <c r="B32" s="6" t="s">
        <v>448</v>
      </c>
      <c r="C32" s="6" t="s">
        <v>455</v>
      </c>
      <c r="D32" s="6" t="n">
        <v>6</v>
      </c>
      <c r="E32" s="9" t="s">
        <v>4900</v>
      </c>
      <c r="F32" s="42" t="n">
        <v>185000</v>
      </c>
      <c r="G32" s="48"/>
      <c r="H32" s="48"/>
      <c r="I32" s="48"/>
      <c r="J32" s="48"/>
      <c r="K32" s="48"/>
      <c r="L32" s="48"/>
      <c r="M32" s="48"/>
      <c r="N32" s="48"/>
      <c r="O32" s="48"/>
      <c r="P32" s="48"/>
      <c r="Q32" s="43" t="str">
        <f aca="false">IF($A157="","",IF(OR(F157="",I157=""),"",F157-I157))</f>
        <v/>
      </c>
      <c r="R32" s="43" t="str">
        <f aca="false">IF($A157="","",IF(Q157="","",Q157+IF(O157="",0,O157)))</f>
        <v/>
      </c>
      <c r="S32" s="48"/>
      <c r="T32" s="43" t="n">
        <f aca="false">IF($A157="","",IF(R157="","",R157-IF(S157="",0,S157)))</f>
        <v>19000</v>
      </c>
      <c r="U32" s="43" t="str">
        <f aca="false">IF($A157="","",IF(I157="","",I157-SUM(J157:P157)))</f>
        <v/>
      </c>
      <c r="V32" s="6" t="s">
        <v>4901</v>
      </c>
      <c r="W32" s="9" t="s">
        <v>774</v>
      </c>
      <c r="X32" s="9" t="s">
        <v>4912</v>
      </c>
      <c r="Y32" s="9" t="s">
        <v>4897</v>
      </c>
      <c r="Z32" s="9" t="s">
        <v>4898</v>
      </c>
      <c r="AA32" s="9" t="s">
        <v>4903</v>
      </c>
    </row>
    <row r="33" customFormat="false" ht="15" hidden="false" customHeight="true" outlineLevel="0" collapsed="false">
      <c r="A33" s="6" t="s">
        <v>877</v>
      </c>
      <c r="B33" s="6" t="s">
        <v>448</v>
      </c>
      <c r="C33" s="6" t="s">
        <v>455</v>
      </c>
      <c r="D33" s="6" t="n">
        <v>6</v>
      </c>
      <c r="E33" s="9" t="s">
        <v>4900</v>
      </c>
      <c r="F33" s="42" t="n">
        <v>400000</v>
      </c>
      <c r="G33" s="48"/>
      <c r="H33" s="48"/>
      <c r="I33" s="48"/>
      <c r="J33" s="48"/>
      <c r="K33" s="48"/>
      <c r="L33" s="48"/>
      <c r="M33" s="48"/>
      <c r="N33" s="48"/>
      <c r="O33" s="48"/>
      <c r="P33" s="48"/>
      <c r="Q33" s="43" t="str">
        <f aca="false">IF($A158="","",IF(OR(F158="",I158=""),"",F158-I158))</f>
        <v/>
      </c>
      <c r="R33" s="43" t="str">
        <f aca="false">IF($A158="","",IF(Q158="","",Q158+IF(O158="",0,O158)))</f>
        <v/>
      </c>
      <c r="S33" s="48"/>
      <c r="T33" s="43" t="n">
        <f aca="false">IF($A158="","",IF(R158="","",R158-IF(S158="",0,S158)))</f>
        <v>386000</v>
      </c>
      <c r="U33" s="43" t="str">
        <f aca="false">IF($A158="","",IF(I158="","",I158-SUM(J158:P158)))</f>
        <v/>
      </c>
      <c r="V33" s="6" t="s">
        <v>4901</v>
      </c>
      <c r="W33" s="9" t="s">
        <v>774</v>
      </c>
      <c r="X33" s="9" t="s">
        <v>4912</v>
      </c>
      <c r="Y33" s="9" t="s">
        <v>4897</v>
      </c>
      <c r="Z33" s="9" t="s">
        <v>4898</v>
      </c>
      <c r="AA33" s="9" t="s">
        <v>4903</v>
      </c>
    </row>
    <row r="34" customFormat="false" ht="15" hidden="false" customHeight="true" outlineLevel="0" collapsed="false">
      <c r="A34" s="6" t="s">
        <v>879</v>
      </c>
      <c r="B34" s="6" t="s">
        <v>448</v>
      </c>
      <c r="C34" s="6" t="s">
        <v>455</v>
      </c>
      <c r="D34" s="6" t="n">
        <v>6</v>
      </c>
      <c r="E34" s="9" t="s">
        <v>4908</v>
      </c>
      <c r="F34" s="48" t="n">
        <v>421097</v>
      </c>
      <c r="G34" s="48"/>
      <c r="H34" s="48"/>
      <c r="I34" s="48"/>
      <c r="J34" s="48"/>
      <c r="K34" s="48"/>
      <c r="L34" s="48"/>
      <c r="M34" s="48"/>
      <c r="N34" s="48"/>
      <c r="O34" s="48"/>
      <c r="P34" s="48"/>
      <c r="Q34" s="43" t="str">
        <f aca="false">IF($A159="","",IF(OR(F159="",I159=""),"",F159-I159))</f>
        <v/>
      </c>
      <c r="R34" s="43" t="str">
        <f aca="false">IF($A159="","",IF(Q159="","",Q159+IF(O159="",0,O159)))</f>
        <v/>
      </c>
      <c r="S34" s="48"/>
      <c r="T34" s="43" t="n">
        <f aca="false">IF($A159="","",IF(R159="","",R159-IF(S159="",0,S159)))</f>
        <v>17000</v>
      </c>
      <c r="U34" s="43" t="str">
        <f aca="false">IF($A159="","",IF(I159="","",I159-SUM(J159:P159)))</f>
        <v/>
      </c>
      <c r="V34" s="6" t="s">
        <v>4909</v>
      </c>
      <c r="W34" s="9" t="s">
        <v>774</v>
      </c>
      <c r="X34" s="9" t="s">
        <v>4927</v>
      </c>
      <c r="Y34" s="9" t="s">
        <v>4897</v>
      </c>
      <c r="Z34" s="9" t="s">
        <v>4898</v>
      </c>
      <c r="AA34" s="9" t="s">
        <v>4899</v>
      </c>
    </row>
    <row r="35" customFormat="false" ht="15" hidden="false" customHeight="true" outlineLevel="0" collapsed="false">
      <c r="A35" s="6" t="s">
        <v>884</v>
      </c>
      <c r="B35" s="6" t="s">
        <v>448</v>
      </c>
      <c r="C35" s="6" t="s">
        <v>455</v>
      </c>
      <c r="D35" s="6" t="n">
        <v>6</v>
      </c>
      <c r="E35" s="9" t="s">
        <v>4908</v>
      </c>
      <c r="F35" s="48" t="n">
        <v>369172</v>
      </c>
      <c r="G35" s="48"/>
      <c r="H35" s="48"/>
      <c r="I35" s="48"/>
      <c r="J35" s="48"/>
      <c r="K35" s="48"/>
      <c r="L35" s="48"/>
      <c r="M35" s="48"/>
      <c r="N35" s="48"/>
      <c r="O35" s="48"/>
      <c r="P35" s="48"/>
      <c r="Q35" s="43" t="str">
        <f aca="false">IF($A160="","",IF(OR(F160="",I160=""),"",F160-I160))</f>
        <v/>
      </c>
      <c r="R35" s="43" t="str">
        <f aca="false">IF($A160="","",IF(Q160="","",Q160+IF(O160="",0,O160)))</f>
        <v/>
      </c>
      <c r="S35" s="48"/>
      <c r="T35" s="43" t="n">
        <f aca="false">IF($A160="","",IF(R160="","",R160-IF(S160="",0,S160)))</f>
        <v>352000</v>
      </c>
      <c r="U35" s="43" t="str">
        <f aca="false">IF($A160="","",IF(I160="","",I160-SUM(J160:P160)))</f>
        <v/>
      </c>
      <c r="V35" s="6" t="s">
        <v>4909</v>
      </c>
      <c r="W35" s="9" t="s">
        <v>774</v>
      </c>
      <c r="X35" s="9" t="s">
        <v>4928</v>
      </c>
      <c r="Y35" s="9" t="s">
        <v>4897</v>
      </c>
      <c r="Z35" s="9" t="s">
        <v>4898</v>
      </c>
      <c r="AA35" s="9" t="s">
        <v>4899</v>
      </c>
    </row>
    <row r="36" customFormat="false" ht="15" hidden="false" customHeight="true" outlineLevel="0" collapsed="false">
      <c r="A36" s="6" t="s">
        <v>887</v>
      </c>
      <c r="B36" s="6" t="s">
        <v>448</v>
      </c>
      <c r="C36" s="6" t="s">
        <v>455</v>
      </c>
      <c r="D36" s="6" t="n">
        <v>6</v>
      </c>
      <c r="E36" s="9" t="s">
        <v>4900</v>
      </c>
      <c r="F36" s="42" t="n">
        <v>2084000</v>
      </c>
      <c r="G36" s="48"/>
      <c r="H36" s="48"/>
      <c r="I36" s="48"/>
      <c r="J36" s="48"/>
      <c r="K36" s="48"/>
      <c r="L36" s="48"/>
      <c r="M36" s="48"/>
      <c r="N36" s="48"/>
      <c r="O36" s="48"/>
      <c r="P36" s="48"/>
      <c r="Q36" s="43" t="str">
        <f aca="false">IF($A161="","",IF(OR(F161="",I161=""),"",F161-I161))</f>
        <v/>
      </c>
      <c r="R36" s="43" t="str">
        <f aca="false">IF($A161="","",IF(Q161="","",Q161+IF(O161="",0,O161)))</f>
        <v/>
      </c>
      <c r="S36" s="48"/>
      <c r="T36" s="43" t="n">
        <f aca="false">IF($A161="","",IF(R161="","",R161-IF(S161="",0,S161)))</f>
        <v>9000</v>
      </c>
      <c r="U36" s="43" t="str">
        <f aca="false">IF($A161="","",IF(I161="","",I161-SUM(J161:P161)))</f>
        <v/>
      </c>
      <c r="V36" s="6" t="s">
        <v>4901</v>
      </c>
      <c r="W36" s="9" t="s">
        <v>774</v>
      </c>
      <c r="X36" s="9" t="s">
        <v>4929</v>
      </c>
      <c r="Y36" s="9" t="s">
        <v>4897</v>
      </c>
      <c r="Z36" s="9" t="s">
        <v>4898</v>
      </c>
      <c r="AA36" s="9" t="s">
        <v>4903</v>
      </c>
    </row>
    <row r="37" customFormat="false" ht="15" hidden="false" customHeight="true" outlineLevel="0" collapsed="false">
      <c r="A37" s="6" t="s">
        <v>890</v>
      </c>
      <c r="B37" s="6" t="s">
        <v>448</v>
      </c>
      <c r="C37" s="6" t="s">
        <v>455</v>
      </c>
      <c r="D37" s="6" t="n">
        <v>6</v>
      </c>
      <c r="E37" s="9" t="s">
        <v>4900</v>
      </c>
      <c r="F37" s="42" t="n">
        <v>1062000</v>
      </c>
      <c r="G37" s="48"/>
      <c r="H37" s="48"/>
      <c r="I37" s="48"/>
      <c r="J37" s="48"/>
      <c r="K37" s="48"/>
      <c r="L37" s="48"/>
      <c r="M37" s="48"/>
      <c r="N37" s="48"/>
      <c r="O37" s="48"/>
      <c r="P37" s="48"/>
      <c r="Q37" s="43" t="str">
        <f aca="false">IF($A162="","",IF(OR(F162="",I162=""),"",F162-I162))</f>
        <v/>
      </c>
      <c r="R37" s="43" t="str">
        <f aca="false">IF($A162="","",IF(Q162="","",Q162+IF(O162="",0,O162)))</f>
        <v/>
      </c>
      <c r="S37" s="48"/>
      <c r="T37" s="43" t="n">
        <f aca="false">IF($A162="","",IF(R162="","",R162-IF(S162="",0,S162)))</f>
        <v>217000</v>
      </c>
      <c r="U37" s="43" t="str">
        <f aca="false">IF($A162="","",IF(I162="","",I162-SUM(J162:P162)))</f>
        <v/>
      </c>
      <c r="V37" s="6" t="s">
        <v>4901</v>
      </c>
      <c r="W37" s="9" t="s">
        <v>774</v>
      </c>
      <c r="X37" s="9" t="s">
        <v>4930</v>
      </c>
      <c r="Y37" s="9" t="s">
        <v>4897</v>
      </c>
      <c r="Z37" s="9" t="s">
        <v>4898</v>
      </c>
      <c r="AA37" s="9" t="s">
        <v>4903</v>
      </c>
    </row>
    <row r="38" customFormat="false" ht="15" hidden="false" customHeight="true" outlineLevel="0" collapsed="false">
      <c r="A38" s="6" t="s">
        <v>893</v>
      </c>
      <c r="B38" s="6" t="s">
        <v>448</v>
      </c>
      <c r="C38" s="6" t="s">
        <v>455</v>
      </c>
      <c r="D38" s="6" t="n">
        <v>6</v>
      </c>
      <c r="E38" s="9" t="s">
        <v>4908</v>
      </c>
      <c r="F38" s="48" t="n">
        <v>807893</v>
      </c>
      <c r="G38" s="48"/>
      <c r="H38" s="48"/>
      <c r="I38" s="48"/>
      <c r="J38" s="48"/>
      <c r="K38" s="48"/>
      <c r="L38" s="48"/>
      <c r="M38" s="48"/>
      <c r="N38" s="48"/>
      <c r="O38" s="48"/>
      <c r="P38" s="48"/>
      <c r="Q38" s="43" t="str">
        <f aca="false">IF($A163="","",IF(OR(F163="",I163=""),"",F163-I163))</f>
        <v/>
      </c>
      <c r="R38" s="43" t="str">
        <f aca="false">IF($A163="","",IF(Q163="","",Q163+IF(O163="",0,O163)))</f>
        <v/>
      </c>
      <c r="S38" s="48"/>
      <c r="T38" s="43" t="n">
        <f aca="false">IF($A163="","",IF(R163="","",R163-IF(S163="",0,S163)))</f>
        <v>54000</v>
      </c>
      <c r="U38" s="43" t="str">
        <f aca="false">IF($A163="","",IF(I163="","",I163-SUM(J163:P163)))</f>
        <v/>
      </c>
      <c r="V38" s="6" t="s">
        <v>4909</v>
      </c>
      <c r="W38" s="9" t="s">
        <v>774</v>
      </c>
      <c r="X38" s="9" t="s">
        <v>4931</v>
      </c>
      <c r="Y38" s="9" t="s">
        <v>4897</v>
      </c>
      <c r="Z38" s="9" t="s">
        <v>4898</v>
      </c>
      <c r="AA38" s="9" t="s">
        <v>4899</v>
      </c>
    </row>
    <row r="39" customFormat="false" ht="15" hidden="false" customHeight="true" outlineLevel="0" collapsed="false">
      <c r="A39" s="6" t="s">
        <v>897</v>
      </c>
      <c r="B39" s="6" t="s">
        <v>448</v>
      </c>
      <c r="C39" s="6" t="s">
        <v>455</v>
      </c>
      <c r="D39" s="6" t="n">
        <v>6</v>
      </c>
      <c r="E39" s="9" t="s">
        <v>4900</v>
      </c>
      <c r="F39" s="42" t="n">
        <v>834000</v>
      </c>
      <c r="G39" s="48"/>
      <c r="H39" s="48"/>
      <c r="I39" s="48"/>
      <c r="J39" s="48"/>
      <c r="K39" s="48"/>
      <c r="L39" s="48"/>
      <c r="M39" s="48"/>
      <c r="N39" s="48"/>
      <c r="O39" s="48"/>
      <c r="P39" s="48"/>
      <c r="Q39" s="43" t="str">
        <f aca="false">IF($A164="","",IF(OR(F164="",I164=""),"",F164-I164))</f>
        <v/>
      </c>
      <c r="R39" s="43" t="str">
        <f aca="false">IF($A164="","",IF(Q164="","",Q164+IF(O164="",0,O164)))</f>
        <v/>
      </c>
      <c r="S39" s="48"/>
      <c r="T39" s="43" t="n">
        <f aca="false">IF($A164="","",IF(R164="","",R164-IF(S164="",0,S164)))</f>
        <v>99000</v>
      </c>
      <c r="U39" s="43" t="str">
        <f aca="false">IF($A164="","",IF(I164="","",I164-SUM(J164:P164)))</f>
        <v/>
      </c>
      <c r="V39" s="6" t="s">
        <v>4901</v>
      </c>
      <c r="W39" s="9" t="s">
        <v>774</v>
      </c>
      <c r="X39" s="9" t="s">
        <v>4932</v>
      </c>
      <c r="Y39" s="9" t="s">
        <v>4897</v>
      </c>
      <c r="Z39" s="9" t="s">
        <v>4898</v>
      </c>
      <c r="AA39" s="9" t="s">
        <v>4903</v>
      </c>
    </row>
    <row r="40" customFormat="false" ht="15" hidden="false" customHeight="true" outlineLevel="0" collapsed="false">
      <c r="A40" s="6" t="s">
        <v>900</v>
      </c>
      <c r="B40" s="6" t="s">
        <v>448</v>
      </c>
      <c r="C40" s="6" t="s">
        <v>455</v>
      </c>
      <c r="D40" s="6" t="n">
        <v>6</v>
      </c>
      <c r="E40" s="9" t="s">
        <v>4900</v>
      </c>
      <c r="F40" s="42" t="n">
        <v>670000</v>
      </c>
      <c r="G40" s="48"/>
      <c r="H40" s="48"/>
      <c r="I40" s="48"/>
      <c r="J40" s="48"/>
      <c r="K40" s="48"/>
      <c r="L40" s="48"/>
      <c r="M40" s="48"/>
      <c r="N40" s="48"/>
      <c r="O40" s="48"/>
      <c r="P40" s="48"/>
      <c r="Q40" s="43" t="str">
        <f aca="false">IF($A165="","",IF(OR(F165="",I165=""),"",F165-I165))</f>
        <v/>
      </c>
      <c r="R40" s="43" t="str">
        <f aca="false">IF($A165="","",IF(Q165="","",Q165+IF(O165="",0,O165)))</f>
        <v/>
      </c>
      <c r="S40" s="48"/>
      <c r="T40" s="43" t="n">
        <f aca="false">IF($A165="","",IF(R165="","",R165-IF(S165="",0,S165)))</f>
        <v>202000</v>
      </c>
      <c r="U40" s="43" t="str">
        <f aca="false">IF($A165="","",IF(I165="","",I165-SUM(J165:P165)))</f>
        <v/>
      </c>
      <c r="V40" s="6" t="s">
        <v>4901</v>
      </c>
      <c r="W40" s="9" t="s">
        <v>774</v>
      </c>
      <c r="X40" s="9" t="s">
        <v>4933</v>
      </c>
      <c r="Y40" s="9" t="s">
        <v>4897</v>
      </c>
      <c r="Z40" s="9" t="s">
        <v>4898</v>
      </c>
      <c r="AA40" s="9" t="s">
        <v>4903</v>
      </c>
    </row>
    <row r="41" customFormat="false" ht="15" hidden="false" customHeight="true" outlineLevel="0" collapsed="false">
      <c r="A41" s="6" t="s">
        <v>903</v>
      </c>
      <c r="B41" s="6" t="s">
        <v>448</v>
      </c>
      <c r="C41" s="6" t="s">
        <v>455</v>
      </c>
      <c r="D41" s="6" t="n">
        <v>6</v>
      </c>
      <c r="E41" s="9" t="s">
        <v>4900</v>
      </c>
      <c r="F41" s="42" t="n">
        <v>940000</v>
      </c>
      <c r="G41" s="48"/>
      <c r="H41" s="48"/>
      <c r="I41" s="48"/>
      <c r="J41" s="48"/>
      <c r="K41" s="48"/>
      <c r="L41" s="48"/>
      <c r="M41" s="48"/>
      <c r="N41" s="48"/>
      <c r="O41" s="48"/>
      <c r="P41" s="48"/>
      <c r="Q41" s="43" t="str">
        <f aca="false">IF($A166="","",IF(OR(F166="",I166=""),"",F166-I166))</f>
        <v/>
      </c>
      <c r="R41" s="43" t="str">
        <f aca="false">IF($A166="","",IF(Q166="","",Q166+IF(O166="",0,O166)))</f>
        <v/>
      </c>
      <c r="S41" s="48"/>
      <c r="T41" s="43" t="n">
        <f aca="false">IF($A166="","",IF(R166="","",R166-IF(S166="",0,S166)))</f>
        <v>58000</v>
      </c>
      <c r="U41" s="43" t="str">
        <f aca="false">IF($A166="","",IF(I166="","",I166-SUM(J166:P166)))</f>
        <v/>
      </c>
      <c r="V41" s="6" t="s">
        <v>4901</v>
      </c>
      <c r="W41" s="9" t="s">
        <v>774</v>
      </c>
      <c r="X41" s="9" t="s">
        <v>4934</v>
      </c>
      <c r="Y41" s="9" t="s">
        <v>4897</v>
      </c>
      <c r="Z41" s="9" t="s">
        <v>4898</v>
      </c>
      <c r="AA41" s="9" t="s">
        <v>4903</v>
      </c>
    </row>
    <row r="42" customFormat="false" ht="15" hidden="false" customHeight="true" outlineLevel="0" collapsed="false">
      <c r="A42" s="6" t="s">
        <v>907</v>
      </c>
      <c r="B42" s="6" t="s">
        <v>448</v>
      </c>
      <c r="C42" s="6" t="s">
        <v>455</v>
      </c>
      <c r="D42" s="6" t="n">
        <v>6</v>
      </c>
      <c r="E42" s="9" t="s">
        <v>4908</v>
      </c>
      <c r="F42" s="48" t="n">
        <v>1282915</v>
      </c>
      <c r="G42" s="48"/>
      <c r="H42" s="48"/>
      <c r="I42" s="48"/>
      <c r="J42" s="48"/>
      <c r="K42" s="48"/>
      <c r="L42" s="48"/>
      <c r="M42" s="48"/>
      <c r="N42" s="48"/>
      <c r="O42" s="48"/>
      <c r="P42" s="48"/>
      <c r="Q42" s="43" t="str">
        <f aca="false">IF($A167="","",IF(OR(F167="",I167=""),"",F167-I167))</f>
        <v/>
      </c>
      <c r="R42" s="43" t="str">
        <f aca="false">IF($A167="","",IF(Q167="","",Q167+IF(O167="",0,O167)))</f>
        <v/>
      </c>
      <c r="S42" s="48"/>
      <c r="T42" s="43" t="n">
        <f aca="false">IF($A167="","",IF(R167="","",R167-IF(S167="",0,S167)))</f>
        <v>168000</v>
      </c>
      <c r="U42" s="43" t="str">
        <f aca="false">IF($A167="","",IF(I167="","",I167-SUM(J167:P167)))</f>
        <v/>
      </c>
      <c r="V42" s="6" t="s">
        <v>4909</v>
      </c>
      <c r="W42" s="9" t="s">
        <v>774</v>
      </c>
      <c r="X42" s="9" t="s">
        <v>4935</v>
      </c>
      <c r="Y42" s="9" t="s">
        <v>4897</v>
      </c>
      <c r="Z42" s="9" t="s">
        <v>4898</v>
      </c>
      <c r="AA42" s="9" t="s">
        <v>4899</v>
      </c>
    </row>
    <row r="43" customFormat="false" ht="15" hidden="false" customHeight="true" outlineLevel="0" collapsed="false">
      <c r="A43" s="6" t="s">
        <v>909</v>
      </c>
      <c r="B43" s="6" t="s">
        <v>448</v>
      </c>
      <c r="C43" s="6" t="s">
        <v>455</v>
      </c>
      <c r="D43" s="6" t="n">
        <v>6</v>
      </c>
      <c r="E43" s="9" t="s">
        <v>4900</v>
      </c>
      <c r="F43" s="42" t="n">
        <v>447000</v>
      </c>
      <c r="G43" s="48"/>
      <c r="H43" s="48"/>
      <c r="I43" s="48"/>
      <c r="J43" s="48"/>
      <c r="K43" s="48"/>
      <c r="L43" s="48"/>
      <c r="M43" s="48"/>
      <c r="N43" s="48"/>
      <c r="O43" s="48"/>
      <c r="P43" s="48"/>
      <c r="Q43" s="43" t="str">
        <f aca="false">IF($A168="","",IF(OR(F168="",I168=""),"",F168-I168))</f>
        <v/>
      </c>
      <c r="R43" s="43" t="str">
        <f aca="false">IF($A168="","",IF(Q168="","",Q168+IF(O168="",0,O168)))</f>
        <v/>
      </c>
      <c r="S43" s="48"/>
      <c r="T43" s="43" t="str">
        <f aca="false">IF($A168="","",IF(R168="","",R168-IF(S168="",0,S168)))</f>
        <v/>
      </c>
      <c r="U43" s="43" t="str">
        <f aca="false">IF($A168="","",IF(I168="","",I168-SUM(J168:P168)))</f>
        <v/>
      </c>
      <c r="V43" s="6" t="s">
        <v>4901</v>
      </c>
      <c r="W43" s="9" t="s">
        <v>774</v>
      </c>
      <c r="X43" s="9" t="s">
        <v>4912</v>
      </c>
      <c r="Y43" s="9" t="s">
        <v>4897</v>
      </c>
      <c r="Z43" s="9" t="s">
        <v>4898</v>
      </c>
      <c r="AA43" s="9" t="s">
        <v>4903</v>
      </c>
    </row>
    <row r="44" customFormat="false" ht="15" hidden="false" customHeight="true" outlineLevel="0" collapsed="false">
      <c r="A44" s="6" t="s">
        <v>912</v>
      </c>
      <c r="B44" s="6" t="s">
        <v>448</v>
      </c>
      <c r="C44" s="6" t="s">
        <v>455</v>
      </c>
      <c r="D44" s="6" t="n">
        <v>6</v>
      </c>
      <c r="E44" s="9" t="s">
        <v>4900</v>
      </c>
      <c r="F44" s="42" t="n">
        <v>264000</v>
      </c>
      <c r="G44" s="48"/>
      <c r="H44" s="48"/>
      <c r="I44" s="48"/>
      <c r="J44" s="48"/>
      <c r="K44" s="48"/>
      <c r="L44" s="48"/>
      <c r="M44" s="48"/>
      <c r="N44" s="48"/>
      <c r="O44" s="48"/>
      <c r="P44" s="48"/>
      <c r="Q44" s="43" t="str">
        <f aca="false">IF($A169="","",IF(OR(F169="",I169=""),"",F169-I169))</f>
        <v/>
      </c>
      <c r="R44" s="43" t="str">
        <f aca="false">IF($A169="","",IF(Q169="","",Q169+IF(O169="",0,O169)))</f>
        <v/>
      </c>
      <c r="S44" s="48"/>
      <c r="T44" s="43" t="str">
        <f aca="false">IF($A169="","",IF(R169="","",R169-IF(S169="",0,S169)))</f>
        <v/>
      </c>
      <c r="U44" s="43" t="str">
        <f aca="false">IF($A169="","",IF(I169="","",I169-SUM(J169:P169)))</f>
        <v/>
      </c>
      <c r="V44" s="6" t="s">
        <v>4901</v>
      </c>
      <c r="W44" s="9" t="s">
        <v>774</v>
      </c>
      <c r="X44" s="9" t="s">
        <v>4905</v>
      </c>
      <c r="Y44" s="9" t="s">
        <v>4897</v>
      </c>
      <c r="Z44" s="9" t="s">
        <v>4898</v>
      </c>
      <c r="AA44" s="9" t="s">
        <v>4903</v>
      </c>
    </row>
    <row r="45" customFormat="false" ht="15" hidden="false" customHeight="true" outlineLevel="0" collapsed="false">
      <c r="A45" s="6" t="s">
        <v>914</v>
      </c>
      <c r="B45" s="6" t="s">
        <v>448</v>
      </c>
      <c r="C45" s="6" t="s">
        <v>455</v>
      </c>
      <c r="D45" s="6" t="n">
        <v>6</v>
      </c>
      <c r="E45" s="9" t="s">
        <v>4900</v>
      </c>
      <c r="F45" s="42" t="n">
        <v>211000</v>
      </c>
      <c r="G45" s="48"/>
      <c r="H45" s="48"/>
      <c r="I45" s="48"/>
      <c r="J45" s="48"/>
      <c r="K45" s="48"/>
      <c r="L45" s="48"/>
      <c r="M45" s="48"/>
      <c r="N45" s="48"/>
      <c r="O45" s="48"/>
      <c r="P45" s="48"/>
      <c r="Q45" s="43" t="str">
        <f aca="false">IF($A170="","",IF(OR(F170="",I170=""),"",F170-I170))</f>
        <v/>
      </c>
      <c r="R45" s="43" t="str">
        <f aca="false">IF($A170="","",IF(Q170="","",Q170+IF(O170="",0,O170)))</f>
        <v/>
      </c>
      <c r="S45" s="48"/>
      <c r="T45" s="43" t="n">
        <f aca="false">IF($A170="","",IF(R170="","",R170-IF(S170="",0,S170)))</f>
        <v>259000</v>
      </c>
      <c r="U45" s="43" t="str">
        <f aca="false">IF($A170="","",IF(I170="","",I170-SUM(J170:P170)))</f>
        <v/>
      </c>
      <c r="V45" s="6" t="s">
        <v>4901</v>
      </c>
      <c r="W45" s="9" t="s">
        <v>774</v>
      </c>
      <c r="X45" s="9" t="s">
        <v>4912</v>
      </c>
      <c r="Y45" s="9" t="s">
        <v>4897</v>
      </c>
      <c r="Z45" s="9" t="s">
        <v>4898</v>
      </c>
      <c r="AA45" s="9" t="s">
        <v>4903</v>
      </c>
    </row>
    <row r="46" customFormat="false" ht="15" hidden="false" customHeight="true" outlineLevel="0" collapsed="false">
      <c r="A46" s="6" t="s">
        <v>916</v>
      </c>
      <c r="B46" s="6" t="s">
        <v>448</v>
      </c>
      <c r="C46" s="6" t="s">
        <v>455</v>
      </c>
      <c r="D46" s="6" t="n">
        <v>6</v>
      </c>
      <c r="E46" s="9" t="s">
        <v>4900</v>
      </c>
      <c r="F46" s="42" t="n">
        <v>182000</v>
      </c>
      <c r="G46" s="48"/>
      <c r="H46" s="48"/>
      <c r="I46" s="48"/>
      <c r="J46" s="48"/>
      <c r="K46" s="48"/>
      <c r="L46" s="48"/>
      <c r="M46" s="48"/>
      <c r="N46" s="48"/>
      <c r="O46" s="48"/>
      <c r="P46" s="48"/>
      <c r="Q46" s="43" t="str">
        <f aca="false">IF($A171="","",IF(OR(F171="",I171=""),"",F171-I171))</f>
        <v/>
      </c>
      <c r="R46" s="43" t="str">
        <f aca="false">IF($A171="","",IF(Q171="","",Q171+IF(O171="",0,O171)))</f>
        <v/>
      </c>
      <c r="S46" s="48"/>
      <c r="T46" s="43" t="str">
        <f aca="false">IF($A171="","",IF(R171="","",R171-IF(S171="",0,S171)))</f>
        <v/>
      </c>
      <c r="U46" s="43" t="str">
        <f aca="false">IF($A171="","",IF(I171="","",I171-SUM(J171:P171)))</f>
        <v/>
      </c>
      <c r="V46" s="6" t="s">
        <v>4901</v>
      </c>
      <c r="W46" s="9" t="s">
        <v>774</v>
      </c>
      <c r="X46" s="9" t="s">
        <v>4912</v>
      </c>
      <c r="Y46" s="9" t="s">
        <v>4897</v>
      </c>
      <c r="Z46" s="9" t="s">
        <v>4898</v>
      </c>
      <c r="AA46" s="9" t="s">
        <v>4903</v>
      </c>
    </row>
    <row r="47" customFormat="false" ht="15" hidden="false" customHeight="true" outlineLevel="0" collapsed="false">
      <c r="A47" s="6" t="s">
        <v>918</v>
      </c>
      <c r="B47" s="6" t="s">
        <v>448</v>
      </c>
      <c r="C47" s="6" t="s">
        <v>455</v>
      </c>
      <c r="D47" s="6" t="n">
        <v>6</v>
      </c>
      <c r="E47" s="9" t="s">
        <v>4908</v>
      </c>
      <c r="F47" s="48" t="n">
        <v>447518</v>
      </c>
      <c r="G47" s="48"/>
      <c r="H47" s="48"/>
      <c r="I47" s="48"/>
      <c r="J47" s="48"/>
      <c r="K47" s="48"/>
      <c r="L47" s="48"/>
      <c r="M47" s="48"/>
      <c r="N47" s="48"/>
      <c r="O47" s="48"/>
      <c r="P47" s="48"/>
      <c r="Q47" s="43" t="n">
        <f aca="false">IF($A172="","",IF(OR(F172="",I172=""),"",F172-I172))</f>
        <v>9131616</v>
      </c>
      <c r="R47" s="43" t="n">
        <f aca="false">IF($A172="","",IF(Q172="","",Q172+IF(O172="",0,O172)))</f>
        <v>2146809</v>
      </c>
      <c r="S47" s="48"/>
      <c r="T47" s="43" t="n">
        <f aca="false">IF($A172="","",IF(R172="","",R172-IF(S172="",0,S172)))</f>
        <v>-966000</v>
      </c>
      <c r="U47" s="43" t="n">
        <f aca="false">IF($A172="","",IF(I172="","",I172-SUM(J172:P172)))</f>
        <v>4</v>
      </c>
      <c r="V47" s="6" t="s">
        <v>4909</v>
      </c>
      <c r="W47" s="9" t="s">
        <v>774</v>
      </c>
      <c r="X47" s="9" t="s">
        <v>4936</v>
      </c>
      <c r="Y47" s="9" t="s">
        <v>4897</v>
      </c>
      <c r="Z47" s="9" t="s">
        <v>4898</v>
      </c>
      <c r="AA47" s="9" t="s">
        <v>4899</v>
      </c>
    </row>
    <row r="48" customFormat="false" ht="15" hidden="false" customHeight="true" outlineLevel="0" collapsed="false">
      <c r="A48" s="6" t="s">
        <v>923</v>
      </c>
      <c r="B48" s="6" t="s">
        <v>448</v>
      </c>
      <c r="C48" s="6" t="s">
        <v>455</v>
      </c>
      <c r="D48" s="6" t="n">
        <v>6</v>
      </c>
      <c r="E48" s="9" t="s">
        <v>4900</v>
      </c>
      <c r="F48" s="42" t="n">
        <v>1371000</v>
      </c>
      <c r="G48" s="48"/>
      <c r="H48" s="48"/>
      <c r="I48" s="48"/>
      <c r="J48" s="48"/>
      <c r="K48" s="48"/>
      <c r="L48" s="48"/>
      <c r="M48" s="48"/>
      <c r="N48" s="48"/>
      <c r="O48" s="48"/>
      <c r="P48" s="48"/>
      <c r="Q48" s="43" t="str">
        <f aca="false">IF($A173="","",IF(OR(F173="",I173=""),"",F173-I173))</f>
        <v/>
      </c>
      <c r="R48" s="43" t="str">
        <f aca="false">IF($A173="","",IF(Q173="","",Q173+IF(O173="",0,O173)))</f>
        <v/>
      </c>
      <c r="S48" s="48"/>
      <c r="T48" s="43" t="str">
        <f aca="false">IF($A173="","",IF(R173="","",R173-IF(S173="",0,S173)))</f>
        <v/>
      </c>
      <c r="U48" s="43" t="str">
        <f aca="false">IF($A173="","",IF(I173="","",I173-SUM(J173:P173)))</f>
        <v/>
      </c>
      <c r="V48" s="6" t="s">
        <v>4901</v>
      </c>
      <c r="W48" s="9" t="s">
        <v>774</v>
      </c>
      <c r="X48" s="9" t="s">
        <v>4937</v>
      </c>
      <c r="Y48" s="9" t="s">
        <v>4897</v>
      </c>
      <c r="Z48" s="9" t="s">
        <v>4898</v>
      </c>
      <c r="AA48" s="9" t="s">
        <v>4903</v>
      </c>
    </row>
    <row r="49" customFormat="false" ht="15" hidden="false" customHeight="true" outlineLevel="0" collapsed="false">
      <c r="A49" s="6" t="s">
        <v>928</v>
      </c>
      <c r="B49" s="6" t="s">
        <v>448</v>
      </c>
      <c r="C49" s="6" t="s">
        <v>455</v>
      </c>
      <c r="D49" s="6" t="n">
        <v>6</v>
      </c>
      <c r="E49" s="9" t="s">
        <v>4900</v>
      </c>
      <c r="F49" s="42" t="n">
        <v>856000</v>
      </c>
      <c r="G49" s="48"/>
      <c r="H49" s="48"/>
      <c r="I49" s="48"/>
      <c r="J49" s="48"/>
      <c r="K49" s="48"/>
      <c r="L49" s="48"/>
      <c r="M49" s="48"/>
      <c r="N49" s="48"/>
      <c r="O49" s="48"/>
      <c r="P49" s="48"/>
      <c r="Q49" s="43" t="str">
        <f aca="false">IF($A174="","",IF(OR(F174="",I174=""),"",F174-I174))</f>
        <v/>
      </c>
      <c r="R49" s="43" t="str">
        <f aca="false">IF($A174="","",IF(Q174="","",Q174+IF(O174="",0,O174)))</f>
        <v/>
      </c>
      <c r="S49" s="48"/>
      <c r="T49" s="43" t="str">
        <f aca="false">IF($A174="","",IF(R174="","",R174-IF(S174="",0,S174)))</f>
        <v/>
      </c>
      <c r="U49" s="43" t="str">
        <f aca="false">IF($A174="","",IF(I174="","",I174-SUM(J174:P174)))</f>
        <v/>
      </c>
      <c r="V49" s="6" t="s">
        <v>4901</v>
      </c>
      <c r="W49" s="9" t="s">
        <v>774</v>
      </c>
      <c r="X49" s="9" t="s">
        <v>4938</v>
      </c>
      <c r="Y49" s="6" t="s">
        <v>4920</v>
      </c>
      <c r="Z49" s="9" t="s">
        <v>4939</v>
      </c>
      <c r="AA49" s="9" t="s">
        <v>4903</v>
      </c>
    </row>
    <row r="50" customFormat="false" ht="15" hidden="false" customHeight="true" outlineLevel="0" collapsed="false">
      <c r="A50" s="6" t="s">
        <v>932</v>
      </c>
      <c r="B50" s="6" t="s">
        <v>448</v>
      </c>
      <c r="C50" s="6" t="s">
        <v>455</v>
      </c>
      <c r="D50" s="6" t="n">
        <v>6</v>
      </c>
      <c r="E50" s="9" t="s">
        <v>4900</v>
      </c>
      <c r="F50" s="42" t="n">
        <v>857000</v>
      </c>
      <c r="G50" s="48"/>
      <c r="H50" s="48"/>
      <c r="I50" s="48"/>
      <c r="J50" s="48"/>
      <c r="K50" s="48"/>
      <c r="L50" s="48"/>
      <c r="M50" s="48"/>
      <c r="N50" s="48"/>
      <c r="O50" s="48"/>
      <c r="P50" s="48"/>
      <c r="Q50" s="43" t="str">
        <f aca="false">IF($A175="","",IF(OR(F175="",I175=""),"",F175-I175))</f>
        <v/>
      </c>
      <c r="R50" s="43" t="str">
        <f aca="false">IF($A175="","",IF(Q175="","",Q175+IF(O175="",0,O175)))</f>
        <v/>
      </c>
      <c r="S50" s="48"/>
      <c r="T50" s="43" t="str">
        <f aca="false">IF($A175="","",IF(R175="","",R175-IF(S175="",0,S175)))</f>
        <v/>
      </c>
      <c r="U50" s="43" t="str">
        <f aca="false">IF($A175="","",IF(I175="","",I175-SUM(J175:P175)))</f>
        <v/>
      </c>
      <c r="V50" s="6" t="s">
        <v>4901</v>
      </c>
      <c r="W50" s="9" t="s">
        <v>774</v>
      </c>
      <c r="X50" s="9" t="s">
        <v>4940</v>
      </c>
      <c r="Y50" s="9" t="s">
        <v>4897</v>
      </c>
      <c r="Z50" s="9" t="s">
        <v>4898</v>
      </c>
      <c r="AA50" s="9" t="s">
        <v>4903</v>
      </c>
    </row>
    <row r="51" customFormat="false" ht="15" hidden="false" customHeight="true" outlineLevel="0" collapsed="false">
      <c r="A51" s="6" t="s">
        <v>935</v>
      </c>
      <c r="B51" s="6" t="s">
        <v>448</v>
      </c>
      <c r="C51" s="6" t="s">
        <v>455</v>
      </c>
      <c r="D51" s="6" t="n">
        <v>6</v>
      </c>
      <c r="E51" s="9" t="s">
        <v>4900</v>
      </c>
      <c r="F51" s="42" t="n">
        <v>309000</v>
      </c>
      <c r="G51" s="48"/>
      <c r="H51" s="48"/>
      <c r="I51" s="48"/>
      <c r="J51" s="48"/>
      <c r="K51" s="48"/>
      <c r="L51" s="48"/>
      <c r="M51" s="48"/>
      <c r="N51" s="48"/>
      <c r="O51" s="48"/>
      <c r="P51" s="48"/>
      <c r="Q51" s="43" t="str">
        <f aca="false">IF($A176="","",IF(OR(F176="",I176=""),"",F176-I176))</f>
        <v/>
      </c>
      <c r="R51" s="43" t="str">
        <f aca="false">IF($A176="","",IF(Q176="","",Q176+IF(O176="",0,O176)))</f>
        <v/>
      </c>
      <c r="S51" s="48"/>
      <c r="T51" s="43" t="str">
        <f aca="false">IF($A176="","",IF(R176="","",R176-IF(S176="",0,S176)))</f>
        <v/>
      </c>
      <c r="U51" s="43" t="str">
        <f aca="false">IF($A176="","",IF(I176="","",I176-SUM(J176:P176)))</f>
        <v/>
      </c>
      <c r="V51" s="6" t="s">
        <v>4901</v>
      </c>
      <c r="W51" s="9" t="s">
        <v>774</v>
      </c>
      <c r="X51" s="9" t="s">
        <v>4905</v>
      </c>
      <c r="Y51" s="9" t="s">
        <v>4897</v>
      </c>
      <c r="Z51" s="9" t="s">
        <v>4898</v>
      </c>
      <c r="AA51" s="9" t="s">
        <v>4903</v>
      </c>
    </row>
    <row r="52" customFormat="false" ht="15" hidden="false" customHeight="true" outlineLevel="0" collapsed="false">
      <c r="A52" s="6" t="s">
        <v>937</v>
      </c>
      <c r="B52" s="6" t="s">
        <v>448</v>
      </c>
      <c r="C52" s="6" t="s">
        <v>455</v>
      </c>
      <c r="D52" s="6" t="n">
        <v>6</v>
      </c>
      <c r="E52" s="9" t="s">
        <v>4900</v>
      </c>
      <c r="F52" s="42" t="n">
        <v>874000</v>
      </c>
      <c r="G52" s="48"/>
      <c r="H52" s="48"/>
      <c r="I52" s="48"/>
      <c r="J52" s="48"/>
      <c r="K52" s="48"/>
      <c r="L52" s="48"/>
      <c r="M52" s="48"/>
      <c r="N52" s="48"/>
      <c r="O52" s="48"/>
      <c r="P52" s="48"/>
      <c r="Q52" s="43" t="str">
        <f aca="false">IF($A177="","",IF(OR(F177="",I177=""),"",F177-I177))</f>
        <v/>
      </c>
      <c r="R52" s="43" t="str">
        <f aca="false">IF($A177="","",IF(Q177="","",Q177+IF(O177="",0,O177)))</f>
        <v/>
      </c>
      <c r="S52" s="48"/>
      <c r="T52" s="43" t="str">
        <f aca="false">IF($A177="","",IF(R177="","",R177-IF(S177="",0,S177)))</f>
        <v/>
      </c>
      <c r="U52" s="43" t="str">
        <f aca="false">IF($A177="","",IF(I177="","",I177-SUM(J177:P177)))</f>
        <v/>
      </c>
      <c r="V52" s="6" t="s">
        <v>4901</v>
      </c>
      <c r="W52" s="9" t="s">
        <v>774</v>
      </c>
      <c r="X52" s="9" t="s">
        <v>4941</v>
      </c>
      <c r="Y52" s="9" t="s">
        <v>4897</v>
      </c>
      <c r="Z52" s="9" t="s">
        <v>4898</v>
      </c>
      <c r="AA52" s="9" t="s">
        <v>4903</v>
      </c>
    </row>
    <row r="53" customFormat="false" ht="15" hidden="false" customHeight="true" outlineLevel="0" collapsed="false">
      <c r="A53" s="6" t="s">
        <v>942</v>
      </c>
      <c r="B53" s="6" t="s">
        <v>448</v>
      </c>
      <c r="C53" s="6" t="s">
        <v>455</v>
      </c>
      <c r="D53" s="6" t="n">
        <v>6</v>
      </c>
      <c r="E53" s="9" t="s">
        <v>4900</v>
      </c>
      <c r="F53" s="42" t="n">
        <v>110000</v>
      </c>
      <c r="G53" s="48"/>
      <c r="H53" s="48"/>
      <c r="I53" s="48"/>
      <c r="J53" s="48"/>
      <c r="K53" s="48"/>
      <c r="L53" s="48"/>
      <c r="M53" s="48"/>
      <c r="N53" s="48"/>
      <c r="O53" s="48"/>
      <c r="P53" s="48"/>
      <c r="Q53" s="43" t="str">
        <f aca="false">IF($A178="","",IF(OR(F178="",I178=""),"",F178-I178))</f>
        <v/>
      </c>
      <c r="R53" s="43" t="str">
        <f aca="false">IF($A178="","",IF(Q178="","",Q178+IF(O178="",0,O178)))</f>
        <v/>
      </c>
      <c r="S53" s="48"/>
      <c r="T53" s="43" t="str">
        <f aca="false">IF($A178="","",IF(R178="","",R178-IF(S178="",0,S178)))</f>
        <v/>
      </c>
      <c r="U53" s="43" t="str">
        <f aca="false">IF($A178="","",IF(I178="","",I178-SUM(J178:P178)))</f>
        <v/>
      </c>
      <c r="V53" s="6" t="s">
        <v>4901</v>
      </c>
      <c r="W53" s="9" t="s">
        <v>774</v>
      </c>
      <c r="X53" s="9" t="s">
        <v>4912</v>
      </c>
      <c r="Y53" s="9" t="s">
        <v>4897</v>
      </c>
      <c r="Z53" s="9" t="s">
        <v>4898</v>
      </c>
      <c r="AA53" s="9" t="s">
        <v>4903</v>
      </c>
    </row>
    <row r="54" customFormat="false" ht="15" hidden="false" customHeight="true" outlineLevel="0" collapsed="false">
      <c r="A54" s="6" t="s">
        <v>944</v>
      </c>
      <c r="B54" s="6" t="s">
        <v>448</v>
      </c>
      <c r="C54" s="6" t="s">
        <v>455</v>
      </c>
      <c r="D54" s="6" t="n">
        <v>6</v>
      </c>
      <c r="E54" s="9" t="s">
        <v>4900</v>
      </c>
      <c r="F54" s="42" t="n">
        <v>110000</v>
      </c>
      <c r="G54" s="48" t="n">
        <v>9796629</v>
      </c>
      <c r="H54" s="48" t="n">
        <v>1318829</v>
      </c>
      <c r="I54" s="48" t="n">
        <v>5799809</v>
      </c>
      <c r="J54" s="48" t="n">
        <v>1579242</v>
      </c>
      <c r="K54" s="48" t="n">
        <v>1104826</v>
      </c>
      <c r="L54" s="48" t="n">
        <v>1009732</v>
      </c>
      <c r="M54" s="48" t="n">
        <v>25125</v>
      </c>
      <c r="N54" s="48" t="n">
        <v>165179</v>
      </c>
      <c r="O54" s="48" t="n">
        <v>1789009</v>
      </c>
      <c r="P54" s="48" t="n">
        <v>126692</v>
      </c>
      <c r="Q54" s="43" t="str">
        <f aca="false">IF($A179="","",IF(OR(F179="",I179=""),"",F179-I179))</f>
        <v/>
      </c>
      <c r="R54" s="43" t="str">
        <f aca="false">IF($A179="","",IF(Q179="","",Q179+IF(O179="",0,O179)))</f>
        <v/>
      </c>
      <c r="S54" s="48" t="n">
        <v>1559000</v>
      </c>
      <c r="T54" s="43" t="str">
        <f aca="false">IF($A179="","",IF(R179="","",R179-IF(S179="",0,S179)))</f>
        <v/>
      </c>
      <c r="U54" s="43" t="str">
        <f aca="false">IF($A179="","",IF(I179="","",I179-SUM(J179:P179)))</f>
        <v/>
      </c>
      <c r="V54" s="6" t="s">
        <v>4901</v>
      </c>
      <c r="W54" s="9" t="s">
        <v>774</v>
      </c>
      <c r="X54" s="9" t="s">
        <v>4912</v>
      </c>
      <c r="Y54" s="9" t="s">
        <v>4897</v>
      </c>
      <c r="Z54" s="9" t="s">
        <v>4898</v>
      </c>
      <c r="AA54" s="9" t="s">
        <v>4903</v>
      </c>
    </row>
    <row r="55" customFormat="false" ht="15" hidden="false" customHeight="true" outlineLevel="0" collapsed="false">
      <c r="A55" s="6" t="s">
        <v>948</v>
      </c>
      <c r="B55" s="6" t="s">
        <v>448</v>
      </c>
      <c r="C55" s="6" t="s">
        <v>455</v>
      </c>
      <c r="D55" s="6" t="n">
        <v>6</v>
      </c>
      <c r="E55" s="9" t="s">
        <v>4900</v>
      </c>
      <c r="F55" s="42" t="n">
        <v>17000</v>
      </c>
      <c r="G55" s="48"/>
      <c r="H55" s="48"/>
      <c r="I55" s="48"/>
      <c r="J55" s="48"/>
      <c r="K55" s="48"/>
      <c r="L55" s="48"/>
      <c r="M55" s="48"/>
      <c r="N55" s="48"/>
      <c r="O55" s="48"/>
      <c r="P55" s="48"/>
      <c r="Q55" s="43" t="str">
        <f aca="false">IF($A180="","",IF(OR(F180="",I180=""),"",F180-I180))</f>
        <v/>
      </c>
      <c r="R55" s="43" t="str">
        <f aca="false">IF($A180="","",IF(Q180="","",Q180+IF(O180="",0,O180)))</f>
        <v/>
      </c>
      <c r="S55" s="48"/>
      <c r="T55" s="43" t="str">
        <f aca="false">IF($A180="","",IF(R180="","",R180-IF(S180="",0,S180)))</f>
        <v/>
      </c>
      <c r="U55" s="43" t="str">
        <f aca="false">IF($A180="","",IF(I180="","",I180-SUM(J180:P180)))</f>
        <v/>
      </c>
      <c r="V55" s="6" t="s">
        <v>4901</v>
      </c>
      <c r="W55" s="9" t="s">
        <v>774</v>
      </c>
      <c r="X55" s="9" t="s">
        <v>4942</v>
      </c>
      <c r="Y55" s="6" t="s">
        <v>4920</v>
      </c>
      <c r="Z55" s="9" t="s">
        <v>4939</v>
      </c>
      <c r="AA55" s="9" t="s">
        <v>4943</v>
      </c>
    </row>
    <row r="56" customFormat="false" ht="15" hidden="false" customHeight="true" outlineLevel="0" collapsed="false">
      <c r="A56" s="6" t="s">
        <v>955</v>
      </c>
      <c r="B56" s="6" t="s">
        <v>448</v>
      </c>
      <c r="C56" s="6" t="s">
        <v>455</v>
      </c>
      <c r="D56" s="6" t="n">
        <v>6</v>
      </c>
      <c r="E56" s="9" t="s">
        <v>4900</v>
      </c>
      <c r="F56" s="42" t="n">
        <v>348000</v>
      </c>
      <c r="G56" s="48"/>
      <c r="H56" s="48"/>
      <c r="I56" s="48"/>
      <c r="J56" s="48"/>
      <c r="K56" s="48"/>
      <c r="L56" s="48"/>
      <c r="M56" s="48"/>
      <c r="N56" s="48"/>
      <c r="O56" s="48"/>
      <c r="P56" s="48"/>
      <c r="Q56" s="43" t="str">
        <f aca="false">IF($A181="","",IF(OR(F181="",I181=""),"",F181-I181))</f>
        <v/>
      </c>
      <c r="R56" s="43" t="str">
        <f aca="false">IF($A181="","",IF(Q181="","",Q181+IF(O181="",0,O181)))</f>
        <v/>
      </c>
      <c r="S56" s="48"/>
      <c r="T56" s="43" t="str">
        <f aca="false">IF($A181="","",IF(R181="","",R181-IF(S181="",0,S181)))</f>
        <v/>
      </c>
      <c r="U56" s="43" t="str">
        <f aca="false">IF($A181="","",IF(I181="","",I181-SUM(J181:P181)))</f>
        <v/>
      </c>
      <c r="V56" s="6" t="s">
        <v>4901</v>
      </c>
      <c r="W56" s="9" t="s">
        <v>774</v>
      </c>
      <c r="X56" s="9" t="s">
        <v>4944</v>
      </c>
      <c r="Y56" s="9" t="s">
        <v>4897</v>
      </c>
      <c r="Z56" s="9" t="s">
        <v>4898</v>
      </c>
      <c r="AA56" s="9" t="s">
        <v>4903</v>
      </c>
    </row>
    <row r="57" customFormat="false" ht="15" hidden="false" customHeight="true" outlineLevel="0" collapsed="false">
      <c r="A57" s="6" t="s">
        <v>958</v>
      </c>
      <c r="B57" s="6" t="s">
        <v>448</v>
      </c>
      <c r="C57" s="6" t="s">
        <v>455</v>
      </c>
      <c r="D57" s="6" t="n">
        <v>6</v>
      </c>
      <c r="E57" s="9" t="s">
        <v>4900</v>
      </c>
      <c r="F57" s="42" t="n">
        <v>126000</v>
      </c>
      <c r="G57" s="48"/>
      <c r="H57" s="48"/>
      <c r="I57" s="48"/>
      <c r="J57" s="48"/>
      <c r="K57" s="48"/>
      <c r="L57" s="48"/>
      <c r="M57" s="48"/>
      <c r="N57" s="48"/>
      <c r="O57" s="48"/>
      <c r="P57" s="48"/>
      <c r="Q57" s="43" t="str">
        <f aca="false">IF($A182="","",IF(OR(F182="",I182=""),"",F182-I182))</f>
        <v/>
      </c>
      <c r="R57" s="43" t="str">
        <f aca="false">IF($A182="","",IF(Q182="","",Q182+IF(O182="",0,O182)))</f>
        <v/>
      </c>
      <c r="S57" s="48"/>
      <c r="T57" s="43" t="str">
        <f aca="false">IF($A182="","",IF(R182="","",R182-IF(S182="",0,S182)))</f>
        <v/>
      </c>
      <c r="U57" s="43" t="str">
        <f aca="false">IF($A182="","",IF(I182="","",I182-SUM(J182:P182)))</f>
        <v/>
      </c>
      <c r="V57" s="6" t="s">
        <v>4901</v>
      </c>
      <c r="W57" s="9" t="s">
        <v>774</v>
      </c>
      <c r="X57" s="9" t="s">
        <v>4945</v>
      </c>
      <c r="Y57" s="9" t="s">
        <v>4897</v>
      </c>
      <c r="Z57" s="9" t="s">
        <v>4898</v>
      </c>
      <c r="AA57" s="9" t="s">
        <v>4903</v>
      </c>
    </row>
    <row r="58" customFormat="false" ht="15" hidden="false" customHeight="true" outlineLevel="0" collapsed="false">
      <c r="A58" s="6" t="s">
        <v>961</v>
      </c>
      <c r="B58" s="6" t="s">
        <v>448</v>
      </c>
      <c r="C58" s="6" t="s">
        <v>455</v>
      </c>
      <c r="D58" s="6" t="n">
        <v>6</v>
      </c>
      <c r="E58" s="9" t="s">
        <v>4900</v>
      </c>
      <c r="F58" s="42" t="n">
        <v>161000</v>
      </c>
      <c r="G58" s="48"/>
      <c r="H58" s="48"/>
      <c r="I58" s="48"/>
      <c r="J58" s="48"/>
      <c r="K58" s="48"/>
      <c r="L58" s="48"/>
      <c r="M58" s="48"/>
      <c r="N58" s="48"/>
      <c r="O58" s="48"/>
      <c r="P58" s="48"/>
      <c r="Q58" s="43" t="str">
        <f aca="false">IF($A183="","",IF(OR(F183="",I183=""),"",F183-I183))</f>
        <v/>
      </c>
      <c r="R58" s="43" t="str">
        <f aca="false">IF($A183="","",IF(Q183="","",Q183+IF(O183="",0,O183)))</f>
        <v/>
      </c>
      <c r="S58" s="48"/>
      <c r="T58" s="43" t="str">
        <f aca="false">IF($A183="","",IF(R183="","",R183-IF(S183="",0,S183)))</f>
        <v/>
      </c>
      <c r="U58" s="43" t="str">
        <f aca="false">IF($A183="","",IF(I183="","",I183-SUM(J183:P183)))</f>
        <v/>
      </c>
      <c r="V58" s="6" t="s">
        <v>4901</v>
      </c>
      <c r="W58" s="9" t="s">
        <v>774</v>
      </c>
      <c r="X58" s="9" t="s">
        <v>4946</v>
      </c>
      <c r="Y58" s="6" t="s">
        <v>4920</v>
      </c>
      <c r="Z58" s="9" t="s">
        <v>4939</v>
      </c>
      <c r="AA58" s="9" t="s">
        <v>4903</v>
      </c>
    </row>
    <row r="59" customFormat="false" ht="15" hidden="false" customHeight="true" outlineLevel="0" collapsed="false">
      <c r="A59" s="6" t="s">
        <v>967</v>
      </c>
      <c r="B59" s="6" t="s">
        <v>448</v>
      </c>
      <c r="C59" s="6" t="s">
        <v>455</v>
      </c>
      <c r="D59" s="6" t="n">
        <v>6</v>
      </c>
      <c r="E59" s="9" t="s">
        <v>4900</v>
      </c>
      <c r="F59" s="42" t="n">
        <v>614000</v>
      </c>
      <c r="G59" s="48"/>
      <c r="H59" s="48"/>
      <c r="I59" s="48"/>
      <c r="J59" s="48"/>
      <c r="K59" s="48"/>
      <c r="L59" s="48"/>
      <c r="M59" s="48"/>
      <c r="N59" s="48"/>
      <c r="O59" s="48"/>
      <c r="P59" s="48"/>
      <c r="Q59" s="43" t="str">
        <f aca="false">IF($A184="","",IF(OR(F184="",I184=""),"",F184-I184))</f>
        <v/>
      </c>
      <c r="R59" s="43" t="str">
        <f aca="false">IF($A184="","",IF(Q184="","",Q184+IF(O184="",0,O184)))</f>
        <v/>
      </c>
      <c r="S59" s="48"/>
      <c r="T59" s="43" t="str">
        <f aca="false">IF($A184="","",IF(R184="","",R184-IF(S184="",0,S184)))</f>
        <v/>
      </c>
      <c r="U59" s="43" t="str">
        <f aca="false">IF($A184="","",IF(I184="","",I184-SUM(J184:P184)))</f>
        <v/>
      </c>
      <c r="V59" s="6" t="s">
        <v>4901</v>
      </c>
      <c r="W59" s="9" t="s">
        <v>774</v>
      </c>
      <c r="X59" s="9" t="s">
        <v>4912</v>
      </c>
      <c r="Y59" s="9" t="s">
        <v>4897</v>
      </c>
      <c r="Z59" s="9" t="s">
        <v>4898</v>
      </c>
      <c r="AA59" s="9" t="s">
        <v>4903</v>
      </c>
    </row>
    <row r="60" customFormat="false" ht="15" hidden="false" customHeight="true" outlineLevel="0" collapsed="false">
      <c r="A60" s="6" t="s">
        <v>972</v>
      </c>
      <c r="B60" s="6" t="s">
        <v>448</v>
      </c>
      <c r="C60" s="6" t="s">
        <v>455</v>
      </c>
      <c r="D60" s="6" t="n">
        <v>6</v>
      </c>
      <c r="E60" s="9" t="s">
        <v>4900</v>
      </c>
      <c r="F60" s="42" t="n">
        <v>457000</v>
      </c>
      <c r="G60" s="48"/>
      <c r="H60" s="48"/>
      <c r="I60" s="48"/>
      <c r="J60" s="48"/>
      <c r="K60" s="48"/>
      <c r="L60" s="48"/>
      <c r="M60" s="48"/>
      <c r="N60" s="48"/>
      <c r="O60" s="48"/>
      <c r="P60" s="48"/>
      <c r="Q60" s="43" t="str">
        <f aca="false">IF($A185="","",IF(OR(F185="",I185=""),"",F185-I185))</f>
        <v/>
      </c>
      <c r="R60" s="43" t="str">
        <f aca="false">IF($A185="","",IF(Q185="","",Q185+IF(O185="",0,O185)))</f>
        <v/>
      </c>
      <c r="S60" s="48"/>
      <c r="T60" s="43" t="str">
        <f aca="false">IF($A185="","",IF(R185="","",R185-IF(S185="",0,S185)))</f>
        <v/>
      </c>
      <c r="U60" s="43" t="str">
        <f aca="false">IF($A185="","",IF(I185="","",I185-SUM(J185:P185)))</f>
        <v/>
      </c>
      <c r="V60" s="6" t="s">
        <v>4901</v>
      </c>
      <c r="W60" s="9" t="s">
        <v>774</v>
      </c>
      <c r="X60" s="9" t="s">
        <v>4905</v>
      </c>
      <c r="Y60" s="9" t="s">
        <v>4897</v>
      </c>
      <c r="Z60" s="9" t="s">
        <v>4898</v>
      </c>
      <c r="AA60" s="9" t="s">
        <v>4903</v>
      </c>
    </row>
    <row r="61" customFormat="false" ht="15" hidden="false" customHeight="true" outlineLevel="0" collapsed="false">
      <c r="A61" s="6" t="s">
        <v>974</v>
      </c>
      <c r="B61" s="6" t="s">
        <v>448</v>
      </c>
      <c r="C61" s="6" t="s">
        <v>455</v>
      </c>
      <c r="D61" s="6" t="n">
        <v>6</v>
      </c>
      <c r="E61" s="9" t="s">
        <v>4900</v>
      </c>
      <c r="F61" s="42" t="n">
        <v>508000</v>
      </c>
      <c r="G61" s="48"/>
      <c r="H61" s="48"/>
      <c r="I61" s="48"/>
      <c r="J61" s="48"/>
      <c r="K61" s="48"/>
      <c r="L61" s="48"/>
      <c r="M61" s="48"/>
      <c r="N61" s="48"/>
      <c r="O61" s="48"/>
      <c r="P61" s="48"/>
      <c r="Q61" s="43" t="str">
        <f aca="false">IF($A186="","",IF(OR(F186="",I186=""),"",F186-I186))</f>
        <v/>
      </c>
      <c r="R61" s="43" t="str">
        <f aca="false">IF($A186="","",IF(Q186="","",Q186+IF(O186="",0,O186)))</f>
        <v/>
      </c>
      <c r="S61" s="48"/>
      <c r="T61" s="43" t="str">
        <f aca="false">IF($A186="","",IF(R186="","",R186-IF(S186="",0,S186)))</f>
        <v/>
      </c>
      <c r="U61" s="43" t="str">
        <f aca="false">IF($A186="","",IF(I186="","",I186-SUM(J186:P186)))</f>
        <v/>
      </c>
      <c r="V61" s="6" t="s">
        <v>4901</v>
      </c>
      <c r="W61" s="9" t="s">
        <v>774</v>
      </c>
      <c r="X61" s="9" t="s">
        <v>4905</v>
      </c>
      <c r="Y61" s="9" t="s">
        <v>4897</v>
      </c>
      <c r="Z61" s="9" t="s">
        <v>4898</v>
      </c>
      <c r="AA61" s="9" t="s">
        <v>4903</v>
      </c>
    </row>
    <row r="62" customFormat="false" ht="15" hidden="false" customHeight="true" outlineLevel="0" collapsed="false">
      <c r="A62" s="6" t="s">
        <v>976</v>
      </c>
      <c r="B62" s="6" t="s">
        <v>448</v>
      </c>
      <c r="C62" s="6" t="s">
        <v>455</v>
      </c>
      <c r="D62" s="6" t="n">
        <v>6</v>
      </c>
      <c r="E62" s="9" t="s">
        <v>4900</v>
      </c>
      <c r="F62" s="42" t="n">
        <v>253000</v>
      </c>
      <c r="G62" s="48"/>
      <c r="H62" s="48"/>
      <c r="I62" s="48"/>
      <c r="J62" s="48"/>
      <c r="K62" s="48"/>
      <c r="L62" s="48"/>
      <c r="M62" s="48"/>
      <c r="N62" s="48"/>
      <c r="O62" s="48"/>
      <c r="P62" s="48"/>
      <c r="Q62" s="43" t="str">
        <f aca="false">IF($A187="","",IF(OR(F187="",I187=""),"",F187-I187))</f>
        <v/>
      </c>
      <c r="R62" s="43" t="str">
        <f aca="false">IF($A187="","",IF(Q187="","",Q187+IF(O187="",0,O187)))</f>
        <v/>
      </c>
      <c r="S62" s="48"/>
      <c r="T62" s="43" t="str">
        <f aca="false">IF($A187="","",IF(R187="","",R187-IF(S187="",0,S187)))</f>
        <v/>
      </c>
      <c r="U62" s="43" t="str">
        <f aca="false">IF($A187="","",IF(I187="","",I187-SUM(J187:P187)))</f>
        <v/>
      </c>
      <c r="V62" s="6" t="s">
        <v>4901</v>
      </c>
      <c r="W62" s="9" t="s">
        <v>774</v>
      </c>
      <c r="X62" s="9" t="s">
        <v>4947</v>
      </c>
      <c r="Y62" s="9" t="s">
        <v>4897</v>
      </c>
      <c r="Z62" s="9" t="s">
        <v>4898</v>
      </c>
      <c r="AA62" s="9" t="s">
        <v>4903</v>
      </c>
    </row>
    <row r="63" customFormat="false" ht="15" hidden="false" customHeight="true" outlineLevel="0" collapsed="false">
      <c r="A63" s="6" t="s">
        <v>979</v>
      </c>
      <c r="B63" s="6" t="s">
        <v>448</v>
      </c>
      <c r="C63" s="6" t="s">
        <v>455</v>
      </c>
      <c r="D63" s="6" t="n">
        <v>6</v>
      </c>
      <c r="E63" s="9" t="s">
        <v>4900</v>
      </c>
      <c r="F63" s="42" t="n">
        <v>1413000</v>
      </c>
      <c r="G63" s="48"/>
      <c r="H63" s="48"/>
      <c r="I63" s="48"/>
      <c r="J63" s="48"/>
      <c r="K63" s="48"/>
      <c r="L63" s="48"/>
      <c r="M63" s="48"/>
      <c r="N63" s="48"/>
      <c r="O63" s="48"/>
      <c r="P63" s="48"/>
      <c r="Q63" s="43" t="str">
        <f aca="false">IF($A188="","",IF(OR(F188="",I188=""),"",F188-I188))</f>
        <v/>
      </c>
      <c r="R63" s="43" t="str">
        <f aca="false">IF($A188="","",IF(Q188="","",Q188+IF(O188="",0,O188)))</f>
        <v/>
      </c>
      <c r="S63" s="48"/>
      <c r="T63" s="43" t="str">
        <f aca="false">IF($A188="","",IF(R188="","",R188-IF(S188="",0,S188)))</f>
        <v/>
      </c>
      <c r="U63" s="43" t="str">
        <f aca="false">IF($A188="","",IF(I188="","",I188-SUM(J188:P188)))</f>
        <v/>
      </c>
      <c r="V63" s="6" t="s">
        <v>4901</v>
      </c>
      <c r="W63" s="9" t="s">
        <v>774</v>
      </c>
      <c r="X63" s="9" t="s">
        <v>4905</v>
      </c>
      <c r="Y63" s="9" t="s">
        <v>4897</v>
      </c>
      <c r="Z63" s="9" t="s">
        <v>4898</v>
      </c>
      <c r="AA63" s="9" t="s">
        <v>4903</v>
      </c>
    </row>
    <row r="64" customFormat="false" ht="15" hidden="false" customHeight="true" outlineLevel="0" collapsed="false">
      <c r="A64" s="6" t="s">
        <v>983</v>
      </c>
      <c r="B64" s="6" t="s">
        <v>448</v>
      </c>
      <c r="C64" s="6" t="s">
        <v>455</v>
      </c>
      <c r="D64" s="6" t="n">
        <v>6</v>
      </c>
      <c r="E64" s="9" t="s">
        <v>4900</v>
      </c>
      <c r="F64" s="42" t="n">
        <v>666000</v>
      </c>
      <c r="G64" s="48"/>
      <c r="H64" s="48"/>
      <c r="I64" s="48"/>
      <c r="J64" s="48"/>
      <c r="K64" s="48"/>
      <c r="L64" s="48"/>
      <c r="M64" s="48"/>
      <c r="N64" s="48"/>
      <c r="O64" s="48"/>
      <c r="P64" s="48"/>
      <c r="Q64" s="43" t="str">
        <f aca="false">IF($A189="","",IF(OR(F189="",I189=""),"",F189-I189))</f>
        <v/>
      </c>
      <c r="R64" s="43" t="str">
        <f aca="false">IF($A189="","",IF(Q189="","",Q189+IF(O189="",0,O189)))</f>
        <v/>
      </c>
      <c r="S64" s="48"/>
      <c r="T64" s="43" t="str">
        <f aca="false">IF($A189="","",IF(R189="","",R189-IF(S189="",0,S189)))</f>
        <v/>
      </c>
      <c r="U64" s="43" t="str">
        <f aca="false">IF($A189="","",IF(I189="","",I189-SUM(J189:P189)))</f>
        <v/>
      </c>
      <c r="V64" s="6" t="s">
        <v>4901</v>
      </c>
      <c r="W64" s="9" t="s">
        <v>774</v>
      </c>
      <c r="X64" s="9" t="s">
        <v>4912</v>
      </c>
      <c r="Y64" s="9" t="s">
        <v>4897</v>
      </c>
      <c r="Z64" s="9" t="s">
        <v>4898</v>
      </c>
      <c r="AA64" s="9" t="s">
        <v>4903</v>
      </c>
    </row>
    <row r="65" customFormat="false" ht="15" hidden="false" customHeight="true" outlineLevel="0" collapsed="false">
      <c r="A65" s="6" t="s">
        <v>985</v>
      </c>
      <c r="B65" s="6" t="s">
        <v>448</v>
      </c>
      <c r="C65" s="6" t="s">
        <v>455</v>
      </c>
      <c r="D65" s="6" t="n">
        <v>6</v>
      </c>
      <c r="E65" s="9" t="s">
        <v>4900</v>
      </c>
      <c r="F65" s="42" t="n">
        <v>633000</v>
      </c>
      <c r="G65" s="48"/>
      <c r="H65" s="48"/>
      <c r="I65" s="48"/>
      <c r="J65" s="48"/>
      <c r="K65" s="48"/>
      <c r="L65" s="48"/>
      <c r="M65" s="48"/>
      <c r="N65" s="48"/>
      <c r="O65" s="48"/>
      <c r="P65" s="48"/>
      <c r="Q65" s="43" t="str">
        <f aca="false">IF($A190="","",IF(OR(F190="",I190=""),"",F190-I190))</f>
        <v/>
      </c>
      <c r="R65" s="43" t="str">
        <f aca="false">IF($A190="","",IF(Q190="","",Q190+IF(O190="",0,O190)))</f>
        <v/>
      </c>
      <c r="S65" s="48"/>
      <c r="T65" s="43" t="str">
        <f aca="false">IF($A190="","",IF(R190="","",R190-IF(S190="",0,S190)))</f>
        <v/>
      </c>
      <c r="U65" s="43" t="str">
        <f aca="false">IF($A190="","",IF(I190="","",I190-SUM(J190:P190)))</f>
        <v/>
      </c>
      <c r="V65" s="6" t="s">
        <v>4901</v>
      </c>
      <c r="W65" s="9" t="s">
        <v>774</v>
      </c>
      <c r="X65" s="9" t="s">
        <v>4912</v>
      </c>
      <c r="Y65" s="9" t="s">
        <v>4897</v>
      </c>
      <c r="Z65" s="9" t="s">
        <v>4898</v>
      </c>
      <c r="AA65" s="9" t="s">
        <v>4903</v>
      </c>
    </row>
    <row r="66" customFormat="false" ht="15" hidden="false" customHeight="true" outlineLevel="0" collapsed="false">
      <c r="A66" s="6" t="s">
        <v>987</v>
      </c>
      <c r="B66" s="6" t="s">
        <v>448</v>
      </c>
      <c r="C66" s="6" t="s">
        <v>455</v>
      </c>
      <c r="D66" s="6" t="n">
        <v>6</v>
      </c>
      <c r="E66" s="9" t="s">
        <v>4900</v>
      </c>
      <c r="F66" s="42" t="n">
        <v>627000</v>
      </c>
      <c r="G66" s="48"/>
      <c r="H66" s="48"/>
      <c r="I66" s="48"/>
      <c r="J66" s="48"/>
      <c r="K66" s="48"/>
      <c r="L66" s="48"/>
      <c r="M66" s="48"/>
      <c r="N66" s="48"/>
      <c r="O66" s="48"/>
      <c r="P66" s="48"/>
      <c r="Q66" s="43" t="str">
        <f aca="false">IF($A191="","",IF(OR(F191="",I191=""),"",F191-I191))</f>
        <v/>
      </c>
      <c r="R66" s="43" t="n">
        <f aca="false">IF($A191="","",IF(Q191="","",Q191+IF(O191="",0,O191)))</f>
        <v>17499163</v>
      </c>
      <c r="S66" s="48"/>
      <c r="T66" s="43" t="n">
        <f aca="false">IF($A191="","",IF(R191="","",R191-IF(S191="",0,S191)))</f>
        <v>23808691</v>
      </c>
      <c r="U66" s="43" t="str">
        <f aca="false">IF($A191="","",IF(I191="","",I191-SUM(J191:P191)))</f>
        <v/>
      </c>
      <c r="V66" s="6" t="s">
        <v>4901</v>
      </c>
      <c r="W66" s="9" t="s">
        <v>774</v>
      </c>
      <c r="X66" s="9" t="s">
        <v>4905</v>
      </c>
      <c r="Y66" s="9" t="s">
        <v>4897</v>
      </c>
      <c r="Z66" s="9" t="s">
        <v>4898</v>
      </c>
      <c r="AA66" s="9" t="s">
        <v>4903</v>
      </c>
    </row>
    <row r="67" customFormat="false" ht="15" hidden="false" customHeight="true" outlineLevel="0" collapsed="false">
      <c r="A67" s="6" t="s">
        <v>989</v>
      </c>
      <c r="B67" s="6" t="s">
        <v>448</v>
      </c>
      <c r="C67" s="6" t="s">
        <v>455</v>
      </c>
      <c r="D67" s="6" t="n">
        <v>6</v>
      </c>
      <c r="E67" s="9" t="s">
        <v>4900</v>
      </c>
      <c r="F67" s="42" t="n">
        <v>607000</v>
      </c>
      <c r="G67" s="48"/>
      <c r="H67" s="48"/>
      <c r="I67" s="48"/>
      <c r="J67" s="48"/>
      <c r="K67" s="48"/>
      <c r="L67" s="48"/>
      <c r="M67" s="48"/>
      <c r="N67" s="48"/>
      <c r="O67" s="48"/>
      <c r="P67" s="48"/>
      <c r="Q67" s="43" t="str">
        <f aca="false">IF($A192="","",IF(OR(F192="",I192=""),"",F192-I192))</f>
        <v/>
      </c>
      <c r="R67" s="43" t="n">
        <f aca="false">IF($A192="","",IF(Q192="","",Q192+IF(O192="",0,O192)))</f>
        <v>1127000</v>
      </c>
      <c r="S67" s="48"/>
      <c r="T67" s="43" t="n">
        <f aca="false">IF($A192="","",IF(R192="","",R192-IF(S192="",0,S192)))</f>
        <v>1376000</v>
      </c>
      <c r="U67" s="43" t="str">
        <f aca="false">IF($A192="","",IF(I192="","",I192-SUM(J192:P192)))</f>
        <v/>
      </c>
      <c r="V67" s="6" t="s">
        <v>4901</v>
      </c>
      <c r="W67" s="9" t="s">
        <v>774</v>
      </c>
      <c r="X67" s="9" t="s">
        <v>4948</v>
      </c>
      <c r="Y67" s="9" t="s">
        <v>4897</v>
      </c>
      <c r="Z67" s="9" t="s">
        <v>4898</v>
      </c>
      <c r="AA67" s="9" t="s">
        <v>4903</v>
      </c>
    </row>
    <row r="68" customFormat="false" ht="15" hidden="false" customHeight="true" outlineLevel="0" collapsed="false">
      <c r="A68" s="6" t="s">
        <v>992</v>
      </c>
      <c r="B68" s="6" t="s">
        <v>448</v>
      </c>
      <c r="C68" s="6" t="s">
        <v>455</v>
      </c>
      <c r="D68" s="6" t="n">
        <v>6</v>
      </c>
      <c r="E68" s="9" t="s">
        <v>4900</v>
      </c>
      <c r="F68" s="42" t="n">
        <v>282000</v>
      </c>
      <c r="G68" s="48"/>
      <c r="H68" s="48"/>
      <c r="I68" s="48"/>
      <c r="J68" s="48"/>
      <c r="K68" s="48"/>
      <c r="L68" s="48"/>
      <c r="M68" s="48"/>
      <c r="N68" s="48"/>
      <c r="O68" s="48"/>
      <c r="P68" s="48"/>
      <c r="Q68" s="43" t="str">
        <f aca="false">IF($A193="","",IF(OR(F193="",I193=""),"",F193-I193))</f>
        <v/>
      </c>
      <c r="R68" s="43" t="n">
        <f aca="false">IF($A193="","",IF(Q193="","",Q193+IF(O193="",0,O193)))</f>
        <v>154000</v>
      </c>
      <c r="S68" s="48"/>
      <c r="T68" s="43" t="n">
        <f aca="false">IF($A193="","",IF(R193="","",R193-IF(S193="",0,S193)))</f>
        <v>186000</v>
      </c>
      <c r="U68" s="43" t="str">
        <f aca="false">IF($A193="","",IF(I193="","",I193-SUM(J193:P193)))</f>
        <v/>
      </c>
      <c r="V68" s="6" t="s">
        <v>4901</v>
      </c>
      <c r="W68" s="9" t="s">
        <v>774</v>
      </c>
      <c r="X68" s="9" t="s">
        <v>4912</v>
      </c>
      <c r="Y68" s="9" t="s">
        <v>4897</v>
      </c>
      <c r="Z68" s="9" t="s">
        <v>4898</v>
      </c>
      <c r="AA68" s="9" t="s">
        <v>4903</v>
      </c>
    </row>
    <row r="69" customFormat="false" ht="15" hidden="false" customHeight="true" outlineLevel="0" collapsed="false">
      <c r="A69" s="6" t="s">
        <v>994</v>
      </c>
      <c r="B69" s="6" t="s">
        <v>448</v>
      </c>
      <c r="C69" s="6" t="s">
        <v>455</v>
      </c>
      <c r="D69" s="6" t="n">
        <v>6</v>
      </c>
      <c r="E69" s="9" t="s">
        <v>4900</v>
      </c>
      <c r="F69" s="42" t="n">
        <v>103000</v>
      </c>
      <c r="G69" s="48"/>
      <c r="H69" s="48"/>
      <c r="I69" s="48"/>
      <c r="J69" s="48"/>
      <c r="K69" s="48"/>
      <c r="L69" s="48"/>
      <c r="M69" s="48"/>
      <c r="N69" s="48"/>
      <c r="O69" s="48"/>
      <c r="P69" s="48"/>
      <c r="Q69" s="43" t="str">
        <f aca="false">IF($A194="","",IF(OR(F194="",I194=""),"",F194-I194))</f>
        <v/>
      </c>
      <c r="R69" s="43" t="n">
        <f aca="false">IF($A194="","",IF(Q194="","",Q194+IF(O194="",0,O194)))</f>
        <v>112000</v>
      </c>
      <c r="S69" s="48"/>
      <c r="T69" s="43" t="n">
        <f aca="false">IF($A194="","",IF(R194="","",R194-IF(S194="",0,S194)))</f>
        <v>132000</v>
      </c>
      <c r="U69" s="43" t="str">
        <f aca="false">IF($A194="","",IF(I194="","",I194-SUM(J194:P194)))</f>
        <v/>
      </c>
      <c r="V69" s="6" t="s">
        <v>4901</v>
      </c>
      <c r="W69" s="9" t="s">
        <v>774</v>
      </c>
      <c r="X69" s="9" t="s">
        <v>4949</v>
      </c>
      <c r="Y69" s="9" t="s">
        <v>4897</v>
      </c>
      <c r="Z69" s="9" t="s">
        <v>4898</v>
      </c>
      <c r="AA69" s="9" t="s">
        <v>4903</v>
      </c>
    </row>
    <row r="70" customFormat="false" ht="15" hidden="false" customHeight="true" outlineLevel="0" collapsed="false">
      <c r="A70" s="6" t="s">
        <v>999</v>
      </c>
      <c r="B70" s="6" t="s">
        <v>448</v>
      </c>
      <c r="C70" s="6" t="s">
        <v>455</v>
      </c>
      <c r="D70" s="6" t="n">
        <v>6</v>
      </c>
      <c r="E70" s="9" t="s">
        <v>4900</v>
      </c>
      <c r="F70" s="42" t="n">
        <v>160000</v>
      </c>
      <c r="G70" s="48"/>
      <c r="H70" s="48"/>
      <c r="I70" s="48"/>
      <c r="J70" s="48"/>
      <c r="K70" s="48"/>
      <c r="L70" s="48"/>
      <c r="M70" s="48"/>
      <c r="N70" s="48"/>
      <c r="O70" s="48"/>
      <c r="P70" s="48"/>
      <c r="Q70" s="43" t="str">
        <f aca="false">IF($A195="","",IF(OR(F195="",I195=""),"",F195-I195))</f>
        <v/>
      </c>
      <c r="R70" s="43" t="n">
        <f aca="false">IF($A195="","",IF(Q195="","",Q195+IF(O195="",0,O195)))</f>
        <v>174000</v>
      </c>
      <c r="S70" s="48"/>
      <c r="T70" s="43" t="n">
        <f aca="false">IF($A195="","",IF(R195="","",R195-IF(S195="",0,S195)))</f>
        <v>275000</v>
      </c>
      <c r="U70" s="43" t="str">
        <f aca="false">IF($A195="","",IF(I195="","",I195-SUM(J195:P195)))</f>
        <v/>
      </c>
      <c r="V70" s="6" t="s">
        <v>4901</v>
      </c>
      <c r="W70" s="9" t="s">
        <v>774</v>
      </c>
      <c r="X70" s="9" t="s">
        <v>4912</v>
      </c>
      <c r="Y70" s="9" t="s">
        <v>4897</v>
      </c>
      <c r="Z70" s="9" t="s">
        <v>4898</v>
      </c>
      <c r="AA70" s="9" t="s">
        <v>4903</v>
      </c>
    </row>
    <row r="71" customFormat="false" ht="15" hidden="false" customHeight="true" outlineLevel="0" collapsed="false">
      <c r="A71" s="6" t="s">
        <v>1003</v>
      </c>
      <c r="B71" s="6" t="s">
        <v>448</v>
      </c>
      <c r="C71" s="6" t="s">
        <v>455</v>
      </c>
      <c r="D71" s="6" t="n">
        <v>6</v>
      </c>
      <c r="E71" s="9" t="s">
        <v>4900</v>
      </c>
      <c r="F71" s="42" t="n">
        <v>488000</v>
      </c>
      <c r="G71" s="48"/>
      <c r="H71" s="48"/>
      <c r="I71" s="48"/>
      <c r="J71" s="48"/>
      <c r="K71" s="48"/>
      <c r="L71" s="48"/>
      <c r="M71" s="48"/>
      <c r="N71" s="48"/>
      <c r="O71" s="48"/>
      <c r="P71" s="48"/>
      <c r="Q71" s="43" t="str">
        <f aca="false">IF($A196="","",IF(OR(F196="",I196=""),"",F196-I196))</f>
        <v/>
      </c>
      <c r="R71" s="43" t="n">
        <f aca="false">IF($A196="","",IF(Q196="","",Q196+IF(O196="",0,O196)))</f>
        <v>94000</v>
      </c>
      <c r="S71" s="48"/>
      <c r="T71" s="43" t="n">
        <f aca="false">IF($A196="","",IF(R196="","",R196-IF(S196="",0,S196)))</f>
        <v>-42000</v>
      </c>
      <c r="U71" s="43" t="str">
        <f aca="false">IF($A196="","",IF(I196="","",I196-SUM(J196:P196)))</f>
        <v/>
      </c>
      <c r="V71" s="6" t="s">
        <v>4901</v>
      </c>
      <c r="W71" s="9" t="s">
        <v>774</v>
      </c>
      <c r="X71" s="9" t="s">
        <v>4912</v>
      </c>
      <c r="Y71" s="9" t="s">
        <v>4897</v>
      </c>
      <c r="Z71" s="9" t="s">
        <v>4898</v>
      </c>
      <c r="AA71" s="9" t="s">
        <v>4903</v>
      </c>
    </row>
    <row r="72" customFormat="false" ht="15" hidden="false" customHeight="true" outlineLevel="0" collapsed="false">
      <c r="A72" s="6" t="s">
        <v>1007</v>
      </c>
      <c r="B72" s="6" t="s">
        <v>448</v>
      </c>
      <c r="C72" s="6" t="s">
        <v>455</v>
      </c>
      <c r="D72" s="6" t="n">
        <v>6</v>
      </c>
      <c r="E72" s="9" t="s">
        <v>4900</v>
      </c>
      <c r="F72" s="42" t="n">
        <v>201000</v>
      </c>
      <c r="G72" s="48"/>
      <c r="H72" s="48"/>
      <c r="I72" s="48"/>
      <c r="J72" s="48"/>
      <c r="K72" s="48"/>
      <c r="L72" s="48"/>
      <c r="M72" s="48"/>
      <c r="N72" s="48"/>
      <c r="O72" s="48"/>
      <c r="P72" s="48"/>
      <c r="Q72" s="43" t="str">
        <f aca="false">IF($A197="","",IF(OR(F197="",I197=""),"",F197-I197))</f>
        <v/>
      </c>
      <c r="R72" s="43" t="n">
        <f aca="false">IF($A197="","",IF(Q197="","",Q197+IF(O197="",0,O197)))</f>
        <v>267000</v>
      </c>
      <c r="S72" s="48"/>
      <c r="T72" s="43" t="n">
        <f aca="false">IF($A197="","",IF(R197="","",R197-IF(S197="",0,S197)))</f>
        <v>159000</v>
      </c>
      <c r="U72" s="43" t="str">
        <f aca="false">IF($A197="","",IF(I197="","",I197-SUM(J197:P197)))</f>
        <v/>
      </c>
      <c r="V72" s="6" t="s">
        <v>4901</v>
      </c>
      <c r="W72" s="9" t="s">
        <v>774</v>
      </c>
      <c r="X72" s="9" t="s">
        <v>4912</v>
      </c>
      <c r="Y72" s="9" t="s">
        <v>4897</v>
      </c>
      <c r="Z72" s="9" t="s">
        <v>4898</v>
      </c>
      <c r="AA72" s="9" t="s">
        <v>4903</v>
      </c>
    </row>
    <row r="73" customFormat="false" ht="15" hidden="false" customHeight="true" outlineLevel="0" collapsed="false">
      <c r="A73" s="6" t="s">
        <v>1011</v>
      </c>
      <c r="B73" s="6" t="s">
        <v>458</v>
      </c>
      <c r="C73" s="6" t="s">
        <v>463</v>
      </c>
      <c r="D73" s="6" t="n">
        <v>6</v>
      </c>
      <c r="E73" s="9" t="s">
        <v>4950</v>
      </c>
      <c r="F73" s="6" t="n">
        <v>36817129</v>
      </c>
      <c r="G73" s="6" t="n">
        <v>36743295</v>
      </c>
      <c r="H73" s="6" t="n">
        <v>73833</v>
      </c>
      <c r="I73" s="6" t="n">
        <v>19317966</v>
      </c>
      <c r="J73" s="6" t="n">
        <v>4157545</v>
      </c>
      <c r="K73" s="6" t="n">
        <v>2748341</v>
      </c>
      <c r="L73" s="6" t="n">
        <v>3906597</v>
      </c>
      <c r="M73" s="6" t="n">
        <v>50981</v>
      </c>
      <c r="N73" s="6" t="n">
        <v>1832972</v>
      </c>
      <c r="O73" s="6" t="n">
        <v>6309528</v>
      </c>
      <c r="P73" s="6" t="n">
        <v>311999</v>
      </c>
      <c r="Q73" s="1" t="n">
        <f aca="false">IF($A1252="","",IF(OR(F1252="",I1252=""),"",F1252-I1252))</f>
        <v>17499163</v>
      </c>
      <c r="R73" s="1" t="str">
        <f aca="false">IF($A1252="","",IF(Q1252="","",Q1252+IF(O1252="",0,O1252)))</f>
        <v/>
      </c>
      <c r="S73" s="6" t="n">
        <v>5325000</v>
      </c>
      <c r="T73" s="1" t="str">
        <f aca="false">IF($A1252="","",IF(R1252="","",R1252-IF(S1252="",0,S1252)))</f>
        <v/>
      </c>
      <c r="U73" s="1" t="n">
        <f aca="false">IF($A1252="","",IF(I1252="","",I1252-SUM(J1252:P1252)))</f>
        <v>3</v>
      </c>
      <c r="V73" s="6" t="s">
        <v>4951</v>
      </c>
      <c r="W73" s="9" t="s">
        <v>767</v>
      </c>
      <c r="X73" s="9" t="s">
        <v>4952</v>
      </c>
      <c r="Y73" s="9" t="s">
        <v>4897</v>
      </c>
      <c r="Z73" s="9" t="s">
        <v>4898</v>
      </c>
      <c r="AA73" s="9" t="s">
        <v>4899</v>
      </c>
    </row>
    <row r="74" customFormat="false" ht="15" hidden="false" customHeight="true" outlineLevel="0" collapsed="false">
      <c r="A74" s="6" t="s">
        <v>1016</v>
      </c>
      <c r="B74" s="6" t="s">
        <v>458</v>
      </c>
      <c r="C74" s="6" t="s">
        <v>463</v>
      </c>
      <c r="D74" s="6" t="n">
        <v>6</v>
      </c>
      <c r="E74" s="9" t="s">
        <v>4953</v>
      </c>
      <c r="F74" s="6" t="n">
        <v>1786000</v>
      </c>
      <c r="I74" s="6" t="n">
        <v>659000</v>
      </c>
      <c r="J74" s="6" t="n">
        <v>134000</v>
      </c>
      <c r="K74" s="6" t="n">
        <v>88000</v>
      </c>
      <c r="L74" s="6" t="n">
        <v>103000</v>
      </c>
      <c r="M74" s="6" t="n">
        <v>1000</v>
      </c>
      <c r="N74" s="6" t="n">
        <v>82000</v>
      </c>
      <c r="O74" s="6" t="n">
        <v>249000</v>
      </c>
      <c r="P74" s="6" t="n">
        <v>0</v>
      </c>
      <c r="Q74" s="1" t="n">
        <f aca="false">IF($A1173="","",IF(OR(F1173="",I1173=""),"",F1173-I1173))</f>
        <v>1127000</v>
      </c>
      <c r="R74" s="1" t="str">
        <f aca="false">IF($A1173="","",IF(Q1173="","",Q1173+IF(O1173="",0,O1173)))</f>
        <v/>
      </c>
      <c r="S74" s="6" t="n">
        <v>278000</v>
      </c>
      <c r="T74" s="1" t="str">
        <f aca="false">IF($A1173="","",IF(R1173="","",R1173-IF(S1173="",0,S1173)))</f>
        <v/>
      </c>
      <c r="U74" s="1" t="n">
        <f aca="false">IF($A1173="","",IF(I1173="","",I1173-SUM(J1173:P1173)))</f>
        <v>2000</v>
      </c>
      <c r="V74" s="6" t="s">
        <v>4954</v>
      </c>
      <c r="W74" s="9" t="s">
        <v>774</v>
      </c>
      <c r="X74" s="9" t="s">
        <v>4955</v>
      </c>
      <c r="Y74" s="9" t="s">
        <v>4897</v>
      </c>
      <c r="Z74" s="9" t="s">
        <v>4898</v>
      </c>
      <c r="AA74" s="9" t="s">
        <v>4903</v>
      </c>
    </row>
    <row r="75" customFormat="false" ht="15" hidden="false" customHeight="true" outlineLevel="0" collapsed="false">
      <c r="A75" s="6" t="s">
        <v>1019</v>
      </c>
      <c r="B75" s="6" t="s">
        <v>458</v>
      </c>
      <c r="C75" s="6" t="s">
        <v>463</v>
      </c>
      <c r="D75" s="6" t="n">
        <v>6</v>
      </c>
      <c r="E75" s="9" t="s">
        <v>4953</v>
      </c>
      <c r="F75" s="6" t="n">
        <v>247000</v>
      </c>
      <c r="I75" s="6" t="n">
        <v>93000</v>
      </c>
      <c r="J75" s="6" t="n">
        <v>16000</v>
      </c>
      <c r="K75" s="6" t="n">
        <v>16000</v>
      </c>
      <c r="L75" s="6" t="n">
        <v>24000</v>
      </c>
      <c r="M75" s="6" t="n">
        <v>0</v>
      </c>
      <c r="N75" s="6" t="n">
        <v>3000</v>
      </c>
      <c r="O75" s="6" t="n">
        <v>32000</v>
      </c>
      <c r="P75" s="6" t="n">
        <v>0</v>
      </c>
      <c r="Q75" s="1" t="n">
        <f aca="false">IF($A1174="","",IF(OR(F1174="",I1174=""),"",F1174-I1174))</f>
        <v>154000</v>
      </c>
      <c r="R75" s="1" t="str">
        <f aca="false">IF($A1174="","",IF(Q1174="","",Q1174+IF(O1174="",0,O1174)))</f>
        <v/>
      </c>
      <c r="S75" s="6" t="n">
        <v>2000</v>
      </c>
      <c r="T75" s="1" t="str">
        <f aca="false">IF($A1174="","",IF(R1174="","",R1174-IF(S1174="",0,S1174)))</f>
        <v/>
      </c>
      <c r="U75" s="1" t="n">
        <f aca="false">IF($A1174="","",IF(I1174="","",I1174-SUM(J1174:P1174)))</f>
        <v>2000</v>
      </c>
      <c r="V75" s="6" t="s">
        <v>4954</v>
      </c>
      <c r="W75" s="9" t="s">
        <v>774</v>
      </c>
      <c r="X75" s="9" t="s">
        <v>4955</v>
      </c>
      <c r="Y75" s="9" t="s">
        <v>4897</v>
      </c>
      <c r="Z75" s="9" t="s">
        <v>4898</v>
      </c>
      <c r="AA75" s="9" t="s">
        <v>4903</v>
      </c>
    </row>
    <row r="76" customFormat="false" ht="15" hidden="false" customHeight="true" outlineLevel="0" collapsed="false">
      <c r="A76" s="6" t="s">
        <v>1022</v>
      </c>
      <c r="B76" s="6" t="s">
        <v>458</v>
      </c>
      <c r="C76" s="6" t="s">
        <v>463</v>
      </c>
      <c r="D76" s="6" t="n">
        <v>6</v>
      </c>
      <c r="E76" s="9" t="s">
        <v>4953</v>
      </c>
      <c r="F76" s="6" t="n">
        <v>158000</v>
      </c>
      <c r="I76" s="6" t="n">
        <v>46000</v>
      </c>
      <c r="J76" s="6" t="n">
        <v>1000</v>
      </c>
      <c r="K76" s="6" t="n">
        <v>0</v>
      </c>
      <c r="L76" s="6" t="n">
        <v>21000</v>
      </c>
      <c r="M76" s="6" t="n">
        <v>0</v>
      </c>
      <c r="N76" s="6" t="n">
        <v>3000</v>
      </c>
      <c r="O76" s="6" t="n">
        <v>20000</v>
      </c>
      <c r="P76" s="6" t="n">
        <v>0</v>
      </c>
      <c r="Q76" s="1" t="n">
        <f aca="false">IF($A1175="","",IF(OR(F1175="",I1175=""),"",F1175-I1175))</f>
        <v>112000</v>
      </c>
      <c r="R76" s="1" t="str">
        <f aca="false">IF($A1175="","",IF(Q1175="","",Q1175+IF(O1175="",0,O1175)))</f>
        <v/>
      </c>
      <c r="S76" s="6" t="n">
        <v>25000</v>
      </c>
      <c r="T76" s="1" t="str">
        <f aca="false">IF($A1175="","",IF(R1175="","",R1175-IF(S1175="",0,S1175)))</f>
        <v/>
      </c>
      <c r="U76" s="1" t="n">
        <f aca="false">IF($A1175="","",IF(I1175="","",I1175-SUM(J1175:P1175)))</f>
        <v>1000</v>
      </c>
      <c r="V76" s="6" t="s">
        <v>4954</v>
      </c>
      <c r="W76" s="9" t="s">
        <v>774</v>
      </c>
      <c r="X76" s="9" t="s">
        <v>4955</v>
      </c>
      <c r="Y76" s="9" t="s">
        <v>4897</v>
      </c>
      <c r="Z76" s="9" t="s">
        <v>4898</v>
      </c>
      <c r="AA76" s="9" t="s">
        <v>4903</v>
      </c>
    </row>
    <row r="77" customFormat="false" ht="15" hidden="false" customHeight="true" outlineLevel="0" collapsed="false">
      <c r="A77" s="6" t="s">
        <v>1025</v>
      </c>
      <c r="B77" s="6" t="s">
        <v>458</v>
      </c>
      <c r="C77" s="6" t="s">
        <v>463</v>
      </c>
      <c r="D77" s="6" t="n">
        <v>6</v>
      </c>
      <c r="E77" s="9" t="s">
        <v>4953</v>
      </c>
      <c r="F77" s="6" t="n">
        <v>475000</v>
      </c>
      <c r="I77" s="6" t="n">
        <v>301000</v>
      </c>
      <c r="J77" s="6" t="n">
        <v>69000</v>
      </c>
      <c r="K77" s="6" t="n">
        <v>51000</v>
      </c>
      <c r="L77" s="6" t="n">
        <v>69000</v>
      </c>
      <c r="M77" s="6" t="n">
        <v>0</v>
      </c>
      <c r="N77" s="6" t="n">
        <v>8000</v>
      </c>
      <c r="O77" s="6" t="n">
        <v>101000</v>
      </c>
      <c r="P77" s="6" t="n">
        <v>0</v>
      </c>
      <c r="Q77" s="1" t="n">
        <f aca="false">IF($A1176="","",IF(OR(F1176="",I1176=""),"",F1176-I1176))</f>
        <v>174000</v>
      </c>
      <c r="R77" s="1" t="str">
        <f aca="false">IF($A1176="","",IF(Q1176="","",Q1176+IF(O1176="",0,O1176)))</f>
        <v/>
      </c>
      <c r="S77" s="6" t="n">
        <v>38000</v>
      </c>
      <c r="T77" s="1" t="str">
        <f aca="false">IF($A1176="","",IF(R1176="","",R1176-IF(S1176="",0,S1176)))</f>
        <v/>
      </c>
      <c r="U77" s="1" t="n">
        <f aca="false">IF($A1176="","",IF(I1176="","",I1176-SUM(J1176:P1176)))</f>
        <v>3000</v>
      </c>
      <c r="V77" s="6" t="s">
        <v>4954</v>
      </c>
      <c r="W77" s="9" t="s">
        <v>774</v>
      </c>
      <c r="X77" s="9" t="s">
        <v>4955</v>
      </c>
      <c r="Y77" s="9" t="s">
        <v>4897</v>
      </c>
      <c r="Z77" s="9" t="s">
        <v>4898</v>
      </c>
      <c r="AA77" s="9" t="s">
        <v>4903</v>
      </c>
    </row>
    <row r="78" customFormat="false" ht="15" hidden="false" customHeight="true" outlineLevel="0" collapsed="false">
      <c r="A78" s="6" t="s">
        <v>1028</v>
      </c>
      <c r="B78" s="6" t="s">
        <v>458</v>
      </c>
      <c r="C78" s="6" t="s">
        <v>463</v>
      </c>
      <c r="D78" s="6" t="n">
        <v>6</v>
      </c>
      <c r="E78" s="9" t="s">
        <v>4953</v>
      </c>
      <c r="F78" s="6" t="n">
        <v>186000</v>
      </c>
      <c r="I78" s="6" t="n">
        <v>92000</v>
      </c>
      <c r="J78" s="6" t="n">
        <v>9000</v>
      </c>
      <c r="K78" s="6" t="n">
        <v>12000</v>
      </c>
      <c r="L78" s="6" t="n">
        <v>34000</v>
      </c>
      <c r="M78" s="6" t="n">
        <v>0</v>
      </c>
      <c r="N78" s="6" t="n">
        <v>4000</v>
      </c>
      <c r="O78" s="6" t="n">
        <v>31000</v>
      </c>
      <c r="P78" s="6" t="n">
        <v>0</v>
      </c>
      <c r="Q78" s="1" t="n">
        <f aca="false">IF($A1177="","",IF(OR(F1177="",I1177=""),"",F1177-I1177))</f>
        <v>-73000</v>
      </c>
      <c r="R78" s="1" t="str">
        <f aca="false">IF($A1177="","",IF(Q1177="","",Q1177+IF(O1177="",0,O1177)))</f>
        <v/>
      </c>
      <c r="S78" s="6" t="n">
        <v>2000</v>
      </c>
      <c r="T78" s="1" t="str">
        <f aca="false">IF($A1177="","",IF(R1177="","",R1177-IF(S1177="",0,S1177)))</f>
        <v/>
      </c>
      <c r="U78" s="1" t="n">
        <f aca="false">IF($A1177="","",IF(I1177="","",I1177-SUM(J1177:P1177)))</f>
        <v>2000</v>
      </c>
      <c r="V78" s="6" t="s">
        <v>4954</v>
      </c>
      <c r="W78" s="9" t="s">
        <v>774</v>
      </c>
      <c r="X78" s="9" t="s">
        <v>4955</v>
      </c>
      <c r="Y78" s="9" t="s">
        <v>4897</v>
      </c>
      <c r="Z78" s="9" t="s">
        <v>4898</v>
      </c>
      <c r="AA78" s="9" t="s">
        <v>4903</v>
      </c>
    </row>
    <row r="79" customFormat="false" ht="15" hidden="false" customHeight="true" outlineLevel="0" collapsed="false">
      <c r="A79" s="6" t="s">
        <v>1031</v>
      </c>
      <c r="B79" s="6" t="s">
        <v>458</v>
      </c>
      <c r="C79" s="6" t="s">
        <v>463</v>
      </c>
      <c r="D79" s="6" t="n">
        <v>6</v>
      </c>
      <c r="E79" s="9" t="s">
        <v>4953</v>
      </c>
      <c r="F79" s="6" t="n">
        <v>530000</v>
      </c>
      <c r="I79" s="6" t="n">
        <v>263000</v>
      </c>
      <c r="J79" s="6" t="n">
        <v>62000</v>
      </c>
      <c r="K79" s="6" t="n">
        <v>29000</v>
      </c>
      <c r="L79" s="6" t="n">
        <v>60000</v>
      </c>
      <c r="M79" s="6" t="n">
        <v>0</v>
      </c>
      <c r="N79" s="6" t="n">
        <v>44000</v>
      </c>
      <c r="O79" s="6" t="n">
        <v>64000</v>
      </c>
      <c r="P79" s="6" t="n">
        <v>0</v>
      </c>
      <c r="Q79" s="1" t="n">
        <f aca="false">IF($A1178="","",IF(OR(F1178="",I1178=""),"",F1178-I1178))</f>
        <v>95000</v>
      </c>
      <c r="R79" s="1" t="str">
        <f aca="false">IF($A1178="","",IF(Q1178="","",Q1178+IF(O1178="",0,O1178)))</f>
        <v/>
      </c>
      <c r="S79" s="6" t="n">
        <v>239000</v>
      </c>
      <c r="T79" s="1" t="str">
        <f aca="false">IF($A1178="","",IF(R1178="","",R1178-IF(S1178="",0,S1178)))</f>
        <v/>
      </c>
      <c r="U79" s="1" t="n">
        <f aca="false">IF($A1178="","",IF(I1178="","",I1178-SUM(J1178:P1178)))</f>
        <v>4000</v>
      </c>
      <c r="V79" s="6" t="s">
        <v>4954</v>
      </c>
      <c r="W79" s="9" t="s">
        <v>774</v>
      </c>
      <c r="X79" s="9" t="s">
        <v>4955</v>
      </c>
      <c r="Y79" s="9" t="s">
        <v>4897</v>
      </c>
      <c r="Z79" s="9" t="s">
        <v>4898</v>
      </c>
      <c r="AA79" s="9" t="s">
        <v>4903</v>
      </c>
    </row>
    <row r="80" customFormat="false" ht="15" hidden="false" customHeight="true" outlineLevel="0" collapsed="false">
      <c r="A80" s="6" t="s">
        <v>1034</v>
      </c>
      <c r="B80" s="6" t="s">
        <v>458</v>
      </c>
      <c r="C80" s="6" t="s">
        <v>463</v>
      </c>
      <c r="D80" s="6" t="n">
        <v>6</v>
      </c>
      <c r="E80" s="9" t="s">
        <v>4953</v>
      </c>
      <c r="F80" s="6" t="n">
        <v>997000</v>
      </c>
      <c r="I80" s="6" t="n">
        <v>455000</v>
      </c>
      <c r="J80" s="6" t="n">
        <v>58000</v>
      </c>
      <c r="K80" s="6" t="n">
        <v>57000</v>
      </c>
      <c r="L80" s="6" t="n">
        <v>173000</v>
      </c>
      <c r="M80" s="6" t="n">
        <v>0</v>
      </c>
      <c r="N80" s="6" t="n">
        <v>68000</v>
      </c>
      <c r="O80" s="6" t="n">
        <v>94000</v>
      </c>
      <c r="P80" s="6" t="n">
        <v>2000</v>
      </c>
      <c r="Q80" s="1" t="n">
        <f aca="false">IF($A1179="","",IF(OR(F1179="",I1179=""),"",F1179-I1179))</f>
        <v>-341000</v>
      </c>
      <c r="R80" s="1" t="str">
        <f aca="false">IF($A1179="","",IF(Q1179="","",Q1179+IF(O1179="",0,O1179)))</f>
        <v/>
      </c>
      <c r="S80" s="6" t="n">
        <v>127000</v>
      </c>
      <c r="T80" s="1" t="str">
        <f aca="false">IF($A1179="","",IF(R1179="","",R1179-IF(S1179="",0,S1179)))</f>
        <v/>
      </c>
      <c r="U80" s="1" t="n">
        <f aca="false">IF($A1179="","",IF(I1179="","",I1179-SUM(J1179:P1179)))</f>
        <v>3000</v>
      </c>
      <c r="V80" s="6" t="s">
        <v>4954</v>
      </c>
      <c r="W80" s="9" t="s">
        <v>774</v>
      </c>
      <c r="X80" s="9" t="s">
        <v>4955</v>
      </c>
      <c r="Y80" s="9" t="s">
        <v>4897</v>
      </c>
      <c r="Z80" s="9" t="s">
        <v>4898</v>
      </c>
      <c r="AA80" s="9" t="s">
        <v>4903</v>
      </c>
    </row>
    <row r="81" customFormat="false" ht="15" hidden="false" customHeight="true" outlineLevel="0" collapsed="false">
      <c r="A81" s="6" t="s">
        <v>1037</v>
      </c>
      <c r="B81" s="6" t="s">
        <v>458</v>
      </c>
      <c r="C81" s="6" t="s">
        <v>463</v>
      </c>
      <c r="D81" s="6" t="n">
        <v>6</v>
      </c>
      <c r="E81" s="9" t="s">
        <v>4953</v>
      </c>
      <c r="F81" s="6" t="n">
        <v>162000</v>
      </c>
      <c r="I81" s="6" t="n">
        <v>66000</v>
      </c>
      <c r="J81" s="6" t="n">
        <v>0</v>
      </c>
      <c r="K81" s="6" t="n">
        <v>0</v>
      </c>
      <c r="L81" s="6" t="n">
        <v>16000</v>
      </c>
      <c r="M81" s="6" t="n">
        <v>0</v>
      </c>
      <c r="N81" s="6" t="n">
        <v>14000</v>
      </c>
      <c r="O81" s="6" t="n">
        <v>35000</v>
      </c>
      <c r="P81" s="6" t="n">
        <v>0</v>
      </c>
      <c r="Q81" s="1" t="n">
        <f aca="false">IF($A1180="","",IF(OR(F1180="",I1180=""),"",F1180-I1180))</f>
        <v>96000</v>
      </c>
      <c r="R81" s="1" t="str">
        <f aca="false">IF($A1180="","",IF(Q1180="","",Q1180+IF(O1180="",0,O1180)))</f>
        <v/>
      </c>
      <c r="S81" s="6" t="n">
        <v>0</v>
      </c>
      <c r="T81" s="1" t="str">
        <f aca="false">IF($A1180="","",IF(R1180="","",R1180-IF(S1180="",0,S1180)))</f>
        <v/>
      </c>
      <c r="U81" s="1" t="n">
        <f aca="false">IF($A1180="","",IF(I1180="","",I1180-SUM(J1180:P1180)))</f>
        <v>1000</v>
      </c>
      <c r="V81" s="6" t="s">
        <v>4954</v>
      </c>
      <c r="W81" s="9" t="s">
        <v>774</v>
      </c>
      <c r="X81" s="9" t="s">
        <v>4955</v>
      </c>
      <c r="Y81" s="9" t="s">
        <v>4897</v>
      </c>
      <c r="Z81" s="9" t="s">
        <v>4898</v>
      </c>
      <c r="AA81" s="9" t="s">
        <v>4903</v>
      </c>
    </row>
    <row r="82" customFormat="false" ht="15" hidden="false" customHeight="true" outlineLevel="0" collapsed="false">
      <c r="A82" s="6" t="s">
        <v>1039</v>
      </c>
      <c r="B82" s="6" t="s">
        <v>458</v>
      </c>
      <c r="C82" s="6" t="s">
        <v>463</v>
      </c>
      <c r="D82" s="6" t="n">
        <v>6</v>
      </c>
      <c r="E82" s="9" t="s">
        <v>4953</v>
      </c>
      <c r="F82" s="6" t="n">
        <v>36000</v>
      </c>
      <c r="I82" s="6" t="n">
        <v>21000</v>
      </c>
      <c r="J82" s="6" t="n">
        <v>4000</v>
      </c>
      <c r="K82" s="6" t="n">
        <v>1000</v>
      </c>
      <c r="L82" s="6" t="n">
        <v>3000</v>
      </c>
      <c r="M82" s="6" t="n">
        <v>0</v>
      </c>
      <c r="N82" s="6" t="n">
        <v>0</v>
      </c>
      <c r="O82" s="6" t="n">
        <v>11000</v>
      </c>
      <c r="P82" s="6" t="n">
        <v>0</v>
      </c>
      <c r="Q82" s="1" t="n">
        <f aca="false">IF($A1181="","",IF(OR(F1181="",I1181=""),"",F1181-I1181))</f>
        <v>15000</v>
      </c>
      <c r="R82" s="1" t="str">
        <f aca="false">IF($A1181="","",IF(Q1181="","",Q1181+IF(O1181="",0,O1181)))</f>
        <v/>
      </c>
      <c r="S82" s="6" t="n">
        <v>0</v>
      </c>
      <c r="T82" s="1" t="str">
        <f aca="false">IF($A1181="","",IF(R1181="","",R1181-IF(S1181="",0,S1181)))</f>
        <v/>
      </c>
      <c r="U82" s="1" t="n">
        <f aca="false">IF($A1181="","",IF(I1181="","",I1181-SUM(J1181:P1181)))</f>
        <v>2000</v>
      </c>
      <c r="V82" s="6" t="s">
        <v>4954</v>
      </c>
      <c r="W82" s="9" t="s">
        <v>774</v>
      </c>
      <c r="X82" s="9" t="s">
        <v>4955</v>
      </c>
      <c r="Y82" s="9" t="s">
        <v>4897</v>
      </c>
      <c r="Z82" s="9" t="s">
        <v>4898</v>
      </c>
      <c r="AA82" s="9" t="s">
        <v>4943</v>
      </c>
    </row>
    <row r="83" customFormat="false" ht="15" hidden="false" customHeight="true" outlineLevel="0" collapsed="false">
      <c r="A83" s="6" t="s">
        <v>1042</v>
      </c>
      <c r="B83" s="6" t="s">
        <v>458</v>
      </c>
      <c r="C83" s="6" t="s">
        <v>463</v>
      </c>
      <c r="D83" s="6" t="n">
        <v>6</v>
      </c>
      <c r="E83" s="9" t="s">
        <v>4953</v>
      </c>
      <c r="F83" s="6" t="n">
        <v>647000</v>
      </c>
      <c r="I83" s="6" t="n">
        <v>532000</v>
      </c>
      <c r="J83" s="6" t="n">
        <v>131000</v>
      </c>
      <c r="K83" s="6" t="n">
        <v>48000</v>
      </c>
      <c r="L83" s="6" t="n">
        <v>132000</v>
      </c>
      <c r="M83" s="6" t="n">
        <v>1000</v>
      </c>
      <c r="N83" s="6" t="n">
        <v>162000</v>
      </c>
      <c r="O83" s="6" t="n">
        <v>56000</v>
      </c>
      <c r="P83" s="6" t="n">
        <v>0</v>
      </c>
      <c r="Q83" s="1" t="n">
        <f aca="false">IF($A1182="","",IF(OR(F1182="",I1182=""),"",F1182-I1182))</f>
        <v>115000</v>
      </c>
      <c r="R83" s="1" t="str">
        <f aca="false">IF($A1182="","",IF(Q1182="","",Q1182+IF(O1182="",0,O1182)))</f>
        <v/>
      </c>
      <c r="S83" s="6" t="n">
        <v>390000</v>
      </c>
      <c r="T83" s="1" t="str">
        <f aca="false">IF($A1182="","",IF(R1182="","",R1182-IF(S1182="",0,S1182)))</f>
        <v/>
      </c>
      <c r="U83" s="1" t="n">
        <f aca="false">IF($A1182="","",IF(I1182="","",I1182-SUM(J1182:P1182)))</f>
        <v>2000</v>
      </c>
      <c r="V83" s="6" t="s">
        <v>4954</v>
      </c>
      <c r="W83" s="9" t="s">
        <v>774</v>
      </c>
      <c r="X83" s="9" t="s">
        <v>4955</v>
      </c>
      <c r="Y83" s="9" t="s">
        <v>4897</v>
      </c>
      <c r="Z83" s="9" t="s">
        <v>4898</v>
      </c>
      <c r="AA83" s="9" t="s">
        <v>4903</v>
      </c>
    </row>
    <row r="84" customFormat="false" ht="15" hidden="false" customHeight="true" outlineLevel="0" collapsed="false">
      <c r="A84" s="6" t="s">
        <v>1045</v>
      </c>
      <c r="B84" s="6" t="s">
        <v>458</v>
      </c>
      <c r="C84" s="6" t="s">
        <v>463</v>
      </c>
      <c r="D84" s="6" t="n">
        <v>6</v>
      </c>
      <c r="E84" s="9" t="s">
        <v>4953</v>
      </c>
      <c r="F84" s="6" t="n">
        <v>290000</v>
      </c>
      <c r="I84" s="6" t="n">
        <v>142000</v>
      </c>
      <c r="J84" s="6" t="n">
        <v>28000</v>
      </c>
      <c r="K84" s="6" t="n">
        <v>20000</v>
      </c>
      <c r="L84" s="6" t="n">
        <v>53000</v>
      </c>
      <c r="M84" s="6" t="n">
        <v>0</v>
      </c>
      <c r="N84" s="6" t="n">
        <v>17000</v>
      </c>
      <c r="O84" s="6" t="n">
        <v>19000</v>
      </c>
      <c r="P84" s="6" t="n">
        <v>1000</v>
      </c>
      <c r="Q84" s="1" t="n">
        <f aca="false">IF($A1183="","",IF(OR(F1183="",I1183=""),"",F1183-I1183))</f>
        <v>513000</v>
      </c>
      <c r="R84" s="1" t="str">
        <f aca="false">IF($A1183="","",IF(Q1183="","",Q1183+IF(O1183="",0,O1183)))</f>
        <v/>
      </c>
      <c r="S84" s="6" t="n">
        <v>54000</v>
      </c>
      <c r="T84" s="1" t="str">
        <f aca="false">IF($A1183="","",IF(R1183="","",R1183-IF(S1183="",0,S1183)))</f>
        <v/>
      </c>
      <c r="U84" s="1" t="n">
        <f aca="false">IF($A1183="","",IF(I1183="","",I1183-SUM(J1183:P1183)))</f>
        <v>4000</v>
      </c>
      <c r="V84" s="6" t="s">
        <v>4954</v>
      </c>
      <c r="W84" s="9" t="s">
        <v>774</v>
      </c>
      <c r="X84" s="9" t="s">
        <v>4955</v>
      </c>
      <c r="Y84" s="9" t="s">
        <v>4897</v>
      </c>
      <c r="Z84" s="9" t="s">
        <v>4898</v>
      </c>
      <c r="AA84" s="9" t="s">
        <v>4903</v>
      </c>
    </row>
    <row r="85" customFormat="false" ht="15" hidden="false" customHeight="true" outlineLevel="0" collapsed="false">
      <c r="A85" s="6" t="s">
        <v>1048</v>
      </c>
      <c r="B85" s="6" t="s">
        <v>458</v>
      </c>
      <c r="C85" s="6" t="s">
        <v>463</v>
      </c>
      <c r="D85" s="6" t="n">
        <v>6</v>
      </c>
      <c r="E85" s="9" t="s">
        <v>4953</v>
      </c>
      <c r="F85" s="6" t="n">
        <v>422000</v>
      </c>
      <c r="I85" s="6" t="n">
        <v>176000</v>
      </c>
      <c r="J85" s="6" t="n">
        <v>26000</v>
      </c>
      <c r="K85" s="6" t="n">
        <v>20000</v>
      </c>
      <c r="L85" s="6" t="n">
        <v>45000</v>
      </c>
      <c r="M85" s="6" t="n">
        <v>0</v>
      </c>
      <c r="N85" s="6" t="n">
        <v>32000</v>
      </c>
      <c r="O85" s="6" t="n">
        <v>50000</v>
      </c>
      <c r="P85" s="6" t="n">
        <v>0</v>
      </c>
      <c r="Q85" s="1" t="n">
        <f aca="false">IF($A1184="","",IF(OR(F1184="",I1184=""),"",F1184-I1184))</f>
        <v>211000</v>
      </c>
      <c r="R85" s="1" t="str">
        <f aca="false">IF($A1184="","",IF(Q1184="","",Q1184+IF(O1184="",0,O1184)))</f>
        <v/>
      </c>
      <c r="S85" s="6" t="n">
        <v>6000</v>
      </c>
      <c r="T85" s="1" t="str">
        <f aca="false">IF($A1184="","",IF(R1184="","",R1184-IF(S1184="",0,S1184)))</f>
        <v/>
      </c>
      <c r="U85" s="1" t="n">
        <f aca="false">IF($A1184="","",IF(I1184="","",I1184-SUM(J1184:P1184)))</f>
        <v>3000</v>
      </c>
      <c r="V85" s="6" t="s">
        <v>4954</v>
      </c>
      <c r="W85" s="9" t="s">
        <v>774</v>
      </c>
      <c r="X85" s="9" t="s">
        <v>4955</v>
      </c>
      <c r="Y85" s="9" t="s">
        <v>4897</v>
      </c>
      <c r="Z85" s="9" t="s">
        <v>4898</v>
      </c>
      <c r="AA85" s="9" t="s">
        <v>4903</v>
      </c>
    </row>
    <row r="86" customFormat="false" ht="15" hidden="false" customHeight="true" outlineLevel="0" collapsed="false">
      <c r="A86" s="6" t="s">
        <v>1051</v>
      </c>
      <c r="B86" s="6" t="s">
        <v>458</v>
      </c>
      <c r="C86" s="6" t="s">
        <v>463</v>
      </c>
      <c r="D86" s="6" t="n">
        <v>6</v>
      </c>
      <c r="E86" s="9" t="s">
        <v>4953</v>
      </c>
      <c r="F86" s="6" t="n">
        <v>151000</v>
      </c>
      <c r="I86" s="6" t="n">
        <v>56000</v>
      </c>
      <c r="J86" s="6" t="n">
        <v>11000</v>
      </c>
      <c r="K86" s="6" t="n">
        <v>9000</v>
      </c>
      <c r="L86" s="6" t="n">
        <v>14000</v>
      </c>
      <c r="M86" s="6" t="n">
        <v>0</v>
      </c>
      <c r="N86" s="6" t="n">
        <v>4000</v>
      </c>
      <c r="O86" s="6" t="n">
        <v>16000</v>
      </c>
      <c r="P86" s="6" t="n">
        <v>0</v>
      </c>
      <c r="Q86" s="1" t="n">
        <f aca="false">IF($A1185="","",IF(OR(F1185="",I1185=""),"",F1185-I1185))</f>
        <v>450000</v>
      </c>
      <c r="R86" s="1" t="str">
        <f aca="false">IF($A1185="","",IF(Q1185="","",Q1185+IF(O1185="",0,O1185)))</f>
        <v/>
      </c>
      <c r="S86" s="6" t="n">
        <v>2000</v>
      </c>
      <c r="T86" s="1" t="str">
        <f aca="false">IF($A1185="","",IF(R1185="","",R1185-IF(S1185="",0,S1185)))</f>
        <v/>
      </c>
      <c r="U86" s="1" t="n">
        <f aca="false">IF($A1185="","",IF(I1185="","",I1185-SUM(J1185:P1185)))</f>
        <v>2000</v>
      </c>
      <c r="V86" s="6" t="s">
        <v>4954</v>
      </c>
      <c r="W86" s="9" t="s">
        <v>774</v>
      </c>
      <c r="X86" s="9" t="s">
        <v>4955</v>
      </c>
      <c r="Y86" s="9" t="s">
        <v>4897</v>
      </c>
      <c r="Z86" s="9" t="s">
        <v>4898</v>
      </c>
      <c r="AA86" s="9" t="s">
        <v>4903</v>
      </c>
    </row>
    <row r="87" customFormat="false" ht="15" hidden="false" customHeight="true" outlineLevel="0" collapsed="false">
      <c r="A87" s="6" t="s">
        <v>1054</v>
      </c>
      <c r="B87" s="6" t="s">
        <v>458</v>
      </c>
      <c r="C87" s="6" t="s">
        <v>463</v>
      </c>
      <c r="D87" s="6" t="n">
        <v>6</v>
      </c>
      <c r="E87" s="9" t="s">
        <v>4953</v>
      </c>
      <c r="F87" s="6" t="n">
        <v>165000</v>
      </c>
      <c r="I87" s="6" t="n">
        <v>46000</v>
      </c>
      <c r="J87" s="6" t="n">
        <v>0</v>
      </c>
      <c r="K87" s="6" t="n">
        <v>0</v>
      </c>
      <c r="L87" s="6" t="n">
        <v>13000</v>
      </c>
      <c r="M87" s="6" t="n">
        <v>0</v>
      </c>
      <c r="N87" s="6" t="n">
        <v>3000</v>
      </c>
      <c r="O87" s="6" t="n">
        <v>29000</v>
      </c>
      <c r="P87" s="6" t="n">
        <v>0</v>
      </c>
      <c r="Q87" s="1" t="n">
        <f aca="false">IF($A1186="","",IF(OR(F1186="",I1186=""),"",F1186-I1186))</f>
        <v>119000</v>
      </c>
      <c r="R87" s="1" t="str">
        <f aca="false">IF($A1186="","",IF(Q1186="","",Q1186+IF(O1186="",0,O1186)))</f>
        <v/>
      </c>
      <c r="S87" s="6" t="n">
        <v>2000</v>
      </c>
      <c r="T87" s="1" t="str">
        <f aca="false">IF($A1186="","",IF(R1186="","",R1186-IF(S1186="",0,S1186)))</f>
        <v/>
      </c>
      <c r="U87" s="1" t="n">
        <f aca="false">IF($A1186="","",IF(I1186="","",I1186-SUM(J1186:P1186)))</f>
        <v>1000</v>
      </c>
      <c r="V87" s="6" t="s">
        <v>4954</v>
      </c>
      <c r="W87" s="9" t="s">
        <v>774</v>
      </c>
      <c r="X87" s="9" t="s">
        <v>4955</v>
      </c>
      <c r="Y87" s="9" t="s">
        <v>4897</v>
      </c>
      <c r="Z87" s="9" t="s">
        <v>4898</v>
      </c>
      <c r="AA87" s="9" t="s">
        <v>4903</v>
      </c>
    </row>
    <row r="88" customFormat="false" ht="15" hidden="false" customHeight="true" outlineLevel="0" collapsed="false">
      <c r="A88" s="6" t="s">
        <v>1057</v>
      </c>
      <c r="B88" s="6" t="s">
        <v>458</v>
      </c>
      <c r="C88" s="6" t="s">
        <v>463</v>
      </c>
      <c r="D88" s="6" t="n">
        <v>6</v>
      </c>
      <c r="E88" s="9" t="s">
        <v>4953</v>
      </c>
      <c r="F88" s="6" t="n">
        <v>196000</v>
      </c>
      <c r="I88" s="6" t="n">
        <v>80000</v>
      </c>
      <c r="J88" s="6" t="n">
        <v>17000</v>
      </c>
      <c r="K88" s="6" t="n">
        <v>9000</v>
      </c>
      <c r="L88" s="6" t="n">
        <v>12000</v>
      </c>
      <c r="M88" s="6" t="n">
        <v>0</v>
      </c>
      <c r="N88" s="6" t="n">
        <v>10000</v>
      </c>
      <c r="O88" s="6" t="n">
        <v>31000</v>
      </c>
      <c r="P88" s="6" t="n">
        <v>0</v>
      </c>
      <c r="Q88" s="1" t="n">
        <f aca="false">IF($A1187="","",IF(OR(F1187="",I1187=""),"",F1187-I1187))</f>
        <v>116000</v>
      </c>
      <c r="R88" s="1" t="str">
        <f aca="false">IF($A1187="","",IF(Q1187="","",Q1187+IF(O1187="",0,O1187)))</f>
        <v/>
      </c>
      <c r="S88" s="6" t="n">
        <v>8000</v>
      </c>
      <c r="T88" s="1" t="str">
        <f aca="false">IF($A1187="","",IF(R1187="","",R1187-IF(S1187="",0,S1187)))</f>
        <v/>
      </c>
      <c r="U88" s="1" t="n">
        <f aca="false">IF($A1187="","",IF(I1187="","",I1187-SUM(J1187:P1187)))</f>
        <v>1000</v>
      </c>
      <c r="V88" s="6" t="s">
        <v>4954</v>
      </c>
      <c r="W88" s="9" t="s">
        <v>774</v>
      </c>
      <c r="X88" s="9" t="s">
        <v>4955</v>
      </c>
      <c r="Y88" s="9" t="s">
        <v>4897</v>
      </c>
      <c r="Z88" s="9" t="s">
        <v>4898</v>
      </c>
      <c r="AA88" s="9" t="s">
        <v>4903</v>
      </c>
    </row>
    <row r="89" customFormat="false" ht="15" hidden="false" customHeight="true" outlineLevel="0" collapsed="false">
      <c r="A89" s="6" t="s">
        <v>1060</v>
      </c>
      <c r="B89" s="6" t="s">
        <v>458</v>
      </c>
      <c r="C89" s="6" t="s">
        <v>463</v>
      </c>
      <c r="D89" s="6" t="n">
        <v>6</v>
      </c>
      <c r="E89" s="9" t="s">
        <v>4953</v>
      </c>
      <c r="F89" s="6" t="n">
        <v>740000</v>
      </c>
      <c r="I89" s="6" t="n">
        <v>229000</v>
      </c>
      <c r="J89" s="6" t="n">
        <v>30000</v>
      </c>
      <c r="K89" s="6" t="n">
        <v>15000</v>
      </c>
      <c r="L89" s="6" t="n">
        <v>115000</v>
      </c>
      <c r="M89" s="6" t="n">
        <v>0</v>
      </c>
      <c r="N89" s="6" t="n">
        <v>19000</v>
      </c>
      <c r="O89" s="6" t="n">
        <v>44000</v>
      </c>
      <c r="P89" s="6" t="n">
        <v>3000</v>
      </c>
      <c r="Q89" s="1" t="n">
        <f aca="false">IF($A1188="","",IF(OR(F1188="",I1188=""),"",F1188-I1188))</f>
        <v>511000</v>
      </c>
      <c r="R89" s="1" t="str">
        <f aca="false">IF($A1188="","",IF(Q1188="","",Q1188+IF(O1188="",0,O1188)))</f>
        <v/>
      </c>
      <c r="S89" s="6" t="n">
        <v>6000</v>
      </c>
      <c r="T89" s="1" t="str">
        <f aca="false">IF($A1188="","",IF(R1188="","",R1188-IF(S1188="",0,S1188)))</f>
        <v/>
      </c>
      <c r="U89" s="1" t="n">
        <f aca="false">IF($A1188="","",IF(I1188="","",I1188-SUM(J1188:P1188)))</f>
        <v>3000</v>
      </c>
      <c r="V89" s="6" t="s">
        <v>4954</v>
      </c>
      <c r="W89" s="9" t="s">
        <v>774</v>
      </c>
      <c r="X89" s="9" t="s">
        <v>4955</v>
      </c>
      <c r="Y89" s="9" t="s">
        <v>4897</v>
      </c>
      <c r="Z89" s="9" t="s">
        <v>4898</v>
      </c>
      <c r="AA89" s="9" t="s">
        <v>4903</v>
      </c>
    </row>
    <row r="90" customFormat="false" ht="15" hidden="false" customHeight="true" outlineLevel="0" collapsed="false">
      <c r="A90" s="6" t="s">
        <v>1063</v>
      </c>
      <c r="B90" s="6" t="s">
        <v>458</v>
      </c>
      <c r="C90" s="6" t="s">
        <v>463</v>
      </c>
      <c r="D90" s="6" t="n">
        <v>6</v>
      </c>
      <c r="E90" s="9" t="s">
        <v>4953</v>
      </c>
      <c r="F90" s="6" t="n">
        <v>176000</v>
      </c>
      <c r="I90" s="6" t="n">
        <v>95000</v>
      </c>
      <c r="J90" s="6" t="n">
        <v>14000</v>
      </c>
      <c r="K90" s="6" t="n">
        <v>11000</v>
      </c>
      <c r="L90" s="6" t="n">
        <v>20000</v>
      </c>
      <c r="M90" s="6" t="n">
        <v>0</v>
      </c>
      <c r="N90" s="6" t="n">
        <v>10000</v>
      </c>
      <c r="O90" s="6" t="n">
        <v>38000</v>
      </c>
      <c r="P90" s="6" t="n">
        <v>0</v>
      </c>
      <c r="Q90" s="1" t="n">
        <f aca="false">IF($A1189="","",IF(OR(F1189="",I1189=""),"",F1189-I1189))</f>
        <v>81000</v>
      </c>
      <c r="R90" s="1" t="str">
        <f aca="false">IF($A1189="","",IF(Q1189="","",Q1189+IF(O1189="",0,O1189)))</f>
        <v/>
      </c>
      <c r="S90" s="6" t="n">
        <v>27000</v>
      </c>
      <c r="T90" s="1" t="str">
        <f aca="false">IF($A1189="","",IF(R1189="","",R1189-IF(S1189="",0,S1189)))</f>
        <v/>
      </c>
      <c r="U90" s="1" t="n">
        <f aca="false">IF($A1189="","",IF(I1189="","",I1189-SUM(J1189:P1189)))</f>
        <v>2000</v>
      </c>
      <c r="V90" s="6" t="s">
        <v>4954</v>
      </c>
      <c r="W90" s="9" t="s">
        <v>774</v>
      </c>
      <c r="X90" s="9" t="s">
        <v>4955</v>
      </c>
      <c r="Y90" s="9" t="s">
        <v>4897</v>
      </c>
      <c r="Z90" s="9" t="s">
        <v>4898</v>
      </c>
      <c r="AA90" s="9" t="s">
        <v>4903</v>
      </c>
    </row>
    <row r="91" customFormat="false" ht="15" hidden="false" customHeight="true" outlineLevel="0" collapsed="false">
      <c r="A91" s="6" t="s">
        <v>1066</v>
      </c>
      <c r="B91" s="6" t="s">
        <v>458</v>
      </c>
      <c r="C91" s="6" t="s">
        <v>463</v>
      </c>
      <c r="D91" s="6" t="n">
        <v>6</v>
      </c>
      <c r="E91" s="9" t="s">
        <v>4953</v>
      </c>
      <c r="F91" s="6" t="n">
        <v>1301000</v>
      </c>
      <c r="I91" s="6" t="n">
        <v>846000</v>
      </c>
      <c r="J91" s="6" t="n">
        <v>165000</v>
      </c>
      <c r="K91" s="6" t="n">
        <v>167000</v>
      </c>
      <c r="L91" s="6" t="n">
        <v>198000</v>
      </c>
      <c r="M91" s="6" t="n">
        <v>2000</v>
      </c>
      <c r="N91" s="6" t="n">
        <v>59000</v>
      </c>
      <c r="O91" s="6" t="n">
        <v>252000</v>
      </c>
      <c r="P91" s="6" t="n">
        <v>0</v>
      </c>
      <c r="Q91" s="1" t="n">
        <f aca="false">IF($A1190="","",IF(OR(F1190="",I1190=""),"",F1190-I1190))</f>
        <v>455000</v>
      </c>
      <c r="R91" s="1" t="str">
        <f aca="false">IF($A1190="","",IF(Q1190="","",Q1190+IF(O1190="",0,O1190)))</f>
        <v/>
      </c>
      <c r="S91" s="6" t="n">
        <v>117000</v>
      </c>
      <c r="T91" s="1" t="str">
        <f aca="false">IF($A1190="","",IF(R1190="","",R1190-IF(S1190="",0,S1190)))</f>
        <v/>
      </c>
      <c r="U91" s="1" t="n">
        <f aca="false">IF($A1190="","",IF(I1190="","",I1190-SUM(J1190:P1190)))</f>
        <v>3000</v>
      </c>
      <c r="V91" s="6" t="s">
        <v>4954</v>
      </c>
      <c r="W91" s="9" t="s">
        <v>774</v>
      </c>
      <c r="X91" s="9" t="s">
        <v>4956</v>
      </c>
      <c r="Y91" s="9" t="s">
        <v>4897</v>
      </c>
      <c r="Z91" s="9" t="s">
        <v>4898</v>
      </c>
      <c r="AA91" s="9" t="s">
        <v>4903</v>
      </c>
    </row>
    <row r="92" customFormat="false" ht="15" hidden="false" customHeight="true" outlineLevel="0" collapsed="false">
      <c r="A92" s="6" t="s">
        <v>1069</v>
      </c>
      <c r="B92" s="6" t="s">
        <v>458</v>
      </c>
      <c r="C92" s="6" t="s">
        <v>463</v>
      </c>
      <c r="D92" s="6" t="n">
        <v>6</v>
      </c>
      <c r="E92" s="9" t="s">
        <v>4953</v>
      </c>
      <c r="F92" s="6" t="n">
        <v>487000</v>
      </c>
      <c r="I92" s="6" t="n">
        <v>225000</v>
      </c>
      <c r="J92" s="6" t="n">
        <v>38000</v>
      </c>
      <c r="K92" s="6" t="n">
        <v>34000</v>
      </c>
      <c r="L92" s="6" t="n">
        <v>59000</v>
      </c>
      <c r="M92" s="6" t="n">
        <v>0</v>
      </c>
      <c r="N92" s="6" t="n">
        <v>5000</v>
      </c>
      <c r="O92" s="6" t="n">
        <v>86000</v>
      </c>
      <c r="P92" s="6" t="n">
        <v>0</v>
      </c>
      <c r="Q92" s="1" t="n">
        <f aca="false">IF($A1191="","",IF(OR(F1191="",I1191=""),"",F1191-I1191))</f>
        <v>262000</v>
      </c>
      <c r="R92" s="1" t="str">
        <f aca="false">IF($A1191="","",IF(Q1191="","",Q1191+IF(O1191="",0,O1191)))</f>
        <v/>
      </c>
      <c r="S92" s="6" t="n">
        <v>7000</v>
      </c>
      <c r="T92" s="1" t="str">
        <f aca="false">IF($A1191="","",IF(R1191="","",R1191-IF(S1191="",0,S1191)))</f>
        <v/>
      </c>
      <c r="U92" s="1" t="n">
        <f aca="false">IF($A1191="","",IF(I1191="","",I1191-SUM(J1191:P1191)))</f>
        <v>3000</v>
      </c>
      <c r="V92" s="6" t="s">
        <v>4954</v>
      </c>
      <c r="W92" s="9" t="s">
        <v>774</v>
      </c>
      <c r="X92" s="9" t="s">
        <v>4955</v>
      </c>
      <c r="Y92" s="9" t="s">
        <v>4897</v>
      </c>
      <c r="Z92" s="9" t="s">
        <v>4898</v>
      </c>
      <c r="AA92" s="9" t="s">
        <v>4903</v>
      </c>
    </row>
    <row r="93" customFormat="false" ht="15" hidden="false" customHeight="true" outlineLevel="0" collapsed="false">
      <c r="A93" s="6" t="s">
        <v>1072</v>
      </c>
      <c r="B93" s="6" t="s">
        <v>458</v>
      </c>
      <c r="C93" s="6" t="s">
        <v>463</v>
      </c>
      <c r="D93" s="6" t="n">
        <v>6</v>
      </c>
      <c r="E93" s="9" t="s">
        <v>4953</v>
      </c>
      <c r="F93" s="6" t="n">
        <v>584000</v>
      </c>
      <c r="I93" s="6" t="n">
        <v>306000</v>
      </c>
      <c r="J93" s="6" t="n">
        <v>33000</v>
      </c>
      <c r="K93" s="6" t="n">
        <v>21000</v>
      </c>
      <c r="L93" s="6" t="n">
        <v>66000</v>
      </c>
      <c r="M93" s="6" t="n">
        <v>0</v>
      </c>
      <c r="N93" s="6" t="n">
        <v>0</v>
      </c>
      <c r="O93" s="6" t="n">
        <v>83000</v>
      </c>
      <c r="P93" s="6" t="n">
        <v>99000</v>
      </c>
      <c r="Q93" s="1" t="n">
        <f aca="false">IF($A1192="","",IF(OR(F1192="",I1192=""),"",F1192-I1192))</f>
        <v>278000</v>
      </c>
      <c r="R93" s="1" t="str">
        <f aca="false">IF($A1192="","",IF(Q1192="","",Q1192+IF(O1192="",0,O1192)))</f>
        <v/>
      </c>
      <c r="S93" s="6" t="n">
        <v>0</v>
      </c>
      <c r="T93" s="1" t="str">
        <f aca="false">IF($A1192="","",IF(R1192="","",R1192-IF(S1192="",0,S1192)))</f>
        <v/>
      </c>
      <c r="U93" s="1" t="n">
        <f aca="false">IF($A1192="","",IF(I1192="","",I1192-SUM(J1192:P1192)))</f>
        <v>4000</v>
      </c>
      <c r="V93" s="6" t="s">
        <v>4954</v>
      </c>
      <c r="W93" s="9" t="s">
        <v>774</v>
      </c>
      <c r="X93" s="9" t="s">
        <v>4955</v>
      </c>
      <c r="Y93" s="9" t="s">
        <v>4897</v>
      </c>
      <c r="Z93" s="9" t="s">
        <v>4898</v>
      </c>
      <c r="AA93" s="9" t="s">
        <v>4903</v>
      </c>
    </row>
    <row r="94" customFormat="false" ht="15" hidden="false" customHeight="true" outlineLevel="0" collapsed="false">
      <c r="A94" s="6" t="s">
        <v>1075</v>
      </c>
      <c r="B94" s="6" t="s">
        <v>458</v>
      </c>
      <c r="C94" s="6" t="s">
        <v>463</v>
      </c>
      <c r="D94" s="6" t="n">
        <v>6</v>
      </c>
      <c r="E94" s="9" t="s">
        <v>4953</v>
      </c>
      <c r="F94" s="6" t="n">
        <v>240000</v>
      </c>
      <c r="I94" s="6" t="n">
        <v>97000</v>
      </c>
      <c r="J94" s="6" t="n">
        <v>15000</v>
      </c>
      <c r="K94" s="6" t="n">
        <v>12000</v>
      </c>
      <c r="L94" s="6" t="n">
        <v>39000</v>
      </c>
      <c r="M94" s="6" t="n">
        <v>0</v>
      </c>
      <c r="N94" s="6" t="n">
        <v>6000</v>
      </c>
      <c r="O94" s="6" t="n">
        <v>23000</v>
      </c>
      <c r="P94" s="6" t="n">
        <v>0</v>
      </c>
      <c r="Q94" s="1" t="n">
        <f aca="false">IF($A1193="","",IF(OR(F1193="",I1193=""),"",F1193-I1193))</f>
        <v>360000</v>
      </c>
      <c r="R94" s="1" t="str">
        <f aca="false">IF($A1193="","",IF(Q1193="","",Q1193+IF(O1193="",0,O1193)))</f>
        <v/>
      </c>
      <c r="S94" s="6" t="n">
        <v>2000</v>
      </c>
      <c r="T94" s="1" t="str">
        <f aca="false">IF($A1193="","",IF(R1193="","",R1193-IF(S1193="",0,S1193)))</f>
        <v/>
      </c>
      <c r="U94" s="1" t="n">
        <f aca="false">IF($A1193="","",IF(I1193="","",I1193-SUM(J1193:P1193)))</f>
        <v>2000</v>
      </c>
      <c r="V94" s="6" t="s">
        <v>4954</v>
      </c>
      <c r="W94" s="9" t="s">
        <v>774</v>
      </c>
      <c r="X94" s="9" t="s">
        <v>4955</v>
      </c>
      <c r="Y94" s="9" t="s">
        <v>4897</v>
      </c>
      <c r="Z94" s="9" t="s">
        <v>4898</v>
      </c>
      <c r="AA94" s="9" t="s">
        <v>4903</v>
      </c>
    </row>
    <row r="95" customFormat="false" ht="15" hidden="false" customHeight="true" outlineLevel="0" collapsed="false">
      <c r="A95" s="6" t="s">
        <v>1078</v>
      </c>
      <c r="B95" s="6" t="s">
        <v>458</v>
      </c>
      <c r="C95" s="6" t="s">
        <v>463</v>
      </c>
      <c r="D95" s="6" t="n">
        <v>6</v>
      </c>
      <c r="E95" s="9" t="s">
        <v>4953</v>
      </c>
      <c r="F95" s="6" t="n">
        <v>107000</v>
      </c>
      <c r="I95" s="6" t="n">
        <v>50000</v>
      </c>
      <c r="J95" s="6" t="n">
        <v>12000</v>
      </c>
      <c r="K95" s="6" t="n">
        <v>7000</v>
      </c>
      <c r="L95" s="6" t="n">
        <v>8000</v>
      </c>
      <c r="M95" s="6" t="n">
        <v>0</v>
      </c>
      <c r="N95" s="6" t="n">
        <v>10000</v>
      </c>
      <c r="O95" s="6" t="n">
        <v>11000</v>
      </c>
      <c r="P95" s="6" t="n">
        <v>0</v>
      </c>
      <c r="Q95" s="1" t="n">
        <f aca="false">IF($A1194="","",IF(OR(F1194="",I1194=""),"",F1194-I1194))</f>
        <v>246000</v>
      </c>
      <c r="R95" s="1" t="str">
        <f aca="false">IF($A1194="","",IF(Q1194="","",Q1194+IF(O1194="",0,O1194)))</f>
        <v/>
      </c>
      <c r="S95" s="6" t="n">
        <v>22000</v>
      </c>
      <c r="T95" s="1" t="str">
        <f aca="false">IF($A1194="","",IF(R1194="","",R1194-IF(S1194="",0,S1194)))</f>
        <v/>
      </c>
      <c r="U95" s="1" t="n">
        <f aca="false">IF($A1194="","",IF(I1194="","",I1194-SUM(J1194:P1194)))</f>
        <v>2000</v>
      </c>
      <c r="V95" s="6" t="s">
        <v>4954</v>
      </c>
      <c r="W95" s="9" t="s">
        <v>774</v>
      </c>
      <c r="X95" s="9" t="s">
        <v>4955</v>
      </c>
      <c r="Y95" s="9" t="s">
        <v>4897</v>
      </c>
      <c r="Z95" s="9" t="s">
        <v>4898</v>
      </c>
      <c r="AA95" s="9" t="s">
        <v>4903</v>
      </c>
    </row>
    <row r="96" customFormat="false" ht="15" hidden="false" customHeight="true" outlineLevel="0" collapsed="false">
      <c r="A96" s="6" t="s">
        <v>1081</v>
      </c>
      <c r="B96" s="6" t="s">
        <v>458</v>
      </c>
      <c r="C96" s="6" t="s">
        <v>463</v>
      </c>
      <c r="D96" s="6" t="n">
        <v>6</v>
      </c>
      <c r="E96" s="9" t="s">
        <v>4953</v>
      </c>
      <c r="F96" s="6" t="n">
        <v>2245000</v>
      </c>
      <c r="I96" s="6" t="n">
        <v>875000</v>
      </c>
      <c r="J96" s="6" t="n">
        <v>188000</v>
      </c>
      <c r="K96" s="6" t="n">
        <v>151000</v>
      </c>
      <c r="L96" s="6" t="n">
        <v>222000</v>
      </c>
      <c r="M96" s="6" t="n">
        <v>1000</v>
      </c>
      <c r="N96" s="6" t="n">
        <v>55000</v>
      </c>
      <c r="O96" s="6" t="n">
        <v>253000</v>
      </c>
      <c r="P96" s="6" t="n">
        <v>2000</v>
      </c>
      <c r="Q96" s="1" t="n">
        <f aca="false">IF($A1195="","",IF(OR(F1195="",I1195=""),"",F1195-I1195))</f>
        <v>1370000</v>
      </c>
      <c r="R96" s="1" t="str">
        <f aca="false">IF($A1195="","",IF(Q1195="","",Q1195+IF(O1195="",0,O1195)))</f>
        <v/>
      </c>
      <c r="S96" s="6" t="n">
        <v>114000</v>
      </c>
      <c r="T96" s="1" t="str">
        <f aca="false">IF($A1195="","",IF(R1195="","",R1195-IF(S1195="",0,S1195)))</f>
        <v/>
      </c>
      <c r="U96" s="1" t="n">
        <f aca="false">IF($A1195="","",IF(I1195="","",I1195-SUM(J1195:P1195)))</f>
        <v>3000</v>
      </c>
      <c r="V96" s="6" t="s">
        <v>4954</v>
      </c>
      <c r="W96" s="9" t="s">
        <v>774</v>
      </c>
      <c r="X96" s="9" t="s">
        <v>4955</v>
      </c>
      <c r="Y96" s="9" t="s">
        <v>4897</v>
      </c>
      <c r="Z96" s="9" t="s">
        <v>4898</v>
      </c>
      <c r="AA96" s="9" t="s">
        <v>4903</v>
      </c>
    </row>
    <row r="97" customFormat="false" ht="15" hidden="false" customHeight="true" outlineLevel="0" collapsed="false">
      <c r="A97" s="6" t="s">
        <v>1084</v>
      </c>
      <c r="B97" s="6" t="s">
        <v>458</v>
      </c>
      <c r="C97" s="6" t="s">
        <v>463</v>
      </c>
      <c r="D97" s="6" t="n">
        <v>6</v>
      </c>
      <c r="E97" s="9" t="s">
        <v>4953</v>
      </c>
      <c r="F97" s="6" t="n">
        <v>329000</v>
      </c>
      <c r="I97" s="6" t="n">
        <v>174000</v>
      </c>
      <c r="J97" s="6" t="n">
        <v>37000</v>
      </c>
      <c r="K97" s="6" t="n">
        <v>23000</v>
      </c>
      <c r="L97" s="6" t="n">
        <v>47000</v>
      </c>
      <c r="M97" s="6" t="n">
        <v>0</v>
      </c>
      <c r="N97" s="6" t="n">
        <v>0</v>
      </c>
      <c r="O97" s="6" t="n">
        <v>65000</v>
      </c>
      <c r="P97" s="6" t="n">
        <v>0</v>
      </c>
      <c r="Q97" s="1" t="n">
        <f aca="false">IF($A1196="","",IF(OR(F1196="",I1196=""),"",F1196-I1196))</f>
        <v>155000</v>
      </c>
      <c r="R97" s="1" t="str">
        <f aca="false">IF($A1196="","",IF(Q1196="","",Q1196+IF(O1196="",0,O1196)))</f>
        <v/>
      </c>
      <c r="S97" s="6" t="n">
        <v>0</v>
      </c>
      <c r="T97" s="1" t="str">
        <f aca="false">IF($A1196="","",IF(R1196="","",R1196-IF(S1196="",0,S1196)))</f>
        <v/>
      </c>
      <c r="U97" s="1" t="n">
        <f aca="false">IF($A1196="","",IF(I1196="","",I1196-SUM(J1196:P1196)))</f>
        <v>2000</v>
      </c>
      <c r="V97" s="6" t="s">
        <v>4954</v>
      </c>
      <c r="W97" s="9" t="s">
        <v>774</v>
      </c>
      <c r="X97" s="9" t="s">
        <v>4955</v>
      </c>
      <c r="Y97" s="9" t="s">
        <v>4897</v>
      </c>
      <c r="Z97" s="9" t="s">
        <v>4898</v>
      </c>
      <c r="AA97" s="9" t="s">
        <v>4903</v>
      </c>
    </row>
    <row r="98" customFormat="false" ht="15" hidden="false" customHeight="true" outlineLevel="0" collapsed="false">
      <c r="A98" s="6" t="s">
        <v>1087</v>
      </c>
      <c r="B98" s="6" t="s">
        <v>458</v>
      </c>
      <c r="C98" s="6" t="s">
        <v>463</v>
      </c>
      <c r="D98" s="6" t="n">
        <v>6</v>
      </c>
      <c r="E98" s="9" t="s">
        <v>4953</v>
      </c>
      <c r="F98" s="6" t="n">
        <v>126000</v>
      </c>
      <c r="I98" s="6" t="n">
        <v>54000</v>
      </c>
      <c r="J98" s="6" t="n">
        <v>13000</v>
      </c>
      <c r="K98" s="6" t="n">
        <v>7000</v>
      </c>
      <c r="L98" s="6" t="n">
        <v>15000</v>
      </c>
      <c r="M98" s="6" t="n">
        <v>0</v>
      </c>
      <c r="N98" s="6" t="n">
        <v>2000</v>
      </c>
      <c r="O98" s="6" t="n">
        <v>15000</v>
      </c>
      <c r="P98" s="6" t="n">
        <v>0</v>
      </c>
      <c r="Q98" s="1" t="n">
        <f aca="false">IF($A1197="","",IF(OR(F1197="",I1197=""),"",F1197-I1197))</f>
        <v>-10000</v>
      </c>
      <c r="R98" s="1" t="str">
        <f aca="false">IF($A1197="","",IF(Q1197="","",Q1197+IF(O1197="",0,O1197)))</f>
        <v/>
      </c>
      <c r="S98" s="6" t="n">
        <v>1000</v>
      </c>
      <c r="T98" s="1" t="str">
        <f aca="false">IF($A1197="","",IF(R1197="","",R1197-IF(S1197="",0,S1197)))</f>
        <v/>
      </c>
      <c r="U98" s="1" t="n">
        <f aca="false">IF($A1197="","",IF(I1197="","",I1197-SUM(J1197:P1197)))</f>
        <v>2000</v>
      </c>
      <c r="V98" s="6" t="s">
        <v>4954</v>
      </c>
      <c r="W98" s="9" t="s">
        <v>774</v>
      </c>
      <c r="X98" s="9" t="s">
        <v>4955</v>
      </c>
      <c r="Y98" s="9" t="s">
        <v>4897</v>
      </c>
      <c r="Z98" s="9" t="s">
        <v>4898</v>
      </c>
      <c r="AA98" s="9" t="s">
        <v>4903</v>
      </c>
    </row>
    <row r="99" customFormat="false" ht="15" hidden="false" customHeight="true" outlineLevel="0" collapsed="false">
      <c r="A99" s="6" t="s">
        <v>1089</v>
      </c>
      <c r="B99" s="6" t="s">
        <v>458</v>
      </c>
      <c r="C99" s="6" t="s">
        <v>463</v>
      </c>
      <c r="D99" s="6" t="n">
        <v>6</v>
      </c>
      <c r="E99" s="9" t="s">
        <v>4953</v>
      </c>
      <c r="F99" s="6" t="n">
        <v>330000</v>
      </c>
      <c r="I99" s="6" t="n">
        <v>212000</v>
      </c>
      <c r="J99" s="6" t="n">
        <v>48000</v>
      </c>
      <c r="K99" s="6" t="n">
        <v>43000</v>
      </c>
      <c r="L99" s="6" t="n">
        <v>30000</v>
      </c>
      <c r="M99" s="6" t="n">
        <v>0</v>
      </c>
      <c r="N99" s="6" t="n">
        <v>40000</v>
      </c>
      <c r="O99" s="6" t="n">
        <v>48000</v>
      </c>
      <c r="P99" s="6" t="n">
        <v>0</v>
      </c>
      <c r="Q99" s="1" t="n">
        <f aca="false">IF($A1198="","",IF(OR(F1198="",I1198=""),"",F1198-I1198))</f>
        <v>118000</v>
      </c>
      <c r="R99" s="1" t="str">
        <f aca="false">IF($A1198="","",IF(Q1198="","",Q1198+IF(O1198="",0,O1198)))</f>
        <v/>
      </c>
      <c r="S99" s="6" t="n">
        <v>70000</v>
      </c>
      <c r="T99" s="1" t="str">
        <f aca="false">IF($A1198="","",IF(R1198="","",R1198-IF(S1198="",0,S1198)))</f>
        <v/>
      </c>
      <c r="U99" s="1" t="n">
        <f aca="false">IF($A1198="","",IF(I1198="","",I1198-SUM(J1198:P1198)))</f>
        <v>3000</v>
      </c>
      <c r="V99" s="6" t="s">
        <v>4954</v>
      </c>
      <c r="W99" s="9" t="s">
        <v>774</v>
      </c>
      <c r="X99" s="9" t="s">
        <v>4955</v>
      </c>
      <c r="Y99" s="9" t="s">
        <v>4897</v>
      </c>
      <c r="Z99" s="9" t="s">
        <v>4898</v>
      </c>
      <c r="AA99" s="9" t="s">
        <v>4903</v>
      </c>
    </row>
    <row r="100" customFormat="false" ht="15" hidden="false" customHeight="true" outlineLevel="0" collapsed="false">
      <c r="A100" s="6" t="s">
        <v>1092</v>
      </c>
      <c r="B100" s="6" t="s">
        <v>458</v>
      </c>
      <c r="C100" s="6" t="s">
        <v>463</v>
      </c>
      <c r="D100" s="6" t="n">
        <v>6</v>
      </c>
      <c r="E100" s="9" t="s">
        <v>4953</v>
      </c>
      <c r="F100" s="6" t="n">
        <v>174000</v>
      </c>
      <c r="I100" s="6" t="n">
        <v>65000</v>
      </c>
      <c r="J100" s="6" t="n">
        <v>12000</v>
      </c>
      <c r="K100" s="6" t="n">
        <v>8000</v>
      </c>
      <c r="L100" s="6" t="n">
        <v>14000</v>
      </c>
      <c r="M100" s="6" t="n">
        <v>0</v>
      </c>
      <c r="N100" s="6" t="n">
        <v>1000</v>
      </c>
      <c r="O100" s="6" t="n">
        <v>27000</v>
      </c>
      <c r="P100" s="6" t="n">
        <v>0</v>
      </c>
      <c r="Q100" s="1" t="n">
        <f aca="false">IF($A1199="","",IF(OR(F1199="",I1199=""),"",F1199-I1199))</f>
        <v>109000</v>
      </c>
      <c r="R100" s="1" t="str">
        <f aca="false">IF($A1199="","",IF(Q1199="","",Q1199+IF(O1199="",0,O1199)))</f>
        <v/>
      </c>
      <c r="S100" s="6" t="n">
        <v>0</v>
      </c>
      <c r="T100" s="1" t="str">
        <f aca="false">IF($A1199="","",IF(R1199="","",R1199-IF(S1199="",0,S1199)))</f>
        <v/>
      </c>
      <c r="U100" s="1" t="n">
        <f aca="false">IF($A1199="","",IF(I1199="","",I1199-SUM(J1199:P1199)))</f>
        <v>3000</v>
      </c>
      <c r="V100" s="6" t="s">
        <v>4954</v>
      </c>
      <c r="W100" s="9" t="s">
        <v>774</v>
      </c>
      <c r="X100" s="9" t="s">
        <v>4955</v>
      </c>
      <c r="Y100" s="9" t="s">
        <v>4897</v>
      </c>
      <c r="Z100" s="9" t="s">
        <v>4898</v>
      </c>
      <c r="AA100" s="9" t="s">
        <v>4903</v>
      </c>
    </row>
    <row r="101" customFormat="false" ht="15" hidden="false" customHeight="true" outlineLevel="0" collapsed="false">
      <c r="A101" s="6" t="s">
        <v>1095</v>
      </c>
      <c r="B101" s="6" t="s">
        <v>458</v>
      </c>
      <c r="C101" s="6" t="s">
        <v>463</v>
      </c>
      <c r="D101" s="6" t="n">
        <v>6</v>
      </c>
      <c r="E101" s="9" t="s">
        <v>4953</v>
      </c>
      <c r="F101" s="6" t="n">
        <v>1805000</v>
      </c>
      <c r="I101" s="6" t="n">
        <v>856000</v>
      </c>
      <c r="J101" s="6" t="n">
        <v>169000</v>
      </c>
      <c r="K101" s="6" t="n">
        <v>124000</v>
      </c>
      <c r="L101" s="6" t="n">
        <v>149000</v>
      </c>
      <c r="M101" s="6" t="n">
        <v>2000</v>
      </c>
      <c r="N101" s="6" t="n">
        <v>67000</v>
      </c>
      <c r="O101" s="6" t="n">
        <v>343000</v>
      </c>
      <c r="P101" s="6" t="n">
        <v>0</v>
      </c>
      <c r="Q101" s="1" t="n">
        <f aca="false">IF($A1200="","",IF(OR(F1200="",I1200=""),"",F1200-I1200))</f>
        <v>-728000</v>
      </c>
      <c r="R101" s="1" t="str">
        <f aca="false">IF($A1200="","",IF(Q1200="","",Q1200+IF(O1200="",0,O1200)))</f>
        <v/>
      </c>
      <c r="S101" s="6" t="n">
        <v>297000</v>
      </c>
      <c r="T101" s="1" t="str">
        <f aca="false">IF($A1200="","",IF(R1200="","",R1200-IF(S1200="",0,S1200)))</f>
        <v/>
      </c>
      <c r="U101" s="1" t="n">
        <f aca="false">IF($A1200="","",IF(I1200="","",I1200-SUM(J1200:P1200)))</f>
        <v>2000</v>
      </c>
      <c r="V101" s="6" t="s">
        <v>4954</v>
      </c>
      <c r="W101" s="9" t="s">
        <v>774</v>
      </c>
      <c r="X101" s="9" t="s">
        <v>4955</v>
      </c>
      <c r="Y101" s="9" t="s">
        <v>4897</v>
      </c>
      <c r="Z101" s="9" t="s">
        <v>4898</v>
      </c>
      <c r="AA101" s="9" t="s">
        <v>4903</v>
      </c>
    </row>
    <row r="102" customFormat="false" ht="15" hidden="false" customHeight="true" outlineLevel="0" collapsed="false">
      <c r="A102" s="6" t="s">
        <v>1098</v>
      </c>
      <c r="B102" s="6" t="s">
        <v>458</v>
      </c>
      <c r="C102" s="6" t="s">
        <v>463</v>
      </c>
      <c r="D102" s="6" t="n">
        <v>6</v>
      </c>
      <c r="E102" s="9" t="s">
        <v>4953</v>
      </c>
      <c r="F102" s="6" t="n">
        <v>902000</v>
      </c>
      <c r="I102" s="6" t="n">
        <v>470000</v>
      </c>
      <c r="J102" s="6" t="n">
        <v>75000</v>
      </c>
      <c r="K102" s="6" t="n">
        <v>56000</v>
      </c>
      <c r="L102" s="6" t="n">
        <v>99000</v>
      </c>
      <c r="M102" s="6" t="n">
        <v>0</v>
      </c>
      <c r="N102" s="6" t="n">
        <v>60000</v>
      </c>
      <c r="O102" s="6" t="n">
        <v>177000</v>
      </c>
      <c r="P102" s="6" t="n">
        <v>0</v>
      </c>
      <c r="Q102" s="1" t="n">
        <f aca="false">IF($A1201="","",IF(OR(F1201="",I1201=""),"",F1201-I1201))</f>
        <v>432000</v>
      </c>
      <c r="R102" s="1" t="str">
        <f aca="false">IF($A1201="","",IF(Q1201="","",Q1201+IF(O1201="",0,O1201)))</f>
        <v/>
      </c>
      <c r="S102" s="6" t="n">
        <v>53000</v>
      </c>
      <c r="T102" s="1" t="str">
        <f aca="false">IF($A1201="","",IF(R1201="","",R1201-IF(S1201="",0,S1201)))</f>
        <v/>
      </c>
      <c r="U102" s="1" t="n">
        <f aca="false">IF($A1201="","",IF(I1201="","",I1201-SUM(J1201:P1201)))</f>
        <v>3000</v>
      </c>
      <c r="V102" s="6" t="s">
        <v>4954</v>
      </c>
      <c r="W102" s="9" t="s">
        <v>774</v>
      </c>
      <c r="X102" s="9" t="s">
        <v>4955</v>
      </c>
      <c r="Y102" s="9" t="s">
        <v>4897</v>
      </c>
      <c r="Z102" s="9" t="s">
        <v>4898</v>
      </c>
      <c r="AA102" s="9" t="s">
        <v>4903</v>
      </c>
    </row>
    <row r="103" customFormat="false" ht="15" hidden="false" customHeight="true" outlineLevel="0" collapsed="false">
      <c r="A103" s="6" t="s">
        <v>1101</v>
      </c>
      <c r="B103" s="6" t="s">
        <v>458</v>
      </c>
      <c r="C103" s="6" t="s">
        <v>463</v>
      </c>
      <c r="D103" s="6" t="n">
        <v>6</v>
      </c>
      <c r="E103" s="9" t="s">
        <v>4953</v>
      </c>
      <c r="F103" s="6" t="n">
        <v>653000</v>
      </c>
      <c r="I103" s="6" t="n">
        <v>241000</v>
      </c>
      <c r="J103" s="6" t="n">
        <v>65000</v>
      </c>
      <c r="K103" s="6" t="n">
        <v>16000</v>
      </c>
      <c r="L103" s="6" t="n">
        <v>0</v>
      </c>
      <c r="M103" s="6" t="n">
        <v>0</v>
      </c>
      <c r="N103" s="6" t="n">
        <v>7000</v>
      </c>
      <c r="O103" s="6" t="n">
        <v>147000</v>
      </c>
      <c r="P103" s="6" t="n">
        <v>3000</v>
      </c>
      <c r="Q103" s="1" t="n">
        <f aca="false">IF($A1202="","",IF(OR(F1202="",I1202=""),"",F1202-I1202))</f>
        <v>412000</v>
      </c>
      <c r="R103" s="1" t="str">
        <f aca="false">IF($A1202="","",IF(Q1202="","",Q1202+IF(O1202="",0,O1202)))</f>
        <v/>
      </c>
      <c r="S103" s="6" t="n">
        <v>3000</v>
      </c>
      <c r="T103" s="1" t="str">
        <f aca="false">IF($A1202="","",IF(R1202="","",R1202-IF(S1202="",0,S1202)))</f>
        <v/>
      </c>
      <c r="U103" s="1" t="n">
        <f aca="false">IF($A1202="","",IF(I1202="","",I1202-SUM(J1202:P1202)))</f>
        <v>3000</v>
      </c>
      <c r="V103" s="6" t="s">
        <v>4954</v>
      </c>
      <c r="W103" s="9" t="s">
        <v>774</v>
      </c>
      <c r="X103" s="9" t="s">
        <v>4955</v>
      </c>
      <c r="Y103" s="9" t="s">
        <v>4897</v>
      </c>
      <c r="Z103" s="9" t="s">
        <v>4898</v>
      </c>
      <c r="AA103" s="9" t="s">
        <v>4903</v>
      </c>
    </row>
    <row r="104" customFormat="false" ht="15" hidden="false" customHeight="true" outlineLevel="0" collapsed="false">
      <c r="A104" s="6" t="s">
        <v>1104</v>
      </c>
      <c r="B104" s="6" t="s">
        <v>458</v>
      </c>
      <c r="C104" s="6" t="s">
        <v>463</v>
      </c>
      <c r="D104" s="6" t="n">
        <v>6</v>
      </c>
      <c r="E104" s="9" t="s">
        <v>4953</v>
      </c>
      <c r="F104" s="6" t="n">
        <v>249000</v>
      </c>
      <c r="I104" s="6" t="n">
        <v>119000</v>
      </c>
      <c r="J104" s="6" t="n">
        <v>24000</v>
      </c>
      <c r="K104" s="6" t="n">
        <v>15000</v>
      </c>
      <c r="L104" s="6" t="n">
        <v>23000</v>
      </c>
      <c r="M104" s="6" t="n">
        <v>0</v>
      </c>
      <c r="N104" s="6" t="n">
        <v>10000</v>
      </c>
      <c r="O104" s="6" t="n">
        <v>44000</v>
      </c>
      <c r="P104" s="6" t="n">
        <v>0</v>
      </c>
      <c r="Q104" s="1" t="n">
        <f aca="false">IF($A1203="","",IF(OR(F1203="",I1203=""),"",F1203-I1203))</f>
        <v>-67000</v>
      </c>
      <c r="R104" s="1" t="str">
        <f aca="false">IF($A1203="","",IF(Q1203="","",Q1203+IF(O1203="",0,O1203)))</f>
        <v/>
      </c>
      <c r="S104" s="6" t="n">
        <v>62000</v>
      </c>
      <c r="T104" s="1" t="str">
        <f aca="false">IF($A1203="","",IF(R1203="","",R1203-IF(S1203="",0,S1203)))</f>
        <v/>
      </c>
      <c r="U104" s="1" t="n">
        <f aca="false">IF($A1203="","",IF(I1203="","",I1203-SUM(J1203:P1203)))</f>
        <v>3000</v>
      </c>
      <c r="V104" s="6" t="s">
        <v>4954</v>
      </c>
      <c r="W104" s="9" t="s">
        <v>774</v>
      </c>
      <c r="X104" s="9" t="s">
        <v>4955</v>
      </c>
      <c r="Y104" s="9" t="s">
        <v>4897</v>
      </c>
      <c r="Z104" s="9" t="s">
        <v>4898</v>
      </c>
      <c r="AA104" s="9" t="s">
        <v>4903</v>
      </c>
    </row>
    <row r="105" customFormat="false" ht="15" hidden="false" customHeight="true" outlineLevel="0" collapsed="false">
      <c r="A105" s="6" t="s">
        <v>1107</v>
      </c>
      <c r="B105" s="6" t="s">
        <v>458</v>
      </c>
      <c r="C105" s="6" t="s">
        <v>463</v>
      </c>
      <c r="D105" s="6" t="n">
        <v>6</v>
      </c>
      <c r="E105" s="9" t="s">
        <v>4957</v>
      </c>
      <c r="F105" s="6" t="n">
        <v>1570000</v>
      </c>
      <c r="I105" s="6" t="n">
        <v>1363000</v>
      </c>
      <c r="Q105" s="1" t="n">
        <f aca="false">IF($A1204="","",IF(OR(F1204="",I1204=""),"",F1204-I1204))</f>
        <v>-820000</v>
      </c>
      <c r="R105" s="1" t="str">
        <f aca="false">IF($A1204="","",IF(Q1204="","",Q1204+IF(O1204="",0,O1204)))</f>
        <v/>
      </c>
      <c r="S105" s="6" t="n">
        <v>690000</v>
      </c>
      <c r="T105" s="1" t="str">
        <f aca="false">IF($A1204="","",IF(R1204="","",R1204-IF(S1204="",0,S1204)))</f>
        <v/>
      </c>
      <c r="U105" s="1" t="n">
        <f aca="false">IF($A1204="","",IF(I1204="","",I1204-SUM(J1204:P1204)))</f>
        <v>1363000</v>
      </c>
      <c r="V105" s="6" t="s">
        <v>4954</v>
      </c>
      <c r="W105" s="9" t="s">
        <v>774</v>
      </c>
      <c r="X105" s="9" t="s">
        <v>4958</v>
      </c>
      <c r="Y105" s="9" t="s">
        <v>4897</v>
      </c>
      <c r="Z105" s="9" t="s">
        <v>4898</v>
      </c>
      <c r="AA105" s="9" t="s">
        <v>4903</v>
      </c>
    </row>
    <row r="106" customFormat="false" ht="15" hidden="false" customHeight="true" outlineLevel="0" collapsed="false">
      <c r="A106" s="6" t="s">
        <v>1110</v>
      </c>
      <c r="B106" s="6" t="s">
        <v>458</v>
      </c>
      <c r="C106" s="6" t="s">
        <v>463</v>
      </c>
      <c r="D106" s="6" t="n">
        <v>6</v>
      </c>
      <c r="E106" s="9" t="s">
        <v>4953</v>
      </c>
      <c r="F106" s="6" t="n">
        <v>200000</v>
      </c>
      <c r="I106" s="6" t="n">
        <v>93000</v>
      </c>
      <c r="J106" s="6" t="n">
        <v>16000</v>
      </c>
      <c r="K106" s="6" t="n">
        <v>11000</v>
      </c>
      <c r="L106" s="6" t="n">
        <v>32000</v>
      </c>
      <c r="M106" s="6" t="n">
        <v>0</v>
      </c>
      <c r="N106" s="6" t="n">
        <v>5000</v>
      </c>
      <c r="O106" s="6" t="n">
        <v>28000</v>
      </c>
      <c r="P106" s="6" t="n">
        <v>0</v>
      </c>
      <c r="Q106" s="1" t="n">
        <f aca="false">IF($A1205="","",IF(OR(F1205="",I1205=""),"",F1205-I1205))</f>
        <v>107000</v>
      </c>
      <c r="R106" s="1" t="str">
        <f aca="false">IF($A1205="","",IF(Q1205="","",Q1205+IF(O1205="",0,O1205)))</f>
        <v/>
      </c>
      <c r="S106" s="6" t="n">
        <v>1000</v>
      </c>
      <c r="T106" s="1" t="str">
        <f aca="false">IF($A1205="","",IF(R1205="","",R1205-IF(S1205="",0,S1205)))</f>
        <v/>
      </c>
      <c r="U106" s="1" t="n">
        <f aca="false">IF($A1205="","",IF(I1205="","",I1205-SUM(J1205:P1205)))</f>
        <v>1000</v>
      </c>
      <c r="V106" s="6" t="s">
        <v>4954</v>
      </c>
      <c r="W106" s="9" t="s">
        <v>774</v>
      </c>
      <c r="X106" s="9" t="s">
        <v>4955</v>
      </c>
      <c r="Y106" s="9" t="s">
        <v>4897</v>
      </c>
      <c r="Z106" s="9" t="s">
        <v>4898</v>
      </c>
      <c r="AA106" s="9" t="s">
        <v>4903</v>
      </c>
    </row>
    <row r="107" customFormat="false" ht="15" hidden="false" customHeight="true" outlineLevel="0" collapsed="false">
      <c r="A107" s="6" t="s">
        <v>1113</v>
      </c>
      <c r="B107" s="6" t="s">
        <v>458</v>
      </c>
      <c r="C107" s="6" t="s">
        <v>463</v>
      </c>
      <c r="D107" s="6" t="n">
        <v>6</v>
      </c>
      <c r="E107" s="9" t="s">
        <v>4953</v>
      </c>
      <c r="F107" s="6" t="n">
        <v>599000</v>
      </c>
      <c r="I107" s="6" t="n">
        <v>271000</v>
      </c>
      <c r="J107" s="6" t="n">
        <v>45000</v>
      </c>
      <c r="K107" s="6" t="n">
        <v>32000</v>
      </c>
      <c r="L107" s="6" t="n">
        <v>58000</v>
      </c>
      <c r="M107" s="6" t="n">
        <v>0</v>
      </c>
      <c r="N107" s="6" t="n">
        <v>1000</v>
      </c>
      <c r="O107" s="6" t="n">
        <v>132000</v>
      </c>
      <c r="P107" s="6" t="n">
        <v>0</v>
      </c>
      <c r="Q107" s="1" t="n">
        <f aca="false">IF($A1206="","",IF(OR(F1206="",I1206=""),"",F1206-I1206))</f>
        <v>328000</v>
      </c>
      <c r="R107" s="1" t="str">
        <f aca="false">IF($A1206="","",IF(Q1206="","",Q1206+IF(O1206="",0,O1206)))</f>
        <v/>
      </c>
      <c r="S107" s="6" t="n">
        <v>0</v>
      </c>
      <c r="T107" s="1" t="str">
        <f aca="false">IF($A1206="","",IF(R1206="","",R1206-IF(S1206="",0,S1206)))</f>
        <v/>
      </c>
      <c r="U107" s="1" t="n">
        <f aca="false">IF($A1206="","",IF(I1206="","",I1206-SUM(J1206:P1206)))</f>
        <v>3000</v>
      </c>
      <c r="V107" s="6" t="s">
        <v>4954</v>
      </c>
      <c r="W107" s="9" t="s">
        <v>774</v>
      </c>
      <c r="X107" s="9" t="s">
        <v>4955</v>
      </c>
      <c r="Y107" s="9" t="s">
        <v>4897</v>
      </c>
      <c r="Z107" s="9" t="s">
        <v>4898</v>
      </c>
      <c r="AA107" s="9" t="s">
        <v>4903</v>
      </c>
    </row>
    <row r="108" customFormat="false" ht="15" hidden="false" customHeight="true" outlineLevel="0" collapsed="false">
      <c r="A108" s="6" t="s">
        <v>1116</v>
      </c>
      <c r="B108" s="6" t="s">
        <v>458</v>
      </c>
      <c r="C108" s="6" t="s">
        <v>463</v>
      </c>
      <c r="D108" s="6" t="n">
        <v>6</v>
      </c>
      <c r="E108" s="9" t="s">
        <v>4953</v>
      </c>
      <c r="F108" s="6" t="n">
        <v>352000</v>
      </c>
      <c r="I108" s="6" t="n">
        <v>135000</v>
      </c>
      <c r="J108" s="6" t="n">
        <v>26000</v>
      </c>
      <c r="K108" s="6" t="n">
        <v>18000</v>
      </c>
      <c r="L108" s="6" t="n">
        <v>30000</v>
      </c>
      <c r="M108" s="6" t="n">
        <v>0</v>
      </c>
      <c r="N108" s="6" t="n">
        <v>1000</v>
      </c>
      <c r="O108" s="6" t="n">
        <v>58000</v>
      </c>
      <c r="P108" s="6" t="n">
        <v>0</v>
      </c>
      <c r="Q108" s="1" t="n">
        <f aca="false">IF($A1207="","",IF(OR(F1207="",I1207=""),"",F1207-I1207))</f>
        <v>217000</v>
      </c>
      <c r="R108" s="1" t="str">
        <f aca="false">IF($A1207="","",IF(Q1207="","",Q1207+IF(O1207="",0,O1207)))</f>
        <v/>
      </c>
      <c r="S108" s="6" t="n">
        <v>5000</v>
      </c>
      <c r="T108" s="1" t="str">
        <f aca="false">IF($A1207="","",IF(R1207="","",R1207-IF(S1207="",0,S1207)))</f>
        <v/>
      </c>
      <c r="U108" s="1" t="n">
        <f aca="false">IF($A1207="","",IF(I1207="","",I1207-SUM(J1207:P1207)))</f>
        <v>2000</v>
      </c>
      <c r="V108" s="6" t="s">
        <v>4954</v>
      </c>
      <c r="W108" s="9" t="s">
        <v>774</v>
      </c>
      <c r="X108" s="9" t="s">
        <v>4955</v>
      </c>
      <c r="Y108" s="9" t="s">
        <v>4897</v>
      </c>
      <c r="Z108" s="9" t="s">
        <v>4898</v>
      </c>
      <c r="AA108" s="9" t="s">
        <v>4903</v>
      </c>
    </row>
    <row r="109" customFormat="false" ht="15" hidden="false" customHeight="true" outlineLevel="0" collapsed="false">
      <c r="A109" s="6" t="s">
        <v>1119</v>
      </c>
      <c r="B109" s="6" t="s">
        <v>458</v>
      </c>
      <c r="C109" s="6" t="s">
        <v>463</v>
      </c>
      <c r="D109" s="6" t="n">
        <v>6</v>
      </c>
      <c r="E109" s="9" t="s">
        <v>4953</v>
      </c>
      <c r="F109" s="6" t="n">
        <v>185000</v>
      </c>
      <c r="I109" s="6" t="n">
        <v>63000</v>
      </c>
      <c r="J109" s="6" t="n">
        <v>11000</v>
      </c>
      <c r="K109" s="6" t="n">
        <v>8000</v>
      </c>
      <c r="L109" s="6" t="n">
        <v>26000</v>
      </c>
      <c r="M109" s="6" t="n">
        <v>0</v>
      </c>
      <c r="N109" s="6" t="n">
        <v>3000</v>
      </c>
      <c r="O109" s="6" t="n">
        <v>13000</v>
      </c>
      <c r="P109" s="6" t="n">
        <v>0</v>
      </c>
      <c r="Q109" s="1" t="n">
        <f aca="false">IF($A1208="","",IF(OR(F1208="",I1208=""),"",F1208-I1208))</f>
        <v>139000</v>
      </c>
      <c r="R109" s="1" t="str">
        <f aca="false">IF($A1208="","",IF(Q1208="","",Q1208+IF(O1208="",0,O1208)))</f>
        <v/>
      </c>
      <c r="S109" s="6" t="n">
        <v>0</v>
      </c>
      <c r="T109" s="1" t="str">
        <f aca="false">IF($A1208="","",IF(R1208="","",R1208-IF(S1208="",0,S1208)))</f>
        <v/>
      </c>
      <c r="U109" s="1" t="n">
        <f aca="false">IF($A1208="","",IF(I1208="","",I1208-SUM(J1208:P1208)))</f>
        <v>2000</v>
      </c>
      <c r="V109" s="6" t="s">
        <v>4954</v>
      </c>
      <c r="W109" s="9" t="s">
        <v>774</v>
      </c>
      <c r="X109" s="9" t="s">
        <v>4955</v>
      </c>
      <c r="Y109" s="9" t="s">
        <v>4897</v>
      </c>
      <c r="Z109" s="9" t="s">
        <v>4898</v>
      </c>
      <c r="AA109" s="9" t="s">
        <v>4903</v>
      </c>
    </row>
    <row r="110" customFormat="false" ht="15" hidden="false" customHeight="true" outlineLevel="0" collapsed="false">
      <c r="A110" s="6" t="s">
        <v>1122</v>
      </c>
      <c r="B110" s="6" t="s">
        <v>458</v>
      </c>
      <c r="C110" s="6" t="s">
        <v>463</v>
      </c>
      <c r="D110" s="6" t="n">
        <v>6</v>
      </c>
      <c r="E110" s="9" t="s">
        <v>4953</v>
      </c>
      <c r="F110" s="6" t="n">
        <v>336000</v>
      </c>
      <c r="I110" s="6" t="n">
        <v>207000</v>
      </c>
      <c r="J110" s="6" t="n">
        <v>29000</v>
      </c>
      <c r="K110" s="6" t="n">
        <v>26000</v>
      </c>
      <c r="L110" s="6" t="n">
        <v>80000</v>
      </c>
      <c r="M110" s="6" t="n">
        <v>0</v>
      </c>
      <c r="N110" s="6" t="n">
        <v>13000</v>
      </c>
      <c r="O110" s="6" t="n">
        <v>57000</v>
      </c>
      <c r="P110" s="6" t="n">
        <v>0</v>
      </c>
      <c r="Q110" s="1" t="n">
        <f aca="false">IF($A1209="","",IF(OR(F1209="",I1209=""),"",F1209-I1209))</f>
        <v>-40000</v>
      </c>
      <c r="R110" s="1" t="str">
        <f aca="false">IF($A1209="","",IF(Q1209="","",Q1209+IF(O1209="",0,O1209)))</f>
        <v/>
      </c>
      <c r="S110" s="6" t="n">
        <v>9000</v>
      </c>
      <c r="T110" s="1" t="str">
        <f aca="false">IF($A1209="","",IF(R1209="","",R1209-IF(S1209="",0,S1209)))</f>
        <v/>
      </c>
      <c r="U110" s="1" t="n">
        <f aca="false">IF($A1209="","",IF(I1209="","",I1209-SUM(J1209:P1209)))</f>
        <v>2000</v>
      </c>
      <c r="V110" s="6" t="s">
        <v>4954</v>
      </c>
      <c r="W110" s="9" t="s">
        <v>774</v>
      </c>
      <c r="X110" s="9" t="s">
        <v>4955</v>
      </c>
      <c r="Y110" s="9" t="s">
        <v>4897</v>
      </c>
      <c r="Z110" s="9" t="s">
        <v>4898</v>
      </c>
      <c r="AA110" s="9" t="s">
        <v>4903</v>
      </c>
    </row>
    <row r="111" customFormat="false" ht="15" hidden="false" customHeight="true" outlineLevel="0" collapsed="false">
      <c r="A111" s="6" t="s">
        <v>1124</v>
      </c>
      <c r="B111" s="6" t="s">
        <v>458</v>
      </c>
      <c r="C111" s="6" t="s">
        <v>463</v>
      </c>
      <c r="D111" s="6" t="n">
        <v>6</v>
      </c>
      <c r="E111" s="9" t="s">
        <v>4953</v>
      </c>
      <c r="F111" s="6" t="n">
        <v>600000</v>
      </c>
      <c r="I111" s="6" t="n">
        <v>120000</v>
      </c>
      <c r="J111" s="6" t="n">
        <v>0</v>
      </c>
      <c r="K111" s="6" t="n">
        <v>0</v>
      </c>
      <c r="L111" s="6" t="n">
        <v>120000</v>
      </c>
      <c r="M111" s="6" t="n">
        <v>0</v>
      </c>
      <c r="N111" s="6" t="n">
        <v>0</v>
      </c>
      <c r="O111" s="6" t="n">
        <v>0</v>
      </c>
      <c r="P111" s="6" t="n">
        <v>0</v>
      </c>
      <c r="Q111" s="1" t="n">
        <f aca="false">IF($A1210="","",IF(OR(F1210="",I1210=""),"",F1210-I1210))</f>
        <v>480000</v>
      </c>
      <c r="R111" s="1" t="str">
        <f aca="false">IF($A1210="","",IF(Q1210="","",Q1210+IF(O1210="",0,O1210)))</f>
        <v/>
      </c>
      <c r="S111" s="6" t="n">
        <v>0</v>
      </c>
      <c r="T111" s="1" t="str">
        <f aca="false">IF($A1210="","",IF(R1210="","",R1210-IF(S1210="",0,S1210)))</f>
        <v/>
      </c>
      <c r="U111" s="1" t="n">
        <f aca="false">IF($A1210="","",IF(I1210="","",I1210-SUM(J1210:P1210)))</f>
        <v>0</v>
      </c>
      <c r="V111" s="6" t="s">
        <v>4954</v>
      </c>
      <c r="W111" s="9" t="s">
        <v>774</v>
      </c>
      <c r="X111" s="9" t="s">
        <v>4955</v>
      </c>
      <c r="Y111" s="9" t="s">
        <v>4897</v>
      </c>
      <c r="Z111" s="9" t="s">
        <v>4898</v>
      </c>
      <c r="AA111" s="9" t="s">
        <v>4903</v>
      </c>
    </row>
    <row r="112" customFormat="false" ht="15" hidden="false" customHeight="true" outlineLevel="0" collapsed="false">
      <c r="A112" s="6" t="s">
        <v>1127</v>
      </c>
      <c r="B112" s="6" t="s">
        <v>458</v>
      </c>
      <c r="C112" s="6" t="s">
        <v>463</v>
      </c>
      <c r="D112" s="6" t="n">
        <v>6</v>
      </c>
      <c r="E112" s="9" t="s">
        <v>4953</v>
      </c>
      <c r="F112" s="6" t="n">
        <v>485000</v>
      </c>
      <c r="I112" s="6" t="n">
        <v>245000</v>
      </c>
      <c r="J112" s="6" t="n">
        <v>55000</v>
      </c>
      <c r="K112" s="6" t="n">
        <v>28000</v>
      </c>
      <c r="L112" s="6" t="n">
        <v>43000</v>
      </c>
      <c r="M112" s="6" t="n">
        <v>2000</v>
      </c>
      <c r="N112" s="6" t="n">
        <v>3000</v>
      </c>
      <c r="O112" s="6" t="n">
        <v>112000</v>
      </c>
      <c r="P112" s="6" t="n">
        <v>0</v>
      </c>
      <c r="Q112" s="1" t="n">
        <f aca="false">IF($A1211="","",IF(OR(F1211="",I1211=""),"",F1211-I1211))</f>
        <v>784000</v>
      </c>
      <c r="R112" s="1" t="str">
        <f aca="false">IF($A1211="","",IF(Q1211="","",Q1211+IF(O1211="",0,O1211)))</f>
        <v/>
      </c>
      <c r="S112" s="6" t="n">
        <v>7000</v>
      </c>
      <c r="T112" s="1" t="str">
        <f aca="false">IF($A1211="","",IF(R1211="","",R1211-IF(S1211="",0,S1211)))</f>
        <v/>
      </c>
      <c r="U112" s="1" t="n">
        <f aca="false">IF($A1211="","",IF(I1211="","",I1211-SUM(J1211:P1211)))</f>
        <v>2000</v>
      </c>
      <c r="V112" s="6" t="s">
        <v>4954</v>
      </c>
      <c r="W112" s="9" t="s">
        <v>774</v>
      </c>
      <c r="X112" s="9" t="s">
        <v>4955</v>
      </c>
      <c r="Y112" s="9" t="s">
        <v>4897</v>
      </c>
      <c r="Z112" s="9" t="s">
        <v>4898</v>
      </c>
      <c r="AA112" s="9" t="s">
        <v>4903</v>
      </c>
    </row>
    <row r="113" customFormat="false" ht="15" hidden="false" customHeight="true" outlineLevel="0" collapsed="false">
      <c r="A113" s="6" t="s">
        <v>1130</v>
      </c>
      <c r="B113" s="6" t="s">
        <v>458</v>
      </c>
      <c r="C113" s="6" t="s">
        <v>463</v>
      </c>
      <c r="D113" s="6" t="n">
        <v>6</v>
      </c>
      <c r="E113" s="9" t="s">
        <v>4953</v>
      </c>
      <c r="F113" s="6" t="n">
        <v>714000</v>
      </c>
      <c r="I113" s="6" t="n">
        <v>300000</v>
      </c>
      <c r="J113" s="6" t="n">
        <v>69000</v>
      </c>
      <c r="K113" s="6" t="n">
        <v>48000</v>
      </c>
      <c r="L113" s="6" t="n">
        <v>41000</v>
      </c>
      <c r="M113" s="6" t="n">
        <v>1000</v>
      </c>
      <c r="N113" s="6" t="n">
        <v>21000</v>
      </c>
      <c r="O113" s="6" t="n">
        <v>118000</v>
      </c>
      <c r="P113" s="6" t="n">
        <v>0</v>
      </c>
      <c r="Q113" s="1" t="n">
        <f aca="false">IF($A1212="","",IF(OR(F1212="",I1212=""),"",F1212-I1212))</f>
        <v>414000</v>
      </c>
      <c r="R113" s="1" t="str">
        <f aca="false">IF($A1212="","",IF(Q1212="","",Q1212+IF(O1212="",0,O1212)))</f>
        <v/>
      </c>
      <c r="S113" s="6" t="n">
        <v>6000</v>
      </c>
      <c r="T113" s="1" t="str">
        <f aca="false">IF($A1212="","",IF(R1212="","",R1212-IF(S1212="",0,S1212)))</f>
        <v/>
      </c>
      <c r="U113" s="1" t="n">
        <f aca="false">IF($A1212="","",IF(I1212="","",I1212-SUM(J1212:P1212)))</f>
        <v>2000</v>
      </c>
      <c r="V113" s="6" t="s">
        <v>4954</v>
      </c>
      <c r="W113" s="9" t="s">
        <v>774</v>
      </c>
      <c r="X113" s="9" t="s">
        <v>4955</v>
      </c>
      <c r="Y113" s="9" t="s">
        <v>4897</v>
      </c>
      <c r="Z113" s="9" t="s">
        <v>4898</v>
      </c>
      <c r="AA113" s="9" t="s">
        <v>4903</v>
      </c>
    </row>
    <row r="114" customFormat="false" ht="15" hidden="false" customHeight="true" outlineLevel="0" collapsed="false">
      <c r="A114" s="6" t="s">
        <v>1132</v>
      </c>
      <c r="B114" s="6" t="s">
        <v>458</v>
      </c>
      <c r="C114" s="6" t="s">
        <v>463</v>
      </c>
      <c r="D114" s="6" t="n">
        <v>6</v>
      </c>
      <c r="E114" s="9" t="s">
        <v>4953</v>
      </c>
      <c r="F114" s="6" t="n">
        <v>818000</v>
      </c>
      <c r="I114" s="6" t="n">
        <v>409000</v>
      </c>
      <c r="J114" s="6" t="n">
        <v>70000</v>
      </c>
      <c r="K114" s="6" t="n">
        <v>67000</v>
      </c>
      <c r="L114" s="6" t="n">
        <v>67000</v>
      </c>
      <c r="M114" s="6" t="n">
        <v>1000</v>
      </c>
      <c r="N114" s="6" t="n">
        <v>15000</v>
      </c>
      <c r="O114" s="6" t="n">
        <v>186000</v>
      </c>
      <c r="P114" s="6" t="n">
        <v>0</v>
      </c>
      <c r="Q114" s="1" t="n">
        <f aca="false">IF($A1213="","",IF(OR(F1213="",I1213=""),"",F1213-I1213))</f>
        <v>409000</v>
      </c>
      <c r="R114" s="1" t="str">
        <f aca="false">IF($A1213="","",IF(Q1213="","",Q1213+IF(O1213="",0,O1213)))</f>
        <v/>
      </c>
      <c r="S114" s="6" t="n">
        <v>44000</v>
      </c>
      <c r="T114" s="1" t="str">
        <f aca="false">IF($A1213="","",IF(R1213="","",R1213-IF(S1213="",0,S1213)))</f>
        <v/>
      </c>
      <c r="U114" s="1" t="n">
        <f aca="false">IF($A1213="","",IF(I1213="","",I1213-SUM(J1213:P1213)))</f>
        <v>3000</v>
      </c>
      <c r="V114" s="6" t="s">
        <v>4954</v>
      </c>
      <c r="W114" s="9" t="s">
        <v>774</v>
      </c>
      <c r="X114" s="9" t="s">
        <v>4955</v>
      </c>
      <c r="Y114" s="9" t="s">
        <v>4897</v>
      </c>
      <c r="Z114" s="9" t="s">
        <v>4898</v>
      </c>
      <c r="AA114" s="9" t="s">
        <v>4903</v>
      </c>
    </row>
    <row r="115" customFormat="false" ht="15" hidden="false" customHeight="true" outlineLevel="0" collapsed="false">
      <c r="A115" s="6" t="s">
        <v>1135</v>
      </c>
      <c r="B115" s="6" t="s">
        <v>458</v>
      </c>
      <c r="C115" s="6" t="s">
        <v>463</v>
      </c>
      <c r="D115" s="6" t="n">
        <v>6</v>
      </c>
      <c r="E115" s="9" t="s">
        <v>4953</v>
      </c>
      <c r="F115" s="6" t="n">
        <v>625000</v>
      </c>
      <c r="G115" s="1" t="n">
        <v>14911595</v>
      </c>
      <c r="H115" s="1" t="n">
        <v>14645</v>
      </c>
      <c r="I115" s="6" t="n">
        <v>396000</v>
      </c>
      <c r="J115" s="6" t="n">
        <v>69000</v>
      </c>
      <c r="K115" s="6" t="n">
        <v>49000</v>
      </c>
      <c r="L115" s="6" t="n">
        <v>47000</v>
      </c>
      <c r="M115" s="6" t="n">
        <v>1000</v>
      </c>
      <c r="N115" s="6" t="n">
        <v>59000</v>
      </c>
      <c r="O115" s="6" t="n">
        <v>169000</v>
      </c>
      <c r="P115" s="6" t="n">
        <v>0</v>
      </c>
      <c r="Q115" s="1" t="n">
        <f aca="false">IF($A1214="","",IF(OR(F1214="",I1214=""),"",F1214-I1214))</f>
        <v>229000</v>
      </c>
      <c r="R115" s="1" t="str">
        <f aca="false">IF($A1214="","",IF(Q1214="","",Q1214+IF(O1214="",0,O1214)))</f>
        <v/>
      </c>
      <c r="S115" s="6" t="n">
        <v>67000</v>
      </c>
      <c r="T115" s="1" t="str">
        <f aca="false">IF($A1214="","",IF(R1214="","",R1214-IF(S1214="",0,S1214)))</f>
        <v/>
      </c>
      <c r="U115" s="1" t="n">
        <f aca="false">IF($A1214="","",IF(I1214="","",I1214-SUM(J1214:P1214)))</f>
        <v>2000</v>
      </c>
      <c r="V115" s="6" t="s">
        <v>4954</v>
      </c>
      <c r="W115" s="49" t="s">
        <v>774</v>
      </c>
      <c r="X115" s="9" t="s">
        <v>4955</v>
      </c>
      <c r="Y115" s="9" t="s">
        <v>4897</v>
      </c>
      <c r="Z115" s="9" t="s">
        <v>4898</v>
      </c>
      <c r="AA115" s="9" t="s">
        <v>4903</v>
      </c>
    </row>
    <row r="116" customFormat="false" ht="15" hidden="false" customHeight="true" outlineLevel="0" collapsed="false">
      <c r="A116" s="6" t="s">
        <v>1138</v>
      </c>
      <c r="B116" s="6" t="s">
        <v>458</v>
      </c>
      <c r="C116" s="6" t="s">
        <v>463</v>
      </c>
      <c r="D116" s="6" t="n">
        <v>6</v>
      </c>
      <c r="E116" s="9" t="s">
        <v>4953</v>
      </c>
      <c r="F116" s="6" t="n">
        <v>199000</v>
      </c>
      <c r="G116" s="1" t="n">
        <v>2851394</v>
      </c>
      <c r="H116" s="1" t="n">
        <v>0</v>
      </c>
      <c r="I116" s="6" t="n">
        <v>87000</v>
      </c>
      <c r="J116" s="6" t="n">
        <v>14000</v>
      </c>
      <c r="K116" s="6" t="n">
        <v>17000</v>
      </c>
      <c r="L116" s="6" t="n">
        <v>17000</v>
      </c>
      <c r="M116" s="6" t="n">
        <v>0</v>
      </c>
      <c r="N116" s="6" t="n">
        <v>6000</v>
      </c>
      <c r="O116" s="6" t="n">
        <v>31000</v>
      </c>
      <c r="P116" s="6" t="n">
        <v>0</v>
      </c>
      <c r="Q116" s="1" t="n">
        <f aca="false">IF($A1215="","",IF(OR(F1215="",I1215=""),"",F1215-I1215))</f>
        <v>112000</v>
      </c>
      <c r="R116" s="1" t="str">
        <f aca="false">IF($A1215="","",IF(Q1215="","",Q1215+IF(O1215="",0,O1215)))</f>
        <v/>
      </c>
      <c r="S116" s="6" t="n">
        <v>16000</v>
      </c>
      <c r="T116" s="1" t="str">
        <f aca="false">IF($A1215="","",IF(R1215="","",R1215-IF(S1215="",0,S1215)))</f>
        <v/>
      </c>
      <c r="U116" s="1" t="n">
        <f aca="false">IF($A1215="","",IF(I1215="","",I1215-SUM(J1215:P1215)))</f>
        <v>2000</v>
      </c>
      <c r="V116" s="6" t="s">
        <v>4954</v>
      </c>
      <c r="W116" s="9" t="s">
        <v>774</v>
      </c>
      <c r="X116" s="9" t="s">
        <v>4955</v>
      </c>
      <c r="Y116" s="9" t="s">
        <v>4897</v>
      </c>
      <c r="Z116" s="9" t="s">
        <v>4898</v>
      </c>
      <c r="AA116" s="9" t="s">
        <v>4903</v>
      </c>
    </row>
    <row r="117" customFormat="false" ht="15" hidden="false" customHeight="true" outlineLevel="0" collapsed="false">
      <c r="A117" s="6" t="s">
        <v>1142</v>
      </c>
      <c r="B117" s="6" t="s">
        <v>458</v>
      </c>
      <c r="C117" s="6" t="s">
        <v>463</v>
      </c>
      <c r="D117" s="6" t="n">
        <v>6</v>
      </c>
      <c r="E117" s="9" t="s">
        <v>4953</v>
      </c>
      <c r="F117" s="6" t="n">
        <v>735000</v>
      </c>
      <c r="G117" s="1" t="n">
        <v>1351486</v>
      </c>
      <c r="H117" s="1" t="n">
        <v>0</v>
      </c>
      <c r="I117" s="6" t="n">
        <v>452000</v>
      </c>
      <c r="J117" s="6" t="n">
        <v>57000</v>
      </c>
      <c r="K117" s="6" t="n">
        <v>44000</v>
      </c>
      <c r="L117" s="6" t="n">
        <v>25000</v>
      </c>
      <c r="M117" s="6" t="n">
        <v>0</v>
      </c>
      <c r="N117" s="6" t="n">
        <v>17000</v>
      </c>
      <c r="O117" s="6" t="n">
        <v>203000</v>
      </c>
      <c r="P117" s="6" t="n">
        <v>103000</v>
      </c>
      <c r="Q117" s="1" t="n">
        <f aca="false">IF($A1216="","",IF(OR(F1216="",I1216=""),"",F1216-I1216))</f>
        <v>283000</v>
      </c>
      <c r="R117" s="1" t="str">
        <f aca="false">IF($A1216="","",IF(Q1216="","",Q1216+IF(O1216="",0,O1216)))</f>
        <v/>
      </c>
      <c r="S117" s="6" t="n">
        <v>138000</v>
      </c>
      <c r="T117" s="1" t="str">
        <f aca="false">IF($A1216="","",IF(R1216="","",R1216-IF(S1216="",0,S1216)))</f>
        <v/>
      </c>
      <c r="U117" s="1" t="n">
        <f aca="false">IF($A1216="","",IF(I1216="","",I1216-SUM(J1216:P1216)))</f>
        <v>3000</v>
      </c>
      <c r="V117" s="6" t="s">
        <v>4954</v>
      </c>
      <c r="W117" s="9" t="s">
        <v>774</v>
      </c>
      <c r="X117" s="9" t="s">
        <v>4955</v>
      </c>
      <c r="Y117" s="9" t="s">
        <v>4897</v>
      </c>
      <c r="Z117" s="9" t="s">
        <v>4898</v>
      </c>
      <c r="AA117" s="9" t="s">
        <v>4903</v>
      </c>
    </row>
    <row r="118" customFormat="false" ht="15" hidden="false" customHeight="true" outlineLevel="0" collapsed="false">
      <c r="A118" s="6" t="s">
        <v>1146</v>
      </c>
      <c r="B118" s="6" t="s">
        <v>458</v>
      </c>
      <c r="C118" s="6" t="s">
        <v>463</v>
      </c>
      <c r="D118" s="6" t="n">
        <v>6</v>
      </c>
      <c r="E118" s="9" t="s">
        <v>4953</v>
      </c>
      <c r="F118" s="6" t="n">
        <v>244000</v>
      </c>
      <c r="G118" s="1" t="n">
        <v>660481</v>
      </c>
      <c r="H118" s="1" t="n">
        <v>80291</v>
      </c>
      <c r="I118" s="6" t="n">
        <v>128000</v>
      </c>
      <c r="J118" s="6" t="n">
        <v>29000</v>
      </c>
      <c r="K118" s="6" t="n">
        <v>18000</v>
      </c>
      <c r="L118" s="6" t="n">
        <v>28000</v>
      </c>
      <c r="M118" s="6" t="n">
        <v>0</v>
      </c>
      <c r="N118" s="6" t="n">
        <v>0</v>
      </c>
      <c r="O118" s="6" t="n">
        <v>51000</v>
      </c>
      <c r="P118" s="6" t="n">
        <v>0</v>
      </c>
      <c r="Q118" s="1" t="n">
        <f aca="false">IF($A1217="","",IF(OR(F1217="",I1217=""),"",F1217-I1217))</f>
        <v>116000</v>
      </c>
      <c r="R118" s="1" t="str">
        <f aca="false">IF($A1217="","",IF(Q1217="","",Q1217+IF(O1217="",0,O1217)))</f>
        <v/>
      </c>
      <c r="S118" s="6" t="n">
        <v>6000</v>
      </c>
      <c r="T118" s="1" t="str">
        <f aca="false">IF($A1217="","",IF(R1217="","",R1217-IF(S1217="",0,S1217)))</f>
        <v/>
      </c>
      <c r="U118" s="1" t="n">
        <f aca="false">IF($A1217="","",IF(I1217="","",I1217-SUM(J1217:P1217)))</f>
        <v>2000</v>
      </c>
      <c r="V118" s="6" t="s">
        <v>4954</v>
      </c>
      <c r="W118" s="9" t="s">
        <v>774</v>
      </c>
      <c r="X118" s="9" t="s">
        <v>4955</v>
      </c>
      <c r="Y118" s="9" t="s">
        <v>4897</v>
      </c>
      <c r="Z118" s="9" t="s">
        <v>4898</v>
      </c>
      <c r="AA118" s="9" t="s">
        <v>4903</v>
      </c>
    </row>
    <row r="119" customFormat="false" ht="15" hidden="false" customHeight="true" outlineLevel="0" collapsed="false">
      <c r="A119" s="6" t="s">
        <v>1150</v>
      </c>
      <c r="B119" s="6" t="s">
        <v>458</v>
      </c>
      <c r="C119" s="6" t="s">
        <v>463</v>
      </c>
      <c r="D119" s="6" t="n">
        <v>6</v>
      </c>
      <c r="E119" s="9" t="s">
        <v>4953</v>
      </c>
      <c r="F119" s="6" t="n">
        <v>499000</v>
      </c>
      <c r="G119" s="1" t="n">
        <v>851352</v>
      </c>
      <c r="H119" s="1" t="n">
        <v>60419</v>
      </c>
      <c r="I119" s="6" t="n">
        <v>280000</v>
      </c>
      <c r="J119" s="6" t="n">
        <v>154000</v>
      </c>
      <c r="K119" s="6" t="n">
        <v>0</v>
      </c>
      <c r="L119" s="6" t="n">
        <v>61000</v>
      </c>
      <c r="M119" s="6" t="n">
        <v>1000</v>
      </c>
      <c r="N119" s="6" t="n">
        <v>13000</v>
      </c>
      <c r="O119" s="6" t="n">
        <v>50000</v>
      </c>
      <c r="P119" s="6" t="n">
        <v>0</v>
      </c>
      <c r="Q119" s="1" t="n">
        <f aca="false">IF($A1218="","",IF(OR(F1218="",I1218=""),"",F1218-I1218))</f>
        <v>219000</v>
      </c>
      <c r="R119" s="1" t="str">
        <f aca="false">IF($A1218="","",IF(Q1218="","",Q1218+IF(O1218="",0,O1218)))</f>
        <v/>
      </c>
      <c r="S119" s="6" t="n">
        <v>0</v>
      </c>
      <c r="T119" s="1" t="str">
        <f aca="false">IF($A1218="","",IF(R1218="","",R1218-IF(S1218="",0,S1218)))</f>
        <v/>
      </c>
      <c r="U119" s="1" t="n">
        <f aca="false">IF($A1218="","",IF(I1218="","",I1218-SUM(J1218:P1218)))</f>
        <v>1000</v>
      </c>
      <c r="V119" s="6" t="s">
        <v>4954</v>
      </c>
      <c r="W119" s="9" t="s">
        <v>774</v>
      </c>
      <c r="X119" s="9" t="s">
        <v>4955</v>
      </c>
      <c r="Y119" s="9" t="s">
        <v>4897</v>
      </c>
      <c r="Z119" s="9" t="s">
        <v>4898</v>
      </c>
      <c r="AA119" s="9" t="s">
        <v>4903</v>
      </c>
    </row>
    <row r="120" customFormat="false" ht="15" hidden="false" customHeight="true" outlineLevel="0" collapsed="false">
      <c r="A120" s="6" t="s">
        <v>1155</v>
      </c>
      <c r="B120" s="6" t="s">
        <v>458</v>
      </c>
      <c r="C120" s="6" t="s">
        <v>463</v>
      </c>
      <c r="D120" s="6" t="n">
        <v>6</v>
      </c>
      <c r="E120" s="9" t="s">
        <v>4953</v>
      </c>
      <c r="F120" s="6" t="n">
        <v>74000</v>
      </c>
      <c r="G120" s="1" t="n">
        <v>1012320</v>
      </c>
      <c r="H120" s="1" t="n">
        <v>0</v>
      </c>
      <c r="I120" s="6" t="n">
        <v>36000</v>
      </c>
      <c r="J120" s="6" t="n">
        <v>8000</v>
      </c>
      <c r="K120" s="6" t="n">
        <v>6000</v>
      </c>
      <c r="L120" s="6" t="n">
        <v>6000</v>
      </c>
      <c r="M120" s="6" t="n">
        <v>0</v>
      </c>
      <c r="N120" s="6" t="n">
        <v>6000</v>
      </c>
      <c r="O120" s="6" t="n">
        <v>9000</v>
      </c>
      <c r="P120" s="6" t="n">
        <v>0</v>
      </c>
      <c r="Q120" s="1" t="n">
        <f aca="false">IF($A1219="","",IF(OR(F1219="",I1219=""),"",F1219-I1219))</f>
        <v>38000</v>
      </c>
      <c r="R120" s="1" t="str">
        <f aca="false">IF($A1219="","",IF(Q1219="","",Q1219+IF(O1219="",0,O1219)))</f>
        <v/>
      </c>
      <c r="S120" s="6" t="n">
        <v>14000</v>
      </c>
      <c r="T120" s="1" t="str">
        <f aca="false">IF($A1219="","",IF(R1219="","",R1219-IF(S1219="",0,S1219)))</f>
        <v/>
      </c>
      <c r="U120" s="1" t="n">
        <f aca="false">IF($A1219="","",IF(I1219="","",I1219-SUM(J1219:P1219)))</f>
        <v>1000</v>
      </c>
      <c r="V120" s="6" t="s">
        <v>4954</v>
      </c>
      <c r="W120" s="9" t="s">
        <v>774</v>
      </c>
      <c r="X120" s="9" t="s">
        <v>4955</v>
      </c>
      <c r="Y120" s="9" t="s">
        <v>4897</v>
      </c>
      <c r="Z120" s="9" t="s">
        <v>4898</v>
      </c>
      <c r="AA120" s="9" t="s">
        <v>4903</v>
      </c>
    </row>
    <row r="121" customFormat="false" ht="15" hidden="false" customHeight="true" outlineLevel="0" collapsed="false">
      <c r="A121" s="6" t="s">
        <v>1159</v>
      </c>
      <c r="B121" s="6" t="s">
        <v>458</v>
      </c>
      <c r="C121" s="6" t="s">
        <v>463</v>
      </c>
      <c r="D121" s="6" t="n">
        <v>6</v>
      </c>
      <c r="E121" s="9" t="s">
        <v>4953</v>
      </c>
      <c r="F121" s="6" t="n">
        <v>207000</v>
      </c>
      <c r="G121" s="1" t="n">
        <v>464509</v>
      </c>
      <c r="H121" s="1" t="n">
        <v>31400</v>
      </c>
      <c r="I121" s="6" t="n">
        <v>86000</v>
      </c>
      <c r="J121" s="6" t="n">
        <v>17000</v>
      </c>
      <c r="K121" s="6" t="n">
        <v>15000</v>
      </c>
      <c r="L121" s="6" t="n">
        <v>18000</v>
      </c>
      <c r="M121" s="6" t="n">
        <v>0</v>
      </c>
      <c r="N121" s="6" t="n">
        <v>8000</v>
      </c>
      <c r="O121" s="6" t="n">
        <v>25000</v>
      </c>
      <c r="P121" s="6" t="n">
        <v>0</v>
      </c>
      <c r="Q121" s="1" t="n">
        <f aca="false">IF($A1220="","",IF(OR(F1220="",I1220=""),"",F1220-I1220))</f>
        <v>121000</v>
      </c>
      <c r="R121" s="1" t="str">
        <f aca="false">IF($A1220="","",IF(Q1220="","",Q1220+IF(O1220="",0,O1220)))</f>
        <v/>
      </c>
      <c r="S121" s="6" t="n">
        <v>9000</v>
      </c>
      <c r="T121" s="1" t="str">
        <f aca="false">IF($A1220="","",IF(R1220="","",R1220-IF(S1220="",0,S1220)))</f>
        <v/>
      </c>
      <c r="U121" s="1" t="n">
        <f aca="false">IF($A1220="","",IF(I1220="","",I1220-SUM(J1220:P1220)))</f>
        <v>3000</v>
      </c>
      <c r="V121" s="6" t="s">
        <v>4954</v>
      </c>
      <c r="W121" s="9" t="s">
        <v>774</v>
      </c>
      <c r="X121" s="9" t="s">
        <v>4955</v>
      </c>
      <c r="Y121" s="9" t="s">
        <v>4897</v>
      </c>
      <c r="Z121" s="9" t="s">
        <v>4898</v>
      </c>
      <c r="AA121" s="9" t="s">
        <v>4903</v>
      </c>
    </row>
    <row r="122" customFormat="false" ht="15" hidden="false" customHeight="true" outlineLevel="0" collapsed="false">
      <c r="A122" s="6" t="s">
        <v>1163</v>
      </c>
      <c r="B122" s="6" t="s">
        <v>458</v>
      </c>
      <c r="C122" s="6" t="s">
        <v>463</v>
      </c>
      <c r="D122" s="6" t="n">
        <v>6</v>
      </c>
      <c r="E122" s="9" t="s">
        <v>4953</v>
      </c>
      <c r="F122" s="6" t="n">
        <v>258000</v>
      </c>
      <c r="G122" s="1" t="n">
        <v>1426552</v>
      </c>
      <c r="H122" s="1" t="n">
        <v>0</v>
      </c>
      <c r="I122" s="6" t="n">
        <v>137000</v>
      </c>
      <c r="J122" s="6" t="n">
        <v>51000</v>
      </c>
      <c r="K122" s="6" t="n">
        <v>7000</v>
      </c>
      <c r="L122" s="6" t="n">
        <v>27000</v>
      </c>
      <c r="M122" s="6" t="n">
        <v>0</v>
      </c>
      <c r="N122" s="6" t="n">
        <v>8000</v>
      </c>
      <c r="O122" s="6" t="n">
        <v>41000</v>
      </c>
      <c r="P122" s="6" t="n">
        <v>0</v>
      </c>
      <c r="Q122" s="1" t="n">
        <f aca="false">IF($A1221="","",IF(OR(F1221="",I1221=""),"",F1221-I1221))</f>
        <v>121000</v>
      </c>
      <c r="R122" s="1" t="str">
        <f aca="false">IF($A1221="","",IF(Q1221="","",Q1221+IF(O1221="",0,O1221)))</f>
        <v/>
      </c>
      <c r="S122" s="6" t="n">
        <v>3000</v>
      </c>
      <c r="T122" s="1" t="str">
        <f aca="false">IF($A1221="","",IF(R1221="","",R1221-IF(S1221="",0,S1221)))</f>
        <v/>
      </c>
      <c r="U122" s="1" t="n">
        <f aca="false">IF($A1221="","",IF(I1221="","",I1221-SUM(J1221:P1221)))</f>
        <v>3000</v>
      </c>
      <c r="V122" s="6" t="s">
        <v>4954</v>
      </c>
      <c r="W122" s="9" t="s">
        <v>774</v>
      </c>
      <c r="X122" s="9" t="s">
        <v>4955</v>
      </c>
      <c r="Y122" s="9" t="s">
        <v>4897</v>
      </c>
      <c r="Z122" s="9" t="s">
        <v>4898</v>
      </c>
      <c r="AA122" s="9" t="s">
        <v>4903</v>
      </c>
    </row>
    <row r="123" customFormat="false" ht="15" hidden="false" customHeight="true" outlineLevel="0" collapsed="false">
      <c r="A123" s="6" t="s">
        <v>1168</v>
      </c>
      <c r="B123" s="6" t="s">
        <v>458</v>
      </c>
      <c r="C123" s="6" t="s">
        <v>463</v>
      </c>
      <c r="D123" s="6" t="n">
        <v>6</v>
      </c>
      <c r="E123" s="9" t="s">
        <v>4953</v>
      </c>
      <c r="F123" s="6" t="n">
        <v>144000</v>
      </c>
      <c r="G123" s="1" t="n">
        <v>486455</v>
      </c>
      <c r="H123" s="1" t="n">
        <v>23974</v>
      </c>
      <c r="I123" s="6" t="n">
        <v>59000</v>
      </c>
      <c r="J123" s="6" t="n">
        <v>15000</v>
      </c>
      <c r="K123" s="6" t="n">
        <v>9000</v>
      </c>
      <c r="L123" s="6" t="n">
        <v>10000</v>
      </c>
      <c r="M123" s="6" t="n">
        <v>0</v>
      </c>
      <c r="N123" s="6" t="n">
        <v>2000</v>
      </c>
      <c r="O123" s="6" t="n">
        <v>21000</v>
      </c>
      <c r="P123" s="6" t="n">
        <v>0</v>
      </c>
      <c r="Q123" s="1" t="n">
        <f aca="false">IF($A1222="","",IF(OR(F1222="",I1222=""),"",F1222-I1222))</f>
        <v>85000</v>
      </c>
      <c r="R123" s="1" t="str">
        <f aca="false">IF($A1222="","",IF(Q1222="","",Q1222+IF(O1222="",0,O1222)))</f>
        <v/>
      </c>
      <c r="S123" s="6" t="n">
        <v>5000</v>
      </c>
      <c r="T123" s="1" t="str">
        <f aca="false">IF($A1222="","",IF(R1222="","",R1222-IF(S1222="",0,S1222)))</f>
        <v/>
      </c>
      <c r="U123" s="1" t="n">
        <f aca="false">IF($A1222="","",IF(I1222="","",I1222-SUM(J1222:P1222)))</f>
        <v>2000</v>
      </c>
      <c r="V123" s="6" t="s">
        <v>4954</v>
      </c>
      <c r="W123" s="9" t="s">
        <v>774</v>
      </c>
      <c r="X123" s="9" t="s">
        <v>4955</v>
      </c>
      <c r="Y123" s="9" t="s">
        <v>4897</v>
      </c>
      <c r="Z123" s="9" t="s">
        <v>4898</v>
      </c>
      <c r="AA123" s="9" t="s">
        <v>4903</v>
      </c>
    </row>
    <row r="124" customFormat="false" ht="15" hidden="false" customHeight="true" outlineLevel="0" collapsed="false">
      <c r="A124" s="6" t="s">
        <v>1172</v>
      </c>
      <c r="B124" s="6" t="s">
        <v>458</v>
      </c>
      <c r="C124" s="6" t="s">
        <v>463</v>
      </c>
      <c r="D124" s="6" t="n">
        <v>6</v>
      </c>
      <c r="E124" s="9" t="s">
        <v>4953</v>
      </c>
      <c r="F124" s="6" t="n">
        <v>1292000</v>
      </c>
      <c r="G124" s="1" t="n">
        <v>105407</v>
      </c>
      <c r="H124" s="1" t="n">
        <v>430</v>
      </c>
      <c r="I124" s="6" t="n">
        <v>612000</v>
      </c>
      <c r="J124" s="6" t="n">
        <v>150000</v>
      </c>
      <c r="K124" s="6" t="n">
        <v>165000</v>
      </c>
      <c r="L124" s="6" t="n">
        <v>91000</v>
      </c>
      <c r="M124" s="6" t="n">
        <v>1000</v>
      </c>
      <c r="N124" s="6" t="n">
        <v>20000</v>
      </c>
      <c r="O124" s="6" t="n">
        <v>182000</v>
      </c>
      <c r="P124" s="6" t="n">
        <v>1000</v>
      </c>
      <c r="Q124" s="1" t="n">
        <f aca="false">IF($A1223="","",IF(OR(F1223="",I1223=""),"",F1223-I1223))</f>
        <v>680000</v>
      </c>
      <c r="R124" s="1" t="str">
        <f aca="false">IF($A1223="","",IF(Q1223="","",Q1223+IF(O1223="",0,O1223)))</f>
        <v/>
      </c>
      <c r="S124" s="6" t="n">
        <v>40000</v>
      </c>
      <c r="T124" s="1" t="str">
        <f aca="false">IF($A1223="","",IF(R1223="","",R1223-IF(S1223="",0,S1223)))</f>
        <v/>
      </c>
      <c r="U124" s="1" t="n">
        <f aca="false">IF($A1223="","",IF(I1223="","",I1223-SUM(J1223:P1223)))</f>
        <v>2000</v>
      </c>
      <c r="V124" s="6" t="s">
        <v>4954</v>
      </c>
      <c r="W124" s="9" t="s">
        <v>774</v>
      </c>
      <c r="X124" s="9" t="s">
        <v>4955</v>
      </c>
      <c r="Y124" s="9" t="s">
        <v>4897</v>
      </c>
      <c r="Z124" s="9" t="s">
        <v>4898</v>
      </c>
      <c r="AA124" s="9" t="s">
        <v>4903</v>
      </c>
    </row>
    <row r="125" customFormat="false" ht="15" hidden="false" customHeight="true" outlineLevel="0" collapsed="false">
      <c r="A125" s="6" t="s">
        <v>1176</v>
      </c>
      <c r="B125" s="6" t="s">
        <v>458</v>
      </c>
      <c r="C125" s="6" t="s">
        <v>463</v>
      </c>
      <c r="D125" s="6" t="n">
        <v>6</v>
      </c>
      <c r="E125" s="9" t="s">
        <v>4953</v>
      </c>
      <c r="F125" s="6" t="n">
        <v>1064000</v>
      </c>
      <c r="G125" s="1" t="n">
        <v>111234</v>
      </c>
      <c r="H125" s="1" t="n">
        <v>273</v>
      </c>
      <c r="I125" s="6" t="n">
        <v>776000</v>
      </c>
      <c r="J125" s="6" t="n">
        <v>218000</v>
      </c>
      <c r="K125" s="6" t="n">
        <v>103000</v>
      </c>
      <c r="L125" s="6" t="n">
        <v>132000</v>
      </c>
      <c r="M125" s="6" t="n">
        <v>3000</v>
      </c>
      <c r="N125" s="6" t="n">
        <v>32000</v>
      </c>
      <c r="O125" s="6" t="n">
        <v>279000</v>
      </c>
      <c r="P125" s="6" t="n">
        <v>7000</v>
      </c>
      <c r="Q125" s="1" t="n">
        <f aca="false">IF($A1224="","",IF(OR(F1224="",I1224=""),"",F1224-I1224))</f>
        <v>288000</v>
      </c>
      <c r="R125" s="1" t="str">
        <f aca="false">IF($A1224="","",IF(Q1224="","",Q1224+IF(O1224="",0,O1224)))</f>
        <v/>
      </c>
      <c r="S125" s="6" t="n">
        <v>234000</v>
      </c>
      <c r="T125" s="1" t="str">
        <f aca="false">IF($A1224="","",IF(R1224="","",R1224-IF(S1224="",0,S1224)))</f>
        <v/>
      </c>
      <c r="U125" s="1" t="n">
        <f aca="false">IF($A1224="","",IF(I1224="","",I1224-SUM(J1224:P1224)))</f>
        <v>2000</v>
      </c>
      <c r="V125" s="6" t="s">
        <v>4954</v>
      </c>
      <c r="W125" s="9" t="s">
        <v>774</v>
      </c>
      <c r="X125" s="9" t="s">
        <v>4955</v>
      </c>
      <c r="Y125" s="9" t="s">
        <v>4897</v>
      </c>
      <c r="Z125" s="9" t="s">
        <v>4898</v>
      </c>
      <c r="AA125" s="9" t="s">
        <v>4903</v>
      </c>
    </row>
    <row r="126" customFormat="false" ht="15" hidden="false" customHeight="true" outlineLevel="0" collapsed="false">
      <c r="A126" s="6" t="s">
        <v>1180</v>
      </c>
      <c r="B126" s="6" t="s">
        <v>458</v>
      </c>
      <c r="C126" s="6" t="s">
        <v>463</v>
      </c>
      <c r="D126" s="6" t="n">
        <v>6</v>
      </c>
      <c r="E126" s="9" t="s">
        <v>4953</v>
      </c>
      <c r="F126" s="6" t="n">
        <v>175000</v>
      </c>
      <c r="G126" s="1" t="n">
        <v>343806</v>
      </c>
      <c r="H126" s="1" t="n">
        <v>0</v>
      </c>
      <c r="I126" s="6" t="n">
        <v>74000</v>
      </c>
      <c r="J126" s="6" t="n">
        <v>21000</v>
      </c>
      <c r="K126" s="6" t="n">
        <v>3000</v>
      </c>
      <c r="L126" s="6" t="n">
        <v>15000</v>
      </c>
      <c r="M126" s="6" t="n">
        <v>0</v>
      </c>
      <c r="N126" s="6" t="n">
        <v>4000</v>
      </c>
      <c r="O126" s="6" t="n">
        <v>29000</v>
      </c>
      <c r="P126" s="6" t="n">
        <v>0</v>
      </c>
      <c r="Q126" s="1" t="n">
        <f aca="false">IF($A1225="","",IF(OR(F1225="",I1225=""),"",F1225-I1225))</f>
        <v>101000</v>
      </c>
      <c r="R126" s="1" t="str">
        <f aca="false">IF($A1225="","",IF(Q1225="","",Q1225+IF(O1225="",0,O1225)))</f>
        <v/>
      </c>
      <c r="S126" s="6" t="n">
        <v>45000</v>
      </c>
      <c r="T126" s="1" t="str">
        <f aca="false">IF($A1225="","",IF(R1225="","",R1225-IF(S1225="",0,S1225)))</f>
        <v/>
      </c>
      <c r="U126" s="1" t="n">
        <f aca="false">IF($A1225="","",IF(I1225="","",I1225-SUM(J1225:P1225)))</f>
        <v>2000</v>
      </c>
      <c r="V126" s="6" t="s">
        <v>4954</v>
      </c>
      <c r="W126" s="9" t="s">
        <v>774</v>
      </c>
      <c r="X126" s="9" t="s">
        <v>4955</v>
      </c>
      <c r="Y126" s="9" t="s">
        <v>4897</v>
      </c>
      <c r="Z126" s="9" t="s">
        <v>4898</v>
      </c>
      <c r="AA126" s="9" t="s">
        <v>4903</v>
      </c>
    </row>
    <row r="127" customFormat="false" ht="15" hidden="false" customHeight="true" outlineLevel="0" collapsed="false">
      <c r="A127" s="6" t="s">
        <v>1184</v>
      </c>
      <c r="B127" s="6" t="s">
        <v>458</v>
      </c>
      <c r="C127" s="6" t="s">
        <v>463</v>
      </c>
      <c r="D127" s="6" t="n">
        <v>6</v>
      </c>
      <c r="E127" s="9" t="s">
        <v>4953</v>
      </c>
      <c r="F127" s="6" t="n">
        <v>0</v>
      </c>
      <c r="G127" s="1" t="n">
        <v>9665001</v>
      </c>
      <c r="H127" s="1" t="n">
        <v>196788</v>
      </c>
      <c r="I127" s="6" t="n">
        <v>9000</v>
      </c>
      <c r="J127" s="6" t="n">
        <v>0</v>
      </c>
      <c r="K127" s="6" t="n">
        <v>0</v>
      </c>
      <c r="L127" s="6" t="n">
        <v>0</v>
      </c>
      <c r="M127" s="6" t="n">
        <v>0</v>
      </c>
      <c r="N127" s="6" t="n">
        <v>0</v>
      </c>
      <c r="O127" s="6" t="n">
        <v>8000</v>
      </c>
      <c r="P127" s="6" t="n">
        <v>0</v>
      </c>
      <c r="Q127" s="1" t="n">
        <f aca="false">IF($A1226="","",IF(OR(F1226="",I1226=""),"",F1226-I1226))</f>
        <v>-9000</v>
      </c>
      <c r="R127" s="1" t="str">
        <f aca="false">IF($A1226="","",IF(Q1226="","",Q1226+IF(O1226="",0,O1226)))</f>
        <v/>
      </c>
      <c r="S127" s="6" t="n">
        <v>0</v>
      </c>
      <c r="T127" s="1" t="str">
        <f aca="false">IF($A1226="","",IF(R1226="","",R1226-IF(S1226="",0,S1226)))</f>
        <v/>
      </c>
      <c r="U127" s="1" t="n">
        <f aca="false">IF($A1226="","",IF(I1226="","",I1226-SUM(J1226:P1226)))</f>
        <v>1000</v>
      </c>
      <c r="V127" s="6" t="s">
        <v>4954</v>
      </c>
      <c r="W127" s="49" t="s">
        <v>774</v>
      </c>
      <c r="X127" s="6" t="s">
        <v>4959</v>
      </c>
      <c r="Y127" s="9" t="s">
        <v>4897</v>
      </c>
      <c r="Z127" s="9" t="s">
        <v>4898</v>
      </c>
      <c r="AA127" s="9" t="s">
        <v>4903</v>
      </c>
    </row>
    <row r="128" customFormat="false" ht="15" hidden="false" customHeight="true" outlineLevel="0" collapsed="false">
      <c r="A128" s="6" t="s">
        <v>1188</v>
      </c>
      <c r="B128" s="6" t="s">
        <v>458</v>
      </c>
      <c r="C128" s="6" t="s">
        <v>463</v>
      </c>
      <c r="D128" s="6" t="n">
        <v>6</v>
      </c>
      <c r="E128" s="9" t="s">
        <v>4953</v>
      </c>
      <c r="F128" s="6" t="n">
        <v>404000</v>
      </c>
      <c r="I128" s="6" t="n">
        <v>162000</v>
      </c>
      <c r="J128" s="6" t="n">
        <v>31000</v>
      </c>
      <c r="K128" s="6" t="n">
        <v>52000</v>
      </c>
      <c r="L128" s="6" t="n">
        <v>26000</v>
      </c>
      <c r="M128" s="6" t="n">
        <v>0</v>
      </c>
      <c r="N128" s="6" t="n">
        <v>10000</v>
      </c>
      <c r="O128" s="6" t="n">
        <v>41000</v>
      </c>
      <c r="P128" s="6" t="n">
        <v>0</v>
      </c>
      <c r="Q128" s="1" t="n">
        <f aca="false">IF($A1227="","",IF(OR(F1227="",I1227=""),"",F1227-I1227))</f>
        <v>242000</v>
      </c>
      <c r="R128" s="1" t="str">
        <f aca="false">IF($A1227="","",IF(Q1227="","",Q1227+IF(O1227="",0,O1227)))</f>
        <v/>
      </c>
      <c r="S128" s="6" t="n">
        <v>13000</v>
      </c>
      <c r="T128" s="1" t="str">
        <f aca="false">IF($A1227="","",IF(R1227="","",R1227-IF(S1227="",0,S1227)))</f>
        <v/>
      </c>
      <c r="U128" s="1" t="n">
        <f aca="false">IF($A1227="","",IF(I1227="","",I1227-SUM(J1227:P1227)))</f>
        <v>2000</v>
      </c>
      <c r="V128" s="6" t="s">
        <v>4954</v>
      </c>
      <c r="W128" s="9" t="s">
        <v>774</v>
      </c>
      <c r="X128" s="9" t="s">
        <v>4955</v>
      </c>
      <c r="Y128" s="9" t="s">
        <v>4897</v>
      </c>
      <c r="Z128" s="9" t="s">
        <v>4898</v>
      </c>
      <c r="AA128" s="9" t="s">
        <v>4903</v>
      </c>
    </row>
    <row r="129" customFormat="false" ht="15" hidden="false" customHeight="true" outlineLevel="0" collapsed="false">
      <c r="A129" s="6" t="s">
        <v>1192</v>
      </c>
      <c r="B129" s="6" t="s">
        <v>458</v>
      </c>
      <c r="C129" s="6" t="s">
        <v>463</v>
      </c>
      <c r="D129" s="6" t="n">
        <v>6</v>
      </c>
      <c r="E129" s="9" t="s">
        <v>4953</v>
      </c>
      <c r="F129" s="6" t="n">
        <v>303000</v>
      </c>
      <c r="I129" s="6" t="n">
        <v>205000</v>
      </c>
      <c r="J129" s="6" t="n">
        <v>31000</v>
      </c>
      <c r="K129" s="6" t="n">
        <v>27000</v>
      </c>
      <c r="L129" s="6" t="n">
        <v>0</v>
      </c>
      <c r="M129" s="6" t="n">
        <v>0</v>
      </c>
      <c r="N129" s="6" t="n">
        <v>0</v>
      </c>
      <c r="O129" s="6" t="n">
        <v>145000</v>
      </c>
      <c r="P129" s="6" t="n">
        <v>0</v>
      </c>
      <c r="Q129" s="1" t="n">
        <f aca="false">IF($A1228="","",IF(OR(F1228="",I1228=""),"",F1228-I1228))</f>
        <v>98000</v>
      </c>
      <c r="R129" s="1" t="str">
        <f aca="false">IF($A1228="","",IF(Q1228="","",Q1228+IF(O1228="",0,O1228)))</f>
        <v/>
      </c>
      <c r="S129" s="6" t="n">
        <v>3000</v>
      </c>
      <c r="T129" s="1" t="str">
        <f aca="false">IF($A1228="","",IF(R1228="","",R1228-IF(S1228="",0,S1228)))</f>
        <v/>
      </c>
      <c r="U129" s="1" t="n">
        <f aca="false">IF($A1228="","",IF(I1228="","",I1228-SUM(J1228:P1228)))</f>
        <v>2000</v>
      </c>
      <c r="V129" s="6" t="s">
        <v>4954</v>
      </c>
      <c r="W129" s="9" t="s">
        <v>774</v>
      </c>
      <c r="X129" s="9" t="s">
        <v>4960</v>
      </c>
      <c r="Y129" s="6" t="s">
        <v>4920</v>
      </c>
      <c r="Z129" s="9" t="s">
        <v>4961</v>
      </c>
      <c r="AA129" s="9" t="s">
        <v>4903</v>
      </c>
    </row>
    <row r="130" customFormat="false" ht="15" hidden="false" customHeight="true" outlineLevel="0" collapsed="false">
      <c r="A130" s="6" t="s">
        <v>1195</v>
      </c>
      <c r="B130" s="6" t="s">
        <v>458</v>
      </c>
      <c r="C130" s="6" t="s">
        <v>463</v>
      </c>
      <c r="D130" s="6" t="n">
        <v>6</v>
      </c>
      <c r="E130" s="9" t="s">
        <v>4953</v>
      </c>
      <c r="F130" s="6" t="n">
        <v>69000</v>
      </c>
      <c r="I130" s="6" t="n">
        <v>50000</v>
      </c>
      <c r="J130" s="6" t="n">
        <v>11000</v>
      </c>
      <c r="K130" s="6" t="n">
        <v>8000</v>
      </c>
      <c r="L130" s="6" t="n">
        <v>8000</v>
      </c>
      <c r="M130" s="6" t="n">
        <v>0</v>
      </c>
      <c r="N130" s="6" t="n">
        <v>9000</v>
      </c>
      <c r="O130" s="6" t="n">
        <v>13000</v>
      </c>
      <c r="P130" s="6" t="n">
        <v>0</v>
      </c>
      <c r="Q130" s="1" t="n">
        <f aca="false">IF($A1229="","",IF(OR(F1229="",I1229=""),"",F1229-I1229))</f>
        <v>19000</v>
      </c>
      <c r="R130" s="1" t="str">
        <f aca="false">IF($A1229="","",IF(Q1229="","",Q1229+IF(O1229="",0,O1229)))</f>
        <v/>
      </c>
      <c r="S130" s="6" t="n">
        <v>40000</v>
      </c>
      <c r="T130" s="1" t="str">
        <f aca="false">IF($A1229="","",IF(R1229="","",R1229-IF(S1229="",0,S1229)))</f>
        <v/>
      </c>
      <c r="U130" s="1" t="n">
        <f aca="false">IF($A1229="","",IF(I1229="","",I1229-SUM(J1229:P1229)))</f>
        <v>1000</v>
      </c>
      <c r="V130" s="6" t="s">
        <v>4954</v>
      </c>
      <c r="W130" s="9" t="s">
        <v>774</v>
      </c>
      <c r="X130" s="9" t="s">
        <v>4955</v>
      </c>
      <c r="Y130" s="9" t="s">
        <v>4897</v>
      </c>
      <c r="Z130" s="9" t="s">
        <v>4898</v>
      </c>
      <c r="AA130" s="9" t="s">
        <v>4903</v>
      </c>
    </row>
    <row r="131" customFormat="false" ht="15" hidden="false" customHeight="true" outlineLevel="0" collapsed="false">
      <c r="A131" s="6" t="s">
        <v>1199</v>
      </c>
      <c r="B131" s="6" t="s">
        <v>458</v>
      </c>
      <c r="C131" s="6" t="s">
        <v>463</v>
      </c>
      <c r="D131" s="6" t="n">
        <v>6</v>
      </c>
      <c r="E131" s="9" t="s">
        <v>4953</v>
      </c>
      <c r="F131" s="6" t="n">
        <v>661000</v>
      </c>
      <c r="I131" s="6" t="n">
        <v>275000</v>
      </c>
      <c r="J131" s="6" t="n">
        <v>74000</v>
      </c>
      <c r="K131" s="6" t="n">
        <v>59000</v>
      </c>
      <c r="L131" s="6" t="n">
        <v>49000</v>
      </c>
      <c r="M131" s="6" t="n">
        <v>0</v>
      </c>
      <c r="N131" s="6" t="n">
        <v>24000</v>
      </c>
      <c r="O131" s="6" t="n">
        <v>67000</v>
      </c>
      <c r="P131" s="6" t="n">
        <v>0</v>
      </c>
      <c r="Q131" s="1" t="n">
        <f aca="false">IF($A1230="","",IF(OR(F1230="",I1230=""),"",F1230-I1230))</f>
        <v>386000</v>
      </c>
      <c r="R131" s="1" t="str">
        <f aca="false">IF($A1230="","",IF(Q1230="","",Q1230+IF(O1230="",0,O1230)))</f>
        <v/>
      </c>
      <c r="S131" s="6" t="n">
        <v>80000</v>
      </c>
      <c r="T131" s="1" t="str">
        <f aca="false">IF($A1230="","",IF(R1230="","",R1230-IF(S1230="",0,S1230)))</f>
        <v/>
      </c>
      <c r="U131" s="1" t="n">
        <f aca="false">IF($A1230="","",IF(I1230="","",I1230-SUM(J1230:P1230)))</f>
        <v>2000</v>
      </c>
      <c r="V131" s="6" t="s">
        <v>4954</v>
      </c>
      <c r="W131" s="9" t="s">
        <v>774</v>
      </c>
      <c r="X131" s="9" t="s">
        <v>4955</v>
      </c>
      <c r="Y131" s="9" t="s">
        <v>4897</v>
      </c>
      <c r="Z131" s="9" t="s">
        <v>4898</v>
      </c>
      <c r="AA131" s="9" t="s">
        <v>4903</v>
      </c>
    </row>
    <row r="132" customFormat="false" ht="15" hidden="false" customHeight="true" outlineLevel="0" collapsed="false">
      <c r="A132" s="6" t="s">
        <v>1201</v>
      </c>
      <c r="B132" s="6" t="s">
        <v>458</v>
      </c>
      <c r="C132" s="6" t="s">
        <v>463</v>
      </c>
      <c r="D132" s="6" t="n">
        <v>6</v>
      </c>
      <c r="E132" s="9" t="s">
        <v>4953</v>
      </c>
      <c r="F132" s="6" t="n">
        <v>152000</v>
      </c>
      <c r="I132" s="6" t="n">
        <v>135000</v>
      </c>
      <c r="J132" s="6" t="n">
        <v>24000</v>
      </c>
      <c r="K132" s="6" t="n">
        <v>16000</v>
      </c>
      <c r="L132" s="6" t="n">
        <v>19000</v>
      </c>
      <c r="M132" s="6" t="n">
        <v>0</v>
      </c>
      <c r="N132" s="6" t="n">
        <v>50000</v>
      </c>
      <c r="O132" s="6" t="n">
        <v>23000</v>
      </c>
      <c r="P132" s="6" t="n">
        <v>0</v>
      </c>
      <c r="Q132" s="1" t="n">
        <f aca="false">IF($A1231="","",IF(OR(F1231="",I1231=""),"",F1231-I1231))</f>
        <v>17000</v>
      </c>
      <c r="R132" s="1" t="str">
        <f aca="false">IF($A1231="","",IF(Q1231="","",Q1231+IF(O1231="",0,O1231)))</f>
        <v/>
      </c>
      <c r="S132" s="6" t="n">
        <v>0</v>
      </c>
      <c r="T132" s="1" t="str">
        <f aca="false">IF($A1231="","",IF(R1231="","",R1231-IF(S1231="",0,S1231)))</f>
        <v/>
      </c>
      <c r="U132" s="1" t="n">
        <f aca="false">IF($A1231="","",IF(I1231="","",I1231-SUM(J1231:P1231)))</f>
        <v>3000</v>
      </c>
      <c r="V132" s="6" t="s">
        <v>4954</v>
      </c>
      <c r="W132" s="9" t="s">
        <v>774</v>
      </c>
      <c r="X132" s="9" t="s">
        <v>4955</v>
      </c>
      <c r="Y132" s="9" t="s">
        <v>4897</v>
      </c>
      <c r="Z132" s="9" t="s">
        <v>4898</v>
      </c>
      <c r="AA132" s="9" t="s">
        <v>4903</v>
      </c>
    </row>
    <row r="133" customFormat="false" ht="15" hidden="false" customHeight="true" outlineLevel="0" collapsed="false">
      <c r="A133" s="6" t="s">
        <v>1203</v>
      </c>
      <c r="B133" s="6" t="s">
        <v>458</v>
      </c>
      <c r="C133" s="6" t="s">
        <v>463</v>
      </c>
      <c r="D133" s="6" t="n">
        <v>6</v>
      </c>
      <c r="E133" s="9" t="s">
        <v>4953</v>
      </c>
      <c r="F133" s="6" t="n">
        <v>736000</v>
      </c>
      <c r="I133" s="6" t="n">
        <v>384000</v>
      </c>
      <c r="J133" s="6" t="n">
        <v>107000</v>
      </c>
      <c r="K133" s="6" t="n">
        <v>65000</v>
      </c>
      <c r="L133" s="6" t="n">
        <v>75000</v>
      </c>
      <c r="M133" s="6" t="n">
        <v>0</v>
      </c>
      <c r="N133" s="6" t="n">
        <v>0</v>
      </c>
      <c r="O133" s="6" t="n">
        <v>134000</v>
      </c>
      <c r="P133" s="6" t="n">
        <v>0</v>
      </c>
      <c r="Q133" s="1" t="n">
        <f aca="false">IF($A1232="","",IF(OR(F1232="",I1232=""),"",F1232-I1232))</f>
        <v>352000</v>
      </c>
      <c r="R133" s="1" t="str">
        <f aca="false">IF($A1232="","",IF(Q1232="","",Q1232+IF(O1232="",0,O1232)))</f>
        <v/>
      </c>
      <c r="S133" s="6" t="n">
        <v>0</v>
      </c>
      <c r="T133" s="1" t="str">
        <f aca="false">IF($A1232="","",IF(R1232="","",R1232-IF(S1232="",0,S1232)))</f>
        <v/>
      </c>
      <c r="U133" s="1" t="n">
        <f aca="false">IF($A1232="","",IF(I1232="","",I1232-SUM(J1232:P1232)))</f>
        <v>3000</v>
      </c>
      <c r="V133" s="6" t="s">
        <v>4954</v>
      </c>
      <c r="W133" s="9" t="s">
        <v>774</v>
      </c>
      <c r="X133" s="9" t="s">
        <v>4955</v>
      </c>
      <c r="Y133" s="9" t="s">
        <v>4897</v>
      </c>
      <c r="Z133" s="9" t="s">
        <v>4898</v>
      </c>
      <c r="AA133" s="9" t="s">
        <v>4903</v>
      </c>
    </row>
    <row r="134" customFormat="false" ht="15" hidden="false" customHeight="true" outlineLevel="0" collapsed="false">
      <c r="A134" s="6" t="s">
        <v>1205</v>
      </c>
      <c r="B134" s="6" t="s">
        <v>458</v>
      </c>
      <c r="C134" s="6" t="s">
        <v>463</v>
      </c>
      <c r="D134" s="6" t="n">
        <v>6</v>
      </c>
      <c r="E134" s="9" t="s">
        <v>4953</v>
      </c>
      <c r="F134" s="6" t="n">
        <v>71000</v>
      </c>
      <c r="I134" s="6" t="n">
        <v>62000</v>
      </c>
      <c r="J134" s="6" t="n">
        <v>12000</v>
      </c>
      <c r="K134" s="6" t="n">
        <v>7000</v>
      </c>
      <c r="L134" s="6" t="n">
        <v>6000</v>
      </c>
      <c r="M134" s="6" t="n">
        <v>0</v>
      </c>
      <c r="N134" s="6" t="n">
        <v>5000</v>
      </c>
      <c r="O134" s="6" t="n">
        <v>30000</v>
      </c>
      <c r="P134" s="6" t="n">
        <v>0</v>
      </c>
      <c r="Q134" s="1" t="n">
        <f aca="false">IF($A1233="","",IF(OR(F1233="",I1233=""),"",F1233-I1233))</f>
        <v>9000</v>
      </c>
      <c r="R134" s="1" t="str">
        <f aca="false">IF($A1233="","",IF(Q1233="","",Q1233+IF(O1233="",0,O1233)))</f>
        <v/>
      </c>
      <c r="S134" s="6" t="n">
        <v>27000</v>
      </c>
      <c r="T134" s="1" t="str">
        <f aca="false">IF($A1233="","",IF(R1233="","",R1233-IF(S1233="",0,S1233)))</f>
        <v/>
      </c>
      <c r="U134" s="1" t="n">
        <f aca="false">IF($A1233="","",IF(I1233="","",I1233-SUM(J1233:P1233)))</f>
        <v>2000</v>
      </c>
      <c r="V134" s="6" t="s">
        <v>4954</v>
      </c>
      <c r="W134" s="9" t="s">
        <v>774</v>
      </c>
      <c r="X134" s="9" t="s">
        <v>4955</v>
      </c>
      <c r="Y134" s="9" t="s">
        <v>4897</v>
      </c>
      <c r="Z134" s="9" t="s">
        <v>4898</v>
      </c>
      <c r="AA134" s="9" t="s">
        <v>4903</v>
      </c>
    </row>
    <row r="135" customFormat="false" ht="15" hidden="false" customHeight="true" outlineLevel="0" collapsed="false">
      <c r="A135" s="6" t="s">
        <v>1210</v>
      </c>
      <c r="B135" s="6" t="s">
        <v>458</v>
      </c>
      <c r="C135" s="6" t="s">
        <v>463</v>
      </c>
      <c r="D135" s="6" t="n">
        <v>6</v>
      </c>
      <c r="E135" s="9" t="s">
        <v>4953</v>
      </c>
      <c r="F135" s="6" t="n">
        <v>559000</v>
      </c>
      <c r="I135" s="6" t="n">
        <v>342000</v>
      </c>
      <c r="J135" s="6" t="n">
        <v>99000</v>
      </c>
      <c r="K135" s="6" t="n">
        <v>47000</v>
      </c>
      <c r="L135" s="6" t="n">
        <v>71000</v>
      </c>
      <c r="M135" s="6" t="n">
        <v>1000</v>
      </c>
      <c r="N135" s="6" t="n">
        <v>17000</v>
      </c>
      <c r="O135" s="6" t="n">
        <v>104000</v>
      </c>
      <c r="P135" s="6" t="n">
        <v>0</v>
      </c>
      <c r="Q135" s="1" t="n">
        <f aca="false">IF($A1234="","",IF(OR(F1234="",I1234=""),"",F1234-I1234))</f>
        <v>217000</v>
      </c>
      <c r="R135" s="1" t="str">
        <f aca="false">IF($A1234="","",IF(Q1234="","",Q1234+IF(O1234="",0,O1234)))</f>
        <v/>
      </c>
      <c r="S135" s="6" t="n">
        <v>490000</v>
      </c>
      <c r="T135" s="1" t="str">
        <f aca="false">IF($A1234="","",IF(R1234="","",R1234-IF(S1234="",0,S1234)))</f>
        <v/>
      </c>
      <c r="U135" s="1" t="n">
        <f aca="false">IF($A1234="","",IF(I1234="","",I1234-SUM(J1234:P1234)))</f>
        <v>3000</v>
      </c>
      <c r="V135" s="6" t="s">
        <v>4954</v>
      </c>
      <c r="W135" s="9" t="s">
        <v>774</v>
      </c>
      <c r="X135" s="9" t="s">
        <v>4955</v>
      </c>
      <c r="Y135" s="9" t="s">
        <v>4897</v>
      </c>
      <c r="Z135" s="9" t="s">
        <v>4898</v>
      </c>
      <c r="AA135" s="9" t="s">
        <v>4903</v>
      </c>
    </row>
    <row r="136" customFormat="false" ht="15" hidden="false" customHeight="true" outlineLevel="0" collapsed="false">
      <c r="A136" s="6" t="s">
        <v>1214</v>
      </c>
      <c r="B136" s="6" t="s">
        <v>458</v>
      </c>
      <c r="C136" s="6" t="s">
        <v>463</v>
      </c>
      <c r="D136" s="6" t="n">
        <v>6</v>
      </c>
      <c r="E136" s="9" t="s">
        <v>4953</v>
      </c>
      <c r="F136" s="6" t="n">
        <v>134000</v>
      </c>
      <c r="I136" s="6" t="n">
        <v>80000</v>
      </c>
      <c r="J136" s="6" t="n">
        <v>18000</v>
      </c>
      <c r="K136" s="6" t="n">
        <v>12000</v>
      </c>
      <c r="L136" s="6" t="n">
        <v>10000</v>
      </c>
      <c r="M136" s="6" t="n">
        <v>0</v>
      </c>
      <c r="N136" s="6" t="n">
        <v>10000</v>
      </c>
      <c r="O136" s="6" t="n">
        <v>27000</v>
      </c>
      <c r="P136" s="6" t="n">
        <v>0</v>
      </c>
      <c r="Q136" s="1" t="n">
        <f aca="false">IF($A1235="","",IF(OR(F1235="",I1235=""),"",F1235-I1235))</f>
        <v>54000</v>
      </c>
      <c r="R136" s="1" t="str">
        <f aca="false">IF($A1235="","",IF(Q1235="","",Q1235+IF(O1235="",0,O1235)))</f>
        <v/>
      </c>
      <c r="S136" s="6" t="n">
        <v>2000</v>
      </c>
      <c r="T136" s="1" t="str">
        <f aca="false">IF($A1235="","",IF(R1235="","",R1235-IF(S1235="",0,S1235)))</f>
        <v/>
      </c>
      <c r="U136" s="1" t="n">
        <f aca="false">IF($A1235="","",IF(I1235="","",I1235-SUM(J1235:P1235)))</f>
        <v>3000</v>
      </c>
      <c r="V136" s="6" t="s">
        <v>4954</v>
      </c>
      <c r="W136" s="9" t="s">
        <v>774</v>
      </c>
      <c r="X136" s="9" t="s">
        <v>4955</v>
      </c>
      <c r="Y136" s="9" t="s">
        <v>4897</v>
      </c>
      <c r="Z136" s="9" t="s">
        <v>4898</v>
      </c>
      <c r="AA136" s="9" t="s">
        <v>4903</v>
      </c>
    </row>
    <row r="137" customFormat="false" ht="15" hidden="false" customHeight="true" outlineLevel="0" collapsed="false">
      <c r="A137" s="6" t="s">
        <v>1216</v>
      </c>
      <c r="B137" s="6" t="s">
        <v>458</v>
      </c>
      <c r="C137" s="6" t="s">
        <v>463</v>
      </c>
      <c r="D137" s="6" t="n">
        <v>6</v>
      </c>
      <c r="E137" s="9" t="s">
        <v>4953</v>
      </c>
      <c r="F137" s="6" t="n">
        <v>313000</v>
      </c>
      <c r="I137" s="6" t="n">
        <v>214000</v>
      </c>
      <c r="J137" s="6" t="n">
        <v>52000</v>
      </c>
      <c r="K137" s="6" t="n">
        <v>24000</v>
      </c>
      <c r="L137" s="6" t="n">
        <v>28000</v>
      </c>
      <c r="M137" s="6" t="n">
        <v>0</v>
      </c>
      <c r="N137" s="6" t="n">
        <v>37000</v>
      </c>
      <c r="O137" s="6" t="n">
        <v>64000</v>
      </c>
      <c r="P137" s="6" t="n">
        <v>6000</v>
      </c>
      <c r="Q137" s="1" t="n">
        <f aca="false">IF($A1236="","",IF(OR(F1236="",I1236=""),"",F1236-I1236))</f>
        <v>99000</v>
      </c>
      <c r="R137" s="1" t="str">
        <f aca="false">IF($A1236="","",IF(Q1236="","",Q1236+IF(O1236="",0,O1236)))</f>
        <v/>
      </c>
      <c r="S137" s="6" t="n">
        <v>273000</v>
      </c>
      <c r="T137" s="1" t="str">
        <f aca="false">IF($A1236="","",IF(R1236="","",R1236-IF(S1236="",0,S1236)))</f>
        <v/>
      </c>
      <c r="U137" s="1" t="n">
        <f aca="false">IF($A1236="","",IF(I1236="","",I1236-SUM(J1236:P1236)))</f>
        <v>3000</v>
      </c>
      <c r="V137" s="6" t="s">
        <v>4954</v>
      </c>
      <c r="W137" s="9" t="s">
        <v>774</v>
      </c>
      <c r="X137" s="9" t="s">
        <v>4955</v>
      </c>
      <c r="Y137" s="9" t="s">
        <v>4897</v>
      </c>
      <c r="Z137" s="9" t="s">
        <v>4898</v>
      </c>
      <c r="AA137" s="9" t="s">
        <v>4903</v>
      </c>
    </row>
    <row r="138" customFormat="false" ht="15" hidden="false" customHeight="true" outlineLevel="0" collapsed="false">
      <c r="A138" s="6" t="s">
        <v>1219</v>
      </c>
      <c r="B138" s="6" t="s">
        <v>458</v>
      </c>
      <c r="C138" s="6" t="s">
        <v>463</v>
      </c>
      <c r="D138" s="6" t="n">
        <v>6</v>
      </c>
      <c r="E138" s="9" t="s">
        <v>4953</v>
      </c>
      <c r="F138" s="6" t="n">
        <v>425000</v>
      </c>
      <c r="I138" s="6" t="n">
        <v>223000</v>
      </c>
      <c r="J138" s="6" t="n">
        <v>45000</v>
      </c>
      <c r="K138" s="6" t="n">
        <v>40000</v>
      </c>
      <c r="L138" s="6" t="n">
        <v>44000</v>
      </c>
      <c r="M138" s="6" t="n">
        <v>0</v>
      </c>
      <c r="N138" s="6" t="n">
        <v>28000</v>
      </c>
      <c r="O138" s="6" t="n">
        <v>63000</v>
      </c>
      <c r="P138" s="6" t="n">
        <v>0</v>
      </c>
      <c r="Q138" s="1" t="n">
        <f aca="false">IF($A1237="","",IF(OR(F1237="",I1237=""),"",F1237-I1237))</f>
        <v>202000</v>
      </c>
      <c r="R138" s="1" t="str">
        <f aca="false">IF($A1237="","",IF(Q1237="","",Q1237+IF(O1237="",0,O1237)))</f>
        <v/>
      </c>
      <c r="S138" s="6" t="n">
        <v>14000</v>
      </c>
      <c r="T138" s="1" t="str">
        <f aca="false">IF($A1237="","",IF(R1237="","",R1237-IF(S1237="",0,S1237)))</f>
        <v/>
      </c>
      <c r="U138" s="1" t="n">
        <f aca="false">IF($A1237="","",IF(I1237="","",I1237-SUM(J1237:P1237)))</f>
        <v>3000</v>
      </c>
      <c r="V138" s="6" t="s">
        <v>4954</v>
      </c>
      <c r="W138" s="9" t="s">
        <v>774</v>
      </c>
      <c r="X138" s="9" t="s">
        <v>4955</v>
      </c>
      <c r="Y138" s="9" t="s">
        <v>4897</v>
      </c>
      <c r="Z138" s="9" t="s">
        <v>4898</v>
      </c>
      <c r="AA138" s="9" t="s">
        <v>4903</v>
      </c>
    </row>
    <row r="139" customFormat="false" ht="15" hidden="false" customHeight="true" outlineLevel="0" collapsed="false">
      <c r="A139" s="6" t="s">
        <v>1221</v>
      </c>
      <c r="B139" s="6" t="s">
        <v>458</v>
      </c>
      <c r="C139" s="6" t="s">
        <v>463</v>
      </c>
      <c r="D139" s="6" t="n">
        <v>6</v>
      </c>
      <c r="E139" s="9" t="s">
        <v>4953</v>
      </c>
      <c r="F139" s="6" t="n">
        <v>575000</v>
      </c>
      <c r="I139" s="6" t="n">
        <v>517000</v>
      </c>
      <c r="J139" s="6" t="n">
        <v>105000</v>
      </c>
      <c r="K139" s="6" t="n">
        <v>52000</v>
      </c>
      <c r="L139" s="6" t="n">
        <v>83000</v>
      </c>
      <c r="M139" s="6" t="n">
        <v>0</v>
      </c>
      <c r="N139" s="6" t="n">
        <v>122000</v>
      </c>
      <c r="O139" s="6" t="n">
        <v>147000</v>
      </c>
      <c r="P139" s="6" t="n">
        <v>4000</v>
      </c>
      <c r="Q139" s="1" t="n">
        <f aca="false">IF($A1238="","",IF(OR(F1238="",I1238=""),"",F1238-I1238))</f>
        <v>58000</v>
      </c>
      <c r="R139" s="1" t="str">
        <f aca="false">IF($A1238="","",IF(Q1238="","",Q1238+IF(O1238="",0,O1238)))</f>
        <v/>
      </c>
      <c r="S139" s="6" t="n">
        <v>400000</v>
      </c>
      <c r="T139" s="1" t="str">
        <f aca="false">IF($A1238="","",IF(R1238="","",R1238-IF(S1238="",0,S1238)))</f>
        <v/>
      </c>
      <c r="U139" s="1" t="n">
        <f aca="false">IF($A1238="","",IF(I1238="","",I1238-SUM(J1238:P1238)))</f>
        <v>4000</v>
      </c>
      <c r="V139" s="6" t="s">
        <v>4954</v>
      </c>
      <c r="W139" s="9" t="s">
        <v>774</v>
      </c>
      <c r="X139" s="9" t="s">
        <v>4955</v>
      </c>
      <c r="Y139" s="9" t="s">
        <v>4897</v>
      </c>
      <c r="Z139" s="9" t="s">
        <v>4898</v>
      </c>
      <c r="AA139" s="9" t="s">
        <v>4903</v>
      </c>
    </row>
    <row r="140" customFormat="false" ht="15" hidden="false" customHeight="true" outlineLevel="0" collapsed="false">
      <c r="A140" s="6" t="s">
        <v>1223</v>
      </c>
      <c r="B140" s="6" t="s">
        <v>458</v>
      </c>
      <c r="C140" s="6" t="s">
        <v>463</v>
      </c>
      <c r="D140" s="6" t="n">
        <v>6</v>
      </c>
      <c r="E140" s="9" t="s">
        <v>4953</v>
      </c>
      <c r="F140" s="6" t="n">
        <v>257000</v>
      </c>
      <c r="I140" s="6" t="n">
        <v>89000</v>
      </c>
      <c r="J140" s="6" t="n">
        <v>32000</v>
      </c>
      <c r="K140" s="6" t="n">
        <v>13000</v>
      </c>
      <c r="L140" s="6" t="n">
        <v>12000</v>
      </c>
      <c r="M140" s="6" t="n">
        <v>0</v>
      </c>
      <c r="N140" s="6" t="n">
        <v>6000</v>
      </c>
      <c r="O140" s="6" t="n">
        <v>22000</v>
      </c>
      <c r="P140" s="6" t="n">
        <v>0</v>
      </c>
      <c r="Q140" s="1" t="n">
        <f aca="false">IF($A1239="","",IF(OR(F1239="",I1239=""),"",F1239-I1239))</f>
        <v>168000</v>
      </c>
      <c r="R140" s="1" t="str">
        <f aca="false">IF($A1239="","",IF(Q1239="","",Q1239+IF(O1239="",0,O1239)))</f>
        <v/>
      </c>
      <c r="S140" s="6" t="n">
        <v>2000</v>
      </c>
      <c r="T140" s="1" t="str">
        <f aca="false">IF($A1239="","",IF(R1239="","",R1239-IF(S1239="",0,S1239)))</f>
        <v/>
      </c>
      <c r="U140" s="1" t="n">
        <f aca="false">IF($A1239="","",IF(I1239="","",I1239-SUM(J1239:P1239)))</f>
        <v>4000</v>
      </c>
      <c r="V140" s="6" t="s">
        <v>4954</v>
      </c>
      <c r="W140" s="9" t="s">
        <v>774</v>
      </c>
      <c r="X140" s="9" t="s">
        <v>4955</v>
      </c>
      <c r="Y140" s="9" t="s">
        <v>4897</v>
      </c>
      <c r="Z140" s="9" t="s">
        <v>4898</v>
      </c>
      <c r="AA140" s="9" t="s">
        <v>4903</v>
      </c>
    </row>
    <row r="141" customFormat="false" ht="15" hidden="false" customHeight="true" outlineLevel="0" collapsed="false">
      <c r="A141" s="6" t="s">
        <v>1227</v>
      </c>
      <c r="B141" s="6" t="s">
        <v>458</v>
      </c>
      <c r="C141" s="6" t="s">
        <v>463</v>
      </c>
      <c r="D141" s="6" t="n">
        <v>6</v>
      </c>
      <c r="E141" s="9" t="s">
        <v>4962</v>
      </c>
      <c r="F141" s="1" t="n">
        <v>422000</v>
      </c>
      <c r="Q141" s="1" t="str">
        <f aca="false">IF($A1240="","",IF(OR(F1240="",I1240=""),"",F1240-I1240))</f>
        <v/>
      </c>
      <c r="R141" s="1" t="str">
        <f aca="false">IF($A1240="","",IF(Q1240="","",Q1240+IF(O1240="",0,O1240)))</f>
        <v/>
      </c>
      <c r="S141" s="6" t="n">
        <v>5000</v>
      </c>
      <c r="T141" s="1" t="str">
        <f aca="false">IF($A1240="","",IF(R1240="","",R1240-IF(S1240="",0,S1240)))</f>
        <v/>
      </c>
      <c r="U141" s="1" t="str">
        <f aca="false">IF($A1240="","",IF(I1240="","",I1240-SUM(J1240:P1240)))</f>
        <v/>
      </c>
      <c r="V141" s="6" t="s">
        <v>4954</v>
      </c>
      <c r="W141" s="9" t="s">
        <v>774</v>
      </c>
      <c r="X141" s="9" t="s">
        <v>4963</v>
      </c>
      <c r="Y141" s="9" t="s">
        <v>4897</v>
      </c>
      <c r="Z141" s="9" t="s">
        <v>4898</v>
      </c>
      <c r="AA141" s="9" t="s">
        <v>4899</v>
      </c>
    </row>
    <row r="142" customFormat="false" ht="15" hidden="false" customHeight="true" outlineLevel="0" collapsed="false">
      <c r="A142" s="6" t="s">
        <v>1230</v>
      </c>
      <c r="B142" s="6" t="s">
        <v>458</v>
      </c>
      <c r="C142" s="6" t="s">
        <v>463</v>
      </c>
      <c r="D142" s="6" t="n">
        <v>6</v>
      </c>
      <c r="E142" s="9" t="s">
        <v>4962</v>
      </c>
      <c r="F142" s="1" t="n">
        <v>564000</v>
      </c>
      <c r="Q142" s="1" t="str">
        <f aca="false">IF($A1241="","",IF(OR(F1241="",I1241=""),"",F1241-I1241))</f>
        <v/>
      </c>
      <c r="R142" s="1" t="str">
        <f aca="false">IF($A1241="","",IF(Q1241="","",Q1241+IF(O1241="",0,O1241)))</f>
        <v/>
      </c>
      <c r="S142" s="6" t="n">
        <v>1000</v>
      </c>
      <c r="T142" s="1" t="str">
        <f aca="false">IF($A1241="","",IF(R1241="","",R1241-IF(S1241="",0,S1241)))</f>
        <v/>
      </c>
      <c r="U142" s="1" t="str">
        <f aca="false">IF($A1241="","",IF(I1241="","",I1241-SUM(J1241:P1241)))</f>
        <v/>
      </c>
      <c r="V142" s="6" t="s">
        <v>4954</v>
      </c>
      <c r="W142" s="9" t="s">
        <v>774</v>
      </c>
      <c r="X142" s="9" t="s">
        <v>4964</v>
      </c>
      <c r="Y142" s="9" t="s">
        <v>4897</v>
      </c>
      <c r="Z142" s="9" t="s">
        <v>4898</v>
      </c>
      <c r="AA142" s="9" t="s">
        <v>4899</v>
      </c>
    </row>
    <row r="143" customFormat="false" ht="15" hidden="false" customHeight="true" outlineLevel="0" collapsed="false">
      <c r="A143" s="6" t="s">
        <v>1232</v>
      </c>
      <c r="B143" s="6" t="s">
        <v>458</v>
      </c>
      <c r="C143" s="6" t="s">
        <v>463</v>
      </c>
      <c r="D143" s="6" t="n">
        <v>6</v>
      </c>
      <c r="E143" s="9" t="s">
        <v>4953</v>
      </c>
      <c r="F143" s="6" t="n">
        <v>514000</v>
      </c>
      <c r="I143" s="6" t="n">
        <v>255000</v>
      </c>
      <c r="J143" s="6" t="n">
        <v>63000</v>
      </c>
      <c r="K143" s="6" t="n">
        <v>32000</v>
      </c>
      <c r="L143" s="6" t="n">
        <v>64000</v>
      </c>
      <c r="M143" s="6" t="n">
        <v>0</v>
      </c>
      <c r="N143" s="6" t="n">
        <v>4000</v>
      </c>
      <c r="O143" s="6" t="n">
        <v>90000</v>
      </c>
      <c r="P143" s="6" t="n">
        <v>0</v>
      </c>
      <c r="Q143" s="1" t="n">
        <f aca="false">IF($A1242="","",IF(OR(F1242="",I1242=""),"",F1242-I1242))</f>
        <v>259000</v>
      </c>
      <c r="R143" s="1" t="str">
        <f aca="false">IF($A1242="","",IF(Q1242="","",Q1242+IF(O1242="",0,O1242)))</f>
        <v/>
      </c>
      <c r="S143" s="6" t="n">
        <v>11000</v>
      </c>
      <c r="T143" s="1" t="str">
        <f aca="false">IF($A1242="","",IF(R1242="","",R1242-IF(S1242="",0,S1242)))</f>
        <v/>
      </c>
      <c r="U143" s="1" t="n">
        <f aca="false">IF($A1242="","",IF(I1242="","",I1242-SUM(J1242:P1242)))</f>
        <v>2000</v>
      </c>
      <c r="V143" s="6" t="s">
        <v>4954</v>
      </c>
      <c r="W143" s="9" t="s">
        <v>774</v>
      </c>
      <c r="X143" s="9" t="s">
        <v>4955</v>
      </c>
      <c r="Y143" s="9" t="s">
        <v>4897</v>
      </c>
      <c r="Z143" s="9" t="s">
        <v>4898</v>
      </c>
      <c r="AA143" s="9" t="s">
        <v>4903</v>
      </c>
    </row>
    <row r="144" customFormat="false" ht="15" hidden="false" customHeight="true" outlineLevel="0" collapsed="false">
      <c r="A144" s="6" t="s">
        <v>1234</v>
      </c>
      <c r="B144" s="6" t="s">
        <v>458</v>
      </c>
      <c r="C144" s="6" t="s">
        <v>463</v>
      </c>
      <c r="D144" s="6" t="n">
        <v>6</v>
      </c>
      <c r="E144" s="9" t="s">
        <v>4953</v>
      </c>
      <c r="F144" s="6" t="n">
        <v>294000</v>
      </c>
      <c r="I144" s="6" t="n">
        <v>148000</v>
      </c>
      <c r="J144" s="6" t="n">
        <v>45000</v>
      </c>
      <c r="K144" s="6" t="n">
        <v>25000</v>
      </c>
      <c r="L144" s="6" t="n">
        <v>40000</v>
      </c>
      <c r="M144" s="6" t="n">
        <v>0</v>
      </c>
      <c r="N144" s="6" t="n">
        <v>11000</v>
      </c>
      <c r="O144" s="6" t="n">
        <v>24000</v>
      </c>
      <c r="P144" s="6" t="n">
        <v>0</v>
      </c>
      <c r="Q144" s="1" t="n">
        <f aca="false">IF($A1243="","",IF(OR(F1243="",I1243=""),"",F1243-I1243))</f>
        <v>146000</v>
      </c>
      <c r="R144" s="1" t="str">
        <f aca="false">IF($A1243="","",IF(Q1243="","",Q1243+IF(O1243="",0,O1243)))</f>
        <v/>
      </c>
      <c r="S144" s="6" t="n">
        <v>10000</v>
      </c>
      <c r="T144" s="1" t="str">
        <f aca="false">IF($A1243="","",IF(R1243="","",R1243-IF(S1243="",0,S1243)))</f>
        <v/>
      </c>
      <c r="U144" s="1" t="n">
        <f aca="false">IF($A1243="","",IF(I1243="","",I1243-SUM(J1243:P1243)))</f>
        <v>3000</v>
      </c>
      <c r="V144" s="6" t="s">
        <v>4954</v>
      </c>
      <c r="W144" s="9" t="s">
        <v>774</v>
      </c>
      <c r="X144" s="9" t="s">
        <v>4955</v>
      </c>
      <c r="Y144" s="9" t="s">
        <v>4897</v>
      </c>
      <c r="Z144" s="9" t="s">
        <v>4898</v>
      </c>
      <c r="AA144" s="9" t="s">
        <v>4903</v>
      </c>
    </row>
    <row r="145" customFormat="false" ht="15" hidden="false" customHeight="true" outlineLevel="0" collapsed="false">
      <c r="A145" s="6" t="s">
        <v>1236</v>
      </c>
      <c r="B145" s="6" t="s">
        <v>458</v>
      </c>
      <c r="C145" s="6" t="s">
        <v>463</v>
      </c>
      <c r="D145" s="6" t="n">
        <v>6</v>
      </c>
      <c r="E145" s="9" t="s">
        <v>4953</v>
      </c>
      <c r="F145" s="6" t="n">
        <v>385000</v>
      </c>
      <c r="I145" s="6" t="n">
        <v>217000</v>
      </c>
      <c r="J145" s="6" t="n">
        <v>24000</v>
      </c>
      <c r="K145" s="6" t="n">
        <v>27000</v>
      </c>
      <c r="L145" s="6" t="n">
        <v>26000</v>
      </c>
      <c r="M145" s="6" t="n">
        <v>0</v>
      </c>
      <c r="N145" s="6" t="n">
        <v>7000</v>
      </c>
      <c r="O145" s="6" t="n">
        <v>130000</v>
      </c>
      <c r="P145" s="6" t="n">
        <v>0</v>
      </c>
      <c r="Q145" s="1" t="n">
        <f aca="false">IF($A1244="","",IF(OR(F1244="",I1244=""),"",F1244-I1244))</f>
        <v>168000</v>
      </c>
      <c r="R145" s="1" t="str">
        <f aca="false">IF($A1244="","",IF(Q1244="","",Q1244+IF(O1244="",0,O1244)))</f>
        <v/>
      </c>
      <c r="S145" s="6" t="n">
        <v>11000</v>
      </c>
      <c r="T145" s="1" t="str">
        <f aca="false">IF($A1244="","",IF(R1244="","",R1244-IF(S1244="",0,S1244)))</f>
        <v/>
      </c>
      <c r="U145" s="1" t="n">
        <f aca="false">IF($A1244="","",IF(I1244="","",I1244-SUM(J1244:P1244)))</f>
        <v>3000</v>
      </c>
      <c r="V145" s="6" t="s">
        <v>4954</v>
      </c>
      <c r="W145" s="9" t="s">
        <v>774</v>
      </c>
      <c r="X145" s="9" t="s">
        <v>4955</v>
      </c>
      <c r="Y145" s="9" t="s">
        <v>4897</v>
      </c>
      <c r="Z145" s="9" t="s">
        <v>4898</v>
      </c>
      <c r="AA145" s="9" t="s">
        <v>4903</v>
      </c>
    </row>
    <row r="146" customFormat="false" ht="15" hidden="false" customHeight="true" outlineLevel="0" collapsed="false">
      <c r="A146" s="6" t="s">
        <v>1238</v>
      </c>
      <c r="B146" s="6" t="s">
        <v>458</v>
      </c>
      <c r="C146" s="6" t="s">
        <v>463</v>
      </c>
      <c r="D146" s="6" t="n">
        <v>6</v>
      </c>
      <c r="E146" s="9" t="s">
        <v>4953</v>
      </c>
      <c r="F146" s="6" t="n">
        <v>595000</v>
      </c>
      <c r="I146" s="6" t="n">
        <v>301000</v>
      </c>
      <c r="J146" s="6" t="n">
        <v>67000</v>
      </c>
      <c r="K146" s="6" t="n">
        <v>44000</v>
      </c>
      <c r="L146" s="6" t="n">
        <v>94000</v>
      </c>
      <c r="M146" s="6" t="n">
        <v>0</v>
      </c>
      <c r="N146" s="6" t="n">
        <v>10000</v>
      </c>
      <c r="O146" s="6" t="n">
        <v>83000</v>
      </c>
      <c r="P146" s="6" t="n">
        <v>0</v>
      </c>
      <c r="Q146" s="1" t="n">
        <f aca="false">IF($A1245="","",IF(OR(F1245="",I1245=""),"",F1245-I1245))</f>
        <v>294000</v>
      </c>
      <c r="R146" s="1" t="str">
        <f aca="false">IF($A1245="","",IF(Q1245="","",Q1245+IF(O1245="",0,O1245)))</f>
        <v/>
      </c>
      <c r="S146" s="6" t="n">
        <v>0</v>
      </c>
      <c r="T146" s="1" t="str">
        <f aca="false">IF($A1245="","",IF(R1245="","",R1245-IF(S1245="",0,S1245)))</f>
        <v/>
      </c>
      <c r="U146" s="1" t="n">
        <f aca="false">IF($A1245="","",IF(I1245="","",I1245-SUM(J1245:P1245)))</f>
        <v>3000</v>
      </c>
      <c r="V146" s="6" t="s">
        <v>4954</v>
      </c>
      <c r="W146" s="9" t="s">
        <v>774</v>
      </c>
      <c r="X146" s="9" t="s">
        <v>4955</v>
      </c>
      <c r="Y146" s="9" t="s">
        <v>4897</v>
      </c>
      <c r="Z146" s="9" t="s">
        <v>4898</v>
      </c>
      <c r="AA146" s="9" t="s">
        <v>4903</v>
      </c>
    </row>
    <row r="147" customFormat="false" ht="15" hidden="false" customHeight="true" outlineLevel="0" collapsed="false">
      <c r="A147" s="6" t="s">
        <v>1240</v>
      </c>
      <c r="B147" s="6" t="s">
        <v>458</v>
      </c>
      <c r="C147" s="6" t="s">
        <v>463</v>
      </c>
      <c r="D147" s="6" t="n">
        <v>6</v>
      </c>
      <c r="E147" s="9" t="s">
        <v>4953</v>
      </c>
      <c r="F147" s="6" t="n">
        <v>449000</v>
      </c>
      <c r="I147" s="6" t="n">
        <v>214000</v>
      </c>
      <c r="J147" s="6" t="n">
        <v>68000</v>
      </c>
      <c r="K147" s="6" t="n">
        <v>31000</v>
      </c>
      <c r="L147" s="6" t="n">
        <v>27000</v>
      </c>
      <c r="M147" s="6" t="n">
        <v>0</v>
      </c>
      <c r="N147" s="6" t="n">
        <v>11000</v>
      </c>
      <c r="O147" s="6" t="n">
        <v>74000</v>
      </c>
      <c r="P147" s="6" t="n">
        <v>0</v>
      </c>
      <c r="Q147" s="1" t="n">
        <f aca="false">IF($A1246="","",IF(OR(F1246="",I1246=""),"",F1246-I1246))</f>
        <v>235000</v>
      </c>
      <c r="R147" s="1" t="str">
        <f aca="false">IF($A1246="","",IF(Q1246="","",Q1246+IF(O1246="",0,O1246)))</f>
        <v/>
      </c>
      <c r="S147" s="6" t="n">
        <v>6000</v>
      </c>
      <c r="T147" s="1" t="str">
        <f aca="false">IF($A1246="","",IF(R1246="","",R1246-IF(S1246="",0,S1246)))</f>
        <v/>
      </c>
      <c r="U147" s="1" t="n">
        <f aca="false">IF($A1246="","",IF(I1246="","",I1246-SUM(J1246:P1246)))</f>
        <v>3000</v>
      </c>
      <c r="V147" s="6" t="s">
        <v>4954</v>
      </c>
      <c r="W147" s="9" t="s">
        <v>774</v>
      </c>
      <c r="X147" s="9" t="s">
        <v>4955</v>
      </c>
      <c r="Y147" s="9" t="s">
        <v>4897</v>
      </c>
      <c r="Z147" s="9" t="s">
        <v>4898</v>
      </c>
      <c r="AA147" s="9" t="s">
        <v>4903</v>
      </c>
    </row>
    <row r="148" customFormat="false" ht="15" hidden="false" customHeight="true" outlineLevel="0" collapsed="false">
      <c r="A148" s="6" t="s">
        <v>1244</v>
      </c>
      <c r="B148" s="6" t="s">
        <v>458</v>
      </c>
      <c r="C148" s="6" t="s">
        <v>463</v>
      </c>
      <c r="D148" s="6" t="n">
        <v>6</v>
      </c>
      <c r="E148" s="9" t="s">
        <v>4953</v>
      </c>
      <c r="F148" s="6" t="n">
        <v>277000</v>
      </c>
      <c r="I148" s="6" t="n">
        <v>194000</v>
      </c>
      <c r="J148" s="6" t="n">
        <v>33000</v>
      </c>
      <c r="K148" s="6" t="n">
        <v>20000</v>
      </c>
      <c r="L148" s="6" t="n">
        <v>17000</v>
      </c>
      <c r="M148" s="6" t="n">
        <v>1000</v>
      </c>
      <c r="N148" s="6" t="n">
        <v>78000</v>
      </c>
      <c r="O148" s="6" t="n">
        <v>44000</v>
      </c>
      <c r="P148" s="6" t="n">
        <v>0</v>
      </c>
      <c r="Q148" s="1" t="n">
        <f aca="false">IF($A1247="","",IF(OR(F1247="",I1247=""),"",F1247-I1247))</f>
        <v>83000</v>
      </c>
      <c r="R148" s="1" t="str">
        <f aca="false">IF($A1247="","",IF(Q1247="","",Q1247+IF(O1247="",0,O1247)))</f>
        <v/>
      </c>
      <c r="S148" s="6" t="n">
        <v>428000</v>
      </c>
      <c r="T148" s="1" t="str">
        <f aca="false">IF($A1247="","",IF(R1247="","",R1247-IF(S1247="",0,S1247)))</f>
        <v/>
      </c>
      <c r="U148" s="1" t="n">
        <f aca="false">IF($A1247="","",IF(I1247="","",I1247-SUM(J1247:P1247)))</f>
        <v>1000</v>
      </c>
      <c r="V148" s="6" t="s">
        <v>4954</v>
      </c>
      <c r="W148" s="9" t="s">
        <v>774</v>
      </c>
      <c r="X148" s="9" t="s">
        <v>4955</v>
      </c>
      <c r="Y148" s="9" t="s">
        <v>4897</v>
      </c>
      <c r="Z148" s="9" t="s">
        <v>4898</v>
      </c>
      <c r="AA148" s="9" t="s">
        <v>4903</v>
      </c>
    </row>
    <row r="149" customFormat="false" ht="15" hidden="false" customHeight="true" outlineLevel="0" collapsed="false">
      <c r="A149" s="6" t="s">
        <v>1248</v>
      </c>
      <c r="B149" s="6" t="s">
        <v>458</v>
      </c>
      <c r="C149" s="6" t="s">
        <v>463</v>
      </c>
      <c r="D149" s="6" t="n">
        <v>6</v>
      </c>
      <c r="E149" s="9" t="s">
        <v>4953</v>
      </c>
      <c r="F149" s="6" t="n">
        <v>276000</v>
      </c>
      <c r="I149" s="6" t="n">
        <v>252000</v>
      </c>
      <c r="J149" s="6" t="n">
        <v>52000</v>
      </c>
      <c r="K149" s="6" t="n">
        <v>26000</v>
      </c>
      <c r="L149" s="6" t="n">
        <v>24000</v>
      </c>
      <c r="M149" s="6" t="n">
        <v>0</v>
      </c>
      <c r="N149" s="6" t="n">
        <v>33000</v>
      </c>
      <c r="O149" s="6" t="n">
        <v>83000</v>
      </c>
      <c r="P149" s="6" t="n">
        <v>31000</v>
      </c>
      <c r="Q149" s="1" t="n">
        <f aca="false">IF($A1248="","",IF(OR(F1248="",I1248=""),"",F1248-I1248))</f>
        <v>24000</v>
      </c>
      <c r="R149" s="1" t="str">
        <f aca="false">IF($A1248="","",IF(Q1248="","",Q1248+IF(O1248="",0,O1248)))</f>
        <v/>
      </c>
      <c r="S149" s="6" t="n">
        <v>166000</v>
      </c>
      <c r="T149" s="1" t="str">
        <f aca="false">IF($A1248="","",IF(R1248="","",R1248-IF(S1248="",0,S1248)))</f>
        <v/>
      </c>
      <c r="U149" s="1" t="n">
        <f aca="false">IF($A1248="","",IF(I1248="","",I1248-SUM(J1248:P1248)))</f>
        <v>3000</v>
      </c>
      <c r="V149" s="6" t="s">
        <v>4954</v>
      </c>
      <c r="W149" s="9" t="s">
        <v>774</v>
      </c>
      <c r="X149" s="9" t="s">
        <v>4955</v>
      </c>
      <c r="Y149" s="9" t="s">
        <v>4897</v>
      </c>
      <c r="Z149" s="9" t="s">
        <v>4898</v>
      </c>
      <c r="AA149" s="9" t="s">
        <v>4903</v>
      </c>
    </row>
    <row r="150" customFormat="false" ht="15" hidden="false" customHeight="true" outlineLevel="0" collapsed="false">
      <c r="A150" s="6" t="s">
        <v>1250</v>
      </c>
      <c r="B150" s="6" t="s">
        <v>458</v>
      </c>
      <c r="C150" s="6" t="s">
        <v>463</v>
      </c>
      <c r="D150" s="6" t="n">
        <v>6</v>
      </c>
      <c r="E150" s="9" t="s">
        <v>4953</v>
      </c>
      <c r="F150" s="6" t="n">
        <v>96000</v>
      </c>
      <c r="I150" s="6" t="n">
        <v>46000</v>
      </c>
      <c r="J150" s="6" t="n">
        <v>14000</v>
      </c>
      <c r="K150" s="6" t="n">
        <v>6000</v>
      </c>
      <c r="L150" s="6" t="n">
        <v>8000</v>
      </c>
      <c r="M150" s="6" t="n">
        <v>0</v>
      </c>
      <c r="N150" s="6" t="n">
        <v>3000</v>
      </c>
      <c r="O150" s="6" t="n">
        <v>14000</v>
      </c>
      <c r="P150" s="6" t="n">
        <v>0</v>
      </c>
      <c r="Q150" s="1" t="n">
        <f aca="false">IF($A1249="","",IF(OR(F1249="",I1249=""),"",F1249-I1249))</f>
        <v>50000</v>
      </c>
      <c r="R150" s="1" t="str">
        <f aca="false">IF($A1249="","",IF(Q1249="","",Q1249+IF(O1249="",0,O1249)))</f>
        <v/>
      </c>
      <c r="S150" s="6" t="n">
        <v>4000</v>
      </c>
      <c r="T150" s="1" t="str">
        <f aca="false">IF($A1249="","",IF(R1249="","",R1249-IF(S1249="",0,S1249)))</f>
        <v/>
      </c>
      <c r="U150" s="1" t="n">
        <f aca="false">IF($A1249="","",IF(I1249="","",I1249-SUM(J1249:P1249)))</f>
        <v>1000</v>
      </c>
      <c r="V150" s="6" t="s">
        <v>4954</v>
      </c>
      <c r="W150" s="9" t="s">
        <v>774</v>
      </c>
      <c r="X150" s="9" t="s">
        <v>4955</v>
      </c>
      <c r="Y150" s="9" t="s">
        <v>4897</v>
      </c>
      <c r="Z150" s="9" t="s">
        <v>4898</v>
      </c>
      <c r="AA150" s="9" t="s">
        <v>4903</v>
      </c>
    </row>
    <row r="151" customFormat="false" ht="15" hidden="false" customHeight="true" outlineLevel="0" collapsed="false">
      <c r="A151" s="6" t="s">
        <v>1252</v>
      </c>
      <c r="B151" s="6" t="s">
        <v>458</v>
      </c>
      <c r="C151" s="6" t="s">
        <v>463</v>
      </c>
      <c r="D151" s="6" t="n">
        <v>6</v>
      </c>
      <c r="E151" s="9" t="s">
        <v>4953</v>
      </c>
      <c r="F151" s="6" t="n">
        <v>154000</v>
      </c>
      <c r="I151" s="6" t="n">
        <v>134000</v>
      </c>
      <c r="J151" s="6" t="n">
        <v>20000</v>
      </c>
      <c r="K151" s="6" t="n">
        <v>14000</v>
      </c>
      <c r="L151" s="6" t="n">
        <v>21000</v>
      </c>
      <c r="M151" s="6" t="n">
        <v>0</v>
      </c>
      <c r="N151" s="6" t="n">
        <v>10000</v>
      </c>
      <c r="O151" s="6" t="n">
        <v>68000</v>
      </c>
      <c r="P151" s="6" t="n">
        <v>0</v>
      </c>
      <c r="Q151" s="1" t="n">
        <f aca="false">IF($A1250="","",IF(OR(F1250="",I1250=""),"",F1250-I1250))</f>
        <v>20000</v>
      </c>
      <c r="R151" s="1" t="str">
        <f aca="false">IF($A1250="","",IF(Q1250="","",Q1250+IF(O1250="",0,O1250)))</f>
        <v/>
      </c>
      <c r="S151" s="6" t="n">
        <v>10000</v>
      </c>
      <c r="T151" s="1" t="str">
        <f aca="false">IF($A1250="","",IF(R1250="","",R1250-IF(S1250="",0,S1250)))</f>
        <v/>
      </c>
      <c r="U151" s="1" t="n">
        <f aca="false">IF($A1250="","",IF(I1250="","",I1250-SUM(J1250:P1250)))</f>
        <v>1000</v>
      </c>
      <c r="V151" s="6" t="s">
        <v>4954</v>
      </c>
      <c r="W151" s="9" t="s">
        <v>774</v>
      </c>
      <c r="X151" s="9" t="s">
        <v>4965</v>
      </c>
      <c r="Y151" s="9" t="s">
        <v>4897</v>
      </c>
      <c r="Z151" s="9" t="s">
        <v>4898</v>
      </c>
      <c r="AA151" s="9" t="s">
        <v>4903</v>
      </c>
    </row>
    <row r="152" customFormat="false" ht="15" hidden="false" customHeight="true" outlineLevel="0" collapsed="false">
      <c r="A152" s="6" t="s">
        <v>1255</v>
      </c>
      <c r="B152" s="6" t="s">
        <v>458</v>
      </c>
      <c r="C152" s="6" t="s">
        <v>463</v>
      </c>
      <c r="D152" s="6" t="n">
        <v>6</v>
      </c>
      <c r="E152" s="9" t="s">
        <v>4953</v>
      </c>
      <c r="F152" s="6" t="n">
        <v>163000</v>
      </c>
      <c r="I152" s="6" t="n">
        <v>84000</v>
      </c>
      <c r="J152" s="6" t="n">
        <v>24000</v>
      </c>
      <c r="K152" s="6" t="n">
        <v>19000</v>
      </c>
      <c r="L152" s="6" t="n">
        <v>20000</v>
      </c>
      <c r="M152" s="6" t="n">
        <v>0</v>
      </c>
      <c r="N152" s="6" t="n">
        <v>1000</v>
      </c>
      <c r="O152" s="6" t="n">
        <v>18000</v>
      </c>
      <c r="P152" s="6" t="n">
        <v>0</v>
      </c>
      <c r="Q152" s="1" t="n">
        <f aca="false">IF($A1251="","",IF(OR(F1251="",I1251=""),"",F1251-I1251))</f>
        <v>79000</v>
      </c>
      <c r="R152" s="1" t="str">
        <f aca="false">IF($A1251="","",IF(Q1251="","",Q1251+IF(O1251="",0,O1251)))</f>
        <v/>
      </c>
      <c r="S152" s="6" t="n">
        <v>0</v>
      </c>
      <c r="T152" s="1" t="str">
        <f aca="false">IF($A1251="","",IF(R1251="","",R1251-IF(S1251="",0,S1251)))</f>
        <v/>
      </c>
      <c r="U152" s="1" t="n">
        <f aca="false">IF($A1251="","",IF(I1251="","",I1251-SUM(J1251:P1251)))</f>
        <v>2000</v>
      </c>
      <c r="V152" s="6" t="s">
        <v>4954</v>
      </c>
      <c r="W152" s="9" t="s">
        <v>774</v>
      </c>
      <c r="X152" s="9" t="s">
        <v>4955</v>
      </c>
      <c r="Y152" s="9" t="s">
        <v>4897</v>
      </c>
      <c r="Z152" s="9" t="s">
        <v>4898</v>
      </c>
      <c r="AA152" s="9" t="s">
        <v>4903</v>
      </c>
    </row>
    <row r="153" customFormat="false" ht="15" hidden="false" customHeight="true" outlineLevel="0" collapsed="false">
      <c r="A153" s="6" t="s">
        <v>1257</v>
      </c>
      <c r="B153" s="6" t="s">
        <v>465</v>
      </c>
      <c r="C153" s="6" t="s">
        <v>469</v>
      </c>
      <c r="D153" s="6" t="n">
        <v>6</v>
      </c>
      <c r="E153" s="9" t="s">
        <v>4894</v>
      </c>
      <c r="F153" s="42" t="n">
        <v>5539262</v>
      </c>
      <c r="G153" s="42" t="n">
        <v>5013812</v>
      </c>
      <c r="H153" s="42" t="n">
        <v>525450</v>
      </c>
      <c r="I153" s="42" t="n">
        <v>2268046</v>
      </c>
      <c r="J153" s="42" t="n">
        <v>569792</v>
      </c>
      <c r="K153" s="42" t="n">
        <v>362982</v>
      </c>
      <c r="L153" s="42" t="n">
        <v>429193</v>
      </c>
      <c r="M153" s="42" t="n">
        <v>12561</v>
      </c>
      <c r="N153" s="42" t="n">
        <v>102215</v>
      </c>
      <c r="O153" s="42" t="n">
        <v>774962</v>
      </c>
      <c r="P153" s="42" t="n">
        <v>16338</v>
      </c>
      <c r="Q153" s="43" t="n">
        <f aca="false">IF($A19="","",IF(OR(F19="",I19=""),"",F19-I19))</f>
        <v>-2170046</v>
      </c>
      <c r="R153" s="43" t="n">
        <f aca="false">IF($A19="","",IF(Q19="","",Q19+IF(O19="",0,O19)))</f>
        <v>920962</v>
      </c>
      <c r="S153" s="42" t="n">
        <v>624656</v>
      </c>
      <c r="T153" s="43" t="n">
        <f aca="false">IF($A19="","",IF(R19="","",R19-IF(S19="",0,S19)))</f>
        <v>-454656</v>
      </c>
      <c r="U153" s="43" t="n">
        <f aca="false">IF($A19="","",IF(I19="","",I19-SUM(J19:P19)))</f>
        <v>3</v>
      </c>
      <c r="V153" s="6" t="s">
        <v>4966</v>
      </c>
      <c r="W153" s="9" t="s">
        <v>774</v>
      </c>
      <c r="X153" s="9" t="s">
        <v>4967</v>
      </c>
      <c r="Y153" s="9" t="s">
        <v>4897</v>
      </c>
      <c r="Z153" s="9" t="s">
        <v>4898</v>
      </c>
      <c r="AA153" s="9" t="s">
        <v>4899</v>
      </c>
    </row>
    <row r="154" customFormat="false" ht="15" hidden="false" customHeight="true" outlineLevel="0" collapsed="false">
      <c r="A154" s="6" t="s">
        <v>1262</v>
      </c>
      <c r="B154" s="6" t="s">
        <v>465</v>
      </c>
      <c r="C154" s="6" t="s">
        <v>469</v>
      </c>
      <c r="D154" s="6" t="n">
        <v>6</v>
      </c>
      <c r="E154" s="9" t="s">
        <v>4968</v>
      </c>
      <c r="F154" s="42" t="n">
        <v>486000</v>
      </c>
      <c r="G154" s="42"/>
      <c r="H154" s="42"/>
      <c r="I154" s="42"/>
      <c r="J154" s="42"/>
      <c r="K154" s="42"/>
      <c r="L154" s="42"/>
      <c r="M154" s="42"/>
      <c r="N154" s="42"/>
      <c r="O154" s="42"/>
      <c r="P154" s="42"/>
      <c r="Q154" s="43" t="n">
        <f aca="false">IF($A2="","",IF(OR(F2="",I2=""),"",F2-I2))</f>
        <v>23296886</v>
      </c>
      <c r="R154" s="43" t="n">
        <f aca="false">IF($A2="","",IF(Q2="","",Q2+IF(O2="",0,O2)))</f>
        <v>-17125056</v>
      </c>
      <c r="S154" s="42"/>
      <c r="T154" s="43" t="n">
        <f aca="false">IF($A2="","",IF(R2="","",R2-IF(S2="",0,S2)))</f>
        <v>3407749</v>
      </c>
      <c r="U154" s="43" t="n">
        <f aca="false">IF($A2="","",IF(I2="","",I2-SUM(J2:P2)))</f>
        <v>2</v>
      </c>
      <c r="V154" s="6" t="s">
        <v>4969</v>
      </c>
      <c r="W154" s="9" t="s">
        <v>767</v>
      </c>
      <c r="X154" s="9" t="s">
        <v>4970</v>
      </c>
      <c r="Y154" s="9" t="s">
        <v>4897</v>
      </c>
      <c r="Z154" s="9" t="s">
        <v>4898</v>
      </c>
      <c r="AA154" s="9" t="s">
        <v>4899</v>
      </c>
    </row>
    <row r="155" customFormat="false" ht="15" hidden="false" customHeight="true" outlineLevel="0" collapsed="false">
      <c r="A155" s="6" t="s">
        <v>1266</v>
      </c>
      <c r="B155" s="6" t="s">
        <v>465</v>
      </c>
      <c r="C155" s="6" t="s">
        <v>469</v>
      </c>
      <c r="D155" s="6" t="n">
        <v>6</v>
      </c>
      <c r="E155" s="9" t="s">
        <v>4968</v>
      </c>
      <c r="F155" s="42" t="n">
        <v>717000</v>
      </c>
      <c r="G155" s="48"/>
      <c r="H155" s="48"/>
      <c r="I155" s="48"/>
      <c r="J155" s="48"/>
      <c r="K155" s="48"/>
      <c r="L155" s="48"/>
      <c r="M155" s="48"/>
      <c r="N155" s="48"/>
      <c r="O155" s="48"/>
      <c r="P155" s="48"/>
      <c r="Q155" s="43" t="str">
        <f aca="false">IF($A3="","",IF(OR(F3="",I3=""),"",F3-I3))</f>
        <v/>
      </c>
      <c r="R155" s="43" t="n">
        <f aca="false">IF($A3="","",IF(Q3="","",Q3+IF(O3="",0,O3)))</f>
        <v>242000</v>
      </c>
      <c r="S155" s="48"/>
      <c r="T155" s="43" t="n">
        <f aca="false">IF($A3="","",IF(R3="","",R3-IF(S3="",0,S3)))</f>
        <v>283000</v>
      </c>
      <c r="U155" s="43" t="str">
        <f aca="false">IF($A3="","",IF(I3="","",I3-SUM(J3:P3)))</f>
        <v/>
      </c>
      <c r="V155" s="6" t="s">
        <v>4969</v>
      </c>
      <c r="W155" s="9" t="s">
        <v>767</v>
      </c>
      <c r="X155" s="9" t="s">
        <v>4970</v>
      </c>
      <c r="Y155" s="9" t="s">
        <v>4897</v>
      </c>
      <c r="Z155" s="9" t="s">
        <v>4898</v>
      </c>
      <c r="AA155" s="9" t="s">
        <v>4899</v>
      </c>
    </row>
    <row r="156" customFormat="false" ht="15" hidden="false" customHeight="true" outlineLevel="0" collapsed="false">
      <c r="A156" s="6" t="s">
        <v>1268</v>
      </c>
      <c r="B156" s="6" t="s">
        <v>465</v>
      </c>
      <c r="C156" s="6" t="s">
        <v>469</v>
      </c>
      <c r="D156" s="6" t="n">
        <v>6</v>
      </c>
      <c r="E156" s="9" t="s">
        <v>4968</v>
      </c>
      <c r="F156" s="42" t="n">
        <v>227000</v>
      </c>
      <c r="G156" s="48"/>
      <c r="H156" s="48"/>
      <c r="I156" s="48"/>
      <c r="J156" s="48"/>
      <c r="K156" s="48"/>
      <c r="L156" s="48"/>
      <c r="M156" s="48"/>
      <c r="N156" s="48"/>
      <c r="O156" s="48"/>
      <c r="P156" s="48"/>
      <c r="Q156" s="43" t="str">
        <f aca="false">IF($A4="","",IF(OR(F4="",I4=""),"",F4-I4))</f>
        <v/>
      </c>
      <c r="R156" s="43" t="n">
        <f aca="false">IF($A4="","",IF(Q4="","",Q4+IF(O4="",0,O4)))</f>
        <v>98000</v>
      </c>
      <c r="S156" s="48"/>
      <c r="T156" s="43" t="n">
        <f aca="false">IF($A4="","",IF(R4="","",R4-IF(S4="",0,S4)))</f>
        <v>243000</v>
      </c>
      <c r="U156" s="43" t="str">
        <f aca="false">IF($A4="","",IF(I4="","",I4-SUM(J4:P4)))</f>
        <v/>
      </c>
      <c r="V156" s="6" t="s">
        <v>4969</v>
      </c>
      <c r="W156" s="9" t="s">
        <v>767</v>
      </c>
      <c r="X156" s="9" t="s">
        <v>4970</v>
      </c>
      <c r="Y156" s="9" t="s">
        <v>4897</v>
      </c>
      <c r="Z156" s="9" t="s">
        <v>4898</v>
      </c>
      <c r="AA156" s="9" t="s">
        <v>4899</v>
      </c>
    </row>
    <row r="157" customFormat="false" ht="15" hidden="false" customHeight="true" outlineLevel="0" collapsed="false">
      <c r="A157" s="6" t="s">
        <v>1271</v>
      </c>
      <c r="B157" s="6" t="s">
        <v>465</v>
      </c>
      <c r="C157" s="6" t="s">
        <v>469</v>
      </c>
      <c r="D157" s="6" t="n">
        <v>6</v>
      </c>
      <c r="E157" s="9" t="s">
        <v>4968</v>
      </c>
      <c r="F157" s="42" t="n">
        <v>306000</v>
      </c>
      <c r="G157" s="48"/>
      <c r="H157" s="48"/>
      <c r="I157" s="48"/>
      <c r="J157" s="48"/>
      <c r="K157" s="48"/>
      <c r="L157" s="48"/>
      <c r="M157" s="48"/>
      <c r="N157" s="48"/>
      <c r="O157" s="48"/>
      <c r="P157" s="48"/>
      <c r="Q157" s="43" t="str">
        <f aca="false">IF($A5="","",IF(OR(F5="",I5=""),"",F5-I5))</f>
        <v/>
      </c>
      <c r="R157" s="43" t="n">
        <f aca="false">IF($A5="","",IF(Q5="","",Q5+IF(O5="",0,O5)))</f>
        <v>19000</v>
      </c>
      <c r="S157" s="48"/>
      <c r="T157" s="43" t="n">
        <f aca="false">IF($A5="","",IF(R5="","",R5-IF(S5="",0,S5)))</f>
        <v>32000</v>
      </c>
      <c r="U157" s="43" t="str">
        <f aca="false">IF($A5="","",IF(I5="","",I5-SUM(J5:P5)))</f>
        <v/>
      </c>
      <c r="V157" s="6" t="s">
        <v>4969</v>
      </c>
      <c r="W157" s="9" t="s">
        <v>767</v>
      </c>
      <c r="X157" s="9" t="s">
        <v>4970</v>
      </c>
      <c r="Y157" s="9" t="s">
        <v>4897</v>
      </c>
      <c r="Z157" s="9" t="s">
        <v>4898</v>
      </c>
      <c r="AA157" s="9" t="s">
        <v>4899</v>
      </c>
    </row>
    <row r="158" customFormat="false" ht="15" hidden="false" customHeight="true" outlineLevel="0" collapsed="false">
      <c r="A158" s="6" t="s">
        <v>1273</v>
      </c>
      <c r="B158" s="6" t="s">
        <v>465</v>
      </c>
      <c r="C158" s="6" t="s">
        <v>469</v>
      </c>
      <c r="D158" s="6" t="n">
        <v>6</v>
      </c>
      <c r="E158" s="9" t="s">
        <v>4968</v>
      </c>
      <c r="F158" s="42" t="n">
        <v>523000</v>
      </c>
      <c r="G158" s="48"/>
      <c r="H158" s="48"/>
      <c r="I158" s="48"/>
      <c r="J158" s="48"/>
      <c r="K158" s="48"/>
      <c r="L158" s="48"/>
      <c r="M158" s="48"/>
      <c r="N158" s="48"/>
      <c r="O158" s="48"/>
      <c r="P158" s="48"/>
      <c r="Q158" s="43" t="str">
        <f aca="false">IF($A6="","",IF(OR(F6="",I6=""),"",F6-I6))</f>
        <v/>
      </c>
      <c r="R158" s="43" t="n">
        <f aca="false">IF($A6="","",IF(Q6="","",Q6+IF(O6="",0,O6)))</f>
        <v>386000</v>
      </c>
      <c r="S158" s="48"/>
      <c r="T158" s="43" t="n">
        <f aca="false">IF($A6="","",IF(R6="","",R6-IF(S6="",0,S6)))</f>
        <v>453000</v>
      </c>
      <c r="U158" s="43" t="str">
        <f aca="false">IF($A6="","",IF(I6="","",I6-SUM(J6:P6)))</f>
        <v/>
      </c>
      <c r="V158" s="6" t="s">
        <v>4969</v>
      </c>
      <c r="W158" s="9" t="s">
        <v>767</v>
      </c>
      <c r="X158" s="9" t="s">
        <v>4970</v>
      </c>
      <c r="Y158" s="9" t="s">
        <v>4897</v>
      </c>
      <c r="Z158" s="9" t="s">
        <v>4898</v>
      </c>
      <c r="AA158" s="9" t="s">
        <v>4899</v>
      </c>
    </row>
    <row r="159" customFormat="false" ht="15" hidden="false" customHeight="true" outlineLevel="0" collapsed="false">
      <c r="A159" s="6" t="s">
        <v>1275</v>
      </c>
      <c r="B159" s="6" t="s">
        <v>465</v>
      </c>
      <c r="C159" s="6" t="s">
        <v>469</v>
      </c>
      <c r="D159" s="6" t="n">
        <v>6</v>
      </c>
      <c r="E159" s="9" t="s">
        <v>4968</v>
      </c>
      <c r="F159" s="42" t="n">
        <v>331000</v>
      </c>
      <c r="G159" s="48"/>
      <c r="H159" s="48"/>
      <c r="I159" s="48"/>
      <c r="J159" s="48"/>
      <c r="K159" s="48"/>
      <c r="L159" s="48"/>
      <c r="M159" s="48"/>
      <c r="N159" s="48"/>
      <c r="O159" s="48"/>
      <c r="P159" s="48"/>
      <c r="Q159" s="43" t="str">
        <f aca="false">IF($A7="","",IF(OR(F7="",I7=""),"",F7-I7))</f>
        <v/>
      </c>
      <c r="R159" s="43" t="n">
        <f aca="false">IF($A7="","",IF(Q7="","",Q7+IF(O7="",0,O7)))</f>
        <v>17000</v>
      </c>
      <c r="S159" s="48"/>
      <c r="T159" s="43" t="n">
        <f aca="false">IF($A7="","",IF(R7="","",R7-IF(S7="",0,S7)))</f>
        <v>40000</v>
      </c>
      <c r="U159" s="43" t="str">
        <f aca="false">IF($A7="","",IF(I7="","",I7-SUM(J7:P7)))</f>
        <v/>
      </c>
      <c r="V159" s="6" t="s">
        <v>4969</v>
      </c>
      <c r="W159" s="9" t="s">
        <v>767</v>
      </c>
      <c r="X159" s="9" t="s">
        <v>4970</v>
      </c>
      <c r="Y159" s="9" t="s">
        <v>4897</v>
      </c>
      <c r="Z159" s="9" t="s">
        <v>4898</v>
      </c>
      <c r="AA159" s="9" t="s">
        <v>4899</v>
      </c>
    </row>
    <row r="160" customFormat="false" ht="15" hidden="false" customHeight="true" outlineLevel="0" collapsed="false">
      <c r="A160" s="6" t="s">
        <v>1279</v>
      </c>
      <c r="B160" s="6" t="s">
        <v>465</v>
      </c>
      <c r="C160" s="6" t="s">
        <v>469</v>
      </c>
      <c r="D160" s="6" t="n">
        <v>6</v>
      </c>
      <c r="E160" s="9" t="s">
        <v>4968</v>
      </c>
      <c r="F160" s="42" t="n">
        <v>1001000</v>
      </c>
      <c r="G160" s="48"/>
      <c r="H160" s="48"/>
      <c r="I160" s="48"/>
      <c r="J160" s="48"/>
      <c r="K160" s="48"/>
      <c r="L160" s="48"/>
      <c r="M160" s="48"/>
      <c r="N160" s="48"/>
      <c r="O160" s="48"/>
      <c r="P160" s="48"/>
      <c r="Q160" s="43" t="str">
        <f aca="false">IF($A8="","",IF(OR(F8="",I8=""),"",F8-I8))</f>
        <v/>
      </c>
      <c r="R160" s="43" t="n">
        <f aca="false">IF($A8="","",IF(Q8="","",Q8+IF(O8="",0,O8)))</f>
        <v>352000</v>
      </c>
      <c r="S160" s="48"/>
      <c r="T160" s="43" t="n">
        <f aca="false">IF($A8="","",IF(R8="","",R8-IF(S8="",0,S8)))</f>
        <v>486000</v>
      </c>
      <c r="U160" s="43" t="str">
        <f aca="false">IF($A8="","",IF(I8="","",I8-SUM(J8:P8)))</f>
        <v/>
      </c>
      <c r="V160" s="6" t="s">
        <v>4969</v>
      </c>
      <c r="W160" s="9" t="s">
        <v>767</v>
      </c>
      <c r="X160" s="9" t="s">
        <v>4970</v>
      </c>
      <c r="Y160" s="9" t="s">
        <v>4897</v>
      </c>
      <c r="Z160" s="9" t="s">
        <v>4898</v>
      </c>
      <c r="AA160" s="9" t="s">
        <v>4899</v>
      </c>
    </row>
    <row r="161" customFormat="false" ht="15" hidden="false" customHeight="true" outlineLevel="0" collapsed="false">
      <c r="A161" s="6" t="s">
        <v>1282</v>
      </c>
      <c r="B161" s="6" t="s">
        <v>465</v>
      </c>
      <c r="C161" s="6" t="s">
        <v>469</v>
      </c>
      <c r="D161" s="6" t="n">
        <v>6</v>
      </c>
      <c r="E161" s="9" t="s">
        <v>4968</v>
      </c>
      <c r="F161" s="42" t="n">
        <v>2000</v>
      </c>
      <c r="G161" s="48"/>
      <c r="H161" s="48"/>
      <c r="I161" s="48"/>
      <c r="J161" s="48"/>
      <c r="K161" s="48"/>
      <c r="L161" s="48"/>
      <c r="M161" s="48"/>
      <c r="N161" s="48"/>
      <c r="O161" s="48"/>
      <c r="P161" s="48"/>
      <c r="Q161" s="43" t="str">
        <f aca="false">IF($A9="","",IF(OR(F9="",I9=""),"",F9-I9))</f>
        <v/>
      </c>
      <c r="R161" s="43" t="n">
        <f aca="false">IF($A9="","",IF(Q9="","",Q9+IF(O9="",0,O9)))</f>
        <v>9000</v>
      </c>
      <c r="S161" s="48"/>
      <c r="T161" s="43" t="n">
        <f aca="false">IF($A9="","",IF(R9="","",R9-IF(S9="",0,S9)))</f>
        <v>39000</v>
      </c>
      <c r="U161" s="43" t="str">
        <f aca="false">IF($A9="","",IF(I9="","",I9-SUM(J9:P9)))</f>
        <v/>
      </c>
      <c r="V161" s="6" t="s">
        <v>4969</v>
      </c>
      <c r="W161" s="9" t="s">
        <v>767</v>
      </c>
      <c r="X161" s="6" t="s">
        <v>4971</v>
      </c>
      <c r="Y161" s="6" t="s">
        <v>4920</v>
      </c>
      <c r="Z161" s="9" t="s">
        <v>4939</v>
      </c>
      <c r="AA161" s="9" t="s">
        <v>4899</v>
      </c>
    </row>
    <row r="162" customFormat="false" ht="15" hidden="false" customHeight="true" outlineLevel="0" collapsed="false">
      <c r="A162" s="6" t="s">
        <v>1286</v>
      </c>
      <c r="B162" s="6" t="s">
        <v>465</v>
      </c>
      <c r="C162" s="6" t="s">
        <v>469</v>
      </c>
      <c r="D162" s="6" t="n">
        <v>6</v>
      </c>
      <c r="E162" s="9" t="s">
        <v>4968</v>
      </c>
      <c r="F162" s="42" t="n">
        <v>325000</v>
      </c>
      <c r="G162" s="48"/>
      <c r="H162" s="48"/>
      <c r="I162" s="48"/>
      <c r="J162" s="48"/>
      <c r="K162" s="48"/>
      <c r="L162" s="48"/>
      <c r="M162" s="48"/>
      <c r="N162" s="48"/>
      <c r="O162" s="48"/>
      <c r="P162" s="48"/>
      <c r="Q162" s="43" t="str">
        <f aca="false">IF($A10="","",IF(OR(F10="",I10=""),"",F10-I10))</f>
        <v/>
      </c>
      <c r="R162" s="43" t="n">
        <f aca="false">IF($A10="","",IF(Q10="","",Q10+IF(O10="",0,O10)))</f>
        <v>217000</v>
      </c>
      <c r="S162" s="48"/>
      <c r="T162" s="43" t="n">
        <f aca="false">IF($A10="","",IF(R10="","",R10-IF(S10="",0,S10)))</f>
        <v>321000</v>
      </c>
      <c r="U162" s="43" t="str">
        <f aca="false">IF($A10="","",IF(I10="","",I10-SUM(J10:P10)))</f>
        <v/>
      </c>
      <c r="V162" s="6" t="s">
        <v>4969</v>
      </c>
      <c r="W162" s="9" t="s">
        <v>767</v>
      </c>
      <c r="X162" s="9" t="s">
        <v>4970</v>
      </c>
      <c r="Y162" s="9" t="s">
        <v>4897</v>
      </c>
      <c r="Z162" s="9" t="s">
        <v>4898</v>
      </c>
      <c r="AA162" s="9" t="s">
        <v>4899</v>
      </c>
    </row>
    <row r="163" customFormat="false" ht="15" hidden="false" customHeight="true" outlineLevel="0" collapsed="false">
      <c r="A163" s="6" t="s">
        <v>1290</v>
      </c>
      <c r="B163" s="6" t="s">
        <v>465</v>
      </c>
      <c r="C163" s="6" t="s">
        <v>469</v>
      </c>
      <c r="D163" s="6" t="n">
        <v>6</v>
      </c>
      <c r="E163" s="9" t="s">
        <v>4968</v>
      </c>
      <c r="F163" s="42" t="n">
        <v>142000</v>
      </c>
      <c r="G163" s="48"/>
      <c r="H163" s="48"/>
      <c r="I163" s="48"/>
      <c r="J163" s="48"/>
      <c r="K163" s="48"/>
      <c r="L163" s="48"/>
      <c r="M163" s="48"/>
      <c r="N163" s="48"/>
      <c r="O163" s="48"/>
      <c r="P163" s="48"/>
      <c r="Q163" s="43" t="str">
        <f aca="false">IF($A11="","",IF(OR(F11="",I11=""),"",F11-I11))</f>
        <v/>
      </c>
      <c r="R163" s="43" t="n">
        <f aca="false">IF($A11="","",IF(Q11="","",Q11+IF(O11="",0,O11)))</f>
        <v>54000</v>
      </c>
      <c r="S163" s="48"/>
      <c r="T163" s="43" t="n">
        <f aca="false">IF($A11="","",IF(R11="","",R11-IF(S11="",0,S11)))</f>
        <v>81000</v>
      </c>
      <c r="U163" s="43" t="str">
        <f aca="false">IF($A11="","",IF(I11="","",I11-SUM(J11:P11)))</f>
        <v/>
      </c>
      <c r="V163" s="6" t="s">
        <v>4969</v>
      </c>
      <c r="W163" s="9" t="s">
        <v>767</v>
      </c>
      <c r="X163" s="9" t="s">
        <v>4970</v>
      </c>
      <c r="Y163" s="9" t="s">
        <v>4897</v>
      </c>
      <c r="Z163" s="9" t="s">
        <v>4898</v>
      </c>
      <c r="AA163" s="9" t="s">
        <v>4899</v>
      </c>
    </row>
    <row r="164" customFormat="false" ht="15" hidden="false" customHeight="true" outlineLevel="0" collapsed="false">
      <c r="A164" s="6" t="s">
        <v>1293</v>
      </c>
      <c r="B164" s="6" t="s">
        <v>465</v>
      </c>
      <c r="C164" s="6" t="s">
        <v>469</v>
      </c>
      <c r="D164" s="6" t="n">
        <v>6</v>
      </c>
      <c r="E164" s="9" t="s">
        <v>4968</v>
      </c>
      <c r="F164" s="42" t="n">
        <v>135000</v>
      </c>
      <c r="G164" s="48"/>
      <c r="H164" s="48"/>
      <c r="I164" s="48"/>
      <c r="J164" s="48"/>
      <c r="K164" s="48"/>
      <c r="L164" s="48"/>
      <c r="M164" s="48"/>
      <c r="N164" s="48"/>
      <c r="O164" s="48"/>
      <c r="P164" s="48"/>
      <c r="Q164" s="43" t="str">
        <f aca="false">IF($A12="","",IF(OR(F12="",I12=""),"",F12-I12))</f>
        <v/>
      </c>
      <c r="R164" s="43" t="n">
        <f aca="false">IF($A12="","",IF(Q12="","",Q12+IF(O12="",0,O12)))</f>
        <v>99000</v>
      </c>
      <c r="S164" s="48"/>
      <c r="T164" s="43" t="n">
        <f aca="false">IF($A12="","",IF(R12="","",R12-IF(S12="",0,S12)))</f>
        <v>163000</v>
      </c>
      <c r="U164" s="43" t="str">
        <f aca="false">IF($A12="","",IF(I12="","",I12-SUM(J12:P12)))</f>
        <v/>
      </c>
      <c r="V164" s="6" t="s">
        <v>4969</v>
      </c>
      <c r="W164" s="9" t="s">
        <v>767</v>
      </c>
      <c r="X164" s="9" t="s">
        <v>4970</v>
      </c>
      <c r="Y164" s="9" t="s">
        <v>4897</v>
      </c>
      <c r="Z164" s="9" t="s">
        <v>4898</v>
      </c>
      <c r="AA164" s="9" t="s">
        <v>4899</v>
      </c>
    </row>
    <row r="165" customFormat="false" ht="15" hidden="false" customHeight="true" outlineLevel="0" collapsed="false">
      <c r="A165" s="6" t="s">
        <v>1297</v>
      </c>
      <c r="B165" s="6" t="s">
        <v>465</v>
      </c>
      <c r="C165" s="6" t="s">
        <v>469</v>
      </c>
      <c r="D165" s="6" t="n">
        <v>6</v>
      </c>
      <c r="E165" s="9" t="s">
        <v>4968</v>
      </c>
      <c r="F165" s="42" t="n">
        <v>91000</v>
      </c>
      <c r="G165" s="48"/>
      <c r="H165" s="48"/>
      <c r="I165" s="48"/>
      <c r="J165" s="48"/>
      <c r="K165" s="48"/>
      <c r="L165" s="48"/>
      <c r="M165" s="48"/>
      <c r="N165" s="48"/>
      <c r="O165" s="48"/>
      <c r="P165" s="48"/>
      <c r="Q165" s="43" t="str">
        <f aca="false">IF($A13="","",IF(OR(F13="",I13=""),"",F13-I13))</f>
        <v/>
      </c>
      <c r="R165" s="43" t="n">
        <f aca="false">IF($A13="","",IF(Q13="","",Q13+IF(O13="",0,O13)))</f>
        <v>202000</v>
      </c>
      <c r="S165" s="48"/>
      <c r="T165" s="43" t="n">
        <f aca="false">IF($A13="","",IF(R13="","",R13-IF(S13="",0,S13)))</f>
        <v>265000</v>
      </c>
      <c r="U165" s="43" t="str">
        <f aca="false">IF($A13="","",IF(I13="","",I13-SUM(J13:P13)))</f>
        <v/>
      </c>
      <c r="V165" s="6" t="s">
        <v>4969</v>
      </c>
      <c r="W165" s="9" t="s">
        <v>767</v>
      </c>
      <c r="X165" s="9" t="s">
        <v>4970</v>
      </c>
      <c r="Y165" s="9" t="s">
        <v>4897</v>
      </c>
      <c r="Z165" s="9" t="s">
        <v>4898</v>
      </c>
      <c r="AA165" s="9" t="s">
        <v>4899</v>
      </c>
    </row>
    <row r="166" customFormat="false" ht="15" hidden="false" customHeight="true" outlineLevel="0" collapsed="false">
      <c r="A166" s="6" t="s">
        <v>1300</v>
      </c>
      <c r="B166" s="6" t="s">
        <v>465</v>
      </c>
      <c r="C166" s="6" t="s">
        <v>469</v>
      </c>
      <c r="D166" s="6" t="n">
        <v>6</v>
      </c>
      <c r="E166" s="9" t="s">
        <v>4968</v>
      </c>
      <c r="F166" s="42" t="n">
        <v>274000</v>
      </c>
      <c r="G166" s="48"/>
      <c r="H166" s="48"/>
      <c r="I166" s="48"/>
      <c r="J166" s="48"/>
      <c r="K166" s="48"/>
      <c r="L166" s="48"/>
      <c r="M166" s="48"/>
      <c r="N166" s="48"/>
      <c r="O166" s="48"/>
      <c r="P166" s="48"/>
      <c r="Q166" s="43" t="str">
        <f aca="false">IF($A14="","",IF(OR(F14="",I14=""),"",F14-I14))</f>
        <v/>
      </c>
      <c r="R166" s="43" t="n">
        <f aca="false">IF($A14="","",IF(Q14="","",Q14+IF(O14="",0,O14)))</f>
        <v>58000</v>
      </c>
      <c r="S166" s="48"/>
      <c r="T166" s="43" t="n">
        <f aca="false">IF($A14="","",IF(R14="","",R14-IF(S14="",0,S14)))</f>
        <v>205000</v>
      </c>
      <c r="U166" s="43" t="str">
        <f aca="false">IF($A14="","",IF(I14="","",I14-SUM(J14:P14)))</f>
        <v/>
      </c>
      <c r="V166" s="6" t="s">
        <v>4969</v>
      </c>
      <c r="W166" s="9" t="s">
        <v>767</v>
      </c>
      <c r="X166" s="9" t="s">
        <v>4970</v>
      </c>
      <c r="Y166" s="9" t="s">
        <v>4897</v>
      </c>
      <c r="Z166" s="9" t="s">
        <v>4898</v>
      </c>
      <c r="AA166" s="9" t="s">
        <v>4899</v>
      </c>
    </row>
    <row r="167" customFormat="false" ht="15" hidden="false" customHeight="true" outlineLevel="0" collapsed="false">
      <c r="A167" s="6" t="s">
        <v>1303</v>
      </c>
      <c r="B167" s="6" t="s">
        <v>465</v>
      </c>
      <c r="C167" s="6" t="s">
        <v>469</v>
      </c>
      <c r="D167" s="6" t="n">
        <v>6</v>
      </c>
      <c r="E167" s="9" t="s">
        <v>4968</v>
      </c>
      <c r="F167" s="42" t="n">
        <v>353000</v>
      </c>
      <c r="G167" s="48"/>
      <c r="H167" s="48"/>
      <c r="I167" s="48"/>
      <c r="J167" s="48"/>
      <c r="K167" s="48"/>
      <c r="L167" s="48"/>
      <c r="M167" s="48"/>
      <c r="N167" s="48"/>
      <c r="O167" s="48"/>
      <c r="P167" s="48"/>
      <c r="Q167" s="43" t="str">
        <f aca="false">IF($A15="","",IF(OR(F15="",I15=""),"",F15-I15))</f>
        <v/>
      </c>
      <c r="R167" s="43" t="n">
        <f aca="false">IF($A15="","",IF(Q15="","",Q15+IF(O15="",0,O15)))</f>
        <v>168000</v>
      </c>
      <c r="S167" s="48"/>
      <c r="T167" s="43" t="n">
        <f aca="false">IF($A15="","",IF(R15="","",R15-IF(S15="",0,S15)))</f>
        <v>190000</v>
      </c>
      <c r="U167" s="43" t="str">
        <f aca="false">IF($A15="","",IF(I15="","",I15-SUM(J15:P15)))</f>
        <v/>
      </c>
      <c r="V167" s="6" t="s">
        <v>4969</v>
      </c>
      <c r="W167" s="9" t="s">
        <v>767</v>
      </c>
      <c r="X167" s="9" t="s">
        <v>4970</v>
      </c>
      <c r="Y167" s="9" t="s">
        <v>4897</v>
      </c>
      <c r="Z167" s="9" t="s">
        <v>4898</v>
      </c>
      <c r="AA167" s="9" t="s">
        <v>4899</v>
      </c>
    </row>
    <row r="168" customFormat="false" ht="15" hidden="false" customHeight="true" outlineLevel="0" collapsed="false">
      <c r="A168" s="6" t="s">
        <v>1306</v>
      </c>
      <c r="B168" s="6" t="s">
        <v>465</v>
      </c>
      <c r="C168" s="6" t="s">
        <v>469</v>
      </c>
      <c r="D168" s="6" t="n">
        <v>6</v>
      </c>
      <c r="E168" s="9" t="s">
        <v>4968</v>
      </c>
      <c r="F168" s="42" t="n">
        <v>227000</v>
      </c>
      <c r="G168" s="48"/>
      <c r="H168" s="48"/>
      <c r="I168" s="48"/>
      <c r="J168" s="48"/>
      <c r="K168" s="48"/>
      <c r="L168" s="48"/>
      <c r="M168" s="48"/>
      <c r="N168" s="48"/>
      <c r="O168" s="48"/>
      <c r="P168" s="48"/>
      <c r="Q168" s="43" t="str">
        <f aca="false">IF($A16="","",IF(OR(F16="",I16=""),"",F16-I16))</f>
        <v/>
      </c>
      <c r="R168" s="43" t="str">
        <f aca="false">IF($A16="","",IF(Q16="","",Q16+IF(O16="",0,O16)))</f>
        <v/>
      </c>
      <c r="S168" s="48"/>
      <c r="T168" s="43" t="str">
        <f aca="false">IF($A16="","",IF(R16="","",R16-IF(S16="",0,S16)))</f>
        <v/>
      </c>
      <c r="U168" s="43" t="str">
        <f aca="false">IF($A16="","",IF(I16="","",I16-SUM(J16:P16)))</f>
        <v/>
      </c>
      <c r="V168" s="6" t="s">
        <v>4969</v>
      </c>
      <c r="W168" s="9" t="s">
        <v>767</v>
      </c>
      <c r="X168" s="9" t="s">
        <v>4970</v>
      </c>
      <c r="Y168" s="9" t="s">
        <v>4897</v>
      </c>
      <c r="Z168" s="9" t="s">
        <v>4898</v>
      </c>
      <c r="AA168" s="9" t="s">
        <v>4899</v>
      </c>
    </row>
    <row r="169" customFormat="false" ht="15" hidden="false" customHeight="true" outlineLevel="0" collapsed="false">
      <c r="A169" s="6" t="s">
        <v>1310</v>
      </c>
      <c r="B169" s="6" t="s">
        <v>465</v>
      </c>
      <c r="C169" s="6" t="s">
        <v>469</v>
      </c>
      <c r="D169" s="6" t="n">
        <v>6</v>
      </c>
      <c r="E169" s="9" t="s">
        <v>4968</v>
      </c>
      <c r="F169" s="42" t="n">
        <v>380000</v>
      </c>
      <c r="G169" s="48"/>
      <c r="H169" s="48"/>
      <c r="I169" s="48"/>
      <c r="J169" s="48"/>
      <c r="K169" s="48"/>
      <c r="L169" s="48"/>
      <c r="M169" s="48"/>
      <c r="N169" s="48"/>
      <c r="O169" s="48"/>
      <c r="P169" s="48"/>
      <c r="Q169" s="43" t="str">
        <f aca="false">IF($A17="","",IF(OR(F17="",I17=""),"",F17-I17))</f>
        <v/>
      </c>
      <c r="R169" s="43" t="str">
        <f aca="false">IF($A17="","",IF(Q17="","",Q17+IF(O17="",0,O17)))</f>
        <v/>
      </c>
      <c r="S169" s="48"/>
      <c r="T169" s="43" t="str">
        <f aca="false">IF($A17="","",IF(R17="","",R17-IF(S17="",0,S17)))</f>
        <v/>
      </c>
      <c r="U169" s="43" t="str">
        <f aca="false">IF($A17="","",IF(I17="","",I17-SUM(J17:P17)))</f>
        <v/>
      </c>
      <c r="V169" s="6" t="s">
        <v>4969</v>
      </c>
      <c r="W169" s="9" t="s">
        <v>767</v>
      </c>
      <c r="X169" s="9" t="s">
        <v>4970</v>
      </c>
      <c r="Y169" s="9" t="s">
        <v>4897</v>
      </c>
      <c r="Z169" s="9" t="s">
        <v>4898</v>
      </c>
      <c r="AA169" s="9" t="s">
        <v>4899</v>
      </c>
    </row>
    <row r="170" customFormat="false" ht="15" hidden="false" customHeight="true" outlineLevel="0" collapsed="false">
      <c r="A170" s="6" t="s">
        <v>1314</v>
      </c>
      <c r="B170" s="6" t="s">
        <v>465</v>
      </c>
      <c r="C170" s="6" t="s">
        <v>469</v>
      </c>
      <c r="D170" s="6" t="n">
        <v>6</v>
      </c>
      <c r="E170" s="9" t="s">
        <v>4968</v>
      </c>
      <c r="F170" s="42" t="n">
        <v>10000</v>
      </c>
      <c r="G170" s="48"/>
      <c r="H170" s="48"/>
      <c r="I170" s="48"/>
      <c r="J170" s="48"/>
      <c r="K170" s="48"/>
      <c r="L170" s="48"/>
      <c r="M170" s="48"/>
      <c r="N170" s="48"/>
      <c r="O170" s="48"/>
      <c r="P170" s="48"/>
      <c r="Q170" s="43" t="str">
        <f aca="false">IF($A18="","",IF(OR(F18="",I18=""),"",F18-I18))</f>
        <v/>
      </c>
      <c r="R170" s="43" t="n">
        <f aca="false">IF($A18="","",IF(Q18="","",Q18+IF(O18="",0,O18)))</f>
        <v>259000</v>
      </c>
      <c r="S170" s="48"/>
      <c r="T170" s="43" t="n">
        <f aca="false">IF($A18="","",IF(R18="","",R18-IF(S18="",0,S18)))</f>
        <v>349000</v>
      </c>
      <c r="U170" s="43" t="str">
        <f aca="false">IF($A18="","",IF(I18="","",I18-SUM(J18:P18)))</f>
        <v/>
      </c>
      <c r="V170" s="6" t="s">
        <v>4969</v>
      </c>
      <c r="W170" s="9" t="s">
        <v>767</v>
      </c>
      <c r="X170" s="6" t="s">
        <v>4972</v>
      </c>
      <c r="Y170" s="9" t="s">
        <v>4897</v>
      </c>
      <c r="Z170" s="9" t="s">
        <v>4898</v>
      </c>
      <c r="AA170" s="9" t="s">
        <v>4899</v>
      </c>
    </row>
    <row r="171" customFormat="false" ht="15" hidden="false" customHeight="true" outlineLevel="0" collapsed="false">
      <c r="A171" s="6" t="s">
        <v>1318</v>
      </c>
      <c r="B171" s="6" t="s">
        <v>465</v>
      </c>
      <c r="C171" s="6" t="s">
        <v>469</v>
      </c>
      <c r="D171" s="6" t="n">
        <v>6</v>
      </c>
      <c r="E171" s="9" t="s">
        <v>4973</v>
      </c>
      <c r="F171" s="1" t="n">
        <v>182000</v>
      </c>
      <c r="Q171" s="1" t="str">
        <f aca="false">IF($A1274="","",IF(OR(F1274="",I1274=""),"",F1274-I1274))</f>
        <v/>
      </c>
      <c r="R171" s="1" t="str">
        <f aca="false">IF($A1274="","",IF(Q1274="","",Q1274+IF(O1274="",0,O1274)))</f>
        <v/>
      </c>
      <c r="T171" s="1" t="n">
        <f aca="false">IF($A1274="","",IF(R1274="","",R1274-IF(S1274="",0,S1274)))</f>
        <v>253359</v>
      </c>
      <c r="U171" s="1" t="str">
        <f aca="false">IF($A1274="","",IF(I1274="","",I1274-SUM(J1274:P1274)))</f>
        <v/>
      </c>
      <c r="V171" s="6" t="s">
        <v>4974</v>
      </c>
      <c r="W171" s="9" t="s">
        <v>774</v>
      </c>
      <c r="X171" s="6" t="s">
        <v>4975</v>
      </c>
      <c r="Y171" s="6" t="s">
        <v>4920</v>
      </c>
      <c r="Z171" s="9" t="s">
        <v>4939</v>
      </c>
      <c r="AA171" s="9" t="s">
        <v>4899</v>
      </c>
    </row>
    <row r="172" customFormat="false" ht="15" hidden="false" customHeight="true" outlineLevel="0" collapsed="false">
      <c r="A172" s="6" t="s">
        <v>1321</v>
      </c>
      <c r="B172" s="6" t="s">
        <v>471</v>
      </c>
      <c r="C172" s="6" t="s">
        <v>476</v>
      </c>
      <c r="D172" s="6" t="n">
        <v>6</v>
      </c>
      <c r="E172" s="9" t="s">
        <v>4894</v>
      </c>
      <c r="F172" s="42" t="n">
        <v>14926240</v>
      </c>
      <c r="G172" s="42" t="n">
        <v>14911595</v>
      </c>
      <c r="H172" s="42" t="n">
        <v>14645</v>
      </c>
      <c r="I172" s="42" t="n">
        <v>5794624</v>
      </c>
      <c r="J172" s="42" t="n">
        <v>1102483</v>
      </c>
      <c r="K172" s="42" t="n">
        <v>1067171</v>
      </c>
      <c r="L172" s="42" t="n">
        <v>1294234</v>
      </c>
      <c r="M172" s="42" t="n">
        <v>36529</v>
      </c>
      <c r="N172" s="42" t="n">
        <v>298109</v>
      </c>
      <c r="O172" s="42" t="n">
        <v>1917809</v>
      </c>
      <c r="P172" s="42" t="n">
        <v>78285</v>
      </c>
      <c r="Q172" s="43" t="n">
        <f aca="false">IF($A115="","",IF(OR(F115="",I115=""),"",F115-I115))</f>
        <v>229000</v>
      </c>
      <c r="R172" s="43" t="n">
        <f aca="false">IF($A115="","",IF(Q115="","",Q115+IF(O115="",0,O115)))</f>
        <v>398000</v>
      </c>
      <c r="S172" s="42" t="n">
        <v>1364000</v>
      </c>
      <c r="T172" s="43" t="str">
        <f aca="false">IF($A115="","",IF(R115="","",R115-IF(S115="",0,S115)))</f>
        <v/>
      </c>
      <c r="U172" s="43" t="n">
        <f aca="false">IF($A115="","",IF(I115="","",I115-SUM(J115:P115)))</f>
        <v>2000</v>
      </c>
      <c r="V172" s="6" t="s">
        <v>4976</v>
      </c>
      <c r="W172" s="9" t="s">
        <v>767</v>
      </c>
      <c r="X172" s="9" t="s">
        <v>4977</v>
      </c>
      <c r="Y172" s="9" t="s">
        <v>4897</v>
      </c>
      <c r="Z172" s="9" t="s">
        <v>4898</v>
      </c>
      <c r="AA172" s="9" t="s">
        <v>4899</v>
      </c>
    </row>
    <row r="173" customFormat="false" ht="15" hidden="false" customHeight="true" outlineLevel="0" collapsed="false">
      <c r="A173" s="6" t="s">
        <v>1325</v>
      </c>
      <c r="B173" s="6" t="s">
        <v>471</v>
      </c>
      <c r="C173" s="6" t="s">
        <v>476</v>
      </c>
      <c r="D173" s="6" t="n">
        <v>6</v>
      </c>
      <c r="E173" s="9" t="s">
        <v>4968</v>
      </c>
      <c r="F173" s="42" t="n">
        <v>450251</v>
      </c>
      <c r="G173" s="48"/>
      <c r="H173" s="48"/>
      <c r="I173" s="48"/>
      <c r="J173" s="48"/>
      <c r="K173" s="48"/>
      <c r="L173" s="48"/>
      <c r="M173" s="48"/>
      <c r="N173" s="48"/>
      <c r="O173" s="48"/>
      <c r="P173" s="48"/>
      <c r="Q173" s="43" t="str">
        <f aca="false">IF($A55="","",IF(OR(F55="",I55=""),"",F55-I55))</f>
        <v/>
      </c>
      <c r="R173" s="43" t="str">
        <f aca="false">IF($A55="","",IF(Q55="","",Q55+IF(O55="",0,O55)))</f>
        <v/>
      </c>
      <c r="S173" s="48"/>
      <c r="T173" s="43" t="str">
        <f aca="false">IF($A55="","",IF(R55="","",R55-IF(S55="",0,S55)))</f>
        <v/>
      </c>
      <c r="U173" s="43" t="str">
        <f aca="false">IF($A55="","",IF(I55="","",I55-SUM(J55:P55)))</f>
        <v/>
      </c>
      <c r="V173" s="6" t="s">
        <v>4978</v>
      </c>
      <c r="W173" s="9" t="s">
        <v>774</v>
      </c>
      <c r="X173" s="9" t="s">
        <v>4979</v>
      </c>
      <c r="Y173" s="9" t="s">
        <v>4897</v>
      </c>
      <c r="Z173" s="9" t="s">
        <v>4898</v>
      </c>
      <c r="AA173" s="9" t="s">
        <v>4899</v>
      </c>
    </row>
    <row r="174" customFormat="false" ht="15" hidden="false" customHeight="true" outlineLevel="0" collapsed="false">
      <c r="A174" s="6" t="s">
        <v>1328</v>
      </c>
      <c r="B174" s="6" t="s">
        <v>471</v>
      </c>
      <c r="C174" s="6" t="s">
        <v>476</v>
      </c>
      <c r="D174" s="6" t="n">
        <v>6</v>
      </c>
      <c r="E174" s="9" t="s">
        <v>4968</v>
      </c>
      <c r="F174" s="42" t="n">
        <v>96425</v>
      </c>
      <c r="G174" s="48"/>
      <c r="H174" s="48"/>
      <c r="I174" s="48"/>
      <c r="J174" s="48"/>
      <c r="K174" s="48"/>
      <c r="L174" s="48"/>
      <c r="M174" s="48"/>
      <c r="N174" s="48"/>
      <c r="O174" s="48"/>
      <c r="P174" s="48"/>
      <c r="Q174" s="43" t="str">
        <f aca="false">IF($A56="","",IF(OR(F56="",I56=""),"",F56-I56))</f>
        <v/>
      </c>
      <c r="R174" s="43" t="str">
        <f aca="false">IF($A56="","",IF(Q56="","",Q56+IF(O56="",0,O56)))</f>
        <v/>
      </c>
      <c r="S174" s="48"/>
      <c r="T174" s="43" t="str">
        <f aca="false">IF($A56="","",IF(R56="","",R56-IF(S56="",0,S56)))</f>
        <v/>
      </c>
      <c r="U174" s="43" t="str">
        <f aca="false">IF($A56="","",IF(I56="","",I56-SUM(J56:P56)))</f>
        <v/>
      </c>
      <c r="V174" s="6" t="s">
        <v>4978</v>
      </c>
      <c r="W174" s="9" t="s">
        <v>774</v>
      </c>
      <c r="X174" s="9" t="s">
        <v>4979</v>
      </c>
      <c r="Y174" s="9" t="s">
        <v>4897</v>
      </c>
      <c r="Z174" s="9" t="s">
        <v>4898</v>
      </c>
      <c r="AA174" s="9" t="s">
        <v>4899</v>
      </c>
    </row>
    <row r="175" customFormat="false" ht="15" hidden="false" customHeight="true" outlineLevel="0" collapsed="false">
      <c r="A175" s="6" t="s">
        <v>1330</v>
      </c>
      <c r="B175" s="6" t="s">
        <v>471</v>
      </c>
      <c r="C175" s="6" t="s">
        <v>476</v>
      </c>
      <c r="D175" s="6" t="n">
        <v>6</v>
      </c>
      <c r="E175" s="9" t="s">
        <v>4968</v>
      </c>
      <c r="F175" s="42" t="n">
        <v>281619</v>
      </c>
      <c r="G175" s="48"/>
      <c r="H175" s="48"/>
      <c r="I175" s="48"/>
      <c r="J175" s="48"/>
      <c r="K175" s="48"/>
      <c r="L175" s="48"/>
      <c r="M175" s="48"/>
      <c r="N175" s="48"/>
      <c r="O175" s="48"/>
      <c r="P175" s="48"/>
      <c r="Q175" s="43" t="str">
        <f aca="false">IF($A57="","",IF(OR(F57="",I57=""),"",F57-I57))</f>
        <v/>
      </c>
      <c r="R175" s="43" t="str">
        <f aca="false">IF($A57="","",IF(Q57="","",Q57+IF(O57="",0,O57)))</f>
        <v/>
      </c>
      <c r="S175" s="48"/>
      <c r="T175" s="43" t="str">
        <f aca="false">IF($A57="","",IF(R57="","",R57-IF(S57="",0,S57)))</f>
        <v/>
      </c>
      <c r="U175" s="43" t="str">
        <f aca="false">IF($A57="","",IF(I57="","",I57-SUM(J57:P57)))</f>
        <v/>
      </c>
      <c r="V175" s="6" t="s">
        <v>4978</v>
      </c>
      <c r="W175" s="9" t="s">
        <v>774</v>
      </c>
      <c r="X175" s="9" t="s">
        <v>4979</v>
      </c>
      <c r="Y175" s="9" t="s">
        <v>4897</v>
      </c>
      <c r="Z175" s="9" t="s">
        <v>4898</v>
      </c>
      <c r="AA175" s="9" t="s">
        <v>4899</v>
      </c>
    </row>
    <row r="176" customFormat="false" ht="15" hidden="false" customHeight="true" outlineLevel="0" collapsed="false">
      <c r="A176" s="6" t="s">
        <v>1333</v>
      </c>
      <c r="B176" s="6" t="s">
        <v>471</v>
      </c>
      <c r="C176" s="6" t="s">
        <v>476</v>
      </c>
      <c r="D176" s="6" t="n">
        <v>6</v>
      </c>
      <c r="E176" s="9" t="s">
        <v>4908</v>
      </c>
      <c r="F176" s="48" t="n">
        <v>309000</v>
      </c>
      <c r="G176" s="48"/>
      <c r="H176" s="48"/>
      <c r="I176" s="48"/>
      <c r="J176" s="48"/>
      <c r="K176" s="48"/>
      <c r="L176" s="48"/>
      <c r="M176" s="48"/>
      <c r="N176" s="48"/>
      <c r="O176" s="48"/>
      <c r="P176" s="48"/>
      <c r="Q176" s="43" t="str">
        <f aca="false">IF($A58="","",IF(OR(F58="",I58=""),"",F58-I58))</f>
        <v/>
      </c>
      <c r="R176" s="43" t="str">
        <f aca="false">IF($A58="","",IF(Q58="","",Q58+IF(O58="",0,O58)))</f>
        <v/>
      </c>
      <c r="S176" s="48"/>
      <c r="T176" s="43" t="str">
        <f aca="false">IF($A58="","",IF(R58="","",R58-IF(S58="",0,S58)))</f>
        <v/>
      </c>
      <c r="U176" s="43" t="str">
        <f aca="false">IF($A58="","",IF(I58="","",I58-SUM(J58:P58)))</f>
        <v/>
      </c>
      <c r="V176" s="6" t="s">
        <v>4978</v>
      </c>
      <c r="W176" s="9" t="s">
        <v>774</v>
      </c>
      <c r="X176" s="9" t="s">
        <v>4980</v>
      </c>
      <c r="Y176" s="6" t="s">
        <v>4920</v>
      </c>
      <c r="Z176" s="9" t="s">
        <v>4981</v>
      </c>
      <c r="AA176" s="9" t="s">
        <v>4899</v>
      </c>
    </row>
    <row r="177" customFormat="false" ht="15" hidden="false" customHeight="true" outlineLevel="0" collapsed="false">
      <c r="A177" s="6" t="s">
        <v>1336</v>
      </c>
      <c r="B177" s="6" t="s">
        <v>471</v>
      </c>
      <c r="C177" s="6" t="s">
        <v>476</v>
      </c>
      <c r="D177" s="6" t="n">
        <v>6</v>
      </c>
      <c r="E177" s="9" t="s">
        <v>4968</v>
      </c>
      <c r="F177" s="42" t="n">
        <v>136850</v>
      </c>
      <c r="G177" s="48"/>
      <c r="H177" s="48"/>
      <c r="I177" s="48"/>
      <c r="J177" s="48"/>
      <c r="K177" s="48"/>
      <c r="L177" s="48"/>
      <c r="M177" s="48"/>
      <c r="N177" s="48"/>
      <c r="O177" s="48"/>
      <c r="P177" s="48"/>
      <c r="Q177" s="43" t="str">
        <f aca="false">IF($A59="","",IF(OR(F59="",I59=""),"",F59-I59))</f>
        <v/>
      </c>
      <c r="R177" s="43" t="str">
        <f aca="false">IF($A59="","",IF(Q59="","",Q59+IF(O59="",0,O59)))</f>
        <v/>
      </c>
      <c r="S177" s="48"/>
      <c r="T177" s="43" t="str">
        <f aca="false">IF($A59="","",IF(R59="","",R59-IF(S59="",0,S59)))</f>
        <v/>
      </c>
      <c r="U177" s="43" t="str">
        <f aca="false">IF($A59="","",IF(I59="","",I59-SUM(J59:P59)))</f>
        <v/>
      </c>
      <c r="V177" s="6" t="s">
        <v>4978</v>
      </c>
      <c r="W177" s="9" t="s">
        <v>774</v>
      </c>
      <c r="X177" s="9" t="s">
        <v>4979</v>
      </c>
      <c r="Y177" s="9" t="s">
        <v>4897</v>
      </c>
      <c r="Z177" s="9" t="s">
        <v>4898</v>
      </c>
      <c r="AA177" s="9" t="s">
        <v>4899</v>
      </c>
    </row>
    <row r="178" customFormat="false" ht="15" hidden="false" customHeight="true" outlineLevel="0" collapsed="false">
      <c r="A178" s="6" t="s">
        <v>1339</v>
      </c>
      <c r="B178" s="6" t="s">
        <v>471</v>
      </c>
      <c r="C178" s="6" t="s">
        <v>476</v>
      </c>
      <c r="D178" s="6" t="n">
        <v>6</v>
      </c>
      <c r="E178" s="9" t="s">
        <v>4968</v>
      </c>
      <c r="F178" s="42" t="n">
        <v>76886</v>
      </c>
      <c r="G178" s="48"/>
      <c r="H178" s="48"/>
      <c r="I178" s="48"/>
      <c r="J178" s="48"/>
      <c r="K178" s="48"/>
      <c r="L178" s="48"/>
      <c r="M178" s="48"/>
      <c r="N178" s="48"/>
      <c r="O178" s="48"/>
      <c r="P178" s="48"/>
      <c r="Q178" s="43" t="str">
        <f aca="false">IF($A60="","",IF(OR(F60="",I60=""),"",F60-I60))</f>
        <v/>
      </c>
      <c r="R178" s="43" t="str">
        <f aca="false">IF($A60="","",IF(Q60="","",Q60+IF(O60="",0,O60)))</f>
        <v/>
      </c>
      <c r="S178" s="48"/>
      <c r="T178" s="43" t="str">
        <f aca="false">IF($A60="","",IF(R60="","",R60-IF(S60="",0,S60)))</f>
        <v/>
      </c>
      <c r="U178" s="43" t="str">
        <f aca="false">IF($A60="","",IF(I60="","",I60-SUM(J60:P60)))</f>
        <v/>
      </c>
      <c r="V178" s="6" t="s">
        <v>4978</v>
      </c>
      <c r="W178" s="9" t="s">
        <v>774</v>
      </c>
      <c r="X178" s="9" t="s">
        <v>4979</v>
      </c>
      <c r="Y178" s="9" t="s">
        <v>4897</v>
      </c>
      <c r="Z178" s="9" t="s">
        <v>4898</v>
      </c>
      <c r="AA178" s="9" t="s">
        <v>4899</v>
      </c>
    </row>
    <row r="179" customFormat="false" ht="15" hidden="false" customHeight="true" outlineLevel="0" collapsed="false">
      <c r="A179" s="6" t="s">
        <v>1342</v>
      </c>
      <c r="B179" s="6" t="s">
        <v>471</v>
      </c>
      <c r="C179" s="6" t="s">
        <v>476</v>
      </c>
      <c r="D179" s="6" t="n">
        <v>6</v>
      </c>
      <c r="E179" s="9" t="s">
        <v>4968</v>
      </c>
      <c r="F179" s="42" t="n">
        <v>105128</v>
      </c>
      <c r="G179" s="48"/>
      <c r="H179" s="48"/>
      <c r="I179" s="48"/>
      <c r="J179" s="48"/>
      <c r="K179" s="48"/>
      <c r="L179" s="48"/>
      <c r="M179" s="48"/>
      <c r="N179" s="48"/>
      <c r="O179" s="48"/>
      <c r="P179" s="48"/>
      <c r="Q179" s="43" t="str">
        <f aca="false">IF($A61="","",IF(OR(F61="",I61=""),"",F61-I61))</f>
        <v/>
      </c>
      <c r="R179" s="43" t="str">
        <f aca="false">IF($A61="","",IF(Q61="","",Q61+IF(O61="",0,O61)))</f>
        <v/>
      </c>
      <c r="S179" s="48"/>
      <c r="T179" s="43" t="str">
        <f aca="false">IF($A61="","",IF(R61="","",R61-IF(S61="",0,S61)))</f>
        <v/>
      </c>
      <c r="U179" s="43" t="str">
        <f aca="false">IF($A61="","",IF(I61="","",I61-SUM(J61:P61)))</f>
        <v/>
      </c>
      <c r="V179" s="6" t="s">
        <v>4978</v>
      </c>
      <c r="W179" s="9" t="s">
        <v>774</v>
      </c>
      <c r="X179" s="9" t="s">
        <v>4979</v>
      </c>
      <c r="Y179" s="9" t="s">
        <v>4897</v>
      </c>
      <c r="Z179" s="9" t="s">
        <v>4898</v>
      </c>
      <c r="AA179" s="9" t="s">
        <v>4899</v>
      </c>
    </row>
    <row r="180" customFormat="false" ht="15" hidden="false" customHeight="true" outlineLevel="0" collapsed="false">
      <c r="A180" s="6" t="s">
        <v>1345</v>
      </c>
      <c r="B180" s="6" t="s">
        <v>471</v>
      </c>
      <c r="C180" s="6" t="s">
        <v>476</v>
      </c>
      <c r="D180" s="6" t="n">
        <v>6</v>
      </c>
      <c r="E180" s="9" t="s">
        <v>4908</v>
      </c>
      <c r="F180" s="48" t="n">
        <v>17000</v>
      </c>
      <c r="G180" s="48"/>
      <c r="H180" s="48"/>
      <c r="I180" s="48"/>
      <c r="J180" s="48"/>
      <c r="K180" s="48"/>
      <c r="L180" s="48"/>
      <c r="M180" s="48"/>
      <c r="N180" s="48"/>
      <c r="O180" s="48"/>
      <c r="P180" s="48"/>
      <c r="Q180" s="43" t="str">
        <f aca="false">IF($A62="","",IF(OR(F62="",I62=""),"",F62-I62))</f>
        <v/>
      </c>
      <c r="R180" s="43" t="str">
        <f aca="false">IF($A62="","",IF(Q62="","",Q62+IF(O62="",0,O62)))</f>
        <v/>
      </c>
      <c r="S180" s="48"/>
      <c r="T180" s="43" t="str">
        <f aca="false">IF($A62="","",IF(R62="","",R62-IF(S62="",0,S62)))</f>
        <v/>
      </c>
      <c r="U180" s="43" t="str">
        <f aca="false">IF($A62="","",IF(I62="","",I62-SUM(J62:P62)))</f>
        <v/>
      </c>
      <c r="V180" s="6" t="s">
        <v>4978</v>
      </c>
      <c r="W180" s="9" t="s">
        <v>774</v>
      </c>
      <c r="X180" s="9" t="s">
        <v>4982</v>
      </c>
      <c r="Y180" s="9" t="s">
        <v>4897</v>
      </c>
      <c r="Z180" s="9" t="s">
        <v>4898</v>
      </c>
      <c r="AA180" s="9" t="s">
        <v>4899</v>
      </c>
    </row>
    <row r="181" customFormat="false" ht="15" hidden="false" customHeight="true" outlineLevel="0" collapsed="false">
      <c r="A181" s="6" t="s">
        <v>1348</v>
      </c>
      <c r="B181" s="6" t="s">
        <v>471</v>
      </c>
      <c r="C181" s="6" t="s">
        <v>476</v>
      </c>
      <c r="D181" s="6" t="n">
        <v>6</v>
      </c>
      <c r="E181" s="9" t="s">
        <v>4968</v>
      </c>
      <c r="F181" s="42" t="n">
        <v>73116</v>
      </c>
      <c r="G181" s="48"/>
      <c r="H181" s="48"/>
      <c r="I181" s="48"/>
      <c r="J181" s="48"/>
      <c r="K181" s="48"/>
      <c r="L181" s="48"/>
      <c r="M181" s="48"/>
      <c r="N181" s="48"/>
      <c r="O181" s="48"/>
      <c r="P181" s="48"/>
      <c r="Q181" s="43" t="str">
        <f aca="false">IF($A63="","",IF(OR(F63="",I63=""),"",F63-I63))</f>
        <v/>
      </c>
      <c r="R181" s="43" t="str">
        <f aca="false">IF($A63="","",IF(Q63="","",Q63+IF(O63="",0,O63)))</f>
        <v/>
      </c>
      <c r="S181" s="48"/>
      <c r="T181" s="43" t="str">
        <f aca="false">IF($A63="","",IF(R63="","",R63-IF(S63="",0,S63)))</f>
        <v/>
      </c>
      <c r="U181" s="43" t="str">
        <f aca="false">IF($A63="","",IF(I63="","",I63-SUM(J63:P63)))</f>
        <v/>
      </c>
      <c r="V181" s="6" t="s">
        <v>4978</v>
      </c>
      <c r="W181" s="9" t="s">
        <v>774</v>
      </c>
      <c r="X181" s="9" t="s">
        <v>4979</v>
      </c>
      <c r="Y181" s="9" t="s">
        <v>4897</v>
      </c>
      <c r="Z181" s="9" t="s">
        <v>4898</v>
      </c>
      <c r="AA181" s="9" t="s">
        <v>4899</v>
      </c>
    </row>
    <row r="182" customFormat="false" ht="15" hidden="false" customHeight="true" outlineLevel="0" collapsed="false">
      <c r="A182" s="6" t="s">
        <v>1351</v>
      </c>
      <c r="B182" s="6" t="s">
        <v>471</v>
      </c>
      <c r="C182" s="6" t="s">
        <v>476</v>
      </c>
      <c r="D182" s="6" t="n">
        <v>6</v>
      </c>
      <c r="E182" s="9" t="s">
        <v>4968</v>
      </c>
      <c r="F182" s="42" t="n">
        <v>42781</v>
      </c>
      <c r="G182" s="48"/>
      <c r="H182" s="48"/>
      <c r="I182" s="48"/>
      <c r="J182" s="48"/>
      <c r="K182" s="48"/>
      <c r="L182" s="48"/>
      <c r="M182" s="48"/>
      <c r="N182" s="48"/>
      <c r="O182" s="48"/>
      <c r="P182" s="48"/>
      <c r="Q182" s="43" t="str">
        <f aca="false">IF($A64="","",IF(OR(F64="",I64=""),"",F64-I64))</f>
        <v/>
      </c>
      <c r="R182" s="43" t="str">
        <f aca="false">IF($A64="","",IF(Q64="","",Q64+IF(O64="",0,O64)))</f>
        <v/>
      </c>
      <c r="S182" s="48"/>
      <c r="T182" s="43" t="str">
        <f aca="false">IF($A64="","",IF(R64="","",R64-IF(S64="",0,S64)))</f>
        <v/>
      </c>
      <c r="U182" s="43" t="str">
        <f aca="false">IF($A64="","",IF(I64="","",I64-SUM(J64:P64)))</f>
        <v/>
      </c>
      <c r="V182" s="6" t="s">
        <v>4978</v>
      </c>
      <c r="W182" s="9" t="s">
        <v>774</v>
      </c>
      <c r="X182" s="9" t="s">
        <v>4979</v>
      </c>
      <c r="Y182" s="9" t="s">
        <v>4897</v>
      </c>
      <c r="Z182" s="9" t="s">
        <v>4898</v>
      </c>
      <c r="AA182" s="9" t="s">
        <v>4899</v>
      </c>
    </row>
    <row r="183" customFormat="false" ht="15" hidden="false" customHeight="true" outlineLevel="0" collapsed="false">
      <c r="A183" s="6" t="s">
        <v>1353</v>
      </c>
      <c r="B183" s="6" t="s">
        <v>471</v>
      </c>
      <c r="C183" s="6" t="s">
        <v>476</v>
      </c>
      <c r="D183" s="6" t="n">
        <v>6</v>
      </c>
      <c r="E183" s="9" t="s">
        <v>4968</v>
      </c>
      <c r="F183" s="42" t="n">
        <v>93584</v>
      </c>
      <c r="G183" s="48"/>
      <c r="H183" s="48"/>
      <c r="I183" s="48"/>
      <c r="J183" s="48"/>
      <c r="K183" s="48"/>
      <c r="L183" s="48"/>
      <c r="M183" s="48"/>
      <c r="N183" s="48"/>
      <c r="O183" s="48"/>
      <c r="P183" s="48"/>
      <c r="Q183" s="43" t="str">
        <f aca="false">IF($A65="","",IF(OR(F65="",I65=""),"",F65-I65))</f>
        <v/>
      </c>
      <c r="R183" s="43" t="str">
        <f aca="false">IF($A65="","",IF(Q65="","",Q65+IF(O65="",0,O65)))</f>
        <v/>
      </c>
      <c r="S183" s="48"/>
      <c r="T183" s="43" t="str">
        <f aca="false">IF($A65="","",IF(R65="","",R65-IF(S65="",0,S65)))</f>
        <v/>
      </c>
      <c r="U183" s="43" t="str">
        <f aca="false">IF($A65="","",IF(I65="","",I65-SUM(J65:P65)))</f>
        <v/>
      </c>
      <c r="V183" s="6" t="s">
        <v>4978</v>
      </c>
      <c r="W183" s="9" t="s">
        <v>774</v>
      </c>
      <c r="X183" s="9" t="s">
        <v>4979</v>
      </c>
      <c r="Y183" s="9" t="s">
        <v>4897</v>
      </c>
      <c r="Z183" s="9" t="s">
        <v>4898</v>
      </c>
      <c r="AA183" s="9" t="s">
        <v>4899</v>
      </c>
    </row>
    <row r="184" customFormat="false" ht="15" hidden="false" customHeight="true" outlineLevel="0" collapsed="false">
      <c r="A184" s="6" t="s">
        <v>1355</v>
      </c>
      <c r="B184" s="6" t="s">
        <v>471</v>
      </c>
      <c r="C184" s="6" t="s">
        <v>476</v>
      </c>
      <c r="D184" s="6" t="n">
        <v>6</v>
      </c>
      <c r="E184" s="9" t="s">
        <v>4968</v>
      </c>
      <c r="F184" s="42" t="n">
        <v>34611</v>
      </c>
      <c r="G184" s="48"/>
      <c r="H184" s="48"/>
      <c r="I184" s="48"/>
      <c r="J184" s="48"/>
      <c r="K184" s="48"/>
      <c r="L184" s="48"/>
      <c r="M184" s="48"/>
      <c r="N184" s="48"/>
      <c r="O184" s="48"/>
      <c r="P184" s="48"/>
      <c r="Q184" s="43" t="str">
        <f aca="false">IF($A66="","",IF(OR(F66="",I66=""),"",F66-I66))</f>
        <v/>
      </c>
      <c r="R184" s="43" t="str">
        <f aca="false">IF($A66="","",IF(Q66="","",Q66+IF(O66="",0,O66)))</f>
        <v/>
      </c>
      <c r="S184" s="48"/>
      <c r="T184" s="43" t="n">
        <f aca="false">IF($A66="","",IF(R66="","",R66-IF(S66="",0,S66)))</f>
        <v>17499163</v>
      </c>
      <c r="U184" s="43" t="str">
        <f aca="false">IF($A66="","",IF(I66="","",I66-SUM(J66:P66)))</f>
        <v/>
      </c>
      <c r="V184" s="6" t="s">
        <v>4978</v>
      </c>
      <c r="W184" s="9" t="s">
        <v>774</v>
      </c>
      <c r="X184" s="6" t="s">
        <v>4983</v>
      </c>
      <c r="Y184" s="6" t="s">
        <v>4920</v>
      </c>
      <c r="Z184" s="9" t="s">
        <v>4939</v>
      </c>
      <c r="AA184" s="9" t="s">
        <v>4899</v>
      </c>
    </row>
    <row r="185" customFormat="false" ht="15" hidden="false" customHeight="true" outlineLevel="0" collapsed="false">
      <c r="A185" s="6" t="s">
        <v>1358</v>
      </c>
      <c r="B185" s="6" t="s">
        <v>471</v>
      </c>
      <c r="C185" s="6" t="s">
        <v>476</v>
      </c>
      <c r="D185" s="6" t="n">
        <v>6</v>
      </c>
      <c r="E185" s="9" t="s">
        <v>4968</v>
      </c>
      <c r="F185" s="42" t="n">
        <v>1455529</v>
      </c>
      <c r="G185" s="48"/>
      <c r="H185" s="48"/>
      <c r="I185" s="48"/>
      <c r="J185" s="48"/>
      <c r="K185" s="48"/>
      <c r="L185" s="48"/>
      <c r="M185" s="48"/>
      <c r="N185" s="48"/>
      <c r="O185" s="48"/>
      <c r="P185" s="48"/>
      <c r="Q185" s="43" t="str">
        <f aca="false">IF($A67="","",IF(OR(F67="",I67=""),"",F67-I67))</f>
        <v/>
      </c>
      <c r="R185" s="43" t="str">
        <f aca="false">IF($A67="","",IF(Q67="","",Q67+IF(O67="",0,O67)))</f>
        <v/>
      </c>
      <c r="S185" s="48"/>
      <c r="T185" s="43" t="n">
        <f aca="false">IF($A67="","",IF(R67="","",R67-IF(S67="",0,S67)))</f>
        <v>1127000</v>
      </c>
      <c r="U185" s="43" t="str">
        <f aca="false">IF($A67="","",IF(I67="","",I67-SUM(J67:P67)))</f>
        <v/>
      </c>
      <c r="V185" s="6" t="s">
        <v>4978</v>
      </c>
      <c r="W185" s="9" t="s">
        <v>774</v>
      </c>
      <c r="X185" s="9" t="s">
        <v>4979</v>
      </c>
      <c r="Y185" s="9" t="s">
        <v>4897</v>
      </c>
      <c r="Z185" s="9" t="s">
        <v>4898</v>
      </c>
      <c r="AA185" s="9" t="s">
        <v>4899</v>
      </c>
    </row>
    <row r="186" customFormat="false" ht="15" hidden="false" customHeight="true" outlineLevel="0" collapsed="false">
      <c r="A186" s="6" t="s">
        <v>1361</v>
      </c>
      <c r="B186" s="6" t="s">
        <v>471</v>
      </c>
      <c r="C186" s="6" t="s">
        <v>476</v>
      </c>
      <c r="D186" s="6" t="n">
        <v>6</v>
      </c>
      <c r="E186" s="9" t="s">
        <v>4968</v>
      </c>
      <c r="F186" s="42" t="n">
        <v>72257</v>
      </c>
      <c r="G186" s="48"/>
      <c r="H186" s="48"/>
      <c r="I186" s="48"/>
      <c r="J186" s="48"/>
      <c r="K186" s="48"/>
      <c r="L186" s="48"/>
      <c r="M186" s="48"/>
      <c r="N186" s="48"/>
      <c r="O186" s="48"/>
      <c r="P186" s="48"/>
      <c r="Q186" s="43" t="str">
        <f aca="false">IF($A68="","",IF(OR(F68="",I68=""),"",F68-I68))</f>
        <v/>
      </c>
      <c r="R186" s="43" t="str">
        <f aca="false">IF($A68="","",IF(Q68="","",Q68+IF(O68="",0,O68)))</f>
        <v/>
      </c>
      <c r="S186" s="48"/>
      <c r="T186" s="43" t="n">
        <f aca="false">IF($A68="","",IF(R68="","",R68-IF(S68="",0,S68)))</f>
        <v>154000</v>
      </c>
      <c r="U186" s="43" t="str">
        <f aca="false">IF($A68="","",IF(I68="","",I68-SUM(J68:P68)))</f>
        <v/>
      </c>
      <c r="V186" s="6" t="s">
        <v>4978</v>
      </c>
      <c r="W186" s="9" t="s">
        <v>774</v>
      </c>
      <c r="X186" s="9" t="s">
        <v>4979</v>
      </c>
      <c r="Y186" s="9" t="s">
        <v>4897</v>
      </c>
      <c r="Z186" s="9" t="s">
        <v>4898</v>
      </c>
      <c r="AA186" s="9" t="s">
        <v>4899</v>
      </c>
    </row>
    <row r="187" customFormat="false" ht="15" hidden="false" customHeight="true" outlineLevel="0" collapsed="false">
      <c r="A187" s="6" t="s">
        <v>1363</v>
      </c>
      <c r="B187" s="6" t="s">
        <v>471</v>
      </c>
      <c r="C187" s="6" t="s">
        <v>476</v>
      </c>
      <c r="D187" s="6" t="n">
        <v>6</v>
      </c>
      <c r="E187" s="9" t="s">
        <v>4968</v>
      </c>
      <c r="F187" s="42" t="n">
        <v>197465</v>
      </c>
      <c r="G187" s="48"/>
      <c r="H187" s="48"/>
      <c r="I187" s="48"/>
      <c r="J187" s="48"/>
      <c r="K187" s="48"/>
      <c r="L187" s="48"/>
      <c r="M187" s="48"/>
      <c r="N187" s="48"/>
      <c r="O187" s="48"/>
      <c r="P187" s="48"/>
      <c r="Q187" s="43" t="str">
        <f aca="false">IF($A69="","",IF(OR(F69="",I69=""),"",F69-I69))</f>
        <v/>
      </c>
      <c r="R187" s="43" t="str">
        <f aca="false">IF($A69="","",IF(Q69="","",Q69+IF(O69="",0,O69)))</f>
        <v/>
      </c>
      <c r="S187" s="48"/>
      <c r="T187" s="43" t="n">
        <f aca="false">IF($A69="","",IF(R69="","",R69-IF(S69="",0,S69)))</f>
        <v>112000</v>
      </c>
      <c r="U187" s="43" t="str">
        <f aca="false">IF($A69="","",IF(I69="","",I69-SUM(J69:P69)))</f>
        <v/>
      </c>
      <c r="V187" s="6" t="s">
        <v>4978</v>
      </c>
      <c r="W187" s="9" t="s">
        <v>774</v>
      </c>
      <c r="X187" s="9" t="s">
        <v>4979</v>
      </c>
      <c r="Y187" s="9" t="s">
        <v>4897</v>
      </c>
      <c r="Z187" s="9" t="s">
        <v>4898</v>
      </c>
      <c r="AA187" s="9" t="s">
        <v>4899</v>
      </c>
    </row>
    <row r="188" customFormat="false" ht="15" hidden="false" customHeight="true" outlineLevel="0" collapsed="false">
      <c r="A188" s="6" t="s">
        <v>1366</v>
      </c>
      <c r="B188" s="6" t="s">
        <v>471</v>
      </c>
      <c r="C188" s="6" t="s">
        <v>476</v>
      </c>
      <c r="D188" s="6" t="n">
        <v>6</v>
      </c>
      <c r="E188" s="9" t="s">
        <v>4908</v>
      </c>
      <c r="F188" s="48" t="n">
        <v>1413000</v>
      </c>
      <c r="G188" s="48"/>
      <c r="H188" s="48"/>
      <c r="I188" s="48"/>
      <c r="J188" s="48"/>
      <c r="K188" s="48"/>
      <c r="L188" s="48"/>
      <c r="M188" s="48"/>
      <c r="N188" s="48"/>
      <c r="O188" s="48"/>
      <c r="P188" s="48"/>
      <c r="Q188" s="43" t="str">
        <f aca="false">IF($A70="","",IF(OR(F70="",I70=""),"",F70-I70))</f>
        <v/>
      </c>
      <c r="R188" s="43" t="str">
        <f aca="false">IF($A70="","",IF(Q70="","",Q70+IF(O70="",0,O70)))</f>
        <v/>
      </c>
      <c r="S188" s="48"/>
      <c r="T188" s="43" t="n">
        <f aca="false">IF($A70="","",IF(R70="","",R70-IF(S70="",0,S70)))</f>
        <v>174000</v>
      </c>
      <c r="U188" s="43" t="str">
        <f aca="false">IF($A70="","",IF(I70="","",I70-SUM(J70:P70)))</f>
        <v/>
      </c>
      <c r="V188" s="6" t="s">
        <v>4978</v>
      </c>
      <c r="W188" s="9" t="s">
        <v>774</v>
      </c>
      <c r="X188" s="9" t="s">
        <v>4982</v>
      </c>
      <c r="Y188" s="9" t="s">
        <v>4897</v>
      </c>
      <c r="Z188" s="9" t="s">
        <v>4898</v>
      </c>
      <c r="AA188" s="9" t="s">
        <v>4899</v>
      </c>
    </row>
    <row r="189" customFormat="false" ht="15" hidden="false" customHeight="true" outlineLevel="0" collapsed="false">
      <c r="A189" s="6" t="s">
        <v>1369</v>
      </c>
      <c r="B189" s="6" t="s">
        <v>471</v>
      </c>
      <c r="C189" s="6" t="s">
        <v>476</v>
      </c>
      <c r="D189" s="6" t="n">
        <v>6</v>
      </c>
      <c r="E189" s="9" t="s">
        <v>4968</v>
      </c>
      <c r="F189" s="42" t="n">
        <v>124175</v>
      </c>
      <c r="G189" s="48"/>
      <c r="H189" s="48"/>
      <c r="I189" s="48"/>
      <c r="J189" s="48"/>
      <c r="K189" s="48"/>
      <c r="L189" s="48"/>
      <c r="M189" s="48"/>
      <c r="N189" s="48"/>
      <c r="O189" s="48"/>
      <c r="P189" s="48"/>
      <c r="Q189" s="43" t="str">
        <f aca="false">IF($A71="","",IF(OR(F71="",I71=""),"",F71-I71))</f>
        <v/>
      </c>
      <c r="R189" s="43" t="str">
        <f aca="false">IF($A71="","",IF(Q71="","",Q71+IF(O71="",0,O71)))</f>
        <v/>
      </c>
      <c r="S189" s="48"/>
      <c r="T189" s="43" t="n">
        <f aca="false">IF($A71="","",IF(R71="","",R71-IF(S71="",0,S71)))</f>
        <v>94000</v>
      </c>
      <c r="U189" s="43" t="str">
        <f aca="false">IF($A71="","",IF(I71="","",I71-SUM(J71:P71)))</f>
        <v/>
      </c>
      <c r="V189" s="6" t="s">
        <v>4978</v>
      </c>
      <c r="W189" s="9" t="s">
        <v>774</v>
      </c>
      <c r="X189" s="9" t="s">
        <v>4979</v>
      </c>
      <c r="Y189" s="9" t="s">
        <v>4897</v>
      </c>
      <c r="Z189" s="9" t="s">
        <v>4898</v>
      </c>
      <c r="AA189" s="9" t="s">
        <v>4899</v>
      </c>
    </row>
    <row r="190" customFormat="false" ht="15" hidden="false" customHeight="true" outlineLevel="0" collapsed="false">
      <c r="A190" s="6" t="s">
        <v>1371</v>
      </c>
      <c r="B190" s="6" t="s">
        <v>471</v>
      </c>
      <c r="C190" s="6" t="s">
        <v>476</v>
      </c>
      <c r="D190" s="6" t="n">
        <v>6</v>
      </c>
      <c r="E190" s="9" t="s">
        <v>4968</v>
      </c>
      <c r="F190" s="42" t="n">
        <v>824182</v>
      </c>
      <c r="G190" s="48"/>
      <c r="H190" s="48"/>
      <c r="I190" s="48"/>
      <c r="J190" s="48"/>
      <c r="K190" s="48"/>
      <c r="L190" s="48"/>
      <c r="M190" s="48"/>
      <c r="N190" s="48"/>
      <c r="O190" s="48"/>
      <c r="P190" s="48"/>
      <c r="Q190" s="43" t="str">
        <f aca="false">IF($A72="","",IF(OR(F72="",I72=""),"",F72-I72))</f>
        <v/>
      </c>
      <c r="R190" s="43" t="str">
        <f aca="false">IF($A72="","",IF(Q72="","",Q72+IF(O72="",0,O72)))</f>
        <v/>
      </c>
      <c r="S190" s="48"/>
      <c r="T190" s="43" t="n">
        <f aca="false">IF($A72="","",IF(R72="","",R72-IF(S72="",0,S72)))</f>
        <v>267000</v>
      </c>
      <c r="U190" s="43" t="str">
        <f aca="false">IF($A72="","",IF(I72="","",I72-SUM(J72:P72)))</f>
        <v/>
      </c>
      <c r="V190" s="6" t="s">
        <v>4978</v>
      </c>
      <c r="W190" s="9" t="s">
        <v>774</v>
      </c>
      <c r="X190" s="9" t="s">
        <v>4979</v>
      </c>
      <c r="Y190" s="9" t="s">
        <v>4897</v>
      </c>
      <c r="Z190" s="9" t="s">
        <v>4898</v>
      </c>
      <c r="AA190" s="9" t="s">
        <v>4899</v>
      </c>
    </row>
    <row r="191" customFormat="false" ht="15" hidden="false" customHeight="true" outlineLevel="0" collapsed="false">
      <c r="A191" s="6" t="s">
        <v>1374</v>
      </c>
      <c r="B191" s="6" t="s">
        <v>471</v>
      </c>
      <c r="C191" s="6" t="s">
        <v>476</v>
      </c>
      <c r="D191" s="6" t="n">
        <v>6</v>
      </c>
      <c r="E191" s="9" t="s">
        <v>4968</v>
      </c>
      <c r="F191" s="42" t="n">
        <v>80805</v>
      </c>
      <c r="G191" s="48"/>
      <c r="H191" s="48"/>
      <c r="I191" s="48"/>
      <c r="J191" s="48"/>
      <c r="K191" s="48"/>
      <c r="L191" s="48"/>
      <c r="M191" s="48"/>
      <c r="N191" s="48"/>
      <c r="O191" s="48"/>
      <c r="P191" s="48"/>
      <c r="Q191" s="43" t="n">
        <f aca="false">IF($A73="","",IF(OR(F73="",I73=""),"",F73-I73))</f>
        <v>17499163</v>
      </c>
      <c r="R191" s="43" t="n">
        <f aca="false">IF($A73="","",IF(Q73="","",Q73+IF(O73="",0,O73)))</f>
        <v>23808691</v>
      </c>
      <c r="S191" s="48"/>
      <c r="T191" s="43" t="str">
        <f aca="false">IF($A73="","",IF(R73="","",R73-IF(S73="",0,S73)))</f>
        <v/>
      </c>
      <c r="U191" s="43" t="n">
        <f aca="false">IF($A73="","",IF(I73="","",I73-SUM(J73:P73)))</f>
        <v>3</v>
      </c>
      <c r="V191" s="6" t="s">
        <v>4978</v>
      </c>
      <c r="W191" s="9" t="s">
        <v>774</v>
      </c>
      <c r="X191" s="9" t="s">
        <v>4979</v>
      </c>
      <c r="Y191" s="9" t="s">
        <v>4897</v>
      </c>
      <c r="Z191" s="9" t="s">
        <v>4898</v>
      </c>
      <c r="AA191" s="9" t="s">
        <v>4899</v>
      </c>
    </row>
    <row r="192" customFormat="false" ht="15" hidden="false" customHeight="true" outlineLevel="0" collapsed="false">
      <c r="A192" s="6" t="s">
        <v>1376</v>
      </c>
      <c r="B192" s="6" t="s">
        <v>471</v>
      </c>
      <c r="C192" s="6" t="s">
        <v>476</v>
      </c>
      <c r="D192" s="6" t="n">
        <v>6</v>
      </c>
      <c r="E192" s="9" t="s">
        <v>4968</v>
      </c>
      <c r="F192" s="42" t="n">
        <v>408757</v>
      </c>
      <c r="G192" s="48"/>
      <c r="H192" s="48"/>
      <c r="I192" s="48"/>
      <c r="J192" s="48"/>
      <c r="K192" s="48"/>
      <c r="L192" s="48"/>
      <c r="M192" s="48"/>
      <c r="N192" s="48"/>
      <c r="O192" s="48"/>
      <c r="P192" s="48"/>
      <c r="Q192" s="43" t="n">
        <f aca="false">IF($A74="","",IF(OR(F74="",I74=""),"",F74-I74))</f>
        <v>1127000</v>
      </c>
      <c r="R192" s="43" t="n">
        <f aca="false">IF($A74="","",IF(Q74="","",Q74+IF(O74="",0,O74)))</f>
        <v>1376000</v>
      </c>
      <c r="S192" s="48"/>
      <c r="T192" s="43" t="str">
        <f aca="false">IF($A74="","",IF(R74="","",R74-IF(S74="",0,S74)))</f>
        <v/>
      </c>
      <c r="U192" s="43" t="n">
        <f aca="false">IF($A74="","",IF(I74="","",I74-SUM(J74:P74)))</f>
        <v>2000</v>
      </c>
      <c r="V192" s="6" t="s">
        <v>4978</v>
      </c>
      <c r="W192" s="9" t="s">
        <v>774</v>
      </c>
      <c r="X192" s="9" t="s">
        <v>4979</v>
      </c>
      <c r="Y192" s="9" t="s">
        <v>4897</v>
      </c>
      <c r="Z192" s="9" t="s">
        <v>4898</v>
      </c>
      <c r="AA192" s="9" t="s">
        <v>4899</v>
      </c>
    </row>
    <row r="193" customFormat="false" ht="15" hidden="false" customHeight="true" outlineLevel="0" collapsed="false">
      <c r="A193" s="6" t="s">
        <v>1378</v>
      </c>
      <c r="B193" s="6" t="s">
        <v>471</v>
      </c>
      <c r="C193" s="6" t="s">
        <v>476</v>
      </c>
      <c r="D193" s="6" t="n">
        <v>6</v>
      </c>
      <c r="E193" s="9" t="s">
        <v>4968</v>
      </c>
      <c r="F193" s="42" t="n">
        <v>402753</v>
      </c>
      <c r="G193" s="48"/>
      <c r="H193" s="48"/>
      <c r="I193" s="48"/>
      <c r="J193" s="48"/>
      <c r="K193" s="48"/>
      <c r="L193" s="48"/>
      <c r="M193" s="48"/>
      <c r="N193" s="48"/>
      <c r="O193" s="48"/>
      <c r="P193" s="48"/>
      <c r="Q193" s="43" t="n">
        <f aca="false">IF($A75="","",IF(OR(F75="",I75=""),"",F75-I75))</f>
        <v>154000</v>
      </c>
      <c r="R193" s="43" t="n">
        <f aca="false">IF($A75="","",IF(Q75="","",Q75+IF(O75="",0,O75)))</f>
        <v>186000</v>
      </c>
      <c r="S193" s="48"/>
      <c r="T193" s="43" t="str">
        <f aca="false">IF($A75="","",IF(R75="","",R75-IF(S75="",0,S75)))</f>
        <v/>
      </c>
      <c r="U193" s="43" t="n">
        <f aca="false">IF($A75="","",IF(I75="","",I75-SUM(J75:P75)))</f>
        <v>2000</v>
      </c>
      <c r="V193" s="6" t="s">
        <v>4978</v>
      </c>
      <c r="W193" s="9" t="s">
        <v>774</v>
      </c>
      <c r="X193" s="9" t="s">
        <v>4979</v>
      </c>
      <c r="Y193" s="9" t="s">
        <v>4897</v>
      </c>
      <c r="Z193" s="9" t="s">
        <v>4898</v>
      </c>
      <c r="AA193" s="9" t="s">
        <v>4899</v>
      </c>
    </row>
    <row r="194" customFormat="false" ht="15" hidden="false" customHeight="true" outlineLevel="0" collapsed="false">
      <c r="A194" s="6" t="s">
        <v>1381</v>
      </c>
      <c r="B194" s="6" t="s">
        <v>471</v>
      </c>
      <c r="C194" s="6" t="s">
        <v>476</v>
      </c>
      <c r="D194" s="6" t="n">
        <v>6</v>
      </c>
      <c r="E194" s="9" t="s">
        <v>4968</v>
      </c>
      <c r="F194" s="42" t="n">
        <v>334042</v>
      </c>
      <c r="G194" s="48"/>
      <c r="H194" s="48"/>
      <c r="I194" s="48"/>
      <c r="J194" s="48"/>
      <c r="K194" s="48"/>
      <c r="L194" s="48"/>
      <c r="M194" s="48"/>
      <c r="N194" s="48"/>
      <c r="O194" s="48"/>
      <c r="P194" s="48"/>
      <c r="Q194" s="43" t="n">
        <f aca="false">IF($A76="","",IF(OR(F76="",I76=""),"",F76-I76))</f>
        <v>112000</v>
      </c>
      <c r="R194" s="43" t="n">
        <f aca="false">IF($A76="","",IF(Q76="","",Q76+IF(O76="",0,O76)))</f>
        <v>132000</v>
      </c>
      <c r="S194" s="48"/>
      <c r="T194" s="43" t="str">
        <f aca="false">IF($A76="","",IF(R76="","",R76-IF(S76="",0,S76)))</f>
        <v/>
      </c>
      <c r="U194" s="43" t="n">
        <f aca="false">IF($A76="","",IF(I76="","",I76-SUM(J76:P76)))</f>
        <v>1000</v>
      </c>
      <c r="V194" s="6" t="s">
        <v>4978</v>
      </c>
      <c r="W194" s="9" t="s">
        <v>774</v>
      </c>
      <c r="X194" s="9" t="s">
        <v>4979</v>
      </c>
      <c r="Y194" s="9" t="s">
        <v>4897</v>
      </c>
      <c r="Z194" s="9" t="s">
        <v>4898</v>
      </c>
      <c r="AA194" s="9" t="s">
        <v>4899</v>
      </c>
    </row>
    <row r="195" customFormat="false" ht="15" hidden="false" customHeight="true" outlineLevel="0" collapsed="false">
      <c r="A195" s="6" t="s">
        <v>1383</v>
      </c>
      <c r="B195" s="6" t="s">
        <v>471</v>
      </c>
      <c r="C195" s="6" t="s">
        <v>476</v>
      </c>
      <c r="D195" s="6" t="n">
        <v>6</v>
      </c>
      <c r="E195" s="9" t="s">
        <v>4968</v>
      </c>
      <c r="F195" s="42" t="n">
        <v>450754</v>
      </c>
      <c r="G195" s="48"/>
      <c r="H195" s="48"/>
      <c r="I195" s="48"/>
      <c r="J195" s="48"/>
      <c r="K195" s="48"/>
      <c r="L195" s="48"/>
      <c r="M195" s="48"/>
      <c r="N195" s="48"/>
      <c r="O195" s="48"/>
      <c r="P195" s="48"/>
      <c r="Q195" s="43" t="n">
        <f aca="false">IF($A77="","",IF(OR(F77="",I77=""),"",F77-I77))</f>
        <v>174000</v>
      </c>
      <c r="R195" s="43" t="n">
        <f aca="false">IF($A77="","",IF(Q77="","",Q77+IF(O77="",0,O77)))</f>
        <v>275000</v>
      </c>
      <c r="S195" s="48"/>
      <c r="T195" s="43" t="str">
        <f aca="false">IF($A77="","",IF(R77="","",R77-IF(S77="",0,S77)))</f>
        <v/>
      </c>
      <c r="U195" s="43" t="n">
        <f aca="false">IF($A77="","",IF(I77="","",I77-SUM(J77:P77)))</f>
        <v>3000</v>
      </c>
      <c r="V195" s="6" t="s">
        <v>4978</v>
      </c>
      <c r="W195" s="9" t="s">
        <v>774</v>
      </c>
      <c r="X195" s="9" t="s">
        <v>4979</v>
      </c>
      <c r="Y195" s="9" t="s">
        <v>4897</v>
      </c>
      <c r="Z195" s="9" t="s">
        <v>4898</v>
      </c>
      <c r="AA195" s="9" t="s">
        <v>4899</v>
      </c>
    </row>
    <row r="196" customFormat="false" ht="15" hidden="false" customHeight="true" outlineLevel="0" collapsed="false">
      <c r="A196" s="6" t="s">
        <v>1385</v>
      </c>
      <c r="B196" s="6" t="s">
        <v>471</v>
      </c>
      <c r="C196" s="6" t="s">
        <v>476</v>
      </c>
      <c r="D196" s="6" t="n">
        <v>6</v>
      </c>
      <c r="E196" s="9" t="s">
        <v>4908</v>
      </c>
      <c r="F196" s="48" t="n">
        <v>488000</v>
      </c>
      <c r="G196" s="48"/>
      <c r="H196" s="48"/>
      <c r="I196" s="48"/>
      <c r="J196" s="48"/>
      <c r="K196" s="48"/>
      <c r="L196" s="48"/>
      <c r="M196" s="48"/>
      <c r="N196" s="48"/>
      <c r="O196" s="48"/>
      <c r="P196" s="48"/>
      <c r="Q196" s="43" t="n">
        <f aca="false">IF($A78="","",IF(OR(F78="",I78=""),"",F78-I78))</f>
        <v>94000</v>
      </c>
      <c r="R196" s="43" t="n">
        <f aca="false">IF($A78="","",IF(Q78="","",Q78+IF(O78="",0,O78)))</f>
        <v>-42000</v>
      </c>
      <c r="S196" s="48"/>
      <c r="T196" s="43" t="str">
        <f aca="false">IF($A78="","",IF(R78="","",R78-IF(S78="",0,S78)))</f>
        <v/>
      </c>
      <c r="U196" s="43" t="n">
        <f aca="false">IF($A78="","",IF(I78="","",I78-SUM(J78:P78)))</f>
        <v>2000</v>
      </c>
      <c r="V196" s="6" t="s">
        <v>4978</v>
      </c>
      <c r="W196" s="9" t="s">
        <v>774</v>
      </c>
      <c r="X196" s="9" t="s">
        <v>4982</v>
      </c>
      <c r="Y196" s="9" t="s">
        <v>4897</v>
      </c>
      <c r="Z196" s="9" t="s">
        <v>4898</v>
      </c>
      <c r="AA196" s="9" t="s">
        <v>4899</v>
      </c>
    </row>
    <row r="197" customFormat="false" ht="15" hidden="false" customHeight="true" outlineLevel="0" collapsed="false">
      <c r="A197" s="6" t="s">
        <v>1387</v>
      </c>
      <c r="B197" s="6" t="s">
        <v>471</v>
      </c>
      <c r="C197" s="6" t="s">
        <v>476</v>
      </c>
      <c r="D197" s="6" t="n">
        <v>6</v>
      </c>
      <c r="E197" s="9" t="s">
        <v>4968</v>
      </c>
      <c r="F197" s="42" t="n">
        <v>240328</v>
      </c>
      <c r="G197" s="48"/>
      <c r="H197" s="48"/>
      <c r="I197" s="48"/>
      <c r="J197" s="48"/>
      <c r="K197" s="48"/>
      <c r="L197" s="48"/>
      <c r="M197" s="48"/>
      <c r="N197" s="48"/>
      <c r="O197" s="48"/>
      <c r="P197" s="48"/>
      <c r="Q197" s="43" t="n">
        <f aca="false">IF($A79="","",IF(OR(F79="",I79=""),"",F79-I79))</f>
        <v>267000</v>
      </c>
      <c r="R197" s="43" t="n">
        <f aca="false">IF($A79="","",IF(Q79="","",Q79+IF(O79="",0,O79)))</f>
        <v>159000</v>
      </c>
      <c r="S197" s="48"/>
      <c r="T197" s="43" t="str">
        <f aca="false">IF($A79="","",IF(R79="","",R79-IF(S79="",0,S79)))</f>
        <v/>
      </c>
      <c r="U197" s="43" t="n">
        <f aca="false">IF($A79="","",IF(I79="","",I79-SUM(J79:P79)))</f>
        <v>4000</v>
      </c>
      <c r="V197" s="6" t="s">
        <v>4978</v>
      </c>
      <c r="W197" s="9" t="s">
        <v>774</v>
      </c>
      <c r="X197" s="9" t="s">
        <v>4979</v>
      </c>
      <c r="Y197" s="9" t="s">
        <v>4897</v>
      </c>
      <c r="Z197" s="9" t="s">
        <v>4898</v>
      </c>
      <c r="AA197" s="9" t="s">
        <v>4899</v>
      </c>
    </row>
    <row r="198" customFormat="false" ht="15" hidden="false" customHeight="true" outlineLevel="0" collapsed="false">
      <c r="A198" s="6" t="s">
        <v>1389</v>
      </c>
      <c r="B198" s="6" t="s">
        <v>471</v>
      </c>
      <c r="C198" s="6" t="s">
        <v>476</v>
      </c>
      <c r="D198" s="6" t="n">
        <v>6</v>
      </c>
      <c r="E198" s="9" t="s">
        <v>4968</v>
      </c>
      <c r="F198" s="42" t="n">
        <v>272318</v>
      </c>
      <c r="G198" s="48" t="n">
        <v>44809206</v>
      </c>
      <c r="H198" s="48" t="n">
        <v>3737803</v>
      </c>
      <c r="I198" s="48" t="n">
        <v>25250123</v>
      </c>
      <c r="J198" s="48" t="n">
        <v>7600503</v>
      </c>
      <c r="K198" s="48" t="n">
        <v>0</v>
      </c>
      <c r="L198" s="48" t="n">
        <v>4854835</v>
      </c>
      <c r="M198" s="48" t="n">
        <v>43257</v>
      </c>
      <c r="N198" s="48" t="n">
        <v>976251</v>
      </c>
      <c r="O198" s="48" t="n">
        <v>7852749</v>
      </c>
      <c r="P198" s="48" t="n">
        <v>3922526</v>
      </c>
      <c r="Q198" s="43" t="n">
        <f aca="false">IF($A80="","",IF(OR(F80="",I80=""),"",F80-I80))</f>
        <v>542000</v>
      </c>
      <c r="R198" s="43" t="n">
        <f aca="false">IF($A80="","",IF(Q80="","",Q80+IF(O80="",0,O80)))</f>
        <v>-247000</v>
      </c>
      <c r="S198" s="48" t="n">
        <v>4987000</v>
      </c>
      <c r="T198" s="43" t="str">
        <f aca="false">IF($A80="","",IF(R80="","",R80-IF(S80="",0,S80)))</f>
        <v/>
      </c>
      <c r="U198" s="43" t="n">
        <f aca="false">IF($A80="","",IF(I80="","",I80-SUM(J80:P80)))</f>
        <v>3000</v>
      </c>
      <c r="V198" s="6" t="s">
        <v>4978</v>
      </c>
      <c r="W198" s="49" t="s">
        <v>774</v>
      </c>
      <c r="X198" s="9" t="s">
        <v>4979</v>
      </c>
      <c r="Y198" s="9" t="s">
        <v>4897</v>
      </c>
      <c r="Z198" s="9" t="s">
        <v>4898</v>
      </c>
      <c r="AA198" s="9" t="s">
        <v>4899</v>
      </c>
    </row>
    <row r="199" customFormat="false" ht="15" hidden="false" customHeight="true" outlineLevel="0" collapsed="false">
      <c r="A199" s="6" t="s">
        <v>1391</v>
      </c>
      <c r="B199" s="6" t="s">
        <v>471</v>
      </c>
      <c r="C199" s="6" t="s">
        <v>476</v>
      </c>
      <c r="D199" s="6" t="n">
        <v>6</v>
      </c>
      <c r="E199" s="9" t="s">
        <v>4968</v>
      </c>
      <c r="F199" s="42" t="n">
        <v>109058</v>
      </c>
      <c r="G199" s="48"/>
      <c r="H199" s="48"/>
      <c r="I199" s="48"/>
      <c r="J199" s="48"/>
      <c r="K199" s="48"/>
      <c r="L199" s="48"/>
      <c r="M199" s="48"/>
      <c r="N199" s="48"/>
      <c r="O199" s="48"/>
      <c r="P199" s="48"/>
      <c r="Q199" s="43" t="n">
        <f aca="false">IF($A81="","",IF(OR(F81="",I81=""),"",F81-I81))</f>
        <v>96000</v>
      </c>
      <c r="R199" s="43" t="n">
        <f aca="false">IF($A81="","",IF(Q81="","",Q81+IF(O81="",0,O81)))</f>
        <v>131000</v>
      </c>
      <c r="S199" s="48"/>
      <c r="T199" s="43" t="str">
        <f aca="false">IF($A81="","",IF(R81="","",R81-IF(S81="",0,S81)))</f>
        <v/>
      </c>
      <c r="U199" s="43" t="n">
        <f aca="false">IF($A81="","",IF(I81="","",I81-SUM(J81:P81)))</f>
        <v>1000</v>
      </c>
      <c r="V199" s="6" t="s">
        <v>4978</v>
      </c>
      <c r="W199" s="9" t="s">
        <v>774</v>
      </c>
      <c r="X199" s="9" t="s">
        <v>4979</v>
      </c>
      <c r="Y199" s="9" t="s">
        <v>4897</v>
      </c>
      <c r="Z199" s="9" t="s">
        <v>4898</v>
      </c>
      <c r="AA199" s="9" t="s">
        <v>4899</v>
      </c>
    </row>
    <row r="200" customFormat="false" ht="15" hidden="false" customHeight="true" outlineLevel="0" collapsed="false">
      <c r="A200" s="6" t="s">
        <v>1394</v>
      </c>
      <c r="B200" s="6" t="s">
        <v>471</v>
      </c>
      <c r="C200" s="6" t="s">
        <v>476</v>
      </c>
      <c r="D200" s="6" t="n">
        <v>6</v>
      </c>
      <c r="E200" s="9" t="s">
        <v>4968</v>
      </c>
      <c r="F200" s="42" t="n">
        <v>490585</v>
      </c>
      <c r="G200" s="48"/>
      <c r="H200" s="48"/>
      <c r="I200" s="48"/>
      <c r="J200" s="48"/>
      <c r="K200" s="48"/>
      <c r="L200" s="48"/>
      <c r="M200" s="48"/>
      <c r="N200" s="48"/>
      <c r="O200" s="48"/>
      <c r="P200" s="48"/>
      <c r="Q200" s="43" t="n">
        <f aca="false">IF($A82="","",IF(OR(F82="",I82=""),"",F82-I82))</f>
        <v>15000</v>
      </c>
      <c r="R200" s="43" t="n">
        <f aca="false">IF($A82="","",IF(Q82="","",Q82+IF(O82="",0,O82)))</f>
        <v>26000</v>
      </c>
      <c r="S200" s="48"/>
      <c r="T200" s="43" t="str">
        <f aca="false">IF($A82="","",IF(R82="","",R82-IF(S82="",0,S82)))</f>
        <v/>
      </c>
      <c r="U200" s="43" t="n">
        <f aca="false">IF($A82="","",IF(I82="","",I82-SUM(J82:P82)))</f>
        <v>2000</v>
      </c>
      <c r="V200" s="6" t="s">
        <v>4978</v>
      </c>
      <c r="W200" s="9" t="s">
        <v>774</v>
      </c>
      <c r="X200" s="9" t="s">
        <v>4979</v>
      </c>
      <c r="Y200" s="9" t="s">
        <v>4897</v>
      </c>
      <c r="Z200" s="9" t="s">
        <v>4898</v>
      </c>
      <c r="AA200" s="9" t="s">
        <v>4899</v>
      </c>
    </row>
    <row r="201" customFormat="false" ht="15" hidden="false" customHeight="true" outlineLevel="0" collapsed="false">
      <c r="A201" s="6" t="s">
        <v>1396</v>
      </c>
      <c r="B201" s="6" t="s">
        <v>471</v>
      </c>
      <c r="C201" s="6" t="s">
        <v>476</v>
      </c>
      <c r="D201" s="6" t="n">
        <v>6</v>
      </c>
      <c r="E201" s="9" t="s">
        <v>4968</v>
      </c>
      <c r="F201" s="42" t="n">
        <v>1077384</v>
      </c>
      <c r="G201" s="48"/>
      <c r="H201" s="48"/>
      <c r="I201" s="48"/>
      <c r="J201" s="48"/>
      <c r="K201" s="48"/>
      <c r="L201" s="48"/>
      <c r="M201" s="48"/>
      <c r="N201" s="48"/>
      <c r="O201" s="48"/>
      <c r="P201" s="48"/>
      <c r="Q201" s="43" t="n">
        <f aca="false">IF($A83="","",IF(OR(F83="",I83=""),"",F83-I83))</f>
        <v>115000</v>
      </c>
      <c r="R201" s="43" t="n">
        <f aca="false">IF($A83="","",IF(Q83="","",Q83+IF(O83="",0,O83)))</f>
        <v>171000</v>
      </c>
      <c r="S201" s="48"/>
      <c r="T201" s="43" t="str">
        <f aca="false">IF($A83="","",IF(R83="","",R83-IF(S83="",0,S83)))</f>
        <v/>
      </c>
      <c r="U201" s="43" t="n">
        <f aca="false">IF($A83="","",IF(I83="","",I83-SUM(J83:P83)))</f>
        <v>2000</v>
      </c>
      <c r="V201" s="6" t="s">
        <v>4978</v>
      </c>
      <c r="W201" s="9" t="s">
        <v>774</v>
      </c>
      <c r="X201" s="9" t="s">
        <v>4979</v>
      </c>
      <c r="Y201" s="9" t="s">
        <v>4897</v>
      </c>
      <c r="Z201" s="9" t="s">
        <v>4898</v>
      </c>
      <c r="AA201" s="9" t="s">
        <v>4899</v>
      </c>
    </row>
    <row r="202" customFormat="false" ht="15" hidden="false" customHeight="true" outlineLevel="0" collapsed="false">
      <c r="A202" s="6" t="s">
        <v>1398</v>
      </c>
      <c r="B202" s="6" t="s">
        <v>471</v>
      </c>
      <c r="C202" s="6" t="s">
        <v>476</v>
      </c>
      <c r="D202" s="6" t="n">
        <v>6</v>
      </c>
      <c r="E202" s="9" t="s">
        <v>4968</v>
      </c>
      <c r="F202" s="42" t="n">
        <v>99105</v>
      </c>
      <c r="G202" s="48"/>
      <c r="H202" s="48"/>
      <c r="I202" s="48"/>
      <c r="J202" s="48"/>
      <c r="K202" s="48"/>
      <c r="L202" s="48"/>
      <c r="M202" s="48"/>
      <c r="N202" s="48"/>
      <c r="O202" s="48"/>
      <c r="P202" s="48"/>
      <c r="Q202" s="43" t="n">
        <f aca="false">IF($A84="","",IF(OR(F84="",I84=""),"",F84-I84))</f>
        <v>148000</v>
      </c>
      <c r="R202" s="43" t="n">
        <f aca="false">IF($A84="","",IF(Q84="","",Q84+IF(O84="",0,O84)))</f>
        <v>532000</v>
      </c>
      <c r="S202" s="48"/>
      <c r="T202" s="43" t="str">
        <f aca="false">IF($A84="","",IF(R84="","",R84-IF(S84="",0,S84)))</f>
        <v/>
      </c>
      <c r="U202" s="43" t="n">
        <f aca="false">IF($A84="","",IF(I84="","",I84-SUM(J84:P84)))</f>
        <v>4000</v>
      </c>
      <c r="V202" s="6" t="s">
        <v>4978</v>
      </c>
      <c r="W202" s="9" t="s">
        <v>774</v>
      </c>
      <c r="X202" s="9" t="s">
        <v>4979</v>
      </c>
      <c r="Y202" s="9" t="s">
        <v>4897</v>
      </c>
      <c r="Z202" s="9" t="s">
        <v>4898</v>
      </c>
      <c r="AA202" s="9" t="s">
        <v>4899</v>
      </c>
    </row>
    <row r="203" customFormat="false" ht="15" hidden="false" customHeight="true" outlineLevel="0" collapsed="false">
      <c r="A203" s="6" t="s">
        <v>1400</v>
      </c>
      <c r="B203" s="6" t="s">
        <v>471</v>
      </c>
      <c r="C203" s="6" t="s">
        <v>476</v>
      </c>
      <c r="D203" s="6" t="n">
        <v>6</v>
      </c>
      <c r="E203" s="9" t="s">
        <v>4968</v>
      </c>
      <c r="F203" s="42" t="n">
        <v>52456</v>
      </c>
      <c r="G203" s="48"/>
      <c r="H203" s="48"/>
      <c r="I203" s="48"/>
      <c r="J203" s="48"/>
      <c r="K203" s="48"/>
      <c r="L203" s="48"/>
      <c r="M203" s="48"/>
      <c r="N203" s="48"/>
      <c r="O203" s="48"/>
      <c r="P203" s="48"/>
      <c r="Q203" s="43" t="n">
        <f aca="false">IF($A85="","",IF(OR(F85="",I85=""),"",F85-I85))</f>
        <v>246000</v>
      </c>
      <c r="R203" s="43" t="n">
        <f aca="false">IF($A85="","",IF(Q85="","",Q85+IF(O85="",0,O85)))</f>
        <v>261000</v>
      </c>
      <c r="S203" s="48"/>
      <c r="T203" s="43" t="str">
        <f aca="false">IF($A85="","",IF(R85="","",R85-IF(S85="",0,S85)))</f>
        <v/>
      </c>
      <c r="U203" s="43" t="n">
        <f aca="false">IF($A85="","",IF(I85="","",I85-SUM(J85:P85)))</f>
        <v>3000</v>
      </c>
      <c r="V203" s="6" t="s">
        <v>4978</v>
      </c>
      <c r="W203" s="9" t="s">
        <v>774</v>
      </c>
      <c r="X203" s="9" t="s">
        <v>4979</v>
      </c>
      <c r="Y203" s="9" t="s">
        <v>4897</v>
      </c>
      <c r="Z203" s="9" t="s">
        <v>4898</v>
      </c>
      <c r="AA203" s="9" t="s">
        <v>4899</v>
      </c>
    </row>
    <row r="204" customFormat="false" ht="15" hidden="false" customHeight="true" outlineLevel="0" collapsed="false">
      <c r="A204" s="6" t="s">
        <v>1402</v>
      </c>
      <c r="B204" s="6" t="s">
        <v>471</v>
      </c>
      <c r="C204" s="6" t="s">
        <v>476</v>
      </c>
      <c r="D204" s="6" t="n">
        <v>6</v>
      </c>
      <c r="E204" s="9" t="s">
        <v>4968</v>
      </c>
      <c r="F204" s="42" t="n">
        <v>342775</v>
      </c>
      <c r="G204" s="48"/>
      <c r="H204" s="48"/>
      <c r="I204" s="48"/>
      <c r="J204" s="48"/>
      <c r="K204" s="48"/>
      <c r="L204" s="48"/>
      <c r="M204" s="48"/>
      <c r="N204" s="48"/>
      <c r="O204" s="48"/>
      <c r="P204" s="48"/>
      <c r="Q204" s="43" t="n">
        <f aca="false">IF($A86="","",IF(OR(F86="",I86=""),"",F86-I86))</f>
        <v>95000</v>
      </c>
      <c r="R204" s="43" t="n">
        <f aca="false">IF($A86="","",IF(Q86="","",Q86+IF(O86="",0,O86)))</f>
        <v>466000</v>
      </c>
      <c r="S204" s="48"/>
      <c r="T204" s="43" t="str">
        <f aca="false">IF($A86="","",IF(R86="","",R86-IF(S86="",0,S86)))</f>
        <v/>
      </c>
      <c r="U204" s="43" t="n">
        <f aca="false">IF($A86="","",IF(I86="","",I86-SUM(J86:P86)))</f>
        <v>2000</v>
      </c>
      <c r="V204" s="6" t="s">
        <v>4978</v>
      </c>
      <c r="W204" s="9" t="s">
        <v>774</v>
      </c>
      <c r="X204" s="9" t="s">
        <v>4979</v>
      </c>
      <c r="Y204" s="9" t="s">
        <v>4897</v>
      </c>
      <c r="Z204" s="9" t="s">
        <v>4898</v>
      </c>
      <c r="AA204" s="9" t="s">
        <v>4899</v>
      </c>
    </row>
    <row r="205" customFormat="false" ht="15" hidden="false" customHeight="true" outlineLevel="0" collapsed="false">
      <c r="A205" s="6" t="s">
        <v>1404</v>
      </c>
      <c r="B205" s="6" t="s">
        <v>471</v>
      </c>
      <c r="C205" s="6" t="s">
        <v>476</v>
      </c>
      <c r="D205" s="6" t="n">
        <v>6</v>
      </c>
      <c r="E205" s="9" t="s">
        <v>4908</v>
      </c>
      <c r="F205" s="48"/>
      <c r="G205" s="48"/>
      <c r="H205" s="48"/>
      <c r="I205" s="48"/>
      <c r="J205" s="48"/>
      <c r="K205" s="48"/>
      <c r="L205" s="48"/>
      <c r="M205" s="48"/>
      <c r="N205" s="48"/>
      <c r="O205" s="48"/>
      <c r="P205" s="48"/>
      <c r="Q205" s="43" t="n">
        <f aca="false">IF($A87="","",IF(OR(F87="",I87=""),"",F87-I87))</f>
        <v>119000</v>
      </c>
      <c r="R205" s="43" t="n">
        <f aca="false">IF($A87="","",IF(Q87="","",Q87+IF(O87="",0,O87)))</f>
        <v>148000</v>
      </c>
      <c r="S205" s="48"/>
      <c r="T205" s="43" t="str">
        <f aca="false">IF($A87="","",IF(R87="","",R87-IF(S87="",0,S87)))</f>
        <v/>
      </c>
      <c r="U205" s="43" t="n">
        <f aca="false">IF($A87="","",IF(I87="","",I87-SUM(J87:P87)))</f>
        <v>1000</v>
      </c>
      <c r="V205" s="6" t="s">
        <v>4978</v>
      </c>
      <c r="W205" s="9" t="s">
        <v>774</v>
      </c>
      <c r="X205" s="9" t="s">
        <v>4982</v>
      </c>
      <c r="Y205" s="9" t="s">
        <v>4897</v>
      </c>
      <c r="Z205" s="9" t="s">
        <v>4898</v>
      </c>
      <c r="AA205" s="9" t="s">
        <v>4899</v>
      </c>
    </row>
    <row r="206" customFormat="false" ht="15" hidden="false" customHeight="true" outlineLevel="0" collapsed="false">
      <c r="A206" s="6" t="s">
        <v>1406</v>
      </c>
      <c r="B206" s="6" t="s">
        <v>471</v>
      </c>
      <c r="C206" s="6" t="s">
        <v>476</v>
      </c>
      <c r="D206" s="6" t="n">
        <v>6</v>
      </c>
      <c r="E206" s="9" t="s">
        <v>4968</v>
      </c>
      <c r="F206" s="42" t="n">
        <v>185852</v>
      </c>
      <c r="G206" s="48"/>
      <c r="H206" s="48"/>
      <c r="I206" s="48"/>
      <c r="J206" s="48"/>
      <c r="K206" s="48"/>
      <c r="L206" s="48"/>
      <c r="M206" s="48"/>
      <c r="N206" s="48"/>
      <c r="O206" s="48"/>
      <c r="P206" s="48"/>
      <c r="Q206" s="43" t="n">
        <f aca="false">IF($A88="","",IF(OR(F88="",I88=""),"",F88-I88))</f>
        <v>116000</v>
      </c>
      <c r="R206" s="43" t="n">
        <f aca="false">IF($A88="","",IF(Q88="","",Q88+IF(O88="",0,O88)))</f>
        <v>147000</v>
      </c>
      <c r="S206" s="48"/>
      <c r="T206" s="43" t="str">
        <f aca="false">IF($A88="","",IF(R88="","",R88-IF(S88="",0,S88)))</f>
        <v/>
      </c>
      <c r="U206" s="43" t="n">
        <f aca="false">IF($A88="","",IF(I88="","",I88-SUM(J88:P88)))</f>
        <v>1000</v>
      </c>
      <c r="V206" s="6" t="s">
        <v>4978</v>
      </c>
      <c r="W206" s="9" t="s">
        <v>774</v>
      </c>
      <c r="X206" s="9" t="s">
        <v>4979</v>
      </c>
      <c r="Y206" s="9" t="s">
        <v>4897</v>
      </c>
      <c r="Z206" s="9" t="s">
        <v>4898</v>
      </c>
      <c r="AA206" s="9" t="s">
        <v>4899</v>
      </c>
    </row>
    <row r="207" customFormat="false" ht="15" hidden="false" customHeight="true" outlineLevel="0" collapsed="false">
      <c r="A207" s="6" t="s">
        <v>1408</v>
      </c>
      <c r="B207" s="6" t="s">
        <v>471</v>
      </c>
      <c r="C207" s="6" t="s">
        <v>476</v>
      </c>
      <c r="D207" s="6" t="n">
        <v>6</v>
      </c>
      <c r="E207" s="9" t="s">
        <v>4908</v>
      </c>
      <c r="F207" s="48" t="n">
        <v>640659</v>
      </c>
      <c r="G207" s="48"/>
      <c r="H207" s="48"/>
      <c r="I207" s="48"/>
      <c r="J207" s="48"/>
      <c r="K207" s="48"/>
      <c r="L207" s="48"/>
      <c r="M207" s="48"/>
      <c r="N207" s="48"/>
      <c r="O207" s="48"/>
      <c r="P207" s="48"/>
      <c r="Q207" s="43" t="n">
        <f aca="false">IF($A89="","",IF(OR(F89="",I89=""),"",F89-I89))</f>
        <v>511000</v>
      </c>
      <c r="R207" s="43" t="n">
        <f aca="false">IF($A89="","",IF(Q89="","",Q89+IF(O89="",0,O89)))</f>
        <v>555000</v>
      </c>
      <c r="S207" s="48"/>
      <c r="T207" s="43" t="str">
        <f aca="false">IF($A89="","",IF(R89="","",R89-IF(S89="",0,S89)))</f>
        <v/>
      </c>
      <c r="U207" s="43" t="n">
        <f aca="false">IF($A89="","",IF(I89="","",I89-SUM(J89:P89)))</f>
        <v>3000</v>
      </c>
      <c r="V207" s="6" t="s">
        <v>4978</v>
      </c>
      <c r="W207" s="9" t="s">
        <v>774</v>
      </c>
      <c r="X207" s="9" t="s">
        <v>4982</v>
      </c>
      <c r="Y207" s="9" t="s">
        <v>4897</v>
      </c>
      <c r="Z207" s="9" t="s">
        <v>4898</v>
      </c>
      <c r="AA207" s="9" t="s">
        <v>4899</v>
      </c>
    </row>
    <row r="208" customFormat="false" ht="15" hidden="false" customHeight="true" outlineLevel="0" collapsed="false">
      <c r="A208" s="6" t="s">
        <v>1410</v>
      </c>
      <c r="B208" s="6" t="s">
        <v>471</v>
      </c>
      <c r="C208" s="6" t="s">
        <v>476</v>
      </c>
      <c r="D208" s="6" t="n">
        <v>6</v>
      </c>
      <c r="E208" s="9" t="s">
        <v>4968</v>
      </c>
      <c r="F208" s="42" t="n">
        <v>40717</v>
      </c>
      <c r="G208" s="48"/>
      <c r="H208" s="48"/>
      <c r="I208" s="48"/>
      <c r="J208" s="48"/>
      <c r="K208" s="48"/>
      <c r="L208" s="48"/>
      <c r="M208" s="48"/>
      <c r="N208" s="48"/>
      <c r="O208" s="48"/>
      <c r="P208" s="48"/>
      <c r="Q208" s="43" t="n">
        <f aca="false">IF($A90="","",IF(OR(F90="",I90=""),"",F90-I90))</f>
        <v>81000</v>
      </c>
      <c r="R208" s="43" t="n">
        <f aca="false">IF($A90="","",IF(Q90="","",Q90+IF(O90="",0,O90)))</f>
        <v>119000</v>
      </c>
      <c r="S208" s="48"/>
      <c r="T208" s="43" t="str">
        <f aca="false">IF($A90="","",IF(R90="","",R90-IF(S90="",0,S90)))</f>
        <v/>
      </c>
      <c r="U208" s="43" t="n">
        <f aca="false">IF($A90="","",IF(I90="","",I90-SUM(J90:P90)))</f>
        <v>2000</v>
      </c>
      <c r="V208" s="6" t="s">
        <v>4978</v>
      </c>
      <c r="W208" s="9" t="s">
        <v>774</v>
      </c>
      <c r="X208" s="9" t="s">
        <v>4979</v>
      </c>
      <c r="Y208" s="9" t="s">
        <v>4897</v>
      </c>
      <c r="Z208" s="9" t="s">
        <v>4898</v>
      </c>
      <c r="AA208" s="9" t="s">
        <v>4899</v>
      </c>
    </row>
    <row r="209" customFormat="false" ht="15" hidden="false" customHeight="true" outlineLevel="0" collapsed="false">
      <c r="A209" s="6" t="s">
        <v>1413</v>
      </c>
      <c r="B209" s="6" t="s">
        <v>471</v>
      </c>
      <c r="C209" s="6" t="s">
        <v>476</v>
      </c>
      <c r="D209" s="6" t="n">
        <v>6</v>
      </c>
      <c r="E209" s="9" t="s">
        <v>4968</v>
      </c>
      <c r="F209" s="42" t="n">
        <v>55938</v>
      </c>
      <c r="G209" s="48"/>
      <c r="H209" s="48"/>
      <c r="I209" s="48"/>
      <c r="J209" s="48"/>
      <c r="K209" s="48"/>
      <c r="L209" s="48"/>
      <c r="M209" s="48"/>
      <c r="N209" s="48"/>
      <c r="O209" s="48"/>
      <c r="P209" s="48"/>
      <c r="Q209" s="43" t="n">
        <f aca="false">IF($A91="","",IF(OR(F91="",I91=""),"",F91-I91))</f>
        <v>455000</v>
      </c>
      <c r="R209" s="43" t="n">
        <f aca="false">IF($A91="","",IF(Q91="","",Q91+IF(O91="",0,O91)))</f>
        <v>707000</v>
      </c>
      <c r="S209" s="48"/>
      <c r="T209" s="43" t="str">
        <f aca="false">IF($A91="","",IF(R91="","",R91-IF(S91="",0,S91)))</f>
        <v/>
      </c>
      <c r="U209" s="43" t="n">
        <f aca="false">IF($A91="","",IF(I91="","",I91-SUM(J91:P91)))</f>
        <v>3000</v>
      </c>
      <c r="V209" s="6" t="s">
        <v>4978</v>
      </c>
      <c r="W209" s="9" t="s">
        <v>774</v>
      </c>
      <c r="X209" s="9" t="s">
        <v>4979</v>
      </c>
      <c r="Y209" s="9" t="s">
        <v>4897</v>
      </c>
      <c r="Z209" s="9" t="s">
        <v>4898</v>
      </c>
      <c r="AA209" s="9" t="s">
        <v>4899</v>
      </c>
    </row>
    <row r="210" customFormat="false" ht="15" hidden="false" customHeight="true" outlineLevel="0" collapsed="false">
      <c r="A210" s="6" t="s">
        <v>1415</v>
      </c>
      <c r="B210" s="6" t="s">
        <v>471</v>
      </c>
      <c r="C210" s="6" t="s">
        <v>476</v>
      </c>
      <c r="D210" s="6" t="n">
        <v>6</v>
      </c>
      <c r="E210" s="9" t="s">
        <v>4968</v>
      </c>
      <c r="F210" s="42" t="n">
        <v>148105</v>
      </c>
      <c r="G210" s="48"/>
      <c r="H210" s="48"/>
      <c r="I210" s="48"/>
      <c r="J210" s="48"/>
      <c r="K210" s="48"/>
      <c r="L210" s="48"/>
      <c r="M210" s="48"/>
      <c r="N210" s="48"/>
      <c r="O210" s="48"/>
      <c r="P210" s="48"/>
      <c r="Q210" s="43" t="n">
        <f aca="false">IF($A92="","",IF(OR(F92="",I92=""),"",F92-I92))</f>
        <v>262000</v>
      </c>
      <c r="R210" s="43" t="n">
        <f aca="false">IF($A92="","",IF(Q92="","",Q92+IF(O92="",0,O92)))</f>
        <v>348000</v>
      </c>
      <c r="S210" s="48"/>
      <c r="T210" s="43" t="str">
        <f aca="false">IF($A92="","",IF(R92="","",R92-IF(S92="",0,S92)))</f>
        <v/>
      </c>
      <c r="U210" s="43" t="n">
        <f aca="false">IF($A92="","",IF(I92="","",I92-SUM(J92:P92)))</f>
        <v>3000</v>
      </c>
      <c r="V210" s="6" t="s">
        <v>4978</v>
      </c>
      <c r="W210" s="9" t="s">
        <v>774</v>
      </c>
      <c r="X210" s="9" t="s">
        <v>4979</v>
      </c>
      <c r="Y210" s="9" t="s">
        <v>4897</v>
      </c>
      <c r="Z210" s="9" t="s">
        <v>4898</v>
      </c>
      <c r="AA210" s="9" t="s">
        <v>4899</v>
      </c>
    </row>
    <row r="211" customFormat="false" ht="15" hidden="false" customHeight="true" outlineLevel="0" collapsed="false">
      <c r="A211" s="6" t="s">
        <v>1417</v>
      </c>
      <c r="B211" s="6" t="s">
        <v>471</v>
      </c>
      <c r="C211" s="6" t="s">
        <v>476</v>
      </c>
      <c r="D211" s="6" t="n">
        <v>6</v>
      </c>
      <c r="E211" s="9" t="s">
        <v>4968</v>
      </c>
      <c r="F211" s="42" t="n">
        <v>81645</v>
      </c>
      <c r="G211" s="48"/>
      <c r="H211" s="48"/>
      <c r="I211" s="48"/>
      <c r="J211" s="48"/>
      <c r="K211" s="48"/>
      <c r="L211" s="48"/>
      <c r="M211" s="48"/>
      <c r="N211" s="48"/>
      <c r="O211" s="48"/>
      <c r="P211" s="48"/>
      <c r="Q211" s="43" t="n">
        <f aca="false">IF($A93="","",IF(OR(F93="",I93=""),"",F93-I93))</f>
        <v>278000</v>
      </c>
      <c r="R211" s="43" t="n">
        <f aca="false">IF($A93="","",IF(Q93="","",Q93+IF(O93="",0,O93)))</f>
        <v>361000</v>
      </c>
      <c r="S211" s="48"/>
      <c r="T211" s="43" t="str">
        <f aca="false">IF($A93="","",IF(R93="","",R93-IF(S93="",0,S93)))</f>
        <v/>
      </c>
      <c r="U211" s="43" t="n">
        <f aca="false">IF($A93="","",IF(I93="","",I93-SUM(J93:P93)))</f>
        <v>4000</v>
      </c>
      <c r="V211" s="6" t="s">
        <v>4978</v>
      </c>
      <c r="W211" s="9" t="s">
        <v>774</v>
      </c>
      <c r="X211" s="9" t="s">
        <v>4979</v>
      </c>
      <c r="Y211" s="9" t="s">
        <v>4897</v>
      </c>
      <c r="Z211" s="9" t="s">
        <v>4898</v>
      </c>
      <c r="AA211" s="9" t="s">
        <v>4899</v>
      </c>
    </row>
    <row r="212" customFormat="false" ht="15" hidden="false" customHeight="true" outlineLevel="0" collapsed="false">
      <c r="A212" s="6" t="s">
        <v>1419</v>
      </c>
      <c r="B212" s="6" t="s">
        <v>471</v>
      </c>
      <c r="C212" s="6" t="s">
        <v>476</v>
      </c>
      <c r="D212" s="6" t="n">
        <v>6</v>
      </c>
      <c r="E212" s="9" t="s">
        <v>4968</v>
      </c>
      <c r="F212" s="42" t="n">
        <v>539688</v>
      </c>
      <c r="G212" s="48"/>
      <c r="H212" s="48"/>
      <c r="I212" s="48"/>
      <c r="J212" s="48"/>
      <c r="K212" s="48"/>
      <c r="L212" s="48"/>
      <c r="M212" s="48"/>
      <c r="N212" s="48"/>
      <c r="O212" s="48"/>
      <c r="P212" s="48"/>
      <c r="Q212" s="43" t="n">
        <f aca="false">IF($A94="","",IF(OR(F94="",I94=""),"",F94-I94))</f>
        <v>143000</v>
      </c>
      <c r="R212" s="43" t="n">
        <f aca="false">IF($A94="","",IF(Q94="","",Q94+IF(O94="",0,O94)))</f>
        <v>383000</v>
      </c>
      <c r="S212" s="48"/>
      <c r="T212" s="43" t="str">
        <f aca="false">IF($A94="","",IF(R94="","",R94-IF(S94="",0,S94)))</f>
        <v/>
      </c>
      <c r="U212" s="43" t="n">
        <f aca="false">IF($A94="","",IF(I94="","",I94-SUM(J94:P94)))</f>
        <v>2000</v>
      </c>
      <c r="V212" s="6" t="s">
        <v>4978</v>
      </c>
      <c r="W212" s="9" t="s">
        <v>774</v>
      </c>
      <c r="X212" s="9" t="s">
        <v>4979</v>
      </c>
      <c r="Y212" s="9" t="s">
        <v>4897</v>
      </c>
      <c r="Z212" s="9" t="s">
        <v>4898</v>
      </c>
      <c r="AA212" s="9" t="s">
        <v>4899</v>
      </c>
    </row>
    <row r="213" customFormat="false" ht="15" hidden="false" customHeight="true" outlineLevel="0" collapsed="false">
      <c r="A213" s="6" t="s">
        <v>1421</v>
      </c>
      <c r="B213" s="6" t="s">
        <v>471</v>
      </c>
      <c r="C213" s="6" t="s">
        <v>476</v>
      </c>
      <c r="D213" s="6" t="n">
        <v>6</v>
      </c>
      <c r="E213" s="9" t="s">
        <v>4968</v>
      </c>
      <c r="F213" s="42" t="n">
        <v>105623</v>
      </c>
      <c r="G213" s="48"/>
      <c r="H213" s="48"/>
      <c r="I213" s="48"/>
      <c r="J213" s="48"/>
      <c r="K213" s="48"/>
      <c r="L213" s="48"/>
      <c r="M213" s="48"/>
      <c r="N213" s="48"/>
      <c r="O213" s="48"/>
      <c r="P213" s="48"/>
      <c r="Q213" s="43" t="n">
        <f aca="false">IF($A95="","",IF(OR(F95="",I95=""),"",F95-I95))</f>
        <v>57000</v>
      </c>
      <c r="R213" s="43" t="n">
        <f aca="false">IF($A95="","",IF(Q95="","",Q95+IF(O95="",0,O95)))</f>
        <v>257000</v>
      </c>
      <c r="S213" s="48"/>
      <c r="T213" s="43" t="str">
        <f aca="false">IF($A95="","",IF(R95="","",R95-IF(S95="",0,S95)))</f>
        <v/>
      </c>
      <c r="U213" s="43" t="n">
        <f aca="false">IF($A95="","",IF(I95="","",I95-SUM(J95:P95)))</f>
        <v>2000</v>
      </c>
      <c r="V213" s="6" t="s">
        <v>4978</v>
      </c>
      <c r="W213" s="9" t="s">
        <v>774</v>
      </c>
      <c r="X213" s="9" t="s">
        <v>4979</v>
      </c>
      <c r="Y213" s="9" t="s">
        <v>4897</v>
      </c>
      <c r="Z213" s="9" t="s">
        <v>4898</v>
      </c>
      <c r="AA213" s="9" t="s">
        <v>4899</v>
      </c>
    </row>
    <row r="214" customFormat="false" ht="15" hidden="false" customHeight="true" outlineLevel="0" collapsed="false">
      <c r="A214" s="6" t="s">
        <v>1423</v>
      </c>
      <c r="B214" s="6" t="s">
        <v>471</v>
      </c>
      <c r="C214" s="6" t="s">
        <v>476</v>
      </c>
      <c r="D214" s="6" t="n">
        <v>6</v>
      </c>
      <c r="E214" s="9" t="s">
        <v>4968</v>
      </c>
      <c r="F214" s="42" t="n">
        <v>349235</v>
      </c>
      <c r="G214" s="48"/>
      <c r="H214" s="48"/>
      <c r="I214" s="48"/>
      <c r="J214" s="48"/>
      <c r="K214" s="48"/>
      <c r="L214" s="48"/>
      <c r="M214" s="48"/>
      <c r="N214" s="48"/>
      <c r="O214" s="48"/>
      <c r="P214" s="48"/>
      <c r="Q214" s="43" t="n">
        <f aca="false">IF($A96="","",IF(OR(F96="",I96=""),"",F96-I96))</f>
        <v>1370000</v>
      </c>
      <c r="R214" s="43" t="n">
        <f aca="false">IF($A96="","",IF(Q96="","",Q96+IF(O96="",0,O96)))</f>
        <v>1623000</v>
      </c>
      <c r="S214" s="48"/>
      <c r="T214" s="43" t="str">
        <f aca="false">IF($A96="","",IF(R96="","",R96-IF(S96="",0,S96)))</f>
        <v/>
      </c>
      <c r="U214" s="43" t="n">
        <f aca="false">IF($A96="","",IF(I96="","",I96-SUM(J96:P96)))</f>
        <v>3000</v>
      </c>
      <c r="V214" s="6" t="s">
        <v>4978</v>
      </c>
      <c r="W214" s="9" t="s">
        <v>774</v>
      </c>
      <c r="X214" s="9" t="s">
        <v>4979</v>
      </c>
      <c r="Y214" s="9" t="s">
        <v>4897</v>
      </c>
      <c r="Z214" s="9" t="s">
        <v>4898</v>
      </c>
      <c r="AA214" s="9" t="s">
        <v>4899</v>
      </c>
    </row>
    <row r="215" customFormat="false" ht="15" hidden="false" customHeight="true" outlineLevel="0" collapsed="false">
      <c r="A215" s="6" t="s">
        <v>1425</v>
      </c>
      <c r="B215" s="6" t="s">
        <v>471</v>
      </c>
      <c r="C215" s="6" t="s">
        <v>476</v>
      </c>
      <c r="D215" s="6" t="n">
        <v>6</v>
      </c>
      <c r="E215" s="9" t="s">
        <v>4908</v>
      </c>
      <c r="F215" s="48" t="n">
        <v>126830</v>
      </c>
      <c r="G215" s="48"/>
      <c r="H215" s="48"/>
      <c r="I215" s="48"/>
      <c r="J215" s="48"/>
      <c r="K215" s="48"/>
      <c r="L215" s="48"/>
      <c r="M215" s="48"/>
      <c r="N215" s="48"/>
      <c r="O215" s="48"/>
      <c r="P215" s="48"/>
      <c r="Q215" s="43" t="n">
        <f aca="false">IF($A97="","",IF(OR(F97="",I97=""),"",F97-I97))</f>
        <v>155000</v>
      </c>
      <c r="R215" s="43" t="n">
        <f aca="false">IF($A97="","",IF(Q97="","",Q97+IF(O97="",0,O97)))</f>
        <v>220000</v>
      </c>
      <c r="S215" s="48"/>
      <c r="T215" s="43" t="str">
        <f aca="false">IF($A97="","",IF(R97="","",R97-IF(S97="",0,S97)))</f>
        <v/>
      </c>
      <c r="U215" s="43" t="n">
        <f aca="false">IF($A97="","",IF(I97="","",I97-SUM(J97:P97)))</f>
        <v>2000</v>
      </c>
      <c r="V215" s="6" t="s">
        <v>4978</v>
      </c>
      <c r="W215" s="9" t="s">
        <v>774</v>
      </c>
      <c r="X215" s="9" t="s">
        <v>4982</v>
      </c>
      <c r="Y215" s="9" t="s">
        <v>4897</v>
      </c>
      <c r="Z215" s="9" t="s">
        <v>4898</v>
      </c>
      <c r="AA215" s="9" t="s">
        <v>4899</v>
      </c>
    </row>
    <row r="216" customFormat="false" ht="15" hidden="false" customHeight="true" outlineLevel="0" collapsed="false">
      <c r="A216" s="6" t="s">
        <v>1427</v>
      </c>
      <c r="B216" s="6" t="s">
        <v>471</v>
      </c>
      <c r="C216" s="6" t="s">
        <v>476</v>
      </c>
      <c r="D216" s="6" t="n">
        <v>6</v>
      </c>
      <c r="E216" s="9" t="s">
        <v>4968</v>
      </c>
      <c r="F216" s="42" t="n">
        <v>91289</v>
      </c>
      <c r="G216" s="48"/>
      <c r="H216" s="48"/>
      <c r="I216" s="48"/>
      <c r="J216" s="48"/>
      <c r="K216" s="48"/>
      <c r="L216" s="48"/>
      <c r="M216" s="48"/>
      <c r="N216" s="48"/>
      <c r="O216" s="48"/>
      <c r="P216" s="48"/>
      <c r="Q216" s="43" t="n">
        <f aca="false">IF($A98="","",IF(OR(F98="",I98=""),"",F98-I98))</f>
        <v>72000</v>
      </c>
      <c r="R216" s="43" t="n">
        <f aca="false">IF($A98="","",IF(Q98="","",Q98+IF(O98="",0,O98)))</f>
        <v>5000</v>
      </c>
      <c r="S216" s="48"/>
      <c r="T216" s="43" t="str">
        <f aca="false">IF($A98="","",IF(R98="","",R98-IF(S98="",0,S98)))</f>
        <v/>
      </c>
      <c r="U216" s="43" t="n">
        <f aca="false">IF($A98="","",IF(I98="","",I98-SUM(J98:P98)))</f>
        <v>2000</v>
      </c>
      <c r="V216" s="6" t="s">
        <v>4978</v>
      </c>
      <c r="W216" s="9" t="s">
        <v>774</v>
      </c>
      <c r="X216" s="9" t="s">
        <v>4979</v>
      </c>
      <c r="Y216" s="9" t="s">
        <v>4897</v>
      </c>
      <c r="Z216" s="9" t="s">
        <v>4898</v>
      </c>
      <c r="AA216" s="9" t="s">
        <v>4899</v>
      </c>
    </row>
    <row r="217" customFormat="false" ht="15" hidden="false" customHeight="true" outlineLevel="0" collapsed="false">
      <c r="A217" s="6" t="s">
        <v>1429</v>
      </c>
      <c r="B217" s="6" t="s">
        <v>471</v>
      </c>
      <c r="C217" s="6" t="s">
        <v>476</v>
      </c>
      <c r="D217" s="6" t="n">
        <v>6</v>
      </c>
      <c r="E217" s="9" t="s">
        <v>4968</v>
      </c>
      <c r="F217" s="42" t="n">
        <v>165636</v>
      </c>
      <c r="G217" s="48"/>
      <c r="H217" s="48"/>
      <c r="I217" s="48"/>
      <c r="J217" s="48"/>
      <c r="K217" s="48"/>
      <c r="L217" s="48"/>
      <c r="M217" s="48"/>
      <c r="N217" s="48"/>
      <c r="O217" s="48"/>
      <c r="P217" s="48"/>
      <c r="Q217" s="43" t="n">
        <f aca="false">IF($A99="","",IF(OR(F99="",I99=""),"",F99-I99))</f>
        <v>118000</v>
      </c>
      <c r="R217" s="43" t="n">
        <f aca="false">IF($A99="","",IF(Q99="","",Q99+IF(O99="",0,O99)))</f>
        <v>166000</v>
      </c>
      <c r="S217" s="48"/>
      <c r="T217" s="43" t="str">
        <f aca="false">IF($A99="","",IF(R99="","",R99-IF(S99="",0,S99)))</f>
        <v/>
      </c>
      <c r="U217" s="43" t="n">
        <f aca="false">IF($A99="","",IF(I99="","",I99-SUM(J99:P99)))</f>
        <v>3000</v>
      </c>
      <c r="V217" s="6" t="s">
        <v>4978</v>
      </c>
      <c r="W217" s="9" t="s">
        <v>774</v>
      </c>
      <c r="X217" s="9" t="s">
        <v>4979</v>
      </c>
      <c r="Y217" s="9" t="s">
        <v>4897</v>
      </c>
      <c r="Z217" s="9" t="s">
        <v>4898</v>
      </c>
      <c r="AA217" s="9" t="s">
        <v>4899</v>
      </c>
    </row>
    <row r="218" customFormat="false" ht="15" hidden="false" customHeight="true" outlineLevel="0" collapsed="false">
      <c r="A218" s="6" t="s">
        <v>1432</v>
      </c>
      <c r="B218" s="6" t="s">
        <v>471</v>
      </c>
      <c r="C218" s="6" t="s">
        <v>476</v>
      </c>
      <c r="D218" s="6" t="n">
        <v>6</v>
      </c>
      <c r="E218" s="9" t="s">
        <v>4968</v>
      </c>
      <c r="F218" s="42" t="n">
        <v>42032</v>
      </c>
      <c r="G218" s="48"/>
      <c r="H218" s="48"/>
      <c r="I218" s="48"/>
      <c r="J218" s="48"/>
      <c r="K218" s="48"/>
      <c r="L218" s="48"/>
      <c r="M218" s="48"/>
      <c r="N218" s="48"/>
      <c r="O218" s="48"/>
      <c r="P218" s="48"/>
      <c r="Q218" s="43" t="n">
        <f aca="false">IF($A100="","",IF(OR(F100="",I100=""),"",F100-I100))</f>
        <v>109000</v>
      </c>
      <c r="R218" s="43" t="n">
        <f aca="false">IF($A100="","",IF(Q100="","",Q100+IF(O100="",0,O100)))</f>
        <v>136000</v>
      </c>
      <c r="S218" s="48"/>
      <c r="T218" s="43" t="str">
        <f aca="false">IF($A100="","",IF(R100="","",R100-IF(S100="",0,S100)))</f>
        <v/>
      </c>
      <c r="U218" s="43" t="n">
        <f aca="false">IF($A100="","",IF(I100="","",I100-SUM(J100:P100)))</f>
        <v>3000</v>
      </c>
      <c r="V218" s="6" t="s">
        <v>4978</v>
      </c>
      <c r="W218" s="9" t="s">
        <v>774</v>
      </c>
      <c r="X218" s="9" t="s">
        <v>4979</v>
      </c>
      <c r="Y218" s="9" t="s">
        <v>4897</v>
      </c>
      <c r="Z218" s="9" t="s">
        <v>4898</v>
      </c>
      <c r="AA218" s="9" t="s">
        <v>4899</v>
      </c>
    </row>
    <row r="219" customFormat="false" ht="15" hidden="false" customHeight="true" outlineLevel="0" collapsed="false">
      <c r="A219" s="6" t="s">
        <v>1434</v>
      </c>
      <c r="B219" s="6" t="s">
        <v>471</v>
      </c>
      <c r="C219" s="6" t="s">
        <v>476</v>
      </c>
      <c r="D219" s="6" t="n">
        <v>6</v>
      </c>
      <c r="E219" s="9" t="s">
        <v>4968</v>
      </c>
      <c r="F219" s="42" t="n">
        <v>442464</v>
      </c>
      <c r="G219" s="48"/>
      <c r="H219" s="48"/>
      <c r="I219" s="48"/>
      <c r="J219" s="48"/>
      <c r="K219" s="48"/>
      <c r="L219" s="48"/>
      <c r="M219" s="48"/>
      <c r="N219" s="48"/>
      <c r="O219" s="48"/>
      <c r="P219" s="48"/>
      <c r="Q219" s="43" t="n">
        <f aca="false">IF($A101="","",IF(OR(F101="",I101=""),"",F101-I101))</f>
        <v>949000</v>
      </c>
      <c r="R219" s="43" t="n">
        <f aca="false">IF($A101="","",IF(Q101="","",Q101+IF(O101="",0,O101)))</f>
        <v>-385000</v>
      </c>
      <c r="S219" s="48"/>
      <c r="T219" s="43" t="str">
        <f aca="false">IF($A101="","",IF(R101="","",R101-IF(S101="",0,S101)))</f>
        <v/>
      </c>
      <c r="U219" s="43" t="n">
        <f aca="false">IF($A101="","",IF(I101="","",I101-SUM(J101:P101)))</f>
        <v>2000</v>
      </c>
      <c r="V219" s="6" t="s">
        <v>4978</v>
      </c>
      <c r="W219" s="9" t="s">
        <v>774</v>
      </c>
      <c r="X219" s="9" t="s">
        <v>4979</v>
      </c>
      <c r="Y219" s="9" t="s">
        <v>4897</v>
      </c>
      <c r="Z219" s="9" t="s">
        <v>4898</v>
      </c>
      <c r="AA219" s="9" t="s">
        <v>4899</v>
      </c>
    </row>
    <row r="220" customFormat="false" ht="15" hidden="false" customHeight="true" outlineLevel="0" collapsed="false">
      <c r="A220" s="6" t="s">
        <v>1436</v>
      </c>
      <c r="B220" s="6" t="s">
        <v>471</v>
      </c>
      <c r="C220" s="6" t="s">
        <v>476</v>
      </c>
      <c r="D220" s="6" t="n">
        <v>6</v>
      </c>
      <c r="E220" s="9" t="s">
        <v>4968</v>
      </c>
      <c r="F220" s="42" t="n">
        <v>156171</v>
      </c>
      <c r="G220" s="48"/>
      <c r="H220" s="48"/>
      <c r="I220" s="48"/>
      <c r="J220" s="48"/>
      <c r="K220" s="48"/>
      <c r="L220" s="48"/>
      <c r="M220" s="48"/>
      <c r="N220" s="48"/>
      <c r="O220" s="48"/>
      <c r="P220" s="48"/>
      <c r="Q220" s="43" t="n">
        <f aca="false">IF($A102="","",IF(OR(F102="",I102=""),"",F102-I102))</f>
        <v>432000</v>
      </c>
      <c r="R220" s="43" t="n">
        <f aca="false">IF($A102="","",IF(Q102="","",Q102+IF(O102="",0,O102)))</f>
        <v>609000</v>
      </c>
      <c r="S220" s="48"/>
      <c r="T220" s="43" t="str">
        <f aca="false">IF($A102="","",IF(R102="","",R102-IF(S102="",0,S102)))</f>
        <v/>
      </c>
      <c r="U220" s="43" t="n">
        <f aca="false">IF($A102="","",IF(I102="","",I102-SUM(J102:P102)))</f>
        <v>3000</v>
      </c>
      <c r="V220" s="6" t="s">
        <v>4978</v>
      </c>
      <c r="W220" s="9" t="s">
        <v>774</v>
      </c>
      <c r="X220" s="9" t="s">
        <v>4979</v>
      </c>
      <c r="Y220" s="9" t="s">
        <v>4897</v>
      </c>
      <c r="Z220" s="9" t="s">
        <v>4898</v>
      </c>
      <c r="AA220" s="9" t="s">
        <v>4899</v>
      </c>
    </row>
    <row r="221" customFormat="false" ht="15" hidden="false" customHeight="true" outlineLevel="0" collapsed="false">
      <c r="A221" s="6" t="s">
        <v>1439</v>
      </c>
      <c r="B221" s="6" t="s">
        <v>471</v>
      </c>
      <c r="C221" s="6" t="s">
        <v>476</v>
      </c>
      <c r="D221" s="6" t="n">
        <v>6</v>
      </c>
      <c r="E221" s="9" t="s">
        <v>4968</v>
      </c>
      <c r="F221" s="42" t="n">
        <v>44870</v>
      </c>
      <c r="G221" s="48"/>
      <c r="H221" s="48"/>
      <c r="I221" s="48"/>
      <c r="J221" s="48"/>
      <c r="K221" s="48"/>
      <c r="L221" s="48"/>
      <c r="M221" s="48"/>
      <c r="N221" s="48"/>
      <c r="O221" s="48"/>
      <c r="P221" s="48"/>
      <c r="Q221" s="43" t="n">
        <f aca="false">IF($A103="","",IF(OR(F103="",I103=""),"",F103-I103))</f>
        <v>412000</v>
      </c>
      <c r="R221" s="43" t="n">
        <f aca="false">IF($A103="","",IF(Q103="","",Q103+IF(O103="",0,O103)))</f>
        <v>559000</v>
      </c>
      <c r="S221" s="48"/>
      <c r="T221" s="43" t="str">
        <f aca="false">IF($A103="","",IF(R103="","",R103-IF(S103="",0,S103)))</f>
        <v/>
      </c>
      <c r="U221" s="43" t="n">
        <f aca="false">IF($A103="","",IF(I103="","",I103-SUM(J103:P103)))</f>
        <v>3000</v>
      </c>
      <c r="V221" s="6" t="s">
        <v>4978</v>
      </c>
      <c r="W221" s="9" t="s">
        <v>774</v>
      </c>
      <c r="X221" s="6" t="s">
        <v>4984</v>
      </c>
      <c r="Y221" s="6" t="s">
        <v>4920</v>
      </c>
      <c r="Z221" s="9" t="s">
        <v>4939</v>
      </c>
      <c r="AA221" s="9" t="s">
        <v>4899</v>
      </c>
    </row>
    <row r="222" customFormat="false" ht="15" hidden="false" customHeight="true" outlineLevel="0" collapsed="false">
      <c r="A222" s="6" t="s">
        <v>1441</v>
      </c>
      <c r="B222" s="6" t="s">
        <v>471</v>
      </c>
      <c r="C222" s="6" t="s">
        <v>476</v>
      </c>
      <c r="D222" s="6" t="n">
        <v>6</v>
      </c>
      <c r="E222" s="9" t="s">
        <v>4968</v>
      </c>
      <c r="F222" s="42" t="n">
        <v>114427</v>
      </c>
      <c r="G222" s="48"/>
      <c r="H222" s="48"/>
      <c r="I222" s="48"/>
      <c r="J222" s="48"/>
      <c r="K222" s="48"/>
      <c r="L222" s="48"/>
      <c r="M222" s="48"/>
      <c r="N222" s="48"/>
      <c r="O222" s="48"/>
      <c r="P222" s="48"/>
      <c r="Q222" s="43" t="n">
        <f aca="false">IF($A104="","",IF(OR(F104="",I104=""),"",F104-I104))</f>
        <v>130000</v>
      </c>
      <c r="R222" s="43" t="n">
        <f aca="false">IF($A104="","",IF(Q104="","",Q104+IF(O104="",0,O104)))</f>
        <v>-23000</v>
      </c>
      <c r="S222" s="48"/>
      <c r="T222" s="43" t="str">
        <f aca="false">IF($A104="","",IF(R104="","",R104-IF(S104="",0,S104)))</f>
        <v/>
      </c>
      <c r="U222" s="43" t="n">
        <f aca="false">IF($A104="","",IF(I104="","",I104-SUM(J104:P104)))</f>
        <v>3000</v>
      </c>
      <c r="V222" s="6" t="s">
        <v>4978</v>
      </c>
      <c r="W222" s="9" t="s">
        <v>774</v>
      </c>
      <c r="X222" s="6" t="s">
        <v>4985</v>
      </c>
      <c r="Y222" s="6" t="s">
        <v>4920</v>
      </c>
      <c r="Z222" s="9" t="s">
        <v>4939</v>
      </c>
      <c r="AA222" s="9" t="s">
        <v>4899</v>
      </c>
    </row>
    <row r="223" customFormat="false" ht="15" hidden="false" customHeight="true" outlineLevel="0" collapsed="false">
      <c r="A223" s="6" t="s">
        <v>1444</v>
      </c>
      <c r="B223" s="6" t="s">
        <v>471</v>
      </c>
      <c r="C223" s="6" t="s">
        <v>476</v>
      </c>
      <c r="D223" s="6" t="n">
        <v>6</v>
      </c>
      <c r="E223" s="9" t="s">
        <v>4968</v>
      </c>
      <c r="F223" s="42" t="n">
        <v>144872</v>
      </c>
      <c r="G223" s="48"/>
      <c r="H223" s="48"/>
      <c r="I223" s="48"/>
      <c r="J223" s="48"/>
      <c r="K223" s="48"/>
      <c r="L223" s="48"/>
      <c r="M223" s="48"/>
      <c r="N223" s="48"/>
      <c r="O223" s="48"/>
      <c r="P223" s="48"/>
      <c r="Q223" s="43" t="n">
        <f aca="false">IF($A105="","",IF(OR(F105="",I105=""),"",F105-I105))</f>
        <v>207000</v>
      </c>
      <c r="R223" s="43" t="n">
        <f aca="false">IF($A105="","",IF(Q105="","",Q105+IF(O105="",0,O105)))</f>
        <v>-820000</v>
      </c>
      <c r="S223" s="48"/>
      <c r="T223" s="43" t="str">
        <f aca="false">IF($A105="","",IF(R105="","",R105-IF(S105="",0,S105)))</f>
        <v/>
      </c>
      <c r="U223" s="43" t="n">
        <f aca="false">IF($A105="","",IF(I105="","",I105-SUM(J105:P105)))</f>
        <v>1363000</v>
      </c>
      <c r="V223" s="6" t="s">
        <v>4978</v>
      </c>
      <c r="W223" s="9" t="s">
        <v>774</v>
      </c>
      <c r="X223" s="9" t="s">
        <v>4979</v>
      </c>
      <c r="Y223" s="9" t="s">
        <v>4897</v>
      </c>
      <c r="Z223" s="9" t="s">
        <v>4898</v>
      </c>
      <c r="AA223" s="9" t="s">
        <v>4899</v>
      </c>
    </row>
    <row r="224" customFormat="false" ht="15" hidden="false" customHeight="true" outlineLevel="0" collapsed="false">
      <c r="A224" s="6" t="s">
        <v>1446</v>
      </c>
      <c r="B224" s="6" t="s">
        <v>471</v>
      </c>
      <c r="C224" s="6" t="s">
        <v>476</v>
      </c>
      <c r="D224" s="6" t="n">
        <v>6</v>
      </c>
      <c r="E224" s="9" t="s">
        <v>4968</v>
      </c>
      <c r="F224" s="42" t="n">
        <v>190037</v>
      </c>
      <c r="G224" s="48"/>
      <c r="H224" s="48"/>
      <c r="I224" s="48"/>
      <c r="J224" s="48"/>
      <c r="K224" s="48"/>
      <c r="L224" s="48"/>
      <c r="M224" s="48"/>
      <c r="N224" s="48"/>
      <c r="O224" s="48"/>
      <c r="P224" s="48"/>
      <c r="Q224" s="43" t="n">
        <f aca="false">IF($A106="","",IF(OR(F106="",I106=""),"",F106-I106))</f>
        <v>107000</v>
      </c>
      <c r="R224" s="43" t="n">
        <f aca="false">IF($A106="","",IF(Q106="","",Q106+IF(O106="",0,O106)))</f>
        <v>135000</v>
      </c>
      <c r="S224" s="48"/>
      <c r="T224" s="43" t="str">
        <f aca="false">IF($A106="","",IF(R106="","",R106-IF(S106="",0,S106)))</f>
        <v/>
      </c>
      <c r="U224" s="43" t="n">
        <f aca="false">IF($A106="","",IF(I106="","",I106-SUM(J106:P106)))</f>
        <v>1000</v>
      </c>
      <c r="V224" s="6" t="s">
        <v>4978</v>
      </c>
      <c r="W224" s="9" t="s">
        <v>774</v>
      </c>
      <c r="X224" s="9" t="s">
        <v>4979</v>
      </c>
      <c r="Y224" s="9" t="s">
        <v>4897</v>
      </c>
      <c r="Z224" s="9" t="s">
        <v>4898</v>
      </c>
      <c r="AA224" s="9" t="s">
        <v>4899</v>
      </c>
    </row>
    <row r="225" customFormat="false" ht="15" hidden="false" customHeight="true" outlineLevel="0" collapsed="false">
      <c r="A225" s="6" t="s">
        <v>1448</v>
      </c>
      <c r="B225" s="6" t="s">
        <v>471</v>
      </c>
      <c r="C225" s="6" t="s">
        <v>476</v>
      </c>
      <c r="D225" s="6" t="n">
        <v>6</v>
      </c>
      <c r="E225" s="9" t="s">
        <v>4968</v>
      </c>
      <c r="F225" s="42" t="n">
        <v>90416</v>
      </c>
      <c r="G225" s="48"/>
      <c r="H225" s="48"/>
      <c r="I225" s="48"/>
      <c r="J225" s="48"/>
      <c r="K225" s="48"/>
      <c r="L225" s="48"/>
      <c r="M225" s="48"/>
      <c r="N225" s="48"/>
      <c r="O225" s="48"/>
      <c r="P225" s="48"/>
      <c r="Q225" s="43" t="n">
        <f aca="false">IF($A107="","",IF(OR(F107="",I107=""),"",F107-I107))</f>
        <v>328000</v>
      </c>
      <c r="R225" s="43" t="n">
        <f aca="false">IF($A107="","",IF(Q107="","",Q107+IF(O107="",0,O107)))</f>
        <v>460000</v>
      </c>
      <c r="S225" s="48"/>
      <c r="T225" s="43" t="str">
        <f aca="false">IF($A107="","",IF(R107="","",R107-IF(S107="",0,S107)))</f>
        <v/>
      </c>
      <c r="U225" s="43" t="n">
        <f aca="false">IF($A107="","",IF(I107="","",I107-SUM(J107:P107)))</f>
        <v>3000</v>
      </c>
      <c r="V225" s="6" t="s">
        <v>4978</v>
      </c>
      <c r="W225" s="9" t="s">
        <v>774</v>
      </c>
      <c r="X225" s="9" t="s">
        <v>4979</v>
      </c>
      <c r="Y225" s="9" t="s">
        <v>4897</v>
      </c>
      <c r="Z225" s="9" t="s">
        <v>4898</v>
      </c>
      <c r="AA225" s="9" t="s">
        <v>4899</v>
      </c>
    </row>
    <row r="226" customFormat="false" ht="15" hidden="false" customHeight="true" outlineLevel="0" collapsed="false">
      <c r="A226" s="6" t="s">
        <v>1450</v>
      </c>
      <c r="B226" s="6" t="s">
        <v>471</v>
      </c>
      <c r="C226" s="6" t="s">
        <v>476</v>
      </c>
      <c r="D226" s="6" t="n">
        <v>6</v>
      </c>
      <c r="E226" s="9" t="s">
        <v>4968</v>
      </c>
      <c r="F226" s="42" t="n">
        <v>712284</v>
      </c>
      <c r="G226" s="48"/>
      <c r="H226" s="48"/>
      <c r="I226" s="48"/>
      <c r="J226" s="48"/>
      <c r="K226" s="48"/>
      <c r="L226" s="48"/>
      <c r="M226" s="48"/>
      <c r="N226" s="48"/>
      <c r="O226" s="48"/>
      <c r="P226" s="48"/>
      <c r="Q226" s="43" t="n">
        <f aca="false">IF($A108="","",IF(OR(F108="",I108=""),"",F108-I108))</f>
        <v>217000</v>
      </c>
      <c r="R226" s="43" t="n">
        <f aca="false">IF($A108="","",IF(Q108="","",Q108+IF(O108="",0,O108)))</f>
        <v>275000</v>
      </c>
      <c r="S226" s="48"/>
      <c r="T226" s="43" t="str">
        <f aca="false">IF($A108="","",IF(R108="","",R108-IF(S108="",0,S108)))</f>
        <v/>
      </c>
      <c r="U226" s="43" t="n">
        <f aca="false">IF($A108="","",IF(I108="","",I108-SUM(J108:P108)))</f>
        <v>2000</v>
      </c>
      <c r="V226" s="6" t="s">
        <v>4978</v>
      </c>
      <c r="W226" s="9" t="s">
        <v>774</v>
      </c>
      <c r="X226" s="9" t="s">
        <v>4979</v>
      </c>
      <c r="Y226" s="9" t="s">
        <v>4897</v>
      </c>
      <c r="Z226" s="9" t="s">
        <v>4898</v>
      </c>
      <c r="AA226" s="9" t="s">
        <v>4899</v>
      </c>
    </row>
    <row r="227" customFormat="false" ht="15" hidden="false" customHeight="true" outlineLevel="0" collapsed="false">
      <c r="A227" s="6" t="s">
        <v>1453</v>
      </c>
      <c r="B227" s="6" t="s">
        <v>471</v>
      </c>
      <c r="C227" s="6" t="s">
        <v>476</v>
      </c>
      <c r="D227" s="6" t="n">
        <v>6</v>
      </c>
      <c r="E227" s="9" t="s">
        <v>4968</v>
      </c>
      <c r="F227" s="42" t="n">
        <v>161218</v>
      </c>
      <c r="G227" s="48"/>
      <c r="H227" s="48"/>
      <c r="I227" s="48"/>
      <c r="J227" s="48"/>
      <c r="K227" s="48"/>
      <c r="L227" s="48"/>
      <c r="M227" s="48"/>
      <c r="N227" s="48"/>
      <c r="O227" s="48"/>
      <c r="P227" s="48"/>
      <c r="Q227" s="43" t="n">
        <f aca="false">IF($A109="","",IF(OR(F109="",I109=""),"",F109-I109))</f>
        <v>122000</v>
      </c>
      <c r="R227" s="43" t="n">
        <f aca="false">IF($A109="","",IF(Q109="","",Q109+IF(O109="",0,O109)))</f>
        <v>152000</v>
      </c>
      <c r="S227" s="48"/>
      <c r="T227" s="43" t="str">
        <f aca="false">IF($A109="","",IF(R109="","",R109-IF(S109="",0,S109)))</f>
        <v/>
      </c>
      <c r="U227" s="43" t="n">
        <f aca="false">IF($A109="","",IF(I109="","",I109-SUM(J109:P109)))</f>
        <v>2000</v>
      </c>
      <c r="V227" s="6" t="s">
        <v>4978</v>
      </c>
      <c r="W227" s="9" t="s">
        <v>774</v>
      </c>
      <c r="X227" s="9" t="s">
        <v>4979</v>
      </c>
      <c r="Y227" s="9" t="s">
        <v>4897</v>
      </c>
      <c r="Z227" s="9" t="s">
        <v>4898</v>
      </c>
      <c r="AA227" s="9" t="s">
        <v>4899</v>
      </c>
    </row>
    <row r="228" customFormat="false" ht="15" hidden="false" customHeight="true" outlineLevel="0" collapsed="false">
      <c r="A228" s="6" t="s">
        <v>1455</v>
      </c>
      <c r="B228" s="6" t="s">
        <v>471</v>
      </c>
      <c r="C228" s="6" t="s">
        <v>476</v>
      </c>
      <c r="D228" s="6" t="n">
        <v>6</v>
      </c>
      <c r="E228" s="9" t="s">
        <v>4968</v>
      </c>
      <c r="F228" s="42" t="n">
        <v>141501</v>
      </c>
      <c r="G228" s="48"/>
      <c r="H228" s="48"/>
      <c r="I228" s="48"/>
      <c r="J228" s="48"/>
      <c r="K228" s="48"/>
      <c r="L228" s="48"/>
      <c r="M228" s="48"/>
      <c r="N228" s="48"/>
      <c r="O228" s="48"/>
      <c r="P228" s="48"/>
      <c r="Q228" s="43" t="n">
        <f aca="false">IF($A110="","",IF(OR(F110="",I110=""),"",F110-I110))</f>
        <v>129000</v>
      </c>
      <c r="R228" s="43" t="n">
        <f aca="false">IF($A110="","",IF(Q110="","",Q110+IF(O110="",0,O110)))</f>
        <v>17000</v>
      </c>
      <c r="S228" s="48"/>
      <c r="T228" s="43" t="str">
        <f aca="false">IF($A110="","",IF(R110="","",R110-IF(S110="",0,S110)))</f>
        <v/>
      </c>
      <c r="U228" s="43" t="n">
        <f aca="false">IF($A110="","",IF(I110="","",I110-SUM(J110:P110)))</f>
        <v>2000</v>
      </c>
      <c r="V228" s="6" t="s">
        <v>4978</v>
      </c>
      <c r="W228" s="9" t="s">
        <v>774</v>
      </c>
      <c r="X228" s="9" t="s">
        <v>4979</v>
      </c>
      <c r="Y228" s="9" t="s">
        <v>4897</v>
      </c>
      <c r="Z228" s="9" t="s">
        <v>4898</v>
      </c>
      <c r="AA228" s="9" t="s">
        <v>4899</v>
      </c>
    </row>
    <row r="229" customFormat="false" ht="15" hidden="false" customHeight="true" outlineLevel="0" collapsed="false">
      <c r="A229" s="6" t="s">
        <v>1457</v>
      </c>
      <c r="B229" s="6" t="s">
        <v>471</v>
      </c>
      <c r="C229" s="6" t="s">
        <v>476</v>
      </c>
      <c r="D229" s="6" t="n">
        <v>6</v>
      </c>
      <c r="E229" s="9" t="s">
        <v>4968</v>
      </c>
      <c r="F229" s="42" t="n">
        <v>1110272</v>
      </c>
      <c r="G229" s="48"/>
      <c r="H229" s="48"/>
      <c r="I229" s="48"/>
      <c r="J229" s="48"/>
      <c r="K229" s="48"/>
      <c r="L229" s="48"/>
      <c r="M229" s="48"/>
      <c r="N229" s="48"/>
      <c r="O229" s="48"/>
      <c r="P229" s="48"/>
      <c r="Q229" s="43" t="n">
        <f aca="false">IF($A111="","",IF(OR(F111="",I111=""),"",F111-I111))</f>
        <v>480000</v>
      </c>
      <c r="R229" s="43" t="n">
        <f aca="false">IF($A111="","",IF(Q111="","",Q111+IF(O111="",0,O111)))</f>
        <v>480000</v>
      </c>
      <c r="S229" s="48"/>
      <c r="T229" s="43" t="str">
        <f aca="false">IF($A111="","",IF(R111="","",R111-IF(S111="",0,S111)))</f>
        <v/>
      </c>
      <c r="U229" s="43" t="n">
        <f aca="false">IF($A111="","",IF(I111="","",I111-SUM(J111:P111)))</f>
        <v>0</v>
      </c>
      <c r="V229" s="6" t="s">
        <v>4978</v>
      </c>
      <c r="W229" s="9" t="s">
        <v>774</v>
      </c>
      <c r="X229" s="9" t="s">
        <v>4979</v>
      </c>
      <c r="Y229" s="9" t="s">
        <v>4897</v>
      </c>
      <c r="Z229" s="9" t="s">
        <v>4898</v>
      </c>
      <c r="AA229" s="9" t="s">
        <v>4899</v>
      </c>
    </row>
    <row r="230" customFormat="false" ht="15" hidden="false" customHeight="true" outlineLevel="0" collapsed="false">
      <c r="A230" s="6" t="s">
        <v>1459</v>
      </c>
      <c r="B230" s="6" t="s">
        <v>471</v>
      </c>
      <c r="C230" s="6" t="s">
        <v>476</v>
      </c>
      <c r="D230" s="6" t="n">
        <v>6</v>
      </c>
      <c r="E230" s="9" t="s">
        <v>4968</v>
      </c>
      <c r="F230" s="42" t="n">
        <v>81789</v>
      </c>
      <c r="G230" s="48"/>
      <c r="H230" s="48"/>
      <c r="I230" s="48"/>
      <c r="J230" s="48"/>
      <c r="K230" s="48"/>
      <c r="L230" s="48"/>
      <c r="M230" s="48"/>
      <c r="N230" s="48"/>
      <c r="O230" s="48"/>
      <c r="P230" s="48"/>
      <c r="Q230" s="43" t="n">
        <f aca="false">IF($A112="","",IF(OR(F112="",I112=""),"",F112-I112))</f>
        <v>240000</v>
      </c>
      <c r="R230" s="43" t="n">
        <f aca="false">IF($A112="","",IF(Q112="","",Q112+IF(O112="",0,O112)))</f>
        <v>896000</v>
      </c>
      <c r="S230" s="48"/>
      <c r="T230" s="43" t="str">
        <f aca="false">IF($A112="","",IF(R112="","",R112-IF(S112="",0,S112)))</f>
        <v/>
      </c>
      <c r="U230" s="43" t="n">
        <f aca="false">IF($A112="","",IF(I112="","",I112-SUM(J112:P112)))</f>
        <v>2000</v>
      </c>
      <c r="V230" s="6" t="s">
        <v>4978</v>
      </c>
      <c r="W230" s="9" t="s">
        <v>774</v>
      </c>
      <c r="X230" s="9" t="s">
        <v>4979</v>
      </c>
      <c r="Y230" s="9" t="s">
        <v>4897</v>
      </c>
      <c r="Z230" s="9" t="s">
        <v>4898</v>
      </c>
      <c r="AA230" s="9" t="s">
        <v>4899</v>
      </c>
    </row>
    <row r="231" customFormat="false" ht="15" hidden="false" customHeight="true" outlineLevel="0" collapsed="false">
      <c r="A231" s="6" t="s">
        <v>1461</v>
      </c>
      <c r="B231" s="6" t="s">
        <v>471</v>
      </c>
      <c r="C231" s="6" t="s">
        <v>476</v>
      </c>
      <c r="D231" s="6" t="n">
        <v>6</v>
      </c>
      <c r="E231" s="9" t="s">
        <v>4968</v>
      </c>
      <c r="F231" s="42" t="n">
        <v>77739</v>
      </c>
      <c r="G231" s="48"/>
      <c r="H231" s="48"/>
      <c r="I231" s="48"/>
      <c r="J231" s="48"/>
      <c r="K231" s="48"/>
      <c r="L231" s="48"/>
      <c r="M231" s="48"/>
      <c r="N231" s="48"/>
      <c r="O231" s="48"/>
      <c r="P231" s="48"/>
      <c r="Q231" s="43" t="n">
        <f aca="false">IF($A113="","",IF(OR(F113="",I113=""),"",F113-I113))</f>
        <v>414000</v>
      </c>
      <c r="R231" s="43" t="n">
        <f aca="false">IF($A113="","",IF(Q113="","",Q113+IF(O113="",0,O113)))</f>
        <v>532000</v>
      </c>
      <c r="S231" s="48"/>
      <c r="T231" s="43" t="str">
        <f aca="false">IF($A113="","",IF(R113="","",R113-IF(S113="",0,S113)))</f>
        <v/>
      </c>
      <c r="U231" s="43" t="n">
        <f aca="false">IF($A113="","",IF(I113="","",I113-SUM(J113:P113)))</f>
        <v>2000</v>
      </c>
      <c r="V231" s="6" t="s">
        <v>4978</v>
      </c>
      <c r="W231" s="9" t="s">
        <v>774</v>
      </c>
      <c r="X231" s="9" t="s">
        <v>4979</v>
      </c>
      <c r="Y231" s="9" t="s">
        <v>4897</v>
      </c>
      <c r="Z231" s="9" t="s">
        <v>4898</v>
      </c>
      <c r="AA231" s="9" t="s">
        <v>4899</v>
      </c>
    </row>
    <row r="232" customFormat="false" ht="15" hidden="false" customHeight="true" outlineLevel="0" collapsed="false">
      <c r="A232" s="6" t="s">
        <v>1463</v>
      </c>
      <c r="B232" s="6" t="s">
        <v>471</v>
      </c>
      <c r="C232" s="6" t="s">
        <v>476</v>
      </c>
      <c r="D232" s="6" t="n">
        <v>6</v>
      </c>
      <c r="E232" s="9" t="s">
        <v>4968</v>
      </c>
      <c r="F232" s="42" t="n">
        <v>414499</v>
      </c>
      <c r="G232" s="48"/>
      <c r="H232" s="48"/>
      <c r="I232" s="48"/>
      <c r="J232" s="48"/>
      <c r="K232" s="48"/>
      <c r="L232" s="48"/>
      <c r="M232" s="48"/>
      <c r="N232" s="48"/>
      <c r="O232" s="48"/>
      <c r="P232" s="48"/>
      <c r="Q232" s="43" t="n">
        <f aca="false">IF($A114="","",IF(OR(F114="",I114=""),"",F114-I114))</f>
        <v>409000</v>
      </c>
      <c r="R232" s="43" t="n">
        <f aca="false">IF($A114="","",IF(Q114="","",Q114+IF(O114="",0,O114)))</f>
        <v>595000</v>
      </c>
      <c r="S232" s="48"/>
      <c r="T232" s="43" t="str">
        <f aca="false">IF($A114="","",IF(R114="","",R114-IF(S114="",0,S114)))</f>
        <v/>
      </c>
      <c r="U232" s="43" t="n">
        <f aca="false">IF($A114="","",IF(I114="","",I114-SUM(J114:P114)))</f>
        <v>3000</v>
      </c>
      <c r="V232" s="6" t="s">
        <v>4978</v>
      </c>
      <c r="W232" s="9" t="s">
        <v>774</v>
      </c>
      <c r="X232" s="9" t="s">
        <v>4979</v>
      </c>
      <c r="Y232" s="9" t="s">
        <v>4897</v>
      </c>
      <c r="Z232" s="9" t="s">
        <v>4898</v>
      </c>
      <c r="AA232" s="9" t="s">
        <v>4899</v>
      </c>
    </row>
    <row r="233" customFormat="false" ht="15" hidden="false" customHeight="true" outlineLevel="0" collapsed="false">
      <c r="A233" s="6" t="s">
        <v>1465</v>
      </c>
      <c r="B233" s="6" t="s">
        <v>478</v>
      </c>
      <c r="C233" s="6" t="s">
        <v>485</v>
      </c>
      <c r="D233" s="6" t="n">
        <v>6</v>
      </c>
      <c r="E233" s="9" t="s">
        <v>4894</v>
      </c>
      <c r="F233" s="6" t="n">
        <v>8179798</v>
      </c>
      <c r="G233" s="6" t="n">
        <v>7602246</v>
      </c>
      <c r="H233" s="6" t="n">
        <v>577551</v>
      </c>
      <c r="I233" s="6" t="n">
        <v>3240617</v>
      </c>
      <c r="J233" s="6" t="n">
        <v>719504</v>
      </c>
      <c r="K233" s="6" t="n">
        <v>517048</v>
      </c>
      <c r="L233" s="6" t="n">
        <v>767422</v>
      </c>
      <c r="M233" s="6" t="n">
        <v>25230</v>
      </c>
      <c r="N233" s="6" t="n">
        <v>126600</v>
      </c>
      <c r="O233" s="6" t="n">
        <v>999845</v>
      </c>
      <c r="P233" s="6" t="n">
        <v>84966</v>
      </c>
      <c r="Q233" s="1" t="n">
        <f aca="false">IF($A385="","",IF(OR(F385="",I385=""),"",F385-I385))</f>
        <v>-3051243</v>
      </c>
      <c r="R233" s="1" t="str">
        <f aca="false">IF($A385="","",IF(Q385="","",Q385+IF(O385="",0,O385)))</f>
        <v/>
      </c>
      <c r="S233" s="6" t="n">
        <v>1979864</v>
      </c>
      <c r="T233" s="1" t="n">
        <f aca="false">IF($A385="","",IF(R385="","",R385-IF(S385="",0,S385)))</f>
        <v>-609864</v>
      </c>
      <c r="U233" s="1" t="n">
        <f aca="false">IF($A385="","",IF(I385="","",I385-SUM(J385:P385)))</f>
        <v>2</v>
      </c>
      <c r="V233" s="6" t="s">
        <v>4986</v>
      </c>
      <c r="W233" s="9" t="s">
        <v>767</v>
      </c>
      <c r="X233" s="9" t="s">
        <v>4987</v>
      </c>
      <c r="Y233" s="9" t="s">
        <v>4897</v>
      </c>
      <c r="Z233" s="9" t="s">
        <v>4898</v>
      </c>
      <c r="AA233" s="9" t="s">
        <v>4899</v>
      </c>
    </row>
    <row r="234" customFormat="false" ht="15" hidden="false" customHeight="true" outlineLevel="0" collapsed="false">
      <c r="A234" s="6" t="s">
        <v>1470</v>
      </c>
      <c r="B234" s="6" t="s">
        <v>478</v>
      </c>
      <c r="C234" s="6" t="s">
        <v>485</v>
      </c>
      <c r="D234" s="6" t="n">
        <v>6</v>
      </c>
      <c r="E234" s="9" t="s">
        <v>4988</v>
      </c>
      <c r="F234" s="42" t="n">
        <v>138858</v>
      </c>
      <c r="G234" s="48"/>
      <c r="H234" s="48"/>
      <c r="I234" s="48"/>
      <c r="J234" s="48"/>
      <c r="K234" s="48"/>
      <c r="L234" s="48"/>
      <c r="M234" s="48"/>
      <c r="N234" s="48"/>
      <c r="O234" s="48"/>
      <c r="P234" s="48"/>
      <c r="Q234" s="43" t="str">
        <f aca="false">IF($A297="","",IF(OR(F297="",I297=""),"",F297-I297))</f>
        <v/>
      </c>
      <c r="R234" s="43" t="n">
        <f aca="false">IF($A297="","",IF(Q297="","",Q297+IF(O297="",0,O297)))</f>
        <v>340331</v>
      </c>
      <c r="S234" s="48"/>
      <c r="T234" s="43" t="n">
        <f aca="false">IF($A297="","",IF(R297="","",R297-IF(S297="",0,S297)))</f>
        <v>221579</v>
      </c>
      <c r="U234" s="43" t="str">
        <f aca="false">IF($A297="","",IF(I297="","",I297-SUM(J297:P297)))</f>
        <v/>
      </c>
      <c r="V234" s="6" t="s">
        <v>4989</v>
      </c>
      <c r="W234" s="9" t="s">
        <v>774</v>
      </c>
      <c r="X234" s="9" t="s">
        <v>4990</v>
      </c>
      <c r="Y234" s="9" t="s">
        <v>4897</v>
      </c>
      <c r="Z234" s="9" t="s">
        <v>4898</v>
      </c>
      <c r="AA234" s="9" t="s">
        <v>4899</v>
      </c>
    </row>
    <row r="235" customFormat="false" ht="15" hidden="false" customHeight="true" outlineLevel="0" collapsed="false">
      <c r="A235" s="6" t="s">
        <v>1473</v>
      </c>
      <c r="B235" s="6" t="s">
        <v>478</v>
      </c>
      <c r="C235" s="6" t="s">
        <v>485</v>
      </c>
      <c r="D235" s="6" t="n">
        <v>6</v>
      </c>
      <c r="E235" s="9" t="s">
        <v>4988</v>
      </c>
      <c r="F235" s="42" t="n">
        <v>129629</v>
      </c>
      <c r="G235" s="48"/>
      <c r="H235" s="48"/>
      <c r="I235" s="48"/>
      <c r="J235" s="48"/>
      <c r="K235" s="48"/>
      <c r="L235" s="48"/>
      <c r="M235" s="48"/>
      <c r="N235" s="48"/>
      <c r="O235" s="48"/>
      <c r="P235" s="48"/>
      <c r="Q235" s="43" t="str">
        <f aca="false">IF($A298="","",IF(OR(F298="",I298=""),"",F298-I298))</f>
        <v/>
      </c>
      <c r="R235" s="43" t="n">
        <f aca="false">IF($A298="","",IF(Q298="","",Q298+IF(O298="",0,O298)))</f>
        <v>447545</v>
      </c>
      <c r="S235" s="48"/>
      <c r="T235" s="43" t="n">
        <f aca="false">IF($A298="","",IF(R298="","",R298-IF(S298="",0,S298)))</f>
        <v>351844</v>
      </c>
      <c r="U235" s="43" t="str">
        <f aca="false">IF($A298="","",IF(I298="","",I298-SUM(J298:P298)))</f>
        <v/>
      </c>
      <c r="V235" s="6" t="s">
        <v>4989</v>
      </c>
      <c r="W235" s="9" t="s">
        <v>774</v>
      </c>
      <c r="X235" s="9" t="s">
        <v>4990</v>
      </c>
      <c r="Y235" s="9" t="s">
        <v>4897</v>
      </c>
      <c r="Z235" s="9" t="s">
        <v>4898</v>
      </c>
      <c r="AA235" s="9" t="s">
        <v>4899</v>
      </c>
    </row>
    <row r="236" customFormat="false" ht="15" hidden="false" customHeight="true" outlineLevel="0" collapsed="false">
      <c r="A236" s="6" t="s">
        <v>1476</v>
      </c>
      <c r="B236" s="6" t="s">
        <v>478</v>
      </c>
      <c r="C236" s="6" t="s">
        <v>485</v>
      </c>
      <c r="D236" s="6" t="n">
        <v>6</v>
      </c>
      <c r="E236" s="9" t="s">
        <v>4988</v>
      </c>
      <c r="F236" s="42" t="n">
        <v>86973</v>
      </c>
      <c r="G236" s="48"/>
      <c r="H236" s="48"/>
      <c r="I236" s="48"/>
      <c r="J236" s="48"/>
      <c r="K236" s="48"/>
      <c r="L236" s="48"/>
      <c r="M236" s="48"/>
      <c r="N236" s="48"/>
      <c r="O236" s="48"/>
      <c r="P236" s="48"/>
      <c r="Q236" s="43" t="str">
        <f aca="false">IF($A299="","",IF(OR(F299="",I299=""),"",F299-I299))</f>
        <v/>
      </c>
      <c r="R236" s="43" t="n">
        <f aca="false">IF($A299="","",IF(Q299="","",Q299+IF(O299="",0,O299)))</f>
        <v>674637</v>
      </c>
      <c r="S236" s="48"/>
      <c r="T236" s="43" t="n">
        <f aca="false">IF($A299="","",IF(R299="","",R299-IF(S299="",0,S299)))</f>
        <v>229378</v>
      </c>
      <c r="U236" s="43" t="str">
        <f aca="false">IF($A299="","",IF(I299="","",I299-SUM(J299:P299)))</f>
        <v/>
      </c>
      <c r="V236" s="6" t="s">
        <v>4989</v>
      </c>
      <c r="W236" s="9" t="s">
        <v>774</v>
      </c>
      <c r="X236" s="9" t="s">
        <v>4990</v>
      </c>
      <c r="Y236" s="9" t="s">
        <v>4897</v>
      </c>
      <c r="Z236" s="9" t="s">
        <v>4898</v>
      </c>
      <c r="AA236" s="9" t="s">
        <v>4899</v>
      </c>
    </row>
    <row r="237" customFormat="false" ht="15" hidden="false" customHeight="true" outlineLevel="0" collapsed="false">
      <c r="A237" s="6" t="s">
        <v>1479</v>
      </c>
      <c r="B237" s="6" t="s">
        <v>478</v>
      </c>
      <c r="C237" s="6" t="s">
        <v>485</v>
      </c>
      <c r="D237" s="6" t="n">
        <v>6</v>
      </c>
      <c r="E237" s="9" t="s">
        <v>4988</v>
      </c>
      <c r="F237" s="42" t="n">
        <v>61142</v>
      </c>
      <c r="G237" s="48"/>
      <c r="H237" s="48"/>
      <c r="I237" s="48"/>
      <c r="J237" s="48"/>
      <c r="K237" s="48"/>
      <c r="L237" s="48"/>
      <c r="M237" s="48"/>
      <c r="N237" s="48"/>
      <c r="O237" s="48"/>
      <c r="P237" s="48"/>
      <c r="Q237" s="43" t="str">
        <f aca="false">IF($A300="","",IF(OR(F300="",I300=""),"",F300-I300))</f>
        <v/>
      </c>
      <c r="R237" s="43" t="n">
        <f aca="false">IF($A300="","",IF(Q300="","",Q300+IF(O300="",0,O300)))</f>
        <v>306028</v>
      </c>
      <c r="S237" s="48"/>
      <c r="T237" s="43" t="n">
        <f aca="false">IF($A300="","",IF(R300="","",R300-IF(S300="",0,S300)))</f>
        <v>167837</v>
      </c>
      <c r="U237" s="43" t="str">
        <f aca="false">IF($A300="","",IF(I300="","",I300-SUM(J300:P300)))</f>
        <v/>
      </c>
      <c r="V237" s="6" t="s">
        <v>4989</v>
      </c>
      <c r="W237" s="9" t="s">
        <v>774</v>
      </c>
      <c r="X237" s="9" t="s">
        <v>4990</v>
      </c>
      <c r="Y237" s="9" t="s">
        <v>4897</v>
      </c>
      <c r="Z237" s="9" t="s">
        <v>4898</v>
      </c>
      <c r="AA237" s="9" t="s">
        <v>4899</v>
      </c>
    </row>
    <row r="238" customFormat="false" ht="15" hidden="false" customHeight="true" outlineLevel="0" collapsed="false">
      <c r="A238" s="6" t="s">
        <v>1482</v>
      </c>
      <c r="B238" s="6" t="s">
        <v>478</v>
      </c>
      <c r="C238" s="6" t="s">
        <v>485</v>
      </c>
      <c r="D238" s="6" t="n">
        <v>6</v>
      </c>
      <c r="E238" s="9" t="s">
        <v>4988</v>
      </c>
      <c r="F238" s="42" t="n">
        <v>68442</v>
      </c>
      <c r="G238" s="48"/>
      <c r="H238" s="48"/>
      <c r="I238" s="48"/>
      <c r="J238" s="48"/>
      <c r="K238" s="48"/>
      <c r="L238" s="48"/>
      <c r="M238" s="48"/>
      <c r="N238" s="48"/>
      <c r="O238" s="48"/>
      <c r="P238" s="48"/>
      <c r="Q238" s="43" t="str">
        <f aca="false">IF($A301="","",IF(OR(F301="",I301=""),"",F301-I301))</f>
        <v/>
      </c>
      <c r="R238" s="43" t="n">
        <f aca="false">IF($A301="","",IF(Q301="","",Q301+IF(O301="",0,O301)))</f>
        <v>965308</v>
      </c>
      <c r="S238" s="48"/>
      <c r="T238" s="43" t="n">
        <f aca="false">IF($A301="","",IF(R301="","",R301-IF(S301="",0,S301)))</f>
        <v>298954</v>
      </c>
      <c r="U238" s="43" t="str">
        <f aca="false">IF($A301="","",IF(I301="","",I301-SUM(J301:P301)))</f>
        <v/>
      </c>
      <c r="V238" s="6" t="s">
        <v>4989</v>
      </c>
      <c r="W238" s="9" t="s">
        <v>774</v>
      </c>
      <c r="X238" s="9" t="s">
        <v>4990</v>
      </c>
      <c r="Y238" s="9" t="s">
        <v>4897</v>
      </c>
      <c r="Z238" s="9" t="s">
        <v>4898</v>
      </c>
      <c r="AA238" s="9" t="s">
        <v>4899</v>
      </c>
    </row>
    <row r="239" customFormat="false" ht="15" hidden="false" customHeight="true" outlineLevel="0" collapsed="false">
      <c r="A239" s="6" t="s">
        <v>1485</v>
      </c>
      <c r="B239" s="6" t="s">
        <v>478</v>
      </c>
      <c r="C239" s="6" t="s">
        <v>485</v>
      </c>
      <c r="D239" s="6" t="n">
        <v>6</v>
      </c>
      <c r="E239" s="9" t="s">
        <v>4988</v>
      </c>
      <c r="F239" s="6" t="n">
        <v>53023</v>
      </c>
      <c r="Q239" s="1" t="str">
        <f aca="false">IF($A302="","",IF(OR(F302="",I302=""),"",F302-I302))</f>
        <v/>
      </c>
      <c r="R239" s="1" t="n">
        <f aca="false">IF($A302="","",IF(Q302="","",Q302+IF(O302="",0,O302)))</f>
        <v>311948</v>
      </c>
      <c r="T239" s="1" t="n">
        <f aca="false">IF($A302="","",IF(R302="","",R302-IF(S302="",0,S302)))</f>
        <v>131731</v>
      </c>
      <c r="U239" s="1" t="str">
        <f aca="false">IF($A302="","",IF(I302="","",I302-SUM(J302:P302)))</f>
        <v/>
      </c>
      <c r="V239" s="6" t="s">
        <v>4989</v>
      </c>
      <c r="W239" s="9" t="s">
        <v>774</v>
      </c>
      <c r="X239" s="9" t="s">
        <v>4990</v>
      </c>
      <c r="Y239" s="9" t="s">
        <v>4897</v>
      </c>
      <c r="Z239" s="9" t="s">
        <v>4898</v>
      </c>
      <c r="AA239" s="9" t="s">
        <v>4899</v>
      </c>
    </row>
    <row r="240" customFormat="false" ht="15" hidden="false" customHeight="true" outlineLevel="0" collapsed="false">
      <c r="A240" s="6" t="s">
        <v>1488</v>
      </c>
      <c r="B240" s="6" t="s">
        <v>478</v>
      </c>
      <c r="C240" s="6" t="s">
        <v>485</v>
      </c>
      <c r="D240" s="6" t="n">
        <v>6</v>
      </c>
      <c r="E240" s="9" t="s">
        <v>4988</v>
      </c>
      <c r="F240" s="6" t="n">
        <v>40121</v>
      </c>
      <c r="Q240" s="1" t="str">
        <f aca="false">IF($A303="","",IF(OR(F303="",I303=""),"",F303-I303))</f>
        <v/>
      </c>
      <c r="R240" s="1" t="n">
        <f aca="false">IF($A303="","",IF(Q303="","",Q303+IF(O303="",0,O303)))</f>
        <v>-5376</v>
      </c>
      <c r="T240" s="1" t="n">
        <f aca="false">IF($A303="","",IF(R303="","",R303-IF(S303="",0,S303)))</f>
        <v>692935</v>
      </c>
      <c r="U240" s="1" t="str">
        <f aca="false">IF($A303="","",IF(I303="","",I303-SUM(J303:P303)))</f>
        <v/>
      </c>
      <c r="V240" s="6" t="s">
        <v>4989</v>
      </c>
      <c r="W240" s="9" t="s">
        <v>774</v>
      </c>
      <c r="X240" s="9" t="s">
        <v>4990</v>
      </c>
      <c r="Y240" s="9" t="s">
        <v>4897</v>
      </c>
      <c r="Z240" s="9" t="s">
        <v>4898</v>
      </c>
      <c r="AA240" s="9" t="s">
        <v>4899</v>
      </c>
    </row>
    <row r="241" customFormat="false" ht="15" hidden="false" customHeight="true" outlineLevel="0" collapsed="false">
      <c r="A241" s="6" t="s">
        <v>1491</v>
      </c>
      <c r="B241" s="6" t="s">
        <v>478</v>
      </c>
      <c r="C241" s="6" t="s">
        <v>485</v>
      </c>
      <c r="D241" s="6" t="n">
        <v>6</v>
      </c>
      <c r="E241" s="9" t="s">
        <v>4988</v>
      </c>
      <c r="F241" s="6" t="n">
        <v>67561</v>
      </c>
      <c r="Q241" s="1" t="str">
        <f aca="false">IF($A304="","",IF(OR(F304="",I304=""),"",F304-I304))</f>
        <v/>
      </c>
      <c r="R241" s="1" t="n">
        <f aca="false">IF($A304="","",IF(Q304="","",Q304+IF(O304="",0,O304)))</f>
        <v>2325</v>
      </c>
      <c r="T241" s="1" t="n">
        <f aca="false">IF($A304="","",IF(R304="","",R304-IF(S304="",0,S304)))</f>
        <v>304104</v>
      </c>
      <c r="U241" s="1" t="str">
        <f aca="false">IF($A304="","",IF(I304="","",I304-SUM(J304:P304)))</f>
        <v/>
      </c>
      <c r="V241" s="6" t="s">
        <v>4989</v>
      </c>
      <c r="W241" s="9" t="s">
        <v>774</v>
      </c>
      <c r="X241" s="9" t="s">
        <v>4990</v>
      </c>
      <c r="Y241" s="9" t="s">
        <v>4897</v>
      </c>
      <c r="Z241" s="9" t="s">
        <v>4898</v>
      </c>
      <c r="AA241" s="9" t="s">
        <v>4899</v>
      </c>
    </row>
    <row r="242" customFormat="false" ht="15" hidden="false" customHeight="true" outlineLevel="0" collapsed="false">
      <c r="A242" s="6" t="s">
        <v>1494</v>
      </c>
      <c r="B242" s="6" t="s">
        <v>478</v>
      </c>
      <c r="C242" s="6" t="s">
        <v>485</v>
      </c>
      <c r="D242" s="6" t="n">
        <v>6</v>
      </c>
      <c r="E242" s="9" t="s">
        <v>4988</v>
      </c>
      <c r="F242" s="6" t="n">
        <v>75004</v>
      </c>
      <c r="Q242" s="1" t="str">
        <f aca="false">IF($A305="","",IF(OR(F305="",I305=""),"",F305-I305))</f>
        <v/>
      </c>
      <c r="R242" s="1" t="n">
        <f aca="false">IF($A305="","",IF(Q305="","",Q305+IF(O305="",0,O305)))</f>
        <v>280847</v>
      </c>
      <c r="T242" s="1" t="n">
        <f aca="false">IF($A305="","",IF(R305="","",R305-IF(S305="",0,S305)))</f>
        <v>101000</v>
      </c>
      <c r="U242" s="1" t="str">
        <f aca="false">IF($A305="","",IF(I305="","",I305-SUM(J305:P305)))</f>
        <v/>
      </c>
      <c r="V242" s="6" t="s">
        <v>4989</v>
      </c>
      <c r="W242" s="9" t="s">
        <v>774</v>
      </c>
      <c r="X242" s="9" t="s">
        <v>4990</v>
      </c>
      <c r="Y242" s="9" t="s">
        <v>4897</v>
      </c>
      <c r="Z242" s="9" t="s">
        <v>4898</v>
      </c>
      <c r="AA242" s="9" t="s">
        <v>4899</v>
      </c>
    </row>
    <row r="243" customFormat="false" ht="15" hidden="false" customHeight="true" outlineLevel="0" collapsed="false">
      <c r="A243" s="6" t="s">
        <v>1497</v>
      </c>
      <c r="B243" s="6" t="s">
        <v>478</v>
      </c>
      <c r="C243" s="6" t="s">
        <v>485</v>
      </c>
      <c r="D243" s="6" t="n">
        <v>6</v>
      </c>
      <c r="E243" s="9" t="s">
        <v>4988</v>
      </c>
      <c r="F243" s="6" t="n">
        <v>48464</v>
      </c>
      <c r="Q243" s="1" t="str">
        <f aca="false">IF($A306="","",IF(OR(F306="",I306=""),"",F306-I306))</f>
        <v/>
      </c>
      <c r="R243" s="1" t="n">
        <f aca="false">IF($A306="","",IF(Q306="","",Q306+IF(O306="",0,O306)))</f>
        <v>9742072</v>
      </c>
      <c r="T243" s="1" t="n">
        <f aca="false">IF($A306="","",IF(R306="","",R306-IF(S306="",0,S306)))</f>
        <v>-6349640</v>
      </c>
      <c r="U243" s="1" t="str">
        <f aca="false">IF($A306="","",IF(I306="","",I306-SUM(J306:P306)))</f>
        <v/>
      </c>
      <c r="V243" s="6" t="s">
        <v>4989</v>
      </c>
      <c r="W243" s="9" t="s">
        <v>774</v>
      </c>
      <c r="X243" s="9" t="s">
        <v>4990</v>
      </c>
      <c r="Y243" s="9" t="s">
        <v>4897</v>
      </c>
      <c r="Z243" s="9" t="s">
        <v>4898</v>
      </c>
      <c r="AA243" s="9" t="s">
        <v>4899</v>
      </c>
    </row>
    <row r="244" customFormat="false" ht="15" hidden="false" customHeight="true" outlineLevel="0" collapsed="false">
      <c r="A244" s="6" t="s">
        <v>1500</v>
      </c>
      <c r="B244" s="6" t="s">
        <v>478</v>
      </c>
      <c r="C244" s="6" t="s">
        <v>485</v>
      </c>
      <c r="D244" s="6" t="n">
        <v>6</v>
      </c>
      <c r="E244" s="9" t="s">
        <v>4988</v>
      </c>
      <c r="F244" s="6" t="n">
        <v>84570</v>
      </c>
      <c r="Q244" s="1" t="str">
        <f aca="false">IF($A307="","",IF(OR(F307="",I307=""),"",F307-I307))</f>
        <v/>
      </c>
      <c r="R244" s="1" t="str">
        <f aca="false">IF($A307="","",IF(Q307="","",Q307+IF(O307="",0,O307)))</f>
        <v/>
      </c>
      <c r="T244" s="1" t="str">
        <f aca="false">IF($A307="","",IF(R307="","",R307-IF(S307="",0,S307)))</f>
        <v/>
      </c>
      <c r="U244" s="1" t="str">
        <f aca="false">IF($A307="","",IF(I307="","",I307-SUM(J307:P307)))</f>
        <v/>
      </c>
      <c r="V244" s="6" t="s">
        <v>4989</v>
      </c>
      <c r="W244" s="9" t="s">
        <v>774</v>
      </c>
      <c r="X244" s="9" t="s">
        <v>4990</v>
      </c>
      <c r="Y244" s="9" t="s">
        <v>4897</v>
      </c>
      <c r="Z244" s="9" t="s">
        <v>4898</v>
      </c>
      <c r="AA244" s="9" t="s">
        <v>4899</v>
      </c>
    </row>
    <row r="245" customFormat="false" ht="15" hidden="false" customHeight="true" outlineLevel="0" collapsed="false">
      <c r="A245" s="6" t="s">
        <v>1503</v>
      </c>
      <c r="B245" s="6" t="s">
        <v>478</v>
      </c>
      <c r="C245" s="6" t="s">
        <v>485</v>
      </c>
      <c r="D245" s="6" t="n">
        <v>6</v>
      </c>
      <c r="E245" s="9" t="s">
        <v>4988</v>
      </c>
      <c r="F245" s="6" t="n">
        <v>78222</v>
      </c>
      <c r="Q245" s="1" t="str">
        <f aca="false">IF($A308="","",IF(OR(F308="",I308=""),"",F308-I308))</f>
        <v/>
      </c>
      <c r="R245" s="1" t="str">
        <f aca="false">IF($A308="","",IF(Q308="","",Q308+IF(O308="",0,O308)))</f>
        <v/>
      </c>
      <c r="T245" s="1" t="str">
        <f aca="false">IF($A308="","",IF(R308="","",R308-IF(S308="",0,S308)))</f>
        <v/>
      </c>
      <c r="U245" s="1" t="str">
        <f aca="false">IF($A308="","",IF(I308="","",I308-SUM(J308:P308)))</f>
        <v/>
      </c>
      <c r="V245" s="6" t="s">
        <v>4989</v>
      </c>
      <c r="W245" s="9" t="s">
        <v>774</v>
      </c>
      <c r="X245" s="9" t="s">
        <v>4990</v>
      </c>
      <c r="Y245" s="9" t="s">
        <v>4897</v>
      </c>
      <c r="Z245" s="9" t="s">
        <v>4898</v>
      </c>
      <c r="AA245" s="9" t="s">
        <v>4899</v>
      </c>
    </row>
    <row r="246" customFormat="false" ht="15" hidden="false" customHeight="true" outlineLevel="0" collapsed="false">
      <c r="A246" s="6" t="s">
        <v>1506</v>
      </c>
      <c r="B246" s="6" t="s">
        <v>478</v>
      </c>
      <c r="C246" s="6" t="s">
        <v>485</v>
      </c>
      <c r="D246" s="6" t="n">
        <v>6</v>
      </c>
      <c r="E246" s="9" t="s">
        <v>4988</v>
      </c>
      <c r="F246" s="6" t="n">
        <v>186255</v>
      </c>
      <c r="Q246" s="1" t="str">
        <f aca="false">IF($A309="","",IF(OR(F309="",I309=""),"",F309-I309))</f>
        <v/>
      </c>
      <c r="R246" s="1" t="str">
        <f aca="false">IF($A309="","",IF(Q309="","",Q309+IF(O309="",0,O309)))</f>
        <v/>
      </c>
      <c r="T246" s="1" t="str">
        <f aca="false">IF($A309="","",IF(R309="","",R309-IF(S309="",0,S309)))</f>
        <v/>
      </c>
      <c r="U246" s="1" t="str">
        <f aca="false">IF($A309="","",IF(I309="","",I309-SUM(J309:P309)))</f>
        <v/>
      </c>
      <c r="V246" s="6" t="s">
        <v>4989</v>
      </c>
      <c r="W246" s="9" t="s">
        <v>774</v>
      </c>
      <c r="X246" s="9" t="s">
        <v>4990</v>
      </c>
      <c r="Y246" s="9" t="s">
        <v>4897</v>
      </c>
      <c r="Z246" s="9" t="s">
        <v>4898</v>
      </c>
      <c r="AA246" s="9" t="s">
        <v>4899</v>
      </c>
    </row>
    <row r="247" customFormat="false" ht="15" hidden="false" customHeight="true" outlineLevel="0" collapsed="false">
      <c r="A247" s="6" t="s">
        <v>1509</v>
      </c>
      <c r="B247" s="6" t="s">
        <v>478</v>
      </c>
      <c r="C247" s="6" t="s">
        <v>485</v>
      </c>
      <c r="D247" s="6" t="n">
        <v>6</v>
      </c>
      <c r="E247" s="9" t="s">
        <v>4988</v>
      </c>
      <c r="F247" s="6" t="n">
        <v>77220</v>
      </c>
      <c r="Q247" s="1" t="str">
        <f aca="false">IF($A310="","",IF(OR(F310="",I310=""),"",F310-I310))</f>
        <v/>
      </c>
      <c r="R247" s="1" t="str">
        <f aca="false">IF($A310="","",IF(Q310="","",Q310+IF(O310="",0,O310)))</f>
        <v/>
      </c>
      <c r="T247" s="1" t="str">
        <f aca="false">IF($A310="","",IF(R310="","",R310-IF(S310="",0,S310)))</f>
        <v/>
      </c>
      <c r="U247" s="1" t="str">
        <f aca="false">IF($A310="","",IF(I310="","",I310-SUM(J310:P310)))</f>
        <v/>
      </c>
      <c r="V247" s="6" t="s">
        <v>4989</v>
      </c>
      <c r="W247" s="9" t="s">
        <v>774</v>
      </c>
      <c r="X247" s="9" t="s">
        <v>4990</v>
      </c>
      <c r="Y247" s="9" t="s">
        <v>4897</v>
      </c>
      <c r="Z247" s="9" t="s">
        <v>4898</v>
      </c>
      <c r="AA247" s="9" t="s">
        <v>4899</v>
      </c>
    </row>
    <row r="248" customFormat="false" ht="15" hidden="false" customHeight="true" outlineLevel="0" collapsed="false">
      <c r="A248" s="6" t="s">
        <v>1512</v>
      </c>
      <c r="B248" s="6" t="s">
        <v>478</v>
      </c>
      <c r="C248" s="6" t="s">
        <v>485</v>
      </c>
      <c r="D248" s="6" t="n">
        <v>6</v>
      </c>
      <c r="E248" s="9" t="s">
        <v>4988</v>
      </c>
      <c r="F248" s="6" t="n">
        <v>61140</v>
      </c>
      <c r="Q248" s="1" t="str">
        <f aca="false">IF($A311="","",IF(OR(F311="",I311=""),"",F311-I311))</f>
        <v/>
      </c>
      <c r="R248" s="1" t="str">
        <f aca="false">IF($A311="","",IF(Q311="","",Q311+IF(O311="",0,O311)))</f>
        <v/>
      </c>
      <c r="T248" s="1" t="str">
        <f aca="false">IF($A311="","",IF(R311="","",R311-IF(S311="",0,S311)))</f>
        <v/>
      </c>
      <c r="U248" s="1" t="str">
        <f aca="false">IF($A311="","",IF(I311="","",I311-SUM(J311:P311)))</f>
        <v/>
      </c>
      <c r="V248" s="6" t="s">
        <v>4989</v>
      </c>
      <c r="W248" s="9" t="s">
        <v>774</v>
      </c>
      <c r="X248" s="9" t="s">
        <v>4990</v>
      </c>
      <c r="Y248" s="9" t="s">
        <v>4897</v>
      </c>
      <c r="Z248" s="9" t="s">
        <v>4898</v>
      </c>
      <c r="AA248" s="9" t="s">
        <v>4899</v>
      </c>
    </row>
    <row r="249" customFormat="false" ht="15" hidden="false" customHeight="true" outlineLevel="0" collapsed="false">
      <c r="A249" s="6" t="s">
        <v>1515</v>
      </c>
      <c r="B249" s="6" t="s">
        <v>478</v>
      </c>
      <c r="C249" s="6" t="s">
        <v>485</v>
      </c>
      <c r="D249" s="6" t="n">
        <v>6</v>
      </c>
      <c r="E249" s="9" t="s">
        <v>4988</v>
      </c>
      <c r="F249" s="6" t="n">
        <v>43159</v>
      </c>
      <c r="Q249" s="1" t="str">
        <f aca="false">IF($A312="","",IF(OR(F312="",I312=""),"",F312-I312))</f>
        <v/>
      </c>
      <c r="R249" s="1" t="str">
        <f aca="false">IF($A312="","",IF(Q312="","",Q312+IF(O312="",0,O312)))</f>
        <v/>
      </c>
      <c r="T249" s="1" t="str">
        <f aca="false">IF($A312="","",IF(R312="","",R312-IF(S312="",0,S312)))</f>
        <v/>
      </c>
      <c r="U249" s="1" t="str">
        <f aca="false">IF($A312="","",IF(I312="","",I312-SUM(J312:P312)))</f>
        <v/>
      </c>
      <c r="V249" s="6" t="s">
        <v>4989</v>
      </c>
      <c r="W249" s="9" t="s">
        <v>774</v>
      </c>
      <c r="X249" s="9" t="s">
        <v>4990</v>
      </c>
      <c r="Y249" s="9" t="s">
        <v>4897</v>
      </c>
      <c r="Z249" s="9" t="s">
        <v>4898</v>
      </c>
      <c r="AA249" s="9" t="s">
        <v>4899</v>
      </c>
    </row>
    <row r="250" customFormat="false" ht="15" hidden="false" customHeight="true" outlineLevel="0" collapsed="false">
      <c r="A250" s="6" t="s">
        <v>1518</v>
      </c>
      <c r="B250" s="6" t="s">
        <v>478</v>
      </c>
      <c r="C250" s="6" t="s">
        <v>485</v>
      </c>
      <c r="D250" s="6" t="n">
        <v>6</v>
      </c>
      <c r="E250" s="9" t="s">
        <v>4988</v>
      </c>
      <c r="F250" s="6" t="n">
        <v>74882</v>
      </c>
      <c r="Q250" s="1" t="str">
        <f aca="false">IF($A313="","",IF(OR(F313="",I313=""),"",F313-I313))</f>
        <v/>
      </c>
      <c r="R250" s="1" t="str">
        <f aca="false">IF($A313="","",IF(Q313="","",Q313+IF(O313="",0,O313)))</f>
        <v/>
      </c>
      <c r="T250" s="1" t="str">
        <f aca="false">IF($A313="","",IF(R313="","",R313-IF(S313="",0,S313)))</f>
        <v/>
      </c>
      <c r="U250" s="1" t="str">
        <f aca="false">IF($A313="","",IF(I313="","",I313-SUM(J313:P313)))</f>
        <v/>
      </c>
      <c r="V250" s="6" t="s">
        <v>4989</v>
      </c>
      <c r="W250" s="9" t="s">
        <v>774</v>
      </c>
      <c r="X250" s="9" t="s">
        <v>4990</v>
      </c>
      <c r="Y250" s="9" t="s">
        <v>4897</v>
      </c>
      <c r="Z250" s="9" t="s">
        <v>4898</v>
      </c>
      <c r="AA250" s="9" t="s">
        <v>4899</v>
      </c>
    </row>
    <row r="251" customFormat="false" ht="15" hidden="false" customHeight="true" outlineLevel="0" collapsed="false">
      <c r="A251" s="6" t="s">
        <v>1521</v>
      </c>
      <c r="B251" s="6" t="s">
        <v>478</v>
      </c>
      <c r="C251" s="6" t="s">
        <v>485</v>
      </c>
      <c r="D251" s="6" t="n">
        <v>6</v>
      </c>
      <c r="E251" s="9" t="s">
        <v>4988</v>
      </c>
      <c r="F251" s="6" t="n">
        <v>93584</v>
      </c>
      <c r="Q251" s="1" t="str">
        <f aca="false">IF($A314="","",IF(OR(F314="",I314=""),"",F314-I314))</f>
        <v/>
      </c>
      <c r="R251" s="1" t="str">
        <f aca="false">IF($A314="","",IF(Q314="","",Q314+IF(O314="",0,O314)))</f>
        <v/>
      </c>
      <c r="T251" s="1" t="str">
        <f aca="false">IF($A314="","",IF(R314="","",R314-IF(S314="",0,S314)))</f>
        <v/>
      </c>
      <c r="U251" s="1" t="str">
        <f aca="false">IF($A314="","",IF(I314="","",I314-SUM(J314:P314)))</f>
        <v/>
      </c>
      <c r="V251" s="6" t="s">
        <v>4989</v>
      </c>
      <c r="W251" s="9" t="s">
        <v>774</v>
      </c>
      <c r="X251" s="9" t="s">
        <v>4990</v>
      </c>
      <c r="Y251" s="9" t="s">
        <v>4897</v>
      </c>
      <c r="Z251" s="9" t="s">
        <v>4898</v>
      </c>
      <c r="AA251" s="9" t="s">
        <v>4899</v>
      </c>
    </row>
    <row r="252" customFormat="false" ht="15" hidden="false" customHeight="true" outlineLevel="0" collapsed="false">
      <c r="A252" s="6" t="s">
        <v>1524</v>
      </c>
      <c r="B252" s="6" t="s">
        <v>478</v>
      </c>
      <c r="C252" s="6" t="s">
        <v>485</v>
      </c>
      <c r="D252" s="6" t="n">
        <v>6</v>
      </c>
      <c r="E252" s="9" t="s">
        <v>4988</v>
      </c>
      <c r="F252" s="6" t="n">
        <v>29217</v>
      </c>
      <c r="Q252" s="1" t="str">
        <f aca="false">IF($A315="","",IF(OR(F315="",I315=""),"",F315-I315))</f>
        <v/>
      </c>
      <c r="R252" s="1" t="str">
        <f aca="false">IF($A315="","",IF(Q315="","",Q315+IF(O315="",0,O315)))</f>
        <v/>
      </c>
      <c r="T252" s="1" t="str">
        <f aca="false">IF($A315="","",IF(R315="","",R315-IF(S315="",0,S315)))</f>
        <v/>
      </c>
      <c r="U252" s="1" t="str">
        <f aca="false">IF($A315="","",IF(I315="","",I315-SUM(J315:P315)))</f>
        <v/>
      </c>
      <c r="V252" s="6" t="s">
        <v>4989</v>
      </c>
      <c r="W252" s="9" t="s">
        <v>774</v>
      </c>
      <c r="X252" s="9" t="s">
        <v>4990</v>
      </c>
      <c r="Y252" s="9" t="s">
        <v>4897</v>
      </c>
      <c r="Z252" s="9" t="s">
        <v>4898</v>
      </c>
      <c r="AA252" s="9" t="s">
        <v>4899</v>
      </c>
    </row>
    <row r="253" customFormat="false" ht="15" hidden="false" customHeight="true" outlineLevel="0" collapsed="false">
      <c r="A253" s="6" t="s">
        <v>1527</v>
      </c>
      <c r="B253" s="6" t="s">
        <v>478</v>
      </c>
      <c r="C253" s="6" t="s">
        <v>485</v>
      </c>
      <c r="D253" s="6" t="n">
        <v>6</v>
      </c>
      <c r="E253" s="9" t="s">
        <v>4988</v>
      </c>
      <c r="F253" s="6" t="n">
        <v>38669</v>
      </c>
      <c r="Q253" s="1" t="str">
        <f aca="false">IF($A316="","",IF(OR(F316="",I316=""),"",F316-I316))</f>
        <v/>
      </c>
      <c r="R253" s="1" t="str">
        <f aca="false">IF($A316="","",IF(Q316="","",Q316+IF(O316="",0,O316)))</f>
        <v/>
      </c>
      <c r="T253" s="1" t="str">
        <f aca="false">IF($A316="","",IF(R316="","",R316-IF(S316="",0,S316)))</f>
        <v/>
      </c>
      <c r="U253" s="1" t="str">
        <f aca="false">IF($A316="","",IF(I316="","",I316-SUM(J316:P316)))</f>
        <v/>
      </c>
      <c r="V253" s="6" t="s">
        <v>4989</v>
      </c>
      <c r="W253" s="9" t="s">
        <v>774</v>
      </c>
      <c r="X253" s="9" t="s">
        <v>4990</v>
      </c>
      <c r="Y253" s="9" t="s">
        <v>4897</v>
      </c>
      <c r="Z253" s="9" t="s">
        <v>4898</v>
      </c>
      <c r="AA253" s="9" t="s">
        <v>4899</v>
      </c>
    </row>
    <row r="254" customFormat="false" ht="15" hidden="false" customHeight="true" outlineLevel="0" collapsed="false">
      <c r="A254" s="6" t="s">
        <v>1530</v>
      </c>
      <c r="B254" s="6" t="s">
        <v>478</v>
      </c>
      <c r="C254" s="6" t="s">
        <v>485</v>
      </c>
      <c r="D254" s="6" t="n">
        <v>6</v>
      </c>
      <c r="E254" s="9" t="s">
        <v>4988</v>
      </c>
      <c r="F254" s="6" t="n">
        <v>129784</v>
      </c>
      <c r="Q254" s="1" t="str">
        <f aca="false">IF($A317="","",IF(OR(F317="",I317=""),"",F317-I317))</f>
        <v/>
      </c>
      <c r="R254" s="1" t="str">
        <f aca="false">IF($A317="","",IF(Q317="","",Q317+IF(O317="",0,O317)))</f>
        <v/>
      </c>
      <c r="T254" s="1" t="str">
        <f aca="false">IF($A317="","",IF(R317="","",R317-IF(S317="",0,S317)))</f>
        <v/>
      </c>
      <c r="U254" s="1" t="str">
        <f aca="false">IF($A317="","",IF(I317="","",I317-SUM(J317:P317)))</f>
        <v/>
      </c>
      <c r="V254" s="6" t="s">
        <v>4989</v>
      </c>
      <c r="W254" s="9" t="s">
        <v>774</v>
      </c>
      <c r="X254" s="9" t="s">
        <v>4990</v>
      </c>
      <c r="Y254" s="9" t="s">
        <v>4897</v>
      </c>
      <c r="Z254" s="9" t="s">
        <v>4898</v>
      </c>
      <c r="AA254" s="9" t="s">
        <v>4899</v>
      </c>
    </row>
    <row r="255" customFormat="false" ht="15" hidden="false" customHeight="true" outlineLevel="0" collapsed="false">
      <c r="A255" s="6" t="s">
        <v>1534</v>
      </c>
      <c r="B255" s="6" t="s">
        <v>478</v>
      </c>
      <c r="C255" s="6" t="s">
        <v>485</v>
      </c>
      <c r="D255" s="6" t="n">
        <v>6</v>
      </c>
      <c r="E255" s="9" t="s">
        <v>4988</v>
      </c>
      <c r="F255" s="6" t="n">
        <v>146963</v>
      </c>
      <c r="Q255" s="1" t="str">
        <f aca="false">IF($A318="","",IF(OR(F318="",I318=""),"",F318-I318))</f>
        <v/>
      </c>
      <c r="R255" s="1" t="str">
        <f aca="false">IF($A318="","",IF(Q318="","",Q318+IF(O318="",0,O318)))</f>
        <v/>
      </c>
      <c r="T255" s="1" t="str">
        <f aca="false">IF($A318="","",IF(R318="","",R318-IF(S318="",0,S318)))</f>
        <v/>
      </c>
      <c r="U255" s="1" t="str">
        <f aca="false">IF($A318="","",IF(I318="","",I318-SUM(J318:P318)))</f>
        <v/>
      </c>
      <c r="V255" s="6" t="s">
        <v>4989</v>
      </c>
      <c r="W255" s="9" t="s">
        <v>774</v>
      </c>
      <c r="X255" s="9" t="s">
        <v>4990</v>
      </c>
      <c r="Y255" s="9" t="s">
        <v>4897</v>
      </c>
      <c r="Z255" s="9" t="s">
        <v>4898</v>
      </c>
      <c r="AA255" s="9" t="s">
        <v>4899</v>
      </c>
    </row>
    <row r="256" customFormat="false" ht="15" hidden="false" customHeight="true" outlineLevel="0" collapsed="false">
      <c r="A256" s="6" t="s">
        <v>1537</v>
      </c>
      <c r="B256" s="6" t="s">
        <v>478</v>
      </c>
      <c r="C256" s="6" t="s">
        <v>485</v>
      </c>
      <c r="D256" s="6" t="n">
        <v>6</v>
      </c>
      <c r="E256" s="9" t="s">
        <v>4988</v>
      </c>
      <c r="F256" s="6" t="n">
        <v>231560</v>
      </c>
      <c r="Q256" s="1" t="str">
        <f aca="false">IF($A319="","",IF(OR(F319="",I319=""),"",F319-I319))</f>
        <v/>
      </c>
      <c r="R256" s="1" t="str">
        <f aca="false">IF($A319="","",IF(Q319="","",Q319+IF(O319="",0,O319)))</f>
        <v/>
      </c>
      <c r="T256" s="1" t="str">
        <f aca="false">IF($A319="","",IF(R319="","",R319-IF(S319="",0,S319)))</f>
        <v/>
      </c>
      <c r="U256" s="1" t="str">
        <f aca="false">IF($A319="","",IF(I319="","",I319-SUM(J319:P319)))</f>
        <v/>
      </c>
      <c r="V256" s="6" t="s">
        <v>4989</v>
      </c>
      <c r="W256" s="9" t="s">
        <v>774</v>
      </c>
      <c r="X256" s="9" t="s">
        <v>4990</v>
      </c>
      <c r="Y256" s="9" t="s">
        <v>4897</v>
      </c>
      <c r="Z256" s="9" t="s">
        <v>4898</v>
      </c>
      <c r="AA256" s="9" t="s">
        <v>4899</v>
      </c>
    </row>
    <row r="257" customFormat="false" ht="15" hidden="false" customHeight="true" outlineLevel="0" collapsed="false">
      <c r="A257" s="6" t="s">
        <v>1540</v>
      </c>
      <c r="B257" s="6" t="s">
        <v>478</v>
      </c>
      <c r="C257" s="6" t="s">
        <v>485</v>
      </c>
      <c r="D257" s="6" t="n">
        <v>6</v>
      </c>
      <c r="E257" s="9" t="s">
        <v>4991</v>
      </c>
      <c r="F257" s="6" t="n">
        <v>4806</v>
      </c>
      <c r="Q257" s="1" t="str">
        <f aca="false">IF($A320="","",IF(OR(F320="",I320=""),"",F320-I320))</f>
        <v/>
      </c>
      <c r="R257" s="1" t="str">
        <f aca="false">IF($A320="","",IF(Q320="","",Q320+IF(O320="",0,O320)))</f>
        <v/>
      </c>
      <c r="T257" s="1" t="str">
        <f aca="false">IF($A320="","",IF(R320="","",R320-IF(S320="",0,S320)))</f>
        <v/>
      </c>
      <c r="U257" s="1" t="str">
        <f aca="false">IF($A320="","",IF(I320="","",I320-SUM(J320:P320)))</f>
        <v/>
      </c>
      <c r="V257" s="6" t="s">
        <v>4992</v>
      </c>
      <c r="W257" s="9" t="s">
        <v>774</v>
      </c>
      <c r="X257" s="6" t="s">
        <v>4993</v>
      </c>
      <c r="Y257" s="6" t="s">
        <v>4920</v>
      </c>
      <c r="Z257" s="9" t="s">
        <v>4981</v>
      </c>
      <c r="AA257" s="9" t="s">
        <v>4899</v>
      </c>
    </row>
    <row r="258" customFormat="false" ht="15" hidden="false" customHeight="true" outlineLevel="0" collapsed="false">
      <c r="A258" s="6" t="s">
        <v>1543</v>
      </c>
      <c r="B258" s="6" t="s">
        <v>478</v>
      </c>
      <c r="C258" s="6" t="s">
        <v>485</v>
      </c>
      <c r="D258" s="6" t="n">
        <v>6</v>
      </c>
      <c r="E258" s="9" t="s">
        <v>4988</v>
      </c>
      <c r="F258" s="6" t="n">
        <v>155614</v>
      </c>
      <c r="Q258" s="1" t="str">
        <f aca="false">IF($A321="","",IF(OR(F321="",I321=""),"",F321-I321))</f>
        <v/>
      </c>
      <c r="R258" s="1" t="str">
        <f aca="false">IF($A321="","",IF(Q321="","",Q321+IF(O321="",0,O321)))</f>
        <v/>
      </c>
      <c r="T258" s="1" t="str">
        <f aca="false">IF($A321="","",IF(R321="","",R321-IF(S321="",0,S321)))</f>
        <v/>
      </c>
      <c r="U258" s="1" t="str">
        <f aca="false">IF($A321="","",IF(I321="","",I321-SUM(J321:P321)))</f>
        <v/>
      </c>
      <c r="V258" s="6" t="s">
        <v>4989</v>
      </c>
      <c r="W258" s="9" t="s">
        <v>774</v>
      </c>
      <c r="X258" s="9" t="s">
        <v>4990</v>
      </c>
      <c r="Y258" s="9" t="s">
        <v>4897</v>
      </c>
      <c r="Z258" s="9" t="s">
        <v>4898</v>
      </c>
      <c r="AA258" s="9" t="s">
        <v>4899</v>
      </c>
    </row>
    <row r="259" customFormat="false" ht="15" hidden="false" customHeight="true" outlineLevel="0" collapsed="false">
      <c r="A259" s="6" t="s">
        <v>1548</v>
      </c>
      <c r="B259" s="6" t="s">
        <v>478</v>
      </c>
      <c r="C259" s="6" t="s">
        <v>485</v>
      </c>
      <c r="D259" s="6" t="n">
        <v>6</v>
      </c>
      <c r="E259" s="9" t="s">
        <v>4988</v>
      </c>
      <c r="F259" s="6" t="n">
        <v>98468</v>
      </c>
      <c r="Q259" s="1" t="n">
        <f aca="false">IF($A322="","",IF(OR(F322="",I322=""),"",F322-I322))</f>
        <v>5315649</v>
      </c>
      <c r="R259" s="1" t="n">
        <f aca="false">IF($A322="","",IF(Q322="","",Q322+IF(O322="",0,O322)))</f>
        <v>-3900800</v>
      </c>
      <c r="T259" s="1" t="str">
        <f aca="false">IF($A322="","",IF(R322="","",R322-IF(S322="",0,S322)))</f>
        <v/>
      </c>
      <c r="U259" s="1" t="n">
        <f aca="false">IF($A322="","",IF(I322="","",I322-SUM(J322:P322)))</f>
        <v>4</v>
      </c>
      <c r="V259" s="6" t="s">
        <v>4989</v>
      </c>
      <c r="W259" s="9" t="s">
        <v>774</v>
      </c>
      <c r="X259" s="9" t="s">
        <v>4990</v>
      </c>
      <c r="Y259" s="9" t="s">
        <v>4897</v>
      </c>
      <c r="Z259" s="9" t="s">
        <v>4898</v>
      </c>
      <c r="AA259" s="9" t="s">
        <v>4899</v>
      </c>
    </row>
    <row r="260" customFormat="false" ht="15" hidden="false" customHeight="true" outlineLevel="0" collapsed="false">
      <c r="A260" s="6" t="s">
        <v>1551</v>
      </c>
      <c r="B260" s="6" t="s">
        <v>478</v>
      </c>
      <c r="C260" s="6" t="s">
        <v>485</v>
      </c>
      <c r="D260" s="6" t="n">
        <v>6</v>
      </c>
      <c r="E260" s="9" t="s">
        <v>4988</v>
      </c>
      <c r="F260" s="6" t="n">
        <v>246010</v>
      </c>
      <c r="Q260" s="1" t="str">
        <f aca="false">IF($A323="","",IF(OR(F323="",I323=""),"",F323-I323))</f>
        <v/>
      </c>
      <c r="R260" s="1" t="str">
        <f aca="false">IF($A323="","",IF(Q323="","",Q323+IF(O323="",0,O323)))</f>
        <v/>
      </c>
      <c r="T260" s="1" t="n">
        <f aca="false">IF($A323="","",IF(R323="","",R323-IF(S323="",0,S323)))</f>
        <v>168000</v>
      </c>
      <c r="U260" s="1" t="str">
        <f aca="false">IF($A323="","",IF(I323="","",I323-SUM(J323:P323)))</f>
        <v/>
      </c>
      <c r="V260" s="6" t="s">
        <v>4989</v>
      </c>
      <c r="W260" s="9" t="s">
        <v>774</v>
      </c>
      <c r="X260" s="9" t="s">
        <v>4990</v>
      </c>
      <c r="Y260" s="9" t="s">
        <v>4897</v>
      </c>
      <c r="Z260" s="9" t="s">
        <v>4898</v>
      </c>
      <c r="AA260" s="9" t="s">
        <v>4899</v>
      </c>
    </row>
    <row r="261" customFormat="false" ht="15" hidden="false" customHeight="true" outlineLevel="0" collapsed="false">
      <c r="A261" s="6" t="s">
        <v>1554</v>
      </c>
      <c r="B261" s="6" t="s">
        <v>478</v>
      </c>
      <c r="C261" s="6" t="s">
        <v>485</v>
      </c>
      <c r="D261" s="6" t="n">
        <v>6</v>
      </c>
      <c r="E261" s="9" t="s">
        <v>4988</v>
      </c>
      <c r="F261" s="6" t="n">
        <v>98299</v>
      </c>
      <c r="Q261" s="1" t="str">
        <f aca="false">IF($A324="","",IF(OR(F324="",I324=""),"",F324-I324))</f>
        <v/>
      </c>
      <c r="R261" s="1" t="str">
        <f aca="false">IF($A324="","",IF(Q324="","",Q324+IF(O324="",0,O324)))</f>
        <v/>
      </c>
      <c r="T261" s="1" t="n">
        <f aca="false">IF($A324="","",IF(R324="","",R324-IF(S324="",0,S324)))</f>
        <v>294000</v>
      </c>
      <c r="U261" s="1" t="str">
        <f aca="false">IF($A324="","",IF(I324="","",I324-SUM(J324:P324)))</f>
        <v/>
      </c>
      <c r="V261" s="6" t="s">
        <v>4989</v>
      </c>
      <c r="W261" s="9" t="s">
        <v>774</v>
      </c>
      <c r="X261" s="9" t="s">
        <v>4990</v>
      </c>
      <c r="Y261" s="9" t="s">
        <v>4897</v>
      </c>
      <c r="Z261" s="9" t="s">
        <v>4898</v>
      </c>
      <c r="AA261" s="9" t="s">
        <v>4899</v>
      </c>
    </row>
    <row r="262" customFormat="false" ht="15" hidden="false" customHeight="true" outlineLevel="0" collapsed="false">
      <c r="A262" s="6" t="s">
        <v>1558</v>
      </c>
      <c r="B262" s="6" t="s">
        <v>478</v>
      </c>
      <c r="C262" s="6" t="s">
        <v>485</v>
      </c>
      <c r="D262" s="6" t="n">
        <v>6</v>
      </c>
      <c r="E262" s="9" t="s">
        <v>4988</v>
      </c>
      <c r="F262" s="6" t="n">
        <v>91257</v>
      </c>
      <c r="Q262" s="1" t="str">
        <f aca="false">IF($A325="","",IF(OR(F325="",I325=""),"",F325-I325))</f>
        <v/>
      </c>
      <c r="R262" s="1" t="str">
        <f aca="false">IF($A325="","",IF(Q325="","",Q325+IF(O325="",0,O325)))</f>
        <v/>
      </c>
      <c r="T262" s="1" t="n">
        <f aca="false">IF($A325="","",IF(R325="","",R325-IF(S325="",0,S325)))</f>
        <v>235000</v>
      </c>
      <c r="U262" s="1" t="str">
        <f aca="false">IF($A325="","",IF(I325="","",I325-SUM(J325:P325)))</f>
        <v/>
      </c>
      <c r="V262" s="6" t="s">
        <v>4989</v>
      </c>
      <c r="W262" s="9" t="s">
        <v>774</v>
      </c>
      <c r="X262" s="9" t="s">
        <v>4990</v>
      </c>
      <c r="Y262" s="9" t="s">
        <v>4897</v>
      </c>
      <c r="Z262" s="9" t="s">
        <v>4898</v>
      </c>
      <c r="AA262" s="9" t="s">
        <v>4899</v>
      </c>
    </row>
    <row r="263" customFormat="false" ht="15" hidden="false" customHeight="true" outlineLevel="0" collapsed="false">
      <c r="A263" s="6" t="s">
        <v>1561</v>
      </c>
      <c r="B263" s="6" t="s">
        <v>478</v>
      </c>
      <c r="C263" s="6" t="s">
        <v>485</v>
      </c>
      <c r="D263" s="6" t="n">
        <v>6</v>
      </c>
      <c r="E263" s="9" t="s">
        <v>4988</v>
      </c>
      <c r="F263" s="6" t="n">
        <v>97311</v>
      </c>
      <c r="Q263" s="1" t="str">
        <f aca="false">IF($A326="","",IF(OR(F326="",I326=""),"",F326-I326))</f>
        <v/>
      </c>
      <c r="R263" s="1" t="str">
        <f aca="false">IF($A326="","",IF(Q326="","",Q326+IF(O326="",0,O326)))</f>
        <v/>
      </c>
      <c r="T263" s="1" t="n">
        <f aca="false">IF($A326="","",IF(R326="","",R326-IF(S326="",0,S326)))</f>
        <v>83000</v>
      </c>
      <c r="U263" s="1" t="str">
        <f aca="false">IF($A326="","",IF(I326="","",I326-SUM(J326:P326)))</f>
        <v/>
      </c>
      <c r="V263" s="6" t="s">
        <v>4989</v>
      </c>
      <c r="W263" s="9" t="s">
        <v>774</v>
      </c>
      <c r="X263" s="9" t="s">
        <v>4990</v>
      </c>
      <c r="Y263" s="9" t="s">
        <v>4897</v>
      </c>
      <c r="Z263" s="9" t="s">
        <v>4898</v>
      </c>
      <c r="AA263" s="9" t="s">
        <v>4899</v>
      </c>
    </row>
    <row r="264" customFormat="false" ht="15" hidden="false" customHeight="true" outlineLevel="0" collapsed="false">
      <c r="A264" s="6" t="s">
        <v>1564</v>
      </c>
      <c r="B264" s="6" t="s">
        <v>478</v>
      </c>
      <c r="C264" s="6" t="s">
        <v>485</v>
      </c>
      <c r="D264" s="6" t="n">
        <v>6</v>
      </c>
      <c r="E264" s="9" t="s">
        <v>4988</v>
      </c>
      <c r="F264" s="6" t="n">
        <v>211087</v>
      </c>
      <c r="Q264" s="1" t="str">
        <f aca="false">IF($A327="","",IF(OR(F327="",I327=""),"",F327-I327))</f>
        <v/>
      </c>
      <c r="R264" s="1" t="str">
        <f aca="false">IF($A327="","",IF(Q327="","",Q327+IF(O327="",0,O327)))</f>
        <v/>
      </c>
      <c r="T264" s="1" t="n">
        <f aca="false">IF($A327="","",IF(R327="","",R327-IF(S327="",0,S327)))</f>
        <v>24000</v>
      </c>
      <c r="U264" s="1" t="str">
        <f aca="false">IF($A327="","",IF(I327="","",I327-SUM(J327:P327)))</f>
        <v/>
      </c>
      <c r="V264" s="6" t="s">
        <v>4989</v>
      </c>
      <c r="W264" s="9" t="s">
        <v>774</v>
      </c>
      <c r="X264" s="9" t="s">
        <v>4990</v>
      </c>
      <c r="Y264" s="9" t="s">
        <v>4897</v>
      </c>
      <c r="Z264" s="9" t="s">
        <v>4898</v>
      </c>
      <c r="AA264" s="9" t="s">
        <v>4899</v>
      </c>
    </row>
    <row r="265" customFormat="false" ht="15" hidden="false" customHeight="true" outlineLevel="0" collapsed="false">
      <c r="A265" s="6" t="s">
        <v>1567</v>
      </c>
      <c r="B265" s="6" t="s">
        <v>478</v>
      </c>
      <c r="C265" s="6" t="s">
        <v>485</v>
      </c>
      <c r="D265" s="6" t="n">
        <v>6</v>
      </c>
      <c r="E265" s="9" t="s">
        <v>4988</v>
      </c>
      <c r="F265" s="6" t="n">
        <v>135731</v>
      </c>
      <c r="Q265" s="1" t="str">
        <f aca="false">IF($A328="","",IF(OR(F328="",I328=""),"",F328-I328))</f>
        <v/>
      </c>
      <c r="R265" s="1" t="str">
        <f aca="false">IF($A328="","",IF(Q328="","",Q328+IF(O328="",0,O328)))</f>
        <v/>
      </c>
      <c r="T265" s="1" t="n">
        <f aca="false">IF($A328="","",IF(R328="","",R328-IF(S328="",0,S328)))</f>
        <v>50000</v>
      </c>
      <c r="U265" s="1" t="str">
        <f aca="false">IF($A328="","",IF(I328="","",I328-SUM(J328:P328)))</f>
        <v/>
      </c>
      <c r="V265" s="6" t="s">
        <v>4989</v>
      </c>
      <c r="W265" s="9" t="s">
        <v>774</v>
      </c>
      <c r="X265" s="9" t="s">
        <v>4990</v>
      </c>
      <c r="Y265" s="9" t="s">
        <v>4897</v>
      </c>
      <c r="Z265" s="9" t="s">
        <v>4898</v>
      </c>
      <c r="AA265" s="9" t="s">
        <v>4899</v>
      </c>
    </row>
    <row r="266" customFormat="false" ht="15" hidden="false" customHeight="true" outlineLevel="0" collapsed="false">
      <c r="A266" s="6" t="s">
        <v>1570</v>
      </c>
      <c r="B266" s="6" t="s">
        <v>478</v>
      </c>
      <c r="C266" s="6" t="s">
        <v>485</v>
      </c>
      <c r="D266" s="6" t="n">
        <v>6</v>
      </c>
      <c r="E266" s="9" t="s">
        <v>4988</v>
      </c>
      <c r="F266" s="6" t="n">
        <v>60967</v>
      </c>
      <c r="Q266" s="1" t="str">
        <f aca="false">IF($A329="","",IF(OR(F329="",I329=""),"",F329-I329))</f>
        <v/>
      </c>
      <c r="R266" s="1" t="str">
        <f aca="false">IF($A329="","",IF(Q329="","",Q329+IF(O329="",0,O329)))</f>
        <v/>
      </c>
      <c r="T266" s="1" t="n">
        <f aca="false">IF($A329="","",IF(R329="","",R329-IF(S329="",0,S329)))</f>
        <v>20000</v>
      </c>
      <c r="U266" s="1" t="str">
        <f aca="false">IF($A329="","",IF(I329="","",I329-SUM(J329:P329)))</f>
        <v/>
      </c>
      <c r="V266" s="6" t="s">
        <v>4989</v>
      </c>
      <c r="W266" s="9" t="s">
        <v>774</v>
      </c>
      <c r="X266" s="9" t="s">
        <v>4990</v>
      </c>
      <c r="Y266" s="9" t="s">
        <v>4897</v>
      </c>
      <c r="Z266" s="9" t="s">
        <v>4898</v>
      </c>
      <c r="AA266" s="9" t="s">
        <v>4899</v>
      </c>
    </row>
    <row r="267" customFormat="false" ht="15" hidden="false" customHeight="true" outlineLevel="0" collapsed="false">
      <c r="A267" s="6" t="s">
        <v>1573</v>
      </c>
      <c r="B267" s="6" t="s">
        <v>478</v>
      </c>
      <c r="C267" s="6" t="s">
        <v>485</v>
      </c>
      <c r="D267" s="6" t="n">
        <v>6</v>
      </c>
      <c r="E267" s="9" t="s">
        <v>4988</v>
      </c>
      <c r="F267" s="6" t="n">
        <v>180032</v>
      </c>
      <c r="G267" s="1" t="n">
        <v>17283751</v>
      </c>
      <c r="H267" s="1" t="n">
        <v>1176615</v>
      </c>
      <c r="I267" s="1" t="n">
        <v>8718295</v>
      </c>
      <c r="J267" s="1" t="n">
        <v>803651</v>
      </c>
      <c r="K267" s="1" t="n">
        <v>1227970</v>
      </c>
      <c r="L267" s="1" t="n">
        <v>2725332</v>
      </c>
      <c r="M267" s="1" t="n">
        <v>35727</v>
      </c>
      <c r="N267" s="1" t="n">
        <v>466958</v>
      </c>
      <c r="O267" s="1" t="n">
        <v>2188623</v>
      </c>
      <c r="P267" s="1" t="n">
        <v>1270031</v>
      </c>
      <c r="Q267" s="1" t="str">
        <f aca="false">IF($A330="","",IF(OR(F330="",I330=""),"",F330-I330))</f>
        <v/>
      </c>
      <c r="R267" s="1" t="str">
        <f aca="false">IF($A330="","",IF(Q330="","",Q330+IF(O330="",0,O330)))</f>
        <v/>
      </c>
      <c r="S267" s="1" t="n">
        <v>1606000</v>
      </c>
      <c r="T267" s="1" t="n">
        <f aca="false">IF($A330="","",IF(R330="","",R330-IF(S330="",0,S330)))</f>
        <v>79000</v>
      </c>
      <c r="U267" s="1" t="str">
        <f aca="false">IF($A330="","",IF(I330="","",I330-SUM(J330:P330)))</f>
        <v/>
      </c>
      <c r="V267" s="6" t="s">
        <v>4989</v>
      </c>
      <c r="W267" s="49" t="s">
        <v>774</v>
      </c>
      <c r="X267" s="9" t="s">
        <v>4990</v>
      </c>
      <c r="Y267" s="9" t="s">
        <v>4897</v>
      </c>
      <c r="Z267" s="9" t="s">
        <v>4898</v>
      </c>
      <c r="AA267" s="9" t="s">
        <v>4899</v>
      </c>
    </row>
    <row r="268" customFormat="false" ht="15" hidden="false" customHeight="true" outlineLevel="0" collapsed="false">
      <c r="A268" s="6" t="s">
        <v>1576</v>
      </c>
      <c r="B268" s="6" t="s">
        <v>478</v>
      </c>
      <c r="C268" s="6" t="s">
        <v>485</v>
      </c>
      <c r="D268" s="6" t="n">
        <v>6</v>
      </c>
      <c r="E268" s="9" t="s">
        <v>4988</v>
      </c>
      <c r="F268" s="6" t="n">
        <v>59250</v>
      </c>
      <c r="Q268" s="1" t="str">
        <f aca="false">IF($A331="","",IF(OR(F331="",I331=""),"",F331-I331))</f>
        <v/>
      </c>
      <c r="R268" s="1" t="str">
        <f aca="false">IF($A331="","",IF(Q331="","",Q331+IF(O331="",0,O331)))</f>
        <v/>
      </c>
      <c r="T268" s="1" t="n">
        <f aca="false">IF($A331="","",IF(R331="","",R331-IF(S331="",0,S331)))</f>
        <v>3271216</v>
      </c>
      <c r="U268" s="1" t="str">
        <f aca="false">IF($A331="","",IF(I331="","",I331-SUM(J331:P331)))</f>
        <v/>
      </c>
      <c r="V268" s="6" t="s">
        <v>4989</v>
      </c>
      <c r="W268" s="9" t="s">
        <v>774</v>
      </c>
      <c r="X268" s="9" t="s">
        <v>4990</v>
      </c>
      <c r="Y268" s="9" t="s">
        <v>4897</v>
      </c>
      <c r="Z268" s="9" t="s">
        <v>4898</v>
      </c>
      <c r="AA268" s="9" t="s">
        <v>4899</v>
      </c>
    </row>
    <row r="269" customFormat="false" ht="15" hidden="false" customHeight="true" outlineLevel="0" collapsed="false">
      <c r="A269" s="6" t="s">
        <v>1581</v>
      </c>
      <c r="B269" s="6" t="s">
        <v>478</v>
      </c>
      <c r="C269" s="6" t="s">
        <v>485</v>
      </c>
      <c r="D269" s="6" t="n">
        <v>6</v>
      </c>
      <c r="E269" s="9" t="s">
        <v>4988</v>
      </c>
      <c r="F269" s="6" t="n">
        <v>102642</v>
      </c>
      <c r="Q269" s="1" t="str">
        <f aca="false">IF($A332="","",IF(OR(F332="",I332=""),"",F332-I332))</f>
        <v/>
      </c>
      <c r="R269" s="1" t="str">
        <f aca="false">IF($A332="","",IF(Q332="","",Q332+IF(O332="",0,O332)))</f>
        <v/>
      </c>
      <c r="T269" s="1" t="str">
        <f aca="false">IF($A332="","",IF(R332="","",R332-IF(S332="",0,S332)))</f>
        <v/>
      </c>
      <c r="U269" s="1" t="str">
        <f aca="false">IF($A332="","",IF(I332="","",I332-SUM(J332:P332)))</f>
        <v/>
      </c>
      <c r="V269" s="6" t="s">
        <v>4989</v>
      </c>
      <c r="W269" s="9" t="s">
        <v>774</v>
      </c>
      <c r="X269" s="9" t="s">
        <v>4990</v>
      </c>
      <c r="Y269" s="9" t="s">
        <v>4897</v>
      </c>
      <c r="Z269" s="9" t="s">
        <v>4898</v>
      </c>
      <c r="AA269" s="9" t="s">
        <v>4899</v>
      </c>
    </row>
    <row r="270" customFormat="false" ht="15" hidden="false" customHeight="true" outlineLevel="0" collapsed="false">
      <c r="A270" s="6" t="s">
        <v>1585</v>
      </c>
      <c r="B270" s="6" t="s">
        <v>478</v>
      </c>
      <c r="C270" s="6" t="s">
        <v>485</v>
      </c>
      <c r="D270" s="6" t="n">
        <v>6</v>
      </c>
      <c r="E270" s="9" t="s">
        <v>4988</v>
      </c>
      <c r="F270" s="6" t="n">
        <v>89072</v>
      </c>
      <c r="Q270" s="1" t="str">
        <f aca="false">IF($A333="","",IF(OR(F333="",I333=""),"",F333-I333))</f>
        <v/>
      </c>
      <c r="R270" s="1" t="str">
        <f aca="false">IF($A333="","",IF(Q333="","",Q333+IF(O333="",0,O333)))</f>
        <v/>
      </c>
      <c r="T270" s="1" t="str">
        <f aca="false">IF($A333="","",IF(R333="","",R333-IF(S333="",0,S333)))</f>
        <v/>
      </c>
      <c r="U270" s="1" t="str">
        <f aca="false">IF($A333="","",IF(I333="","",I333-SUM(J333:P333)))</f>
        <v/>
      </c>
      <c r="V270" s="6" t="s">
        <v>4989</v>
      </c>
      <c r="W270" s="9" t="s">
        <v>774</v>
      </c>
      <c r="X270" s="9" t="s">
        <v>4990</v>
      </c>
      <c r="Y270" s="9" t="s">
        <v>4897</v>
      </c>
      <c r="Z270" s="9" t="s">
        <v>4898</v>
      </c>
      <c r="AA270" s="9" t="s">
        <v>4899</v>
      </c>
    </row>
    <row r="271" customFormat="false" ht="15" hidden="false" customHeight="true" outlineLevel="0" collapsed="false">
      <c r="A271" s="6" t="s">
        <v>1588</v>
      </c>
      <c r="B271" s="6" t="s">
        <v>478</v>
      </c>
      <c r="C271" s="6" t="s">
        <v>485</v>
      </c>
      <c r="D271" s="6" t="n">
        <v>6</v>
      </c>
      <c r="E271" s="9" t="s">
        <v>4988</v>
      </c>
      <c r="F271" s="6" t="n">
        <v>184180</v>
      </c>
      <c r="Q271" s="1" t="str">
        <f aca="false">IF($A334="","",IF(OR(F334="",I334=""),"",F334-I334))</f>
        <v/>
      </c>
      <c r="R271" s="1" t="str">
        <f aca="false">IF($A334="","",IF(Q334="","",Q334+IF(O334="",0,O334)))</f>
        <v/>
      </c>
      <c r="T271" s="1" t="str">
        <f aca="false">IF($A334="","",IF(R334="","",R334-IF(S334="",0,S334)))</f>
        <v/>
      </c>
      <c r="U271" s="1" t="str">
        <f aca="false">IF($A334="","",IF(I334="","",I334-SUM(J334:P334)))</f>
        <v/>
      </c>
      <c r="V271" s="6" t="s">
        <v>4989</v>
      </c>
      <c r="W271" s="9" t="s">
        <v>774</v>
      </c>
      <c r="X271" s="9" t="s">
        <v>4990</v>
      </c>
      <c r="Y271" s="9" t="s">
        <v>4897</v>
      </c>
      <c r="Z271" s="9" t="s">
        <v>4898</v>
      </c>
      <c r="AA271" s="9" t="s">
        <v>4899</v>
      </c>
    </row>
    <row r="272" customFormat="false" ht="15" hidden="false" customHeight="true" outlineLevel="0" collapsed="false">
      <c r="A272" s="6" t="s">
        <v>1591</v>
      </c>
      <c r="B272" s="6" t="s">
        <v>478</v>
      </c>
      <c r="C272" s="6" t="s">
        <v>485</v>
      </c>
      <c r="D272" s="6" t="n">
        <v>6</v>
      </c>
      <c r="E272" s="9" t="s">
        <v>4988</v>
      </c>
      <c r="F272" s="6" t="n">
        <v>119375</v>
      </c>
      <c r="Q272" s="1" t="str">
        <f aca="false">IF($A335="","",IF(OR(F335="",I335=""),"",F335-I335))</f>
        <v/>
      </c>
      <c r="R272" s="1" t="str">
        <f aca="false">IF($A335="","",IF(Q335="","",Q335+IF(O335="",0,O335)))</f>
        <v/>
      </c>
      <c r="T272" s="1" t="str">
        <f aca="false">IF($A335="","",IF(R335="","",R335-IF(S335="",0,S335)))</f>
        <v/>
      </c>
      <c r="U272" s="1" t="str">
        <f aca="false">IF($A335="","",IF(I335="","",I335-SUM(J335:P335)))</f>
        <v/>
      </c>
      <c r="V272" s="6" t="s">
        <v>4989</v>
      </c>
      <c r="W272" s="9" t="s">
        <v>774</v>
      </c>
      <c r="X272" s="9" t="s">
        <v>4990</v>
      </c>
      <c r="Y272" s="9" t="s">
        <v>4897</v>
      </c>
      <c r="Z272" s="9" t="s">
        <v>4898</v>
      </c>
      <c r="AA272" s="9" t="s">
        <v>4899</v>
      </c>
    </row>
    <row r="273" customFormat="false" ht="15" hidden="false" customHeight="true" outlineLevel="0" collapsed="false">
      <c r="A273" s="6" t="s">
        <v>1594</v>
      </c>
      <c r="B273" s="6" t="s">
        <v>478</v>
      </c>
      <c r="C273" s="6" t="s">
        <v>485</v>
      </c>
      <c r="D273" s="6" t="n">
        <v>6</v>
      </c>
      <c r="E273" s="9" t="s">
        <v>4988</v>
      </c>
      <c r="F273" s="6" t="n">
        <v>131697</v>
      </c>
      <c r="Q273" s="1" t="str">
        <f aca="false">IF($A336="","",IF(OR(F336="",I336=""),"",F336-I336))</f>
        <v/>
      </c>
      <c r="R273" s="1" t="str">
        <f aca="false">IF($A336="","",IF(Q336="","",Q336+IF(O336="",0,O336)))</f>
        <v/>
      </c>
      <c r="T273" s="1" t="str">
        <f aca="false">IF($A336="","",IF(R336="","",R336-IF(S336="",0,S336)))</f>
        <v/>
      </c>
      <c r="U273" s="1" t="str">
        <f aca="false">IF($A336="","",IF(I336="","",I336-SUM(J336:P336)))</f>
        <v/>
      </c>
      <c r="V273" s="6" t="s">
        <v>4989</v>
      </c>
      <c r="W273" s="9" t="s">
        <v>774</v>
      </c>
      <c r="X273" s="9" t="s">
        <v>4990</v>
      </c>
      <c r="Y273" s="9" t="s">
        <v>4897</v>
      </c>
      <c r="Z273" s="9" t="s">
        <v>4898</v>
      </c>
      <c r="AA273" s="9" t="s">
        <v>4899</v>
      </c>
    </row>
    <row r="274" customFormat="false" ht="15" hidden="false" customHeight="true" outlineLevel="0" collapsed="false">
      <c r="A274" s="6" t="s">
        <v>1597</v>
      </c>
      <c r="B274" s="6" t="s">
        <v>478</v>
      </c>
      <c r="C274" s="6" t="s">
        <v>485</v>
      </c>
      <c r="D274" s="6" t="n">
        <v>6</v>
      </c>
      <c r="E274" s="9" t="s">
        <v>4988</v>
      </c>
      <c r="F274" s="6" t="n">
        <v>188995</v>
      </c>
      <c r="Q274" s="1" t="str">
        <f aca="false">IF($A337="","",IF(OR(F337="",I337=""),"",F337-I337))</f>
        <v/>
      </c>
      <c r="R274" s="1" t="str">
        <f aca="false">IF($A337="","",IF(Q337="","",Q337+IF(O337="",0,O337)))</f>
        <v/>
      </c>
      <c r="T274" s="1" t="str">
        <f aca="false">IF($A337="","",IF(R337="","",R337-IF(S337="",0,S337)))</f>
        <v/>
      </c>
      <c r="U274" s="1" t="str">
        <f aca="false">IF($A337="","",IF(I337="","",I337-SUM(J337:P337)))</f>
        <v/>
      </c>
      <c r="V274" s="6" t="s">
        <v>4989</v>
      </c>
      <c r="W274" s="9" t="s">
        <v>774</v>
      </c>
      <c r="X274" s="9" t="s">
        <v>4990</v>
      </c>
      <c r="Y274" s="9" t="s">
        <v>4897</v>
      </c>
      <c r="Z274" s="9" t="s">
        <v>4898</v>
      </c>
      <c r="AA274" s="9" t="s">
        <v>4899</v>
      </c>
    </row>
    <row r="275" customFormat="false" ht="15" hidden="false" customHeight="true" outlineLevel="0" collapsed="false">
      <c r="A275" s="6" t="s">
        <v>1600</v>
      </c>
      <c r="B275" s="6" t="s">
        <v>478</v>
      </c>
      <c r="C275" s="6" t="s">
        <v>485</v>
      </c>
      <c r="D275" s="6" t="n">
        <v>6</v>
      </c>
      <c r="E275" s="9" t="s">
        <v>4988</v>
      </c>
      <c r="F275" s="6" t="n">
        <v>150716</v>
      </c>
      <c r="Q275" s="1" t="str">
        <f aca="false">IF($A338="","",IF(OR(F338="",I338=""),"",F338-I338))</f>
        <v/>
      </c>
      <c r="R275" s="1" t="str">
        <f aca="false">IF($A338="","",IF(Q338="","",Q338+IF(O338="",0,O338)))</f>
        <v/>
      </c>
      <c r="T275" s="1" t="str">
        <f aca="false">IF($A338="","",IF(R338="","",R338-IF(S338="",0,S338)))</f>
        <v/>
      </c>
      <c r="U275" s="1" t="str">
        <f aca="false">IF($A338="","",IF(I338="","",I338-SUM(J338:P338)))</f>
        <v/>
      </c>
      <c r="V275" s="6" t="s">
        <v>4989</v>
      </c>
      <c r="W275" s="9" t="s">
        <v>774</v>
      </c>
      <c r="X275" s="9" t="s">
        <v>4990</v>
      </c>
      <c r="Y275" s="9" t="s">
        <v>4897</v>
      </c>
      <c r="Z275" s="9" t="s">
        <v>4898</v>
      </c>
      <c r="AA275" s="9" t="s">
        <v>4899</v>
      </c>
    </row>
    <row r="276" customFormat="false" ht="15" hidden="false" customHeight="true" outlineLevel="0" collapsed="false">
      <c r="A276" s="6" t="s">
        <v>1603</v>
      </c>
      <c r="B276" s="6" t="s">
        <v>478</v>
      </c>
      <c r="C276" s="6" t="s">
        <v>485</v>
      </c>
      <c r="D276" s="6" t="n">
        <v>6</v>
      </c>
      <c r="E276" s="9" t="s">
        <v>4988</v>
      </c>
      <c r="F276" s="6" t="n">
        <v>92429</v>
      </c>
      <c r="Q276" s="1" t="str">
        <f aca="false">IF($A339="","",IF(OR(F339="",I339=""),"",F339-I339))</f>
        <v/>
      </c>
      <c r="R276" s="1" t="str">
        <f aca="false">IF($A339="","",IF(Q339="","",Q339+IF(O339="",0,O339)))</f>
        <v/>
      </c>
      <c r="T276" s="1" t="str">
        <f aca="false">IF($A339="","",IF(R339="","",R339-IF(S339="",0,S339)))</f>
        <v/>
      </c>
      <c r="U276" s="1" t="str">
        <f aca="false">IF($A339="","",IF(I339="","",I339-SUM(J339:P339)))</f>
        <v/>
      </c>
      <c r="V276" s="6" t="s">
        <v>4989</v>
      </c>
      <c r="W276" s="9" t="s">
        <v>774</v>
      </c>
      <c r="X276" s="9" t="s">
        <v>4990</v>
      </c>
      <c r="Y276" s="9" t="s">
        <v>4897</v>
      </c>
      <c r="Z276" s="9" t="s">
        <v>4898</v>
      </c>
      <c r="AA276" s="9" t="s">
        <v>4899</v>
      </c>
    </row>
    <row r="277" customFormat="false" ht="15" hidden="false" customHeight="true" outlineLevel="0" collapsed="false">
      <c r="A277" s="6" t="s">
        <v>1607</v>
      </c>
      <c r="B277" s="6" t="s">
        <v>478</v>
      </c>
      <c r="C277" s="6" t="s">
        <v>485</v>
      </c>
      <c r="D277" s="6" t="n">
        <v>6</v>
      </c>
      <c r="E277" s="9" t="s">
        <v>4988</v>
      </c>
      <c r="F277" s="6" t="n">
        <v>87194</v>
      </c>
      <c r="Q277" s="1" t="str">
        <f aca="false">IF($A340="","",IF(OR(F340="",I340=""),"",F340-I340))</f>
        <v/>
      </c>
      <c r="R277" s="1" t="str">
        <f aca="false">IF($A340="","",IF(Q340="","",Q340+IF(O340="",0,O340)))</f>
        <v/>
      </c>
      <c r="T277" s="1" t="str">
        <f aca="false">IF($A340="","",IF(R340="","",R340-IF(S340="",0,S340)))</f>
        <v/>
      </c>
      <c r="U277" s="1" t="str">
        <f aca="false">IF($A340="","",IF(I340="","",I340-SUM(J340:P340)))</f>
        <v/>
      </c>
      <c r="V277" s="6" t="s">
        <v>4989</v>
      </c>
      <c r="W277" s="9" t="s">
        <v>774</v>
      </c>
      <c r="X277" s="9" t="s">
        <v>4990</v>
      </c>
      <c r="Y277" s="9" t="s">
        <v>4897</v>
      </c>
      <c r="Z277" s="9" t="s">
        <v>4898</v>
      </c>
      <c r="AA277" s="9" t="s">
        <v>4899</v>
      </c>
    </row>
    <row r="278" customFormat="false" ht="15" hidden="false" customHeight="true" outlineLevel="0" collapsed="false">
      <c r="A278" s="6" t="s">
        <v>1610</v>
      </c>
      <c r="B278" s="6" t="s">
        <v>478</v>
      </c>
      <c r="C278" s="6" t="s">
        <v>485</v>
      </c>
      <c r="D278" s="6" t="n">
        <v>6</v>
      </c>
      <c r="E278" s="9" t="s">
        <v>4988</v>
      </c>
      <c r="F278" s="6" t="n">
        <v>109674</v>
      </c>
      <c r="Q278" s="1" t="str">
        <f aca="false">IF($A341="","",IF(OR(F341="",I341=""),"",F341-I341))</f>
        <v/>
      </c>
      <c r="R278" s="1" t="str">
        <f aca="false">IF($A341="","",IF(Q341="","",Q341+IF(O341="",0,O341)))</f>
        <v/>
      </c>
      <c r="T278" s="1" t="str">
        <f aca="false">IF($A341="","",IF(R341="","",R341-IF(S341="",0,S341)))</f>
        <v/>
      </c>
      <c r="U278" s="1" t="str">
        <f aca="false">IF($A341="","",IF(I341="","",I341-SUM(J341:P341)))</f>
        <v/>
      </c>
      <c r="V278" s="6" t="s">
        <v>4989</v>
      </c>
      <c r="W278" s="9" t="s">
        <v>774</v>
      </c>
      <c r="X278" s="9" t="s">
        <v>4990</v>
      </c>
      <c r="Y278" s="9" t="s">
        <v>4897</v>
      </c>
      <c r="Z278" s="9" t="s">
        <v>4898</v>
      </c>
      <c r="AA278" s="9" t="s">
        <v>4899</v>
      </c>
    </row>
    <row r="279" customFormat="false" ht="15" hidden="false" customHeight="true" outlineLevel="0" collapsed="false">
      <c r="A279" s="6" t="s">
        <v>1614</v>
      </c>
      <c r="B279" s="6" t="s">
        <v>478</v>
      </c>
      <c r="C279" s="6" t="s">
        <v>485</v>
      </c>
      <c r="D279" s="6" t="n">
        <v>6</v>
      </c>
      <c r="E279" s="9" t="s">
        <v>4988</v>
      </c>
      <c r="F279" s="6" t="n">
        <v>136297</v>
      </c>
      <c r="Q279" s="1" t="str">
        <f aca="false">IF($A342="","",IF(OR(F342="",I342=""),"",F342-I342))</f>
        <v/>
      </c>
      <c r="R279" s="1" t="str">
        <f aca="false">IF($A342="","",IF(Q342="","",Q342+IF(O342="",0,O342)))</f>
        <v/>
      </c>
      <c r="T279" s="1" t="str">
        <f aca="false">IF($A342="","",IF(R342="","",R342-IF(S342="",0,S342)))</f>
        <v/>
      </c>
      <c r="U279" s="1" t="str">
        <f aca="false">IF($A342="","",IF(I342="","",I342-SUM(J342:P342)))</f>
        <v/>
      </c>
      <c r="V279" s="6" t="s">
        <v>4989</v>
      </c>
      <c r="W279" s="9" t="s">
        <v>774</v>
      </c>
      <c r="X279" s="9" t="s">
        <v>4990</v>
      </c>
      <c r="Y279" s="9" t="s">
        <v>4897</v>
      </c>
      <c r="Z279" s="9" t="s">
        <v>4898</v>
      </c>
      <c r="AA279" s="9" t="s">
        <v>4899</v>
      </c>
    </row>
    <row r="280" customFormat="false" ht="15" hidden="false" customHeight="true" outlineLevel="0" collapsed="false">
      <c r="A280" s="6" t="s">
        <v>1617</v>
      </c>
      <c r="B280" s="6" t="s">
        <v>478</v>
      </c>
      <c r="C280" s="6" t="s">
        <v>485</v>
      </c>
      <c r="D280" s="6" t="n">
        <v>6</v>
      </c>
      <c r="E280" s="9" t="s">
        <v>4988</v>
      </c>
      <c r="F280" s="6" t="n">
        <v>73108</v>
      </c>
      <c r="Q280" s="1" t="str">
        <f aca="false">IF($A343="","",IF(OR(F343="",I343=""),"",F343-I343))</f>
        <v/>
      </c>
      <c r="R280" s="1" t="str">
        <f aca="false">IF($A343="","",IF(Q343="","",Q343+IF(O343="",0,O343)))</f>
        <v/>
      </c>
      <c r="T280" s="1" t="str">
        <f aca="false">IF($A343="","",IF(R343="","",R343-IF(S343="",0,S343)))</f>
        <v/>
      </c>
      <c r="U280" s="1" t="str">
        <f aca="false">IF($A343="","",IF(I343="","",I343-SUM(J343:P343)))</f>
        <v/>
      </c>
      <c r="V280" s="6" t="s">
        <v>4989</v>
      </c>
      <c r="W280" s="9" t="s">
        <v>774</v>
      </c>
      <c r="X280" s="9" t="s">
        <v>4990</v>
      </c>
      <c r="Y280" s="9" t="s">
        <v>4897</v>
      </c>
      <c r="Z280" s="9" t="s">
        <v>4898</v>
      </c>
      <c r="AA280" s="9" t="s">
        <v>4899</v>
      </c>
    </row>
    <row r="281" customFormat="false" ht="15" hidden="false" customHeight="true" outlineLevel="0" collapsed="false">
      <c r="A281" s="6" t="s">
        <v>1620</v>
      </c>
      <c r="B281" s="6" t="s">
        <v>478</v>
      </c>
      <c r="C281" s="6" t="s">
        <v>485</v>
      </c>
      <c r="D281" s="6" t="n">
        <v>6</v>
      </c>
      <c r="E281" s="9" t="s">
        <v>4988</v>
      </c>
      <c r="F281" s="6" t="n">
        <v>169681</v>
      </c>
      <c r="Q281" s="1" t="str">
        <f aca="false">IF($A344="","",IF(OR(F344="",I344=""),"",F344-I344))</f>
        <v/>
      </c>
      <c r="R281" s="1" t="str">
        <f aca="false">IF($A344="","",IF(Q344="","",Q344+IF(O344="",0,O344)))</f>
        <v/>
      </c>
      <c r="T281" s="1" t="str">
        <f aca="false">IF($A344="","",IF(R344="","",R344-IF(S344="",0,S344)))</f>
        <v/>
      </c>
      <c r="U281" s="1" t="str">
        <f aca="false">IF($A344="","",IF(I344="","",I344-SUM(J344:P344)))</f>
        <v/>
      </c>
      <c r="V281" s="6" t="s">
        <v>4989</v>
      </c>
      <c r="W281" s="9" t="s">
        <v>774</v>
      </c>
      <c r="X281" s="9" t="s">
        <v>4990</v>
      </c>
      <c r="Y281" s="9" t="s">
        <v>4897</v>
      </c>
      <c r="Z281" s="9" t="s">
        <v>4898</v>
      </c>
      <c r="AA281" s="9" t="s">
        <v>4899</v>
      </c>
    </row>
    <row r="282" customFormat="false" ht="15" hidden="false" customHeight="true" outlineLevel="0" collapsed="false">
      <c r="A282" s="6" t="s">
        <v>1623</v>
      </c>
      <c r="B282" s="6" t="s">
        <v>478</v>
      </c>
      <c r="C282" s="6" t="s">
        <v>485</v>
      </c>
      <c r="D282" s="6" t="n">
        <v>6</v>
      </c>
      <c r="E282" s="9" t="s">
        <v>4988</v>
      </c>
      <c r="F282" s="6" t="n">
        <v>110384</v>
      </c>
      <c r="Q282" s="1" t="str">
        <f aca="false">IF($A345="","",IF(OR(F345="",I345=""),"",F345-I345))</f>
        <v/>
      </c>
      <c r="R282" s="1" t="str">
        <f aca="false">IF($A345="","",IF(Q345="","",Q345+IF(O345="",0,O345)))</f>
        <v/>
      </c>
      <c r="T282" s="1" t="str">
        <f aca="false">IF($A345="","",IF(R345="","",R345-IF(S345="",0,S345)))</f>
        <v/>
      </c>
      <c r="U282" s="1" t="str">
        <f aca="false">IF($A345="","",IF(I345="","",I345-SUM(J345:P345)))</f>
        <v/>
      </c>
      <c r="V282" s="6" t="s">
        <v>4989</v>
      </c>
      <c r="W282" s="9" t="s">
        <v>774</v>
      </c>
      <c r="X282" s="9" t="s">
        <v>4990</v>
      </c>
      <c r="Y282" s="9" t="s">
        <v>4897</v>
      </c>
      <c r="Z282" s="9" t="s">
        <v>4898</v>
      </c>
      <c r="AA282" s="9" t="s">
        <v>4899</v>
      </c>
    </row>
    <row r="283" customFormat="false" ht="15" hidden="false" customHeight="true" outlineLevel="0" collapsed="false">
      <c r="A283" s="6" t="s">
        <v>1628</v>
      </c>
      <c r="B283" s="6" t="s">
        <v>478</v>
      </c>
      <c r="C283" s="6" t="s">
        <v>485</v>
      </c>
      <c r="D283" s="6" t="n">
        <v>6</v>
      </c>
      <c r="E283" s="9" t="s">
        <v>4988</v>
      </c>
      <c r="F283" s="6" t="n">
        <v>97842</v>
      </c>
      <c r="Q283" s="1" t="str">
        <f aca="false">IF($A346="","",IF(OR(F346="",I346=""),"",F346-I346))</f>
        <v/>
      </c>
      <c r="R283" s="1" t="str">
        <f aca="false">IF($A346="","",IF(Q346="","",Q346+IF(O346="",0,O346)))</f>
        <v/>
      </c>
      <c r="T283" s="1" t="str">
        <f aca="false">IF($A346="","",IF(R346="","",R346-IF(S346="",0,S346)))</f>
        <v/>
      </c>
      <c r="U283" s="1" t="str">
        <f aca="false">IF($A346="","",IF(I346="","",I346-SUM(J346:P346)))</f>
        <v/>
      </c>
      <c r="V283" s="6" t="s">
        <v>4989</v>
      </c>
      <c r="W283" s="9" t="s">
        <v>774</v>
      </c>
      <c r="X283" s="9" t="s">
        <v>4990</v>
      </c>
      <c r="Y283" s="9" t="s">
        <v>4897</v>
      </c>
      <c r="Z283" s="9" t="s">
        <v>4898</v>
      </c>
      <c r="AA283" s="9" t="s">
        <v>4899</v>
      </c>
    </row>
    <row r="284" customFormat="false" ht="15" hidden="false" customHeight="true" outlineLevel="0" collapsed="false">
      <c r="A284" s="6" t="s">
        <v>1632</v>
      </c>
      <c r="B284" s="6" t="s">
        <v>478</v>
      </c>
      <c r="C284" s="6" t="s">
        <v>485</v>
      </c>
      <c r="D284" s="6" t="n">
        <v>6</v>
      </c>
      <c r="E284" s="9" t="s">
        <v>4988</v>
      </c>
      <c r="F284" s="6" t="n">
        <v>45577</v>
      </c>
      <c r="Q284" s="1" t="str">
        <f aca="false">IF($A347="","",IF(OR(F347="",I347=""),"",F347-I347))</f>
        <v/>
      </c>
      <c r="R284" s="1" t="str">
        <f aca="false">IF($A347="","",IF(Q347="","",Q347+IF(O347="",0,O347)))</f>
        <v/>
      </c>
      <c r="T284" s="1" t="str">
        <f aca="false">IF($A347="","",IF(R347="","",R347-IF(S347="",0,S347)))</f>
        <v/>
      </c>
      <c r="U284" s="1" t="str">
        <f aca="false">IF($A347="","",IF(I347="","",I347-SUM(J347:P347)))</f>
        <v/>
      </c>
      <c r="V284" s="6" t="s">
        <v>4989</v>
      </c>
      <c r="W284" s="9" t="s">
        <v>774</v>
      </c>
      <c r="X284" s="9" t="s">
        <v>4990</v>
      </c>
      <c r="Y284" s="9" t="s">
        <v>4897</v>
      </c>
      <c r="Z284" s="9" t="s">
        <v>4898</v>
      </c>
      <c r="AA284" s="9" t="s">
        <v>4899</v>
      </c>
    </row>
    <row r="285" customFormat="false" ht="15" hidden="false" customHeight="true" outlineLevel="0" collapsed="false">
      <c r="A285" s="6" t="s">
        <v>1635</v>
      </c>
      <c r="B285" s="6" t="s">
        <v>478</v>
      </c>
      <c r="C285" s="6" t="s">
        <v>485</v>
      </c>
      <c r="D285" s="6" t="n">
        <v>6</v>
      </c>
      <c r="E285" s="9" t="s">
        <v>4988</v>
      </c>
      <c r="F285" s="6" t="n">
        <v>57589</v>
      </c>
      <c r="Q285" s="1" t="str">
        <f aca="false">IF($A348="","",IF(OR(F348="",I348=""),"",F348-I348))</f>
        <v/>
      </c>
      <c r="R285" s="1" t="str">
        <f aca="false">IF($A348="","",IF(Q348="","",Q348+IF(O348="",0,O348)))</f>
        <v/>
      </c>
      <c r="T285" s="1" t="str">
        <f aca="false">IF($A348="","",IF(R348="","",R348-IF(S348="",0,S348)))</f>
        <v/>
      </c>
      <c r="U285" s="1" t="str">
        <f aca="false">IF($A348="","",IF(I348="","",I348-SUM(J348:P348)))</f>
        <v/>
      </c>
      <c r="V285" s="6" t="s">
        <v>4989</v>
      </c>
      <c r="W285" s="9" t="s">
        <v>774</v>
      </c>
      <c r="X285" s="9" t="s">
        <v>4990</v>
      </c>
      <c r="Y285" s="9" t="s">
        <v>4897</v>
      </c>
      <c r="Z285" s="9" t="s">
        <v>4898</v>
      </c>
      <c r="AA285" s="9" t="s">
        <v>4899</v>
      </c>
    </row>
    <row r="286" customFormat="false" ht="15" hidden="false" customHeight="true" outlineLevel="0" collapsed="false">
      <c r="A286" s="6" t="s">
        <v>1638</v>
      </c>
      <c r="B286" s="6" t="s">
        <v>478</v>
      </c>
      <c r="C286" s="6" t="s">
        <v>485</v>
      </c>
      <c r="D286" s="6" t="n">
        <v>6</v>
      </c>
      <c r="E286" s="9" t="s">
        <v>4988</v>
      </c>
      <c r="F286" s="6" t="n">
        <v>58866</v>
      </c>
      <c r="Q286" s="1" t="str">
        <f aca="false">IF($A349="","",IF(OR(F349="",I349=""),"",F349-I349))</f>
        <v/>
      </c>
      <c r="R286" s="1" t="str">
        <f aca="false">IF($A349="","",IF(Q349="","",Q349+IF(O349="",0,O349)))</f>
        <v/>
      </c>
      <c r="T286" s="1" t="str">
        <f aca="false">IF($A349="","",IF(R349="","",R349-IF(S349="",0,S349)))</f>
        <v/>
      </c>
      <c r="U286" s="1" t="str">
        <f aca="false">IF($A349="","",IF(I349="","",I349-SUM(J349:P349)))</f>
        <v/>
      </c>
      <c r="V286" s="6" t="s">
        <v>4989</v>
      </c>
      <c r="W286" s="9" t="s">
        <v>774</v>
      </c>
      <c r="X286" s="9" t="s">
        <v>4990</v>
      </c>
      <c r="Y286" s="9" t="s">
        <v>4897</v>
      </c>
      <c r="Z286" s="9" t="s">
        <v>4898</v>
      </c>
      <c r="AA286" s="9" t="s">
        <v>4899</v>
      </c>
    </row>
    <row r="287" customFormat="false" ht="15" hidden="false" customHeight="true" outlineLevel="0" collapsed="false">
      <c r="A287" s="6" t="s">
        <v>1642</v>
      </c>
      <c r="B287" s="6" t="s">
        <v>478</v>
      </c>
      <c r="C287" s="6" t="s">
        <v>485</v>
      </c>
      <c r="D287" s="6" t="n">
        <v>6</v>
      </c>
      <c r="E287" s="9" t="s">
        <v>4988</v>
      </c>
      <c r="F287" s="6" t="n">
        <v>71303</v>
      </c>
      <c r="Q287" s="1" t="str">
        <f aca="false">IF($A350="","",IF(OR(F350="",I350=""),"",F350-I350))</f>
        <v/>
      </c>
      <c r="R287" s="1" t="str">
        <f aca="false">IF($A350="","",IF(Q350="","",Q350+IF(O350="",0,O350)))</f>
        <v/>
      </c>
      <c r="T287" s="1" t="n">
        <f aca="false">IF($A350="","",IF(R350="","",R350-IF(S350="",0,S350)))</f>
        <v>9131616</v>
      </c>
      <c r="U287" s="1" t="str">
        <f aca="false">IF($A350="","",IF(I350="","",I350-SUM(J350:P350)))</f>
        <v/>
      </c>
      <c r="V287" s="6" t="s">
        <v>4989</v>
      </c>
      <c r="W287" s="9" t="s">
        <v>774</v>
      </c>
      <c r="X287" s="9" t="s">
        <v>4990</v>
      </c>
      <c r="Y287" s="9" t="s">
        <v>4897</v>
      </c>
      <c r="Z287" s="9" t="s">
        <v>4898</v>
      </c>
      <c r="AA287" s="9" t="s">
        <v>4899</v>
      </c>
    </row>
    <row r="288" customFormat="false" ht="15" hidden="false" customHeight="true" outlineLevel="0" collapsed="false">
      <c r="A288" s="6" t="s">
        <v>1645</v>
      </c>
      <c r="B288" s="6" t="s">
        <v>478</v>
      </c>
      <c r="C288" s="6" t="s">
        <v>485</v>
      </c>
      <c r="D288" s="6" t="n">
        <v>6</v>
      </c>
      <c r="E288" s="9" t="s">
        <v>4988</v>
      </c>
      <c r="F288" s="6" t="n">
        <v>101035</v>
      </c>
      <c r="Q288" s="1" t="str">
        <f aca="false">IF($A351="","",IF(OR(F351="",I351=""),"",F351-I351))</f>
        <v/>
      </c>
      <c r="R288" s="1" t="str">
        <f aca="false">IF($A351="","",IF(Q351="","",Q351+IF(O351="",0,O351)))</f>
        <v/>
      </c>
      <c r="T288" s="1" t="str">
        <f aca="false">IF($A351="","",IF(R351="","",R351-IF(S351="",0,S351)))</f>
        <v/>
      </c>
      <c r="U288" s="1" t="str">
        <f aca="false">IF($A351="","",IF(I351="","",I351-SUM(J351:P351)))</f>
        <v/>
      </c>
      <c r="V288" s="6" t="s">
        <v>4989</v>
      </c>
      <c r="W288" s="9" t="s">
        <v>774</v>
      </c>
      <c r="X288" s="9" t="s">
        <v>4990</v>
      </c>
      <c r="Y288" s="9" t="s">
        <v>4897</v>
      </c>
      <c r="Z288" s="9" t="s">
        <v>4898</v>
      </c>
      <c r="AA288" s="9" t="s">
        <v>4899</v>
      </c>
    </row>
    <row r="289" customFormat="false" ht="15" hidden="false" customHeight="true" outlineLevel="0" collapsed="false">
      <c r="A289" s="6" t="s">
        <v>1648</v>
      </c>
      <c r="B289" s="6" t="s">
        <v>478</v>
      </c>
      <c r="C289" s="6" t="s">
        <v>485</v>
      </c>
      <c r="D289" s="6" t="n">
        <v>6</v>
      </c>
      <c r="E289" s="9" t="s">
        <v>4988</v>
      </c>
      <c r="F289" s="6" t="n">
        <v>60010</v>
      </c>
      <c r="Q289" s="1" t="str">
        <f aca="false">IF($A352="","",IF(OR(F352="",I352=""),"",F352-I352))</f>
        <v/>
      </c>
      <c r="R289" s="1" t="str">
        <f aca="false">IF($A352="","",IF(Q352="","",Q352+IF(O352="",0,O352)))</f>
        <v/>
      </c>
      <c r="T289" s="1" t="str">
        <f aca="false">IF($A352="","",IF(R352="","",R352-IF(S352="",0,S352)))</f>
        <v/>
      </c>
      <c r="U289" s="1" t="str">
        <f aca="false">IF($A352="","",IF(I352="","",I352-SUM(J352:P352)))</f>
        <v/>
      </c>
      <c r="V289" s="6" t="s">
        <v>4989</v>
      </c>
      <c r="W289" s="9" t="s">
        <v>774</v>
      </c>
      <c r="X289" s="9" t="s">
        <v>4990</v>
      </c>
      <c r="Y289" s="9" t="s">
        <v>4897</v>
      </c>
      <c r="Z289" s="9" t="s">
        <v>4898</v>
      </c>
      <c r="AA289" s="9" t="s">
        <v>4899</v>
      </c>
    </row>
    <row r="290" customFormat="false" ht="15" hidden="false" customHeight="true" outlineLevel="0" collapsed="false">
      <c r="A290" s="6" t="s">
        <v>1651</v>
      </c>
      <c r="B290" s="6" t="s">
        <v>478</v>
      </c>
      <c r="C290" s="6" t="s">
        <v>485</v>
      </c>
      <c r="D290" s="6" t="n">
        <v>6</v>
      </c>
      <c r="E290" s="9" t="s">
        <v>4988</v>
      </c>
      <c r="F290" s="6" t="n">
        <v>102517</v>
      </c>
      <c r="Q290" s="1" t="str">
        <f aca="false">IF($A353="","",IF(OR(F353="",I353=""),"",F353-I353))</f>
        <v/>
      </c>
      <c r="R290" s="1" t="str">
        <f aca="false">IF($A353="","",IF(Q353="","",Q353+IF(O353="",0,O353)))</f>
        <v/>
      </c>
      <c r="T290" s="1" t="str">
        <f aca="false">IF($A353="","",IF(R353="","",R353-IF(S353="",0,S353)))</f>
        <v/>
      </c>
      <c r="U290" s="1" t="str">
        <f aca="false">IF($A353="","",IF(I353="","",I353-SUM(J353:P353)))</f>
        <v/>
      </c>
      <c r="V290" s="6" t="s">
        <v>4989</v>
      </c>
      <c r="W290" s="9" t="s">
        <v>774</v>
      </c>
      <c r="X290" s="9" t="s">
        <v>4990</v>
      </c>
      <c r="Y290" s="9" t="s">
        <v>4897</v>
      </c>
      <c r="Z290" s="9" t="s">
        <v>4898</v>
      </c>
      <c r="AA290" s="9" t="s">
        <v>4899</v>
      </c>
    </row>
    <row r="291" customFormat="false" ht="15" hidden="false" customHeight="true" outlineLevel="0" collapsed="false">
      <c r="A291" s="6" t="s">
        <v>1654</v>
      </c>
      <c r="B291" s="6" t="s">
        <v>478</v>
      </c>
      <c r="C291" s="6" t="s">
        <v>485</v>
      </c>
      <c r="D291" s="6" t="n">
        <v>6</v>
      </c>
      <c r="E291" s="9" t="s">
        <v>4988</v>
      </c>
      <c r="F291" s="6" t="n">
        <v>160304</v>
      </c>
      <c r="Q291" s="1" t="str">
        <f aca="false">IF($A354="","",IF(OR(F354="",I354=""),"",F354-I354))</f>
        <v/>
      </c>
      <c r="R291" s="1" t="str">
        <f aca="false">IF($A354="","",IF(Q354="","",Q354+IF(O354="",0,O354)))</f>
        <v/>
      </c>
      <c r="T291" s="1" t="str">
        <f aca="false">IF($A354="","",IF(R354="","",R354-IF(S354="",0,S354)))</f>
        <v/>
      </c>
      <c r="U291" s="1" t="str">
        <f aca="false">IF($A354="","",IF(I354="","",I354-SUM(J354:P354)))</f>
        <v/>
      </c>
      <c r="V291" s="6" t="s">
        <v>4989</v>
      </c>
      <c r="W291" s="9" t="s">
        <v>774</v>
      </c>
      <c r="X291" s="9" t="s">
        <v>4990</v>
      </c>
      <c r="Y291" s="9" t="s">
        <v>4897</v>
      </c>
      <c r="Z291" s="9" t="s">
        <v>4898</v>
      </c>
      <c r="AA291" s="9" t="s">
        <v>4899</v>
      </c>
    </row>
    <row r="292" customFormat="false" ht="15" hidden="false" customHeight="true" outlineLevel="0" collapsed="false">
      <c r="A292" s="6" t="s">
        <v>1658</v>
      </c>
      <c r="B292" s="6" t="s">
        <v>478</v>
      </c>
      <c r="C292" s="6" t="s">
        <v>485</v>
      </c>
      <c r="D292" s="6" t="n">
        <v>6</v>
      </c>
      <c r="E292" s="9" t="s">
        <v>4988</v>
      </c>
      <c r="F292" s="6" t="n">
        <v>94432</v>
      </c>
      <c r="Q292" s="1" t="str">
        <f aca="false">IF($A355="","",IF(OR(F355="",I355=""),"",F355-I355))</f>
        <v/>
      </c>
      <c r="R292" s="1" t="str">
        <f aca="false">IF($A355="","",IF(Q355="","",Q355+IF(O355="",0,O355)))</f>
        <v/>
      </c>
      <c r="T292" s="1" t="str">
        <f aca="false">IF($A355="","",IF(R355="","",R355-IF(S355="",0,S355)))</f>
        <v/>
      </c>
      <c r="U292" s="1" t="str">
        <f aca="false">IF($A355="","",IF(I355="","",I355-SUM(J355:P355)))</f>
        <v/>
      </c>
      <c r="V292" s="6" t="s">
        <v>4989</v>
      </c>
      <c r="W292" s="9" t="s">
        <v>774</v>
      </c>
      <c r="X292" s="9" t="s">
        <v>4990</v>
      </c>
      <c r="Y292" s="9" t="s">
        <v>4897</v>
      </c>
      <c r="Z292" s="9" t="s">
        <v>4898</v>
      </c>
      <c r="AA292" s="9" t="s">
        <v>4899</v>
      </c>
    </row>
    <row r="293" customFormat="false" ht="15" hidden="false" customHeight="true" outlineLevel="0" collapsed="false">
      <c r="A293" s="6" t="s">
        <v>1661</v>
      </c>
      <c r="B293" s="6" t="s">
        <v>478</v>
      </c>
      <c r="C293" s="6" t="s">
        <v>485</v>
      </c>
      <c r="D293" s="6" t="n">
        <v>6</v>
      </c>
      <c r="E293" s="9" t="s">
        <v>4988</v>
      </c>
      <c r="F293" s="6" t="n">
        <v>49868</v>
      </c>
      <c r="Q293" s="1" t="str">
        <f aca="false">IF($A356="","",IF(OR(F356="",I356=""),"",F356-I356))</f>
        <v/>
      </c>
      <c r="R293" s="1" t="str">
        <f aca="false">IF($A356="","",IF(Q356="","",Q356+IF(O356="",0,O356)))</f>
        <v/>
      </c>
      <c r="T293" s="1" t="str">
        <f aca="false">IF($A356="","",IF(R356="","",R356-IF(S356="",0,S356)))</f>
        <v/>
      </c>
      <c r="U293" s="1" t="str">
        <f aca="false">IF($A356="","",IF(I356="","",I356-SUM(J356:P356)))</f>
        <v/>
      </c>
      <c r="V293" s="6" t="s">
        <v>4989</v>
      </c>
      <c r="W293" s="9" t="s">
        <v>774</v>
      </c>
      <c r="X293" s="9" t="s">
        <v>4990</v>
      </c>
      <c r="Y293" s="9" t="s">
        <v>4897</v>
      </c>
      <c r="Z293" s="9" t="s">
        <v>4898</v>
      </c>
      <c r="AA293" s="9" t="s">
        <v>4899</v>
      </c>
    </row>
    <row r="294" customFormat="false" ht="15" hidden="false" customHeight="true" outlineLevel="0" collapsed="false">
      <c r="A294" s="6" t="s">
        <v>1664</v>
      </c>
      <c r="B294" s="6" t="s">
        <v>478</v>
      </c>
      <c r="C294" s="6" t="s">
        <v>485</v>
      </c>
      <c r="D294" s="6" t="n">
        <v>6</v>
      </c>
      <c r="E294" s="9" t="s">
        <v>4988</v>
      </c>
      <c r="F294" s="6" t="n">
        <v>52203</v>
      </c>
      <c r="Q294" s="1" t="n">
        <f aca="false">IF($A357="","",IF(OR(F357="",I357=""),"",F357-I357))</f>
        <v>6128532</v>
      </c>
      <c r="R294" s="1" t="n">
        <f aca="false">IF($A357="","",IF(Q357="","",Q357+IF(O357="",0,O357)))</f>
        <v>1081287</v>
      </c>
      <c r="T294" s="1" t="n">
        <f aca="false">IF($A357="","",IF(R357="","",R357-IF(S357="",0,S357)))</f>
        <v>-286009</v>
      </c>
      <c r="U294" s="1" t="n">
        <f aca="false">IF($A357="","",IF(I357="","",I357-SUM(J357:P357)))</f>
        <v>2</v>
      </c>
      <c r="V294" s="6" t="s">
        <v>4989</v>
      </c>
      <c r="W294" s="9" t="s">
        <v>774</v>
      </c>
      <c r="X294" s="9" t="s">
        <v>4990</v>
      </c>
      <c r="Y294" s="9" t="s">
        <v>4897</v>
      </c>
      <c r="Z294" s="9" t="s">
        <v>4898</v>
      </c>
      <c r="AA294" s="9" t="s">
        <v>4899</v>
      </c>
    </row>
    <row r="295" customFormat="false" ht="15" hidden="false" customHeight="true" outlineLevel="0" collapsed="false">
      <c r="A295" s="6" t="s">
        <v>1667</v>
      </c>
      <c r="B295" s="6" t="s">
        <v>478</v>
      </c>
      <c r="C295" s="6" t="s">
        <v>485</v>
      </c>
      <c r="D295" s="6" t="n">
        <v>6</v>
      </c>
      <c r="E295" s="9" t="s">
        <v>4988</v>
      </c>
      <c r="F295" s="6" t="n">
        <v>79221</v>
      </c>
      <c r="Q295" s="1" t="n">
        <f aca="false">IF($A358="","",IF(OR(F358="",I358=""),"",F358-I358))</f>
        <v>1850234</v>
      </c>
      <c r="R295" s="1" t="n">
        <f aca="false">IF($A358="","",IF(Q358="","",Q358+IF(O358="",0,O358)))</f>
        <v>379849</v>
      </c>
      <c r="T295" s="1" t="n">
        <f aca="false">IF($A358="","",IF(R358="","",R358-IF(S358="",0,S358)))</f>
        <v>143000</v>
      </c>
      <c r="U295" s="1" t="n">
        <f aca="false">IF($A358="","",IF(I358="","",I358-SUM(J358:P358)))</f>
        <v>1</v>
      </c>
      <c r="V295" s="6" t="s">
        <v>4989</v>
      </c>
      <c r="W295" s="9" t="s">
        <v>774</v>
      </c>
      <c r="X295" s="9" t="s">
        <v>4990</v>
      </c>
      <c r="Y295" s="9" t="s">
        <v>4897</v>
      </c>
      <c r="Z295" s="9" t="s">
        <v>4898</v>
      </c>
      <c r="AA295" s="9" t="s">
        <v>4899</v>
      </c>
    </row>
    <row r="296" customFormat="false" ht="15" hidden="false" customHeight="true" outlineLevel="0" collapsed="false">
      <c r="A296" s="6" t="s">
        <v>1670</v>
      </c>
      <c r="B296" s="6" t="s">
        <v>478</v>
      </c>
      <c r="C296" s="6" t="s">
        <v>485</v>
      </c>
      <c r="D296" s="6" t="n">
        <v>6</v>
      </c>
      <c r="E296" s="9" t="s">
        <v>4988</v>
      </c>
      <c r="F296" s="6" t="n">
        <v>124152</v>
      </c>
      <c r="G296" s="1" t="n">
        <v>7379368</v>
      </c>
      <c r="H296" s="1" t="n">
        <v>506166</v>
      </c>
      <c r="I296" s="1" t="n">
        <v>3801500</v>
      </c>
      <c r="J296" s="1" t="n">
        <v>532100</v>
      </c>
      <c r="K296" s="1" t="n">
        <v>495249</v>
      </c>
      <c r="L296" s="1" t="n">
        <v>791528</v>
      </c>
      <c r="M296" s="1" t="n">
        <v>14263</v>
      </c>
      <c r="N296" s="1" t="n">
        <v>451981</v>
      </c>
      <c r="O296" s="1" t="n">
        <v>986051</v>
      </c>
      <c r="P296" s="1" t="n">
        <v>530324</v>
      </c>
      <c r="Q296" s="1" t="n">
        <f aca="false">IF($A359="","",IF(OR(F359="",I359=""),"",F359-I359))</f>
        <v>954703</v>
      </c>
      <c r="R296" s="1" t="n">
        <f aca="false">IF($A359="","",IF(Q359="","",Q359+IF(O359="",0,O359)))</f>
        <v>375072</v>
      </c>
      <c r="S296" s="1" t="n">
        <v>1350320</v>
      </c>
      <c r="T296" s="1" t="n">
        <f aca="false">IF($A359="","",IF(R359="","",R359-IF(S359="",0,S359)))</f>
        <v>470811</v>
      </c>
      <c r="U296" s="1" t="n">
        <f aca="false">IF($A359="","",IF(I359="","",I359-SUM(J359:P359)))</f>
        <v>1</v>
      </c>
      <c r="V296" s="6" t="s">
        <v>4989</v>
      </c>
      <c r="W296" s="49" t="s">
        <v>774</v>
      </c>
      <c r="X296" s="9" t="s">
        <v>4990</v>
      </c>
      <c r="Y296" s="9" t="s">
        <v>4897</v>
      </c>
      <c r="Z296" s="9" t="s">
        <v>4898</v>
      </c>
      <c r="AA296" s="9" t="s">
        <v>4899</v>
      </c>
    </row>
    <row r="297" customFormat="false" ht="15" hidden="false" customHeight="true" outlineLevel="0" collapsed="false">
      <c r="A297" s="6" t="s">
        <v>1674</v>
      </c>
      <c r="B297" s="6" t="s">
        <v>478</v>
      </c>
      <c r="C297" s="6" t="s">
        <v>485</v>
      </c>
      <c r="D297" s="6" t="n">
        <v>6</v>
      </c>
      <c r="E297" s="9" t="s">
        <v>4988</v>
      </c>
      <c r="F297" s="6" t="n">
        <v>92919</v>
      </c>
      <c r="Q297" s="1" t="n">
        <f aca="false">IF($A360="","",IF(OR(F360="",I360=""),"",F360-I360))</f>
        <v>340331</v>
      </c>
      <c r="R297" s="1" t="n">
        <f aca="false">IF($A360="","",IF(Q360="","",Q360+IF(O360="",0,O360)))</f>
        <v>221579</v>
      </c>
      <c r="T297" s="1" t="n">
        <f aca="false">IF($A360="","",IF(R360="","",R360-IF(S360="",0,S360)))</f>
        <v>137167</v>
      </c>
      <c r="U297" s="1" t="n">
        <f aca="false">IF($A360="","",IF(I360="","",I360-SUM(J360:P360)))</f>
        <v>3</v>
      </c>
      <c r="V297" s="6" t="s">
        <v>4989</v>
      </c>
      <c r="W297" s="9" t="s">
        <v>774</v>
      </c>
      <c r="X297" s="9" t="s">
        <v>4990</v>
      </c>
      <c r="Y297" s="9" t="s">
        <v>4897</v>
      </c>
      <c r="Z297" s="9" t="s">
        <v>4898</v>
      </c>
      <c r="AA297" s="9" t="s">
        <v>4899</v>
      </c>
    </row>
    <row r="298" customFormat="false" ht="15" hidden="false" customHeight="true" outlineLevel="0" collapsed="false">
      <c r="A298" s="6" t="s">
        <v>1679</v>
      </c>
      <c r="B298" s="6" t="s">
        <v>478</v>
      </c>
      <c r="C298" s="6" t="s">
        <v>485</v>
      </c>
      <c r="D298" s="6" t="n">
        <v>6</v>
      </c>
      <c r="E298" s="9" t="s">
        <v>4988</v>
      </c>
      <c r="F298" s="6" t="n">
        <v>74559</v>
      </c>
      <c r="Q298" s="1" t="n">
        <f aca="false">IF($A361="","",IF(OR(F361="",I361=""),"",F361-I361))</f>
        <v>447545</v>
      </c>
      <c r="R298" s="1" t="n">
        <f aca="false">IF($A361="","",IF(Q361="","",Q361+IF(O361="",0,O361)))</f>
        <v>351844</v>
      </c>
      <c r="T298" s="1" t="n">
        <f aca="false">IF($A361="","",IF(R361="","",R361-IF(S361="",0,S361)))</f>
        <v>179493</v>
      </c>
      <c r="U298" s="1" t="n">
        <f aca="false">IF($A361="","",IF(I361="","",I361-SUM(J361:P361)))</f>
        <v>3</v>
      </c>
      <c r="V298" s="6" t="s">
        <v>4989</v>
      </c>
      <c r="W298" s="9" t="s">
        <v>774</v>
      </c>
      <c r="X298" s="9" t="s">
        <v>4990</v>
      </c>
      <c r="Y298" s="9" t="s">
        <v>4897</v>
      </c>
      <c r="Z298" s="9" t="s">
        <v>4898</v>
      </c>
      <c r="AA298" s="9" t="s">
        <v>4899</v>
      </c>
    </row>
    <row r="299" customFormat="false" ht="15" hidden="false" customHeight="true" outlineLevel="0" collapsed="false">
      <c r="A299" s="6" t="s">
        <v>1682</v>
      </c>
      <c r="B299" s="6" t="s">
        <v>478</v>
      </c>
      <c r="C299" s="6" t="s">
        <v>485</v>
      </c>
      <c r="D299" s="6" t="n">
        <v>6</v>
      </c>
      <c r="E299" s="9" t="s">
        <v>4988</v>
      </c>
      <c r="F299" s="6" t="n">
        <v>112420</v>
      </c>
      <c r="Q299" s="1" t="n">
        <f aca="false">IF($A362="","",IF(OR(F362="",I362=""),"",F362-I362))</f>
        <v>674637</v>
      </c>
      <c r="R299" s="1" t="n">
        <f aca="false">IF($A362="","",IF(Q362="","",Q362+IF(O362="",0,O362)))</f>
        <v>229378</v>
      </c>
      <c r="T299" s="1" t="n">
        <f aca="false">IF($A362="","",IF(R362="","",R362-IF(S362="",0,S362)))</f>
        <v>18689</v>
      </c>
      <c r="U299" s="1" t="n">
        <f aca="false">IF($A362="","",IF(I362="","",I362-SUM(J362:P362)))</f>
        <v>2</v>
      </c>
      <c r="V299" s="6" t="s">
        <v>4989</v>
      </c>
      <c r="W299" s="9" t="s">
        <v>774</v>
      </c>
      <c r="X299" s="9" t="s">
        <v>4990</v>
      </c>
      <c r="Y299" s="9" t="s">
        <v>4897</v>
      </c>
      <c r="Z299" s="9" t="s">
        <v>4898</v>
      </c>
      <c r="AA299" s="9" t="s">
        <v>4899</v>
      </c>
    </row>
    <row r="300" customFormat="false" ht="15" hidden="false" customHeight="true" outlineLevel="0" collapsed="false">
      <c r="A300" s="6" t="s">
        <v>1685</v>
      </c>
      <c r="B300" s="6" t="s">
        <v>478</v>
      </c>
      <c r="C300" s="6" t="s">
        <v>485</v>
      </c>
      <c r="D300" s="6" t="n">
        <v>6</v>
      </c>
      <c r="E300" s="9" t="s">
        <v>4988</v>
      </c>
      <c r="F300" s="6" t="n">
        <v>66306</v>
      </c>
      <c r="Q300" s="1" t="n">
        <f aca="false">IF($A363="","",IF(OR(F363="",I363=""),"",F363-I363))</f>
        <v>306028</v>
      </c>
      <c r="R300" s="1" t="n">
        <f aca="false">IF($A363="","",IF(Q363="","",Q363+IF(O363="",0,O363)))</f>
        <v>167837</v>
      </c>
      <c r="T300" s="1" t="n">
        <f aca="false">IF($A363="","",IF(R363="","",R363-IF(S363="",0,S363)))</f>
        <v>93852</v>
      </c>
      <c r="U300" s="1" t="n">
        <f aca="false">IF($A363="","",IF(I363="","",I363-SUM(J363:P363)))</f>
        <v>2</v>
      </c>
      <c r="V300" s="6" t="s">
        <v>4989</v>
      </c>
      <c r="W300" s="9" t="s">
        <v>774</v>
      </c>
      <c r="X300" s="9" t="s">
        <v>4990</v>
      </c>
      <c r="Y300" s="9" t="s">
        <v>4897</v>
      </c>
      <c r="Z300" s="9" t="s">
        <v>4898</v>
      </c>
      <c r="AA300" s="9" t="s">
        <v>4899</v>
      </c>
    </row>
    <row r="301" customFormat="false" ht="15" hidden="false" customHeight="true" outlineLevel="0" collapsed="false">
      <c r="A301" s="6" t="s">
        <v>1688</v>
      </c>
      <c r="B301" s="6" t="s">
        <v>478</v>
      </c>
      <c r="C301" s="6" t="s">
        <v>485</v>
      </c>
      <c r="D301" s="6" t="n">
        <v>6</v>
      </c>
      <c r="E301" s="9" t="s">
        <v>4988</v>
      </c>
      <c r="F301" s="6" t="n">
        <v>68816</v>
      </c>
      <c r="Q301" s="1" t="n">
        <f aca="false">IF($A364="","",IF(OR(F364="",I364=""),"",F364-I364))</f>
        <v>965308</v>
      </c>
      <c r="R301" s="1" t="n">
        <f aca="false">IF($A364="","",IF(Q364="","",Q364+IF(O364="",0,O364)))</f>
        <v>298954</v>
      </c>
      <c r="T301" s="1" t="n">
        <f aca="false">IF($A364="","",IF(R364="","",R364-IF(S364="",0,S364)))</f>
        <v>158734</v>
      </c>
      <c r="U301" s="1" t="n">
        <f aca="false">IF($A364="","",IF(I364="","",I364-SUM(J364:P364)))</f>
        <v>2</v>
      </c>
      <c r="V301" s="6" t="s">
        <v>4989</v>
      </c>
      <c r="W301" s="9" t="s">
        <v>774</v>
      </c>
      <c r="X301" s="9" t="s">
        <v>4990</v>
      </c>
      <c r="Y301" s="9" t="s">
        <v>4897</v>
      </c>
      <c r="Z301" s="9" t="s">
        <v>4898</v>
      </c>
      <c r="AA301" s="9" t="s">
        <v>4899</v>
      </c>
    </row>
    <row r="302" customFormat="false" ht="15" hidden="false" customHeight="true" outlineLevel="0" collapsed="false">
      <c r="A302" s="6" t="s">
        <v>1691</v>
      </c>
      <c r="B302" s="6" t="s">
        <v>478</v>
      </c>
      <c r="C302" s="6" t="s">
        <v>485</v>
      </c>
      <c r="D302" s="6" t="n">
        <v>6</v>
      </c>
      <c r="E302" s="9" t="s">
        <v>4988</v>
      </c>
      <c r="F302" s="6" t="n">
        <v>73768</v>
      </c>
      <c r="Q302" s="1" t="n">
        <f aca="false">IF($A365="","",IF(OR(F365="",I365=""),"",F365-I365))</f>
        <v>311948</v>
      </c>
      <c r="R302" s="1" t="n">
        <f aca="false">IF($A365="","",IF(Q365="","",Q365+IF(O365="",0,O365)))</f>
        <v>131731</v>
      </c>
      <c r="T302" s="1" t="n">
        <f aca="false">IF($A365="","",IF(R365="","",R365-IF(S365="",0,S365)))</f>
        <v>97048</v>
      </c>
      <c r="U302" s="1" t="n">
        <f aca="false">IF($A365="","",IF(I365="","",I365-SUM(J365:P365)))</f>
        <v>3</v>
      </c>
      <c r="V302" s="6" t="s">
        <v>4989</v>
      </c>
      <c r="W302" s="9" t="s">
        <v>774</v>
      </c>
      <c r="X302" s="9" t="s">
        <v>4990</v>
      </c>
      <c r="Y302" s="9" t="s">
        <v>4897</v>
      </c>
      <c r="Z302" s="9" t="s">
        <v>4898</v>
      </c>
      <c r="AA302" s="9" t="s">
        <v>4899</v>
      </c>
    </row>
    <row r="303" customFormat="false" ht="15" hidden="false" customHeight="true" outlineLevel="0" collapsed="false">
      <c r="A303" s="6" t="s">
        <v>1694</v>
      </c>
      <c r="B303" s="6" t="s">
        <v>478</v>
      </c>
      <c r="C303" s="6" t="s">
        <v>485</v>
      </c>
      <c r="D303" s="6" t="n">
        <v>6</v>
      </c>
      <c r="E303" s="9" t="s">
        <v>4988</v>
      </c>
      <c r="F303" s="6" t="n">
        <v>93111</v>
      </c>
      <c r="Q303" s="1" t="n">
        <f aca="false">IF($A366="","",IF(OR(F366="",I366=""),"",F366-I366))</f>
        <v>-5376</v>
      </c>
      <c r="R303" s="1" t="n">
        <f aca="false">IF($A366="","",IF(Q366="","",Q366+IF(O366="",0,O366)))</f>
        <v>692935</v>
      </c>
      <c r="T303" s="1" t="n">
        <f aca="false">IF($A366="","",IF(R366="","",R366-IF(S366="",0,S366)))</f>
        <v>834999</v>
      </c>
      <c r="U303" s="1" t="n">
        <f aca="false">IF($A366="","",IF(I366="","",I366-SUM(J366:P366)))</f>
        <v>4</v>
      </c>
      <c r="V303" s="6" t="s">
        <v>4989</v>
      </c>
      <c r="W303" s="9" t="s">
        <v>774</v>
      </c>
      <c r="X303" s="9" t="s">
        <v>4990</v>
      </c>
      <c r="Y303" s="9" t="s">
        <v>4897</v>
      </c>
      <c r="Z303" s="9" t="s">
        <v>4898</v>
      </c>
      <c r="AA303" s="9" t="s">
        <v>4899</v>
      </c>
    </row>
    <row r="304" customFormat="false" ht="15" hidden="false" customHeight="true" outlineLevel="0" collapsed="false">
      <c r="A304" s="6" t="s">
        <v>1697</v>
      </c>
      <c r="B304" s="6" t="s">
        <v>478</v>
      </c>
      <c r="C304" s="6" t="s">
        <v>485</v>
      </c>
      <c r="D304" s="6" t="n">
        <v>6</v>
      </c>
      <c r="E304" s="9" t="s">
        <v>4988</v>
      </c>
      <c r="F304" s="6" t="n">
        <v>73072</v>
      </c>
      <c r="Q304" s="1" t="n">
        <f aca="false">IF($A367="","",IF(OR(F367="",I367=""),"",F367-I367))</f>
        <v>2325</v>
      </c>
      <c r="R304" s="1" t="n">
        <f aca="false">IF($A367="","",IF(Q367="","",Q367+IF(O367="",0,O367)))</f>
        <v>304104</v>
      </c>
      <c r="T304" s="1" t="n">
        <f aca="false">IF($A367="","",IF(R367="","",R367-IF(S367="",0,S367)))</f>
        <v>536203</v>
      </c>
      <c r="U304" s="1" t="n">
        <f aca="false">IF($A367="","",IF(I367="","",I367-SUM(J367:P367)))</f>
        <v>4</v>
      </c>
      <c r="V304" s="6" t="s">
        <v>4989</v>
      </c>
      <c r="W304" s="9" t="s">
        <v>774</v>
      </c>
      <c r="X304" s="9" t="s">
        <v>4990</v>
      </c>
      <c r="Y304" s="9" t="s">
        <v>4897</v>
      </c>
      <c r="Z304" s="9" t="s">
        <v>4898</v>
      </c>
      <c r="AA304" s="9" t="s">
        <v>4899</v>
      </c>
    </row>
    <row r="305" customFormat="false" ht="15" hidden="false" customHeight="true" outlineLevel="0" collapsed="false">
      <c r="A305" s="6" t="s">
        <v>1700</v>
      </c>
      <c r="B305" s="6" t="s">
        <v>478</v>
      </c>
      <c r="C305" s="6" t="s">
        <v>485</v>
      </c>
      <c r="D305" s="6" t="n">
        <v>6</v>
      </c>
      <c r="E305" s="9" t="s">
        <v>4988</v>
      </c>
      <c r="F305" s="6" t="n">
        <v>40057</v>
      </c>
      <c r="Q305" s="1" t="n">
        <f aca="false">IF($A368="","",IF(OR(F368="",I368=""),"",F368-I368))</f>
        <v>280847</v>
      </c>
      <c r="R305" s="1" t="n">
        <f aca="false">IF($A368="","",IF(Q368="","",Q368+IF(O368="",0,O368)))</f>
        <v>101000</v>
      </c>
      <c r="T305" s="1" t="n">
        <f aca="false">IF($A368="","",IF(R368="","",R368-IF(S368="",0,S368)))</f>
        <v>130000</v>
      </c>
      <c r="U305" s="1" t="n">
        <f aca="false">IF($A368="","",IF(I368="","",I368-SUM(J368:P368)))</f>
        <v>1</v>
      </c>
      <c r="V305" s="6" t="s">
        <v>4989</v>
      </c>
      <c r="W305" s="9" t="s">
        <v>774</v>
      </c>
      <c r="X305" s="9" t="s">
        <v>4990</v>
      </c>
      <c r="Y305" s="9" t="s">
        <v>4897</v>
      </c>
      <c r="Z305" s="9" t="s">
        <v>4898</v>
      </c>
      <c r="AA305" s="9" t="s">
        <v>4899</v>
      </c>
    </row>
    <row r="306" customFormat="false" ht="15" hidden="false" customHeight="true" outlineLevel="0" collapsed="false">
      <c r="A306" s="6" t="s">
        <v>1703</v>
      </c>
      <c r="B306" s="6" t="s">
        <v>478</v>
      </c>
      <c r="C306" s="6" t="s">
        <v>485</v>
      </c>
      <c r="D306" s="6" t="n">
        <v>6</v>
      </c>
      <c r="E306" s="9" t="s">
        <v>4988</v>
      </c>
      <c r="F306" s="6" t="n">
        <v>122903</v>
      </c>
      <c r="Q306" s="1" t="n">
        <f aca="false">IF($A369="","",IF(OR(F369="",I369=""),"",F369-I369))</f>
        <v>9742072</v>
      </c>
      <c r="R306" s="1" t="n">
        <f aca="false">IF($A369="","",IF(Q369="","",Q369+IF(O369="",0,O369)))</f>
        <v>-6349640</v>
      </c>
      <c r="T306" s="1" t="str">
        <f aca="false">IF($A369="","",IF(R369="","",R369-IF(S369="",0,S369)))</f>
        <v/>
      </c>
      <c r="U306" s="1" t="n">
        <f aca="false">IF($A369="","",IF(I369="","",I369-SUM(J369:P369)))</f>
        <v>3</v>
      </c>
      <c r="V306" s="6" t="s">
        <v>4989</v>
      </c>
      <c r="W306" s="9" t="s">
        <v>774</v>
      </c>
      <c r="X306" s="9" t="s">
        <v>4990</v>
      </c>
      <c r="Y306" s="9" t="s">
        <v>4897</v>
      </c>
      <c r="Z306" s="9" t="s">
        <v>4898</v>
      </c>
      <c r="AA306" s="9" t="s">
        <v>4899</v>
      </c>
    </row>
    <row r="307" customFormat="false" ht="15" hidden="false" customHeight="true" outlineLevel="0" collapsed="false">
      <c r="A307" s="6" t="s">
        <v>1707</v>
      </c>
      <c r="B307" s="6" t="s">
        <v>478</v>
      </c>
      <c r="C307" s="6" t="s">
        <v>485</v>
      </c>
      <c r="D307" s="6" t="n">
        <v>6</v>
      </c>
      <c r="E307" s="9" t="s">
        <v>4988</v>
      </c>
      <c r="F307" s="6" t="n">
        <v>92484</v>
      </c>
      <c r="Q307" s="1" t="str">
        <f aca="false">IF($A370="","",IF(OR(F370="",I370=""),"",F370-I370))</f>
        <v/>
      </c>
      <c r="R307" s="1" t="str">
        <f aca="false">IF($A370="","",IF(Q370="","",Q370+IF(O370="",0,O370)))</f>
        <v/>
      </c>
      <c r="T307" s="1" t="n">
        <f aca="false">IF($A370="","",IF(R370="","",R370-IF(S370="",0,S370)))</f>
        <v>96000</v>
      </c>
      <c r="U307" s="1" t="str">
        <f aca="false">IF($A370="","",IF(I370="","",I370-SUM(J370:P370)))</f>
        <v/>
      </c>
      <c r="V307" s="6" t="s">
        <v>4989</v>
      </c>
      <c r="W307" s="9" t="s">
        <v>774</v>
      </c>
      <c r="X307" s="9" t="s">
        <v>4990</v>
      </c>
      <c r="Y307" s="9" t="s">
        <v>4897</v>
      </c>
      <c r="Z307" s="9" t="s">
        <v>4898</v>
      </c>
      <c r="AA307" s="9" t="s">
        <v>4899</v>
      </c>
    </row>
    <row r="308" customFormat="false" ht="15" hidden="false" customHeight="true" outlineLevel="0" collapsed="false">
      <c r="A308" s="6" t="s">
        <v>1710</v>
      </c>
      <c r="B308" s="6" t="s">
        <v>478</v>
      </c>
      <c r="C308" s="6" t="s">
        <v>485</v>
      </c>
      <c r="D308" s="6" t="n">
        <v>6</v>
      </c>
      <c r="E308" s="9" t="s">
        <v>4988</v>
      </c>
      <c r="F308" s="6" t="n">
        <v>47952</v>
      </c>
      <c r="Q308" s="1" t="str">
        <f aca="false">IF($A371="","",IF(OR(F371="",I371=""),"",F371-I371))</f>
        <v/>
      </c>
      <c r="R308" s="1" t="str">
        <f aca="false">IF($A371="","",IF(Q371="","",Q371+IF(O371="",0,O371)))</f>
        <v/>
      </c>
      <c r="T308" s="1" t="n">
        <f aca="false">IF($A371="","",IF(R371="","",R371-IF(S371="",0,S371)))</f>
        <v>15000</v>
      </c>
      <c r="U308" s="1" t="str">
        <f aca="false">IF($A371="","",IF(I371="","",I371-SUM(J371:P371)))</f>
        <v/>
      </c>
      <c r="V308" s="6" t="s">
        <v>4989</v>
      </c>
      <c r="W308" s="9" t="s">
        <v>774</v>
      </c>
      <c r="X308" s="9" t="s">
        <v>4990</v>
      </c>
      <c r="Y308" s="9" t="s">
        <v>4897</v>
      </c>
      <c r="Z308" s="9" t="s">
        <v>4898</v>
      </c>
      <c r="AA308" s="9" t="s">
        <v>4899</v>
      </c>
    </row>
    <row r="309" customFormat="false" ht="15" hidden="false" customHeight="true" outlineLevel="0" collapsed="false">
      <c r="A309" s="6" t="s">
        <v>1713</v>
      </c>
      <c r="B309" s="6" t="s">
        <v>478</v>
      </c>
      <c r="C309" s="6" t="s">
        <v>485</v>
      </c>
      <c r="D309" s="6" t="n">
        <v>6</v>
      </c>
      <c r="E309" s="9" t="s">
        <v>4988</v>
      </c>
      <c r="F309" s="6" t="n">
        <v>96709</v>
      </c>
      <c r="Q309" s="1" t="str">
        <f aca="false">IF($A372="","",IF(OR(F372="",I372=""),"",F372-I372))</f>
        <v/>
      </c>
      <c r="R309" s="1" t="str">
        <f aca="false">IF($A372="","",IF(Q372="","",Q372+IF(O372="",0,O372)))</f>
        <v/>
      </c>
      <c r="T309" s="1" t="n">
        <f aca="false">IF($A372="","",IF(R372="","",R372-IF(S372="",0,S372)))</f>
        <v>115000</v>
      </c>
      <c r="U309" s="1" t="str">
        <f aca="false">IF($A372="","",IF(I372="","",I372-SUM(J372:P372)))</f>
        <v/>
      </c>
      <c r="V309" s="6" t="s">
        <v>4989</v>
      </c>
      <c r="W309" s="9" t="s">
        <v>774</v>
      </c>
      <c r="X309" s="9" t="s">
        <v>4990</v>
      </c>
      <c r="Y309" s="9" t="s">
        <v>4897</v>
      </c>
      <c r="Z309" s="9" t="s">
        <v>4898</v>
      </c>
      <c r="AA309" s="9" t="s">
        <v>4899</v>
      </c>
    </row>
    <row r="310" customFormat="false" ht="15" hidden="false" customHeight="true" outlineLevel="0" collapsed="false">
      <c r="A310" s="6" t="s">
        <v>1716</v>
      </c>
      <c r="B310" s="6" t="s">
        <v>478</v>
      </c>
      <c r="C310" s="6" t="s">
        <v>485</v>
      </c>
      <c r="D310" s="6" t="n">
        <v>6</v>
      </c>
      <c r="E310" s="9" t="s">
        <v>4988</v>
      </c>
      <c r="F310" s="6" t="n">
        <v>62092</v>
      </c>
      <c r="Q310" s="1" t="str">
        <f aca="false">IF($A373="","",IF(OR(F373="",I373=""),"",F373-I373))</f>
        <v/>
      </c>
      <c r="R310" s="1" t="str">
        <f aca="false">IF($A373="","",IF(Q373="","",Q373+IF(O373="",0,O373)))</f>
        <v/>
      </c>
      <c r="T310" s="1" t="n">
        <f aca="false">IF($A373="","",IF(R373="","",R373-IF(S373="",0,S373)))</f>
        <v>148000</v>
      </c>
      <c r="U310" s="1" t="str">
        <f aca="false">IF($A373="","",IF(I373="","",I373-SUM(J373:P373)))</f>
        <v/>
      </c>
      <c r="V310" s="6" t="s">
        <v>4989</v>
      </c>
      <c r="W310" s="9" t="s">
        <v>774</v>
      </c>
      <c r="X310" s="9" t="s">
        <v>4990</v>
      </c>
      <c r="Y310" s="9" t="s">
        <v>4897</v>
      </c>
      <c r="Z310" s="9" t="s">
        <v>4898</v>
      </c>
      <c r="AA310" s="9" t="s">
        <v>4899</v>
      </c>
    </row>
    <row r="311" customFormat="false" ht="15" hidden="false" customHeight="true" outlineLevel="0" collapsed="false">
      <c r="A311" s="6" t="s">
        <v>1719</v>
      </c>
      <c r="B311" s="6" t="s">
        <v>478</v>
      </c>
      <c r="C311" s="6" t="s">
        <v>485</v>
      </c>
      <c r="D311" s="6" t="n">
        <v>6</v>
      </c>
      <c r="E311" s="9" t="s">
        <v>4988</v>
      </c>
      <c r="F311" s="6" t="n">
        <v>58775</v>
      </c>
      <c r="Q311" s="1" t="str">
        <f aca="false">IF($A374="","",IF(OR(F374="",I374=""),"",F374-I374))</f>
        <v/>
      </c>
      <c r="R311" s="1" t="str">
        <f aca="false">IF($A374="","",IF(Q374="","",Q374+IF(O374="",0,O374)))</f>
        <v/>
      </c>
      <c r="T311" s="1" t="n">
        <f aca="false">IF($A374="","",IF(R374="","",R374-IF(S374="",0,S374)))</f>
        <v>246000</v>
      </c>
      <c r="U311" s="1" t="str">
        <f aca="false">IF($A374="","",IF(I374="","",I374-SUM(J374:P374)))</f>
        <v/>
      </c>
      <c r="V311" s="6" t="s">
        <v>4989</v>
      </c>
      <c r="W311" s="9" t="s">
        <v>774</v>
      </c>
      <c r="X311" s="9" t="s">
        <v>4990</v>
      </c>
      <c r="Y311" s="9" t="s">
        <v>4897</v>
      </c>
      <c r="Z311" s="9" t="s">
        <v>4898</v>
      </c>
      <c r="AA311" s="9" t="s">
        <v>4899</v>
      </c>
    </row>
    <row r="312" customFormat="false" ht="15" hidden="false" customHeight="true" outlineLevel="0" collapsed="false">
      <c r="A312" s="6" t="s">
        <v>1722</v>
      </c>
      <c r="B312" s="6" t="s">
        <v>478</v>
      </c>
      <c r="C312" s="6" t="s">
        <v>485</v>
      </c>
      <c r="D312" s="6" t="n">
        <v>6</v>
      </c>
      <c r="E312" s="9" t="s">
        <v>4988</v>
      </c>
      <c r="F312" s="6" t="n">
        <v>75642</v>
      </c>
      <c r="Q312" s="1" t="str">
        <f aca="false">IF($A375="","",IF(OR(F375="",I375=""),"",F375-I375))</f>
        <v/>
      </c>
      <c r="R312" s="1" t="str">
        <f aca="false">IF($A375="","",IF(Q375="","",Q375+IF(O375="",0,O375)))</f>
        <v/>
      </c>
      <c r="T312" s="1" t="n">
        <f aca="false">IF($A375="","",IF(R375="","",R375-IF(S375="",0,S375)))</f>
        <v>95000</v>
      </c>
      <c r="U312" s="1" t="str">
        <f aca="false">IF($A375="","",IF(I375="","",I375-SUM(J375:P375)))</f>
        <v/>
      </c>
      <c r="V312" s="6" t="s">
        <v>4989</v>
      </c>
      <c r="W312" s="9" t="s">
        <v>774</v>
      </c>
      <c r="X312" s="9" t="s">
        <v>4990</v>
      </c>
      <c r="Y312" s="9" t="s">
        <v>4897</v>
      </c>
      <c r="Z312" s="9" t="s">
        <v>4898</v>
      </c>
      <c r="AA312" s="9" t="s">
        <v>4899</v>
      </c>
    </row>
    <row r="313" customFormat="false" ht="15" hidden="false" customHeight="true" outlineLevel="0" collapsed="false">
      <c r="A313" s="6" t="s">
        <v>1725</v>
      </c>
      <c r="B313" s="6" t="s">
        <v>478</v>
      </c>
      <c r="C313" s="6" t="s">
        <v>485</v>
      </c>
      <c r="D313" s="6" t="n">
        <v>6</v>
      </c>
      <c r="E313" s="9" t="s">
        <v>4988</v>
      </c>
      <c r="F313" s="6" t="n">
        <v>97413</v>
      </c>
      <c r="Q313" s="1" t="str">
        <f aca="false">IF($A376="","",IF(OR(F376="",I376=""),"",F376-I376))</f>
        <v/>
      </c>
      <c r="R313" s="1" t="str">
        <f aca="false">IF($A376="","",IF(Q376="","",Q376+IF(O376="",0,O376)))</f>
        <v/>
      </c>
      <c r="T313" s="1" t="n">
        <f aca="false">IF($A376="","",IF(R376="","",R376-IF(S376="",0,S376)))</f>
        <v>119000</v>
      </c>
      <c r="U313" s="1" t="str">
        <f aca="false">IF($A376="","",IF(I376="","",I376-SUM(J376:P376)))</f>
        <v/>
      </c>
      <c r="V313" s="6" t="s">
        <v>4989</v>
      </c>
      <c r="W313" s="9" t="s">
        <v>774</v>
      </c>
      <c r="X313" s="9" t="s">
        <v>4990</v>
      </c>
      <c r="Y313" s="9" t="s">
        <v>4897</v>
      </c>
      <c r="Z313" s="9" t="s">
        <v>4898</v>
      </c>
      <c r="AA313" s="9" t="s">
        <v>4899</v>
      </c>
    </row>
    <row r="314" customFormat="false" ht="15" hidden="false" customHeight="true" outlineLevel="0" collapsed="false">
      <c r="A314" s="6" t="s">
        <v>1728</v>
      </c>
      <c r="B314" s="6" t="s">
        <v>478</v>
      </c>
      <c r="C314" s="6" t="s">
        <v>485</v>
      </c>
      <c r="D314" s="6" t="n">
        <v>6</v>
      </c>
      <c r="E314" s="9" t="s">
        <v>4988</v>
      </c>
      <c r="F314" s="6" t="n">
        <v>41561</v>
      </c>
      <c r="Q314" s="1" t="str">
        <f aca="false">IF($A377="","",IF(OR(F377="",I377=""),"",F377-I377))</f>
        <v/>
      </c>
      <c r="R314" s="1" t="str">
        <f aca="false">IF($A377="","",IF(Q377="","",Q377+IF(O377="",0,O377)))</f>
        <v/>
      </c>
      <c r="T314" s="1" t="n">
        <f aca="false">IF($A377="","",IF(R377="","",R377-IF(S377="",0,S377)))</f>
        <v>116000</v>
      </c>
      <c r="U314" s="1" t="str">
        <f aca="false">IF($A377="","",IF(I377="","",I377-SUM(J377:P377)))</f>
        <v/>
      </c>
      <c r="V314" s="6" t="s">
        <v>4989</v>
      </c>
      <c r="W314" s="9" t="s">
        <v>774</v>
      </c>
      <c r="X314" s="9" t="s">
        <v>4990</v>
      </c>
      <c r="Y314" s="9" t="s">
        <v>4897</v>
      </c>
      <c r="Z314" s="9" t="s">
        <v>4898</v>
      </c>
      <c r="AA314" s="9" t="s">
        <v>4899</v>
      </c>
    </row>
    <row r="315" customFormat="false" ht="15" hidden="false" customHeight="true" outlineLevel="0" collapsed="false">
      <c r="A315" s="6" t="s">
        <v>1731</v>
      </c>
      <c r="B315" s="6" t="s">
        <v>478</v>
      </c>
      <c r="C315" s="6" t="s">
        <v>485</v>
      </c>
      <c r="D315" s="6" t="n">
        <v>6</v>
      </c>
      <c r="E315" s="9" t="s">
        <v>4988</v>
      </c>
      <c r="F315" s="6" t="n">
        <v>39921</v>
      </c>
      <c r="Q315" s="1" t="str">
        <f aca="false">IF($A378="","",IF(OR(F378="",I378=""),"",F378-I378))</f>
        <v/>
      </c>
      <c r="R315" s="1" t="str">
        <f aca="false">IF($A378="","",IF(Q378="","",Q378+IF(O378="",0,O378)))</f>
        <v/>
      </c>
      <c r="T315" s="1" t="n">
        <f aca="false">IF($A378="","",IF(R378="","",R378-IF(S378="",0,S378)))</f>
        <v>511000</v>
      </c>
      <c r="U315" s="1" t="str">
        <f aca="false">IF($A378="","",IF(I378="","",I378-SUM(J378:P378)))</f>
        <v/>
      </c>
      <c r="V315" s="6" t="s">
        <v>4989</v>
      </c>
      <c r="W315" s="9" t="s">
        <v>774</v>
      </c>
      <c r="X315" s="9" t="s">
        <v>4990</v>
      </c>
      <c r="Y315" s="9" t="s">
        <v>4897</v>
      </c>
      <c r="Z315" s="9" t="s">
        <v>4898</v>
      </c>
      <c r="AA315" s="9" t="s">
        <v>4899</v>
      </c>
    </row>
    <row r="316" customFormat="false" ht="15" hidden="false" customHeight="true" outlineLevel="0" collapsed="false">
      <c r="A316" s="6" t="s">
        <v>1734</v>
      </c>
      <c r="B316" s="6" t="s">
        <v>478</v>
      </c>
      <c r="C316" s="6" t="s">
        <v>485</v>
      </c>
      <c r="D316" s="6" t="n">
        <v>6</v>
      </c>
      <c r="E316" s="9" t="s">
        <v>4988</v>
      </c>
      <c r="F316" s="6" t="n">
        <v>104929</v>
      </c>
      <c r="Q316" s="1" t="str">
        <f aca="false">IF($A379="","",IF(OR(F379="",I379=""),"",F379-I379))</f>
        <v/>
      </c>
      <c r="R316" s="1" t="str">
        <f aca="false">IF($A379="","",IF(Q379="","",Q379+IF(O379="",0,O379)))</f>
        <v/>
      </c>
      <c r="T316" s="1" t="n">
        <f aca="false">IF($A379="","",IF(R379="","",R379-IF(S379="",0,S379)))</f>
        <v>81000</v>
      </c>
      <c r="U316" s="1" t="str">
        <f aca="false">IF($A379="","",IF(I379="","",I379-SUM(J379:P379)))</f>
        <v/>
      </c>
      <c r="V316" s="6" t="s">
        <v>4989</v>
      </c>
      <c r="W316" s="9" t="s">
        <v>774</v>
      </c>
      <c r="X316" s="9" t="s">
        <v>4990</v>
      </c>
      <c r="Y316" s="9" t="s">
        <v>4897</v>
      </c>
      <c r="Z316" s="9" t="s">
        <v>4898</v>
      </c>
      <c r="AA316" s="9" t="s">
        <v>4899</v>
      </c>
    </row>
    <row r="317" customFormat="false" ht="15" hidden="false" customHeight="true" outlineLevel="0" collapsed="false">
      <c r="A317" s="6" t="s">
        <v>1737</v>
      </c>
      <c r="B317" s="6" t="s">
        <v>478</v>
      </c>
      <c r="C317" s="6" t="s">
        <v>485</v>
      </c>
      <c r="D317" s="6" t="n">
        <v>6</v>
      </c>
      <c r="E317" s="9" t="s">
        <v>4988</v>
      </c>
      <c r="F317" s="6" t="n">
        <v>49511</v>
      </c>
      <c r="Q317" s="1" t="str">
        <f aca="false">IF($A380="","",IF(OR(F380="",I380=""),"",F380-I380))</f>
        <v/>
      </c>
      <c r="R317" s="1" t="str">
        <f aca="false">IF($A380="","",IF(Q380="","",Q380+IF(O380="",0,O380)))</f>
        <v/>
      </c>
      <c r="T317" s="1" t="n">
        <f aca="false">IF($A380="","",IF(R380="","",R380-IF(S380="",0,S380)))</f>
        <v>455000</v>
      </c>
      <c r="U317" s="1" t="str">
        <f aca="false">IF($A380="","",IF(I380="","",I380-SUM(J380:P380)))</f>
        <v/>
      </c>
      <c r="V317" s="6" t="s">
        <v>4989</v>
      </c>
      <c r="W317" s="9" t="s">
        <v>774</v>
      </c>
      <c r="X317" s="9" t="s">
        <v>4990</v>
      </c>
      <c r="Y317" s="9" t="s">
        <v>4897</v>
      </c>
      <c r="Z317" s="9" t="s">
        <v>4898</v>
      </c>
      <c r="AA317" s="9" t="s">
        <v>4899</v>
      </c>
    </row>
    <row r="318" customFormat="false" ht="15" hidden="false" customHeight="true" outlineLevel="0" collapsed="false">
      <c r="A318" s="6" t="s">
        <v>1740</v>
      </c>
      <c r="B318" s="6" t="s">
        <v>478</v>
      </c>
      <c r="C318" s="6" t="s">
        <v>485</v>
      </c>
      <c r="D318" s="6" t="n">
        <v>6</v>
      </c>
      <c r="E318" s="9" t="s">
        <v>4988</v>
      </c>
      <c r="F318" s="6" t="n">
        <v>41759</v>
      </c>
      <c r="Q318" s="1" t="str">
        <f aca="false">IF($A381="","",IF(OR(F381="",I381=""),"",F381-I381))</f>
        <v/>
      </c>
      <c r="R318" s="1" t="str">
        <f aca="false">IF($A381="","",IF(Q381="","",Q381+IF(O381="",0,O381)))</f>
        <v/>
      </c>
      <c r="T318" s="1" t="n">
        <f aca="false">IF($A381="","",IF(R381="","",R381-IF(S381="",0,S381)))</f>
        <v>262000</v>
      </c>
      <c r="U318" s="1" t="str">
        <f aca="false">IF($A381="","",IF(I381="","",I381-SUM(J381:P381)))</f>
        <v/>
      </c>
      <c r="V318" s="6" t="s">
        <v>4989</v>
      </c>
      <c r="W318" s="9" t="s">
        <v>774</v>
      </c>
      <c r="X318" s="9" t="s">
        <v>4990</v>
      </c>
      <c r="Y318" s="9" t="s">
        <v>4897</v>
      </c>
      <c r="Z318" s="9" t="s">
        <v>4898</v>
      </c>
      <c r="AA318" s="9" t="s">
        <v>4899</v>
      </c>
    </row>
    <row r="319" customFormat="false" ht="15" hidden="false" customHeight="true" outlineLevel="0" collapsed="false">
      <c r="A319" s="6" t="s">
        <v>1743</v>
      </c>
      <c r="B319" s="6" t="s">
        <v>478</v>
      </c>
      <c r="C319" s="6" t="s">
        <v>485</v>
      </c>
      <c r="D319" s="6" t="n">
        <v>6</v>
      </c>
      <c r="E319" s="9" t="s">
        <v>4988</v>
      </c>
      <c r="F319" s="6" t="n">
        <v>39803</v>
      </c>
      <c r="Q319" s="1" t="str">
        <f aca="false">IF($A382="","",IF(OR(F382="",I382=""),"",F382-I382))</f>
        <v/>
      </c>
      <c r="R319" s="1" t="str">
        <f aca="false">IF($A382="","",IF(Q382="","",Q382+IF(O382="",0,O382)))</f>
        <v/>
      </c>
      <c r="T319" s="1" t="n">
        <f aca="false">IF($A382="","",IF(R382="","",R382-IF(S382="",0,S382)))</f>
        <v>278000</v>
      </c>
      <c r="U319" s="1" t="str">
        <f aca="false">IF($A382="","",IF(I382="","",I382-SUM(J382:P382)))</f>
        <v/>
      </c>
      <c r="V319" s="6" t="s">
        <v>4989</v>
      </c>
      <c r="W319" s="9" t="s">
        <v>774</v>
      </c>
      <c r="X319" s="9" t="s">
        <v>4990</v>
      </c>
      <c r="Y319" s="9" t="s">
        <v>4897</v>
      </c>
      <c r="Z319" s="9" t="s">
        <v>4898</v>
      </c>
      <c r="AA319" s="9" t="s">
        <v>4899</v>
      </c>
    </row>
    <row r="320" customFormat="false" ht="15" hidden="false" customHeight="true" outlineLevel="0" collapsed="false">
      <c r="A320" s="6" t="s">
        <v>1747</v>
      </c>
      <c r="B320" s="6" t="s">
        <v>478</v>
      </c>
      <c r="C320" s="6" t="s">
        <v>485</v>
      </c>
      <c r="D320" s="6" t="n">
        <v>6</v>
      </c>
      <c r="E320" s="9" t="s">
        <v>4988</v>
      </c>
      <c r="F320" s="6" t="n">
        <v>76134</v>
      </c>
      <c r="Q320" s="1" t="str">
        <f aca="false">IF($A383="","",IF(OR(F383="",I383=""),"",F383-I383))</f>
        <v/>
      </c>
      <c r="R320" s="1" t="str">
        <f aca="false">IF($A383="","",IF(Q383="","",Q383+IF(O383="",0,O383)))</f>
        <v/>
      </c>
      <c r="T320" s="1" t="n">
        <f aca="false">IF($A383="","",IF(R383="","",R383-IF(S383="",0,S383)))</f>
        <v>143000</v>
      </c>
      <c r="U320" s="1" t="str">
        <f aca="false">IF($A383="","",IF(I383="","",I383-SUM(J383:P383)))</f>
        <v/>
      </c>
      <c r="V320" s="6" t="s">
        <v>4989</v>
      </c>
      <c r="W320" s="9" t="s">
        <v>774</v>
      </c>
      <c r="X320" s="9" t="s">
        <v>4990</v>
      </c>
      <c r="Y320" s="9" t="s">
        <v>4897</v>
      </c>
      <c r="Z320" s="9" t="s">
        <v>4898</v>
      </c>
      <c r="AA320" s="9" t="s">
        <v>4899</v>
      </c>
    </row>
    <row r="321" customFormat="false" ht="15" hidden="false" customHeight="true" outlineLevel="0" collapsed="false">
      <c r="A321" s="6" t="s">
        <v>1751</v>
      </c>
      <c r="B321" s="6" t="s">
        <v>478</v>
      </c>
      <c r="C321" s="6" t="s">
        <v>485</v>
      </c>
      <c r="D321" s="6" t="n">
        <v>6</v>
      </c>
      <c r="E321" s="9" t="s">
        <v>4988</v>
      </c>
      <c r="F321" s="6" t="n">
        <v>53503</v>
      </c>
      <c r="Q321" s="1" t="str">
        <f aca="false">IF($A384="","",IF(OR(F384="",I384=""),"",F384-I384))</f>
        <v/>
      </c>
      <c r="R321" s="1" t="str">
        <f aca="false">IF($A384="","",IF(Q384="","",Q384+IF(O384="",0,O384)))</f>
        <v/>
      </c>
      <c r="T321" s="1" t="n">
        <f aca="false">IF($A384="","",IF(R384="","",R384-IF(S384="",0,S384)))</f>
        <v>57000</v>
      </c>
      <c r="U321" s="1" t="str">
        <f aca="false">IF($A384="","",IF(I384="","",I384-SUM(J384:P384)))</f>
        <v/>
      </c>
      <c r="V321" s="6" t="s">
        <v>4989</v>
      </c>
      <c r="W321" s="9" t="s">
        <v>774</v>
      </c>
      <c r="X321" s="9" t="s">
        <v>4990</v>
      </c>
      <c r="Y321" s="9" t="s">
        <v>4897</v>
      </c>
      <c r="Z321" s="9" t="s">
        <v>4898</v>
      </c>
      <c r="AA321" s="9" t="s">
        <v>4899</v>
      </c>
    </row>
    <row r="322" customFormat="false" ht="15" hidden="false" customHeight="true" outlineLevel="0" collapsed="false">
      <c r="A322" s="6" t="s">
        <v>1754</v>
      </c>
      <c r="B322" s="6" t="s">
        <v>487</v>
      </c>
      <c r="C322" s="6" t="s">
        <v>491</v>
      </c>
      <c r="D322" s="6" t="n">
        <v>6</v>
      </c>
      <c r="E322" s="9" t="s">
        <v>4894</v>
      </c>
      <c r="F322" s="42" t="n">
        <v>11115458</v>
      </c>
      <c r="G322" s="42" t="n">
        <v>9796629</v>
      </c>
      <c r="H322" s="42" t="n">
        <v>1318829</v>
      </c>
      <c r="I322" s="42" t="n">
        <v>5799809</v>
      </c>
      <c r="J322" s="42" t="n">
        <v>1579242</v>
      </c>
      <c r="K322" s="42" t="n">
        <v>1104826</v>
      </c>
      <c r="L322" s="42" t="n">
        <v>1009732</v>
      </c>
      <c r="M322" s="42" t="n">
        <v>25125</v>
      </c>
      <c r="N322" s="42" t="n">
        <v>165179</v>
      </c>
      <c r="O322" s="42" t="n">
        <v>1789009</v>
      </c>
      <c r="P322" s="42" t="n">
        <v>126692</v>
      </c>
      <c r="Q322" s="43" t="n">
        <f aca="false">IF($A54="","",IF(OR(F54="",I54=""),"",F54-I54))</f>
        <v>-5689809</v>
      </c>
      <c r="R322" s="43" t="str">
        <f aca="false">IF($A54="","",IF(Q54="","",Q54+IF(O54="",0,O54)))</f>
        <v/>
      </c>
      <c r="S322" s="42" t="n">
        <v>1559000</v>
      </c>
      <c r="T322" s="43" t="str">
        <f aca="false">IF($A54="","",IF(R54="","",R54-IF(S54="",0,S54)))</f>
        <v/>
      </c>
      <c r="U322" s="43" t="n">
        <f aca="false">IF($A54="","",IF(I54="","",I54-SUM(J54:P54)))</f>
        <v>4</v>
      </c>
      <c r="V322" s="6" t="s">
        <v>4994</v>
      </c>
      <c r="W322" s="9" t="s">
        <v>774</v>
      </c>
      <c r="X322" s="6" t="s">
        <v>4995</v>
      </c>
      <c r="Y322" s="9" t="s">
        <v>4897</v>
      </c>
      <c r="Z322" s="9" t="s">
        <v>4898</v>
      </c>
      <c r="AA322" s="9" t="s">
        <v>4899</v>
      </c>
    </row>
    <row r="323" customFormat="false" ht="15" hidden="false" customHeight="true" outlineLevel="0" collapsed="false">
      <c r="A323" s="6" t="s">
        <v>1759</v>
      </c>
      <c r="B323" s="6" t="s">
        <v>487</v>
      </c>
      <c r="C323" s="6" t="s">
        <v>491</v>
      </c>
      <c r="D323" s="6" t="n">
        <v>6</v>
      </c>
      <c r="E323" s="9" t="s">
        <v>4968</v>
      </c>
      <c r="F323" s="42" t="n">
        <v>907446</v>
      </c>
      <c r="G323" s="48"/>
      <c r="H323" s="48"/>
      <c r="I323" s="48"/>
      <c r="J323" s="48"/>
      <c r="K323" s="48"/>
      <c r="L323" s="48"/>
      <c r="M323" s="48"/>
      <c r="N323" s="48"/>
      <c r="O323" s="48"/>
      <c r="P323" s="48"/>
      <c r="Q323" s="43" t="str">
        <f aca="false">IF($A20="","",IF(OR(F20="",I20=""),"",F20-I20))</f>
        <v/>
      </c>
      <c r="R323" s="43" t="n">
        <f aca="false">IF($A20="","",IF(Q20="","",Q20+IF(O20="",0,O20)))</f>
        <v>168000</v>
      </c>
      <c r="S323" s="48"/>
      <c r="T323" s="43" t="n">
        <f aca="false">IF($A20="","",IF(R20="","",R20-IF(S20="",0,S20)))</f>
        <v>298000</v>
      </c>
      <c r="U323" s="43" t="str">
        <f aca="false">IF($A20="","",IF(I20="","",I20-SUM(J20:P20)))</f>
        <v/>
      </c>
      <c r="V323" s="6" t="s">
        <v>4996</v>
      </c>
      <c r="W323" s="9" t="s">
        <v>774</v>
      </c>
      <c r="X323" s="9" t="s">
        <v>4997</v>
      </c>
      <c r="Y323" s="9" t="s">
        <v>4897</v>
      </c>
      <c r="Z323" s="9" t="s">
        <v>4898</v>
      </c>
      <c r="AA323" s="9" t="s">
        <v>4899</v>
      </c>
    </row>
    <row r="324" customFormat="false" ht="15" hidden="false" customHeight="true" outlineLevel="0" collapsed="false">
      <c r="A324" s="6" t="s">
        <v>1762</v>
      </c>
      <c r="B324" s="6" t="s">
        <v>487</v>
      </c>
      <c r="C324" s="6" t="s">
        <v>491</v>
      </c>
      <c r="D324" s="6" t="n">
        <v>6</v>
      </c>
      <c r="E324" s="9" t="s">
        <v>4968</v>
      </c>
      <c r="F324" s="42" t="n">
        <v>381861</v>
      </c>
      <c r="G324" s="48"/>
      <c r="H324" s="48"/>
      <c r="I324" s="48"/>
      <c r="J324" s="48"/>
      <c r="K324" s="48"/>
      <c r="L324" s="48"/>
      <c r="M324" s="48"/>
      <c r="N324" s="48"/>
      <c r="O324" s="48"/>
      <c r="P324" s="48"/>
      <c r="Q324" s="43" t="str">
        <f aca="false">IF($A21="","",IF(OR(F21="",I21=""),"",F21-I21))</f>
        <v/>
      </c>
      <c r="R324" s="43" t="n">
        <f aca="false">IF($A21="","",IF(Q21="","",Q21+IF(O21="",0,O21)))</f>
        <v>294000</v>
      </c>
      <c r="S324" s="48"/>
      <c r="T324" s="43" t="n">
        <f aca="false">IF($A21="","",IF(R21="","",R21-IF(S21="",0,S21)))</f>
        <v>377000</v>
      </c>
      <c r="U324" s="43" t="str">
        <f aca="false">IF($A21="","",IF(I21="","",I21-SUM(J21:P21)))</f>
        <v/>
      </c>
      <c r="V324" s="6" t="s">
        <v>4996</v>
      </c>
      <c r="W324" s="9" t="s">
        <v>774</v>
      </c>
      <c r="X324" s="9" t="s">
        <v>4997</v>
      </c>
      <c r="Y324" s="9" t="s">
        <v>4897</v>
      </c>
      <c r="Z324" s="9" t="s">
        <v>4898</v>
      </c>
      <c r="AA324" s="9" t="s">
        <v>4899</v>
      </c>
    </row>
    <row r="325" customFormat="false" ht="15" hidden="false" customHeight="true" outlineLevel="0" collapsed="false">
      <c r="A325" s="6" t="s">
        <v>1765</v>
      </c>
      <c r="B325" s="6" t="s">
        <v>487</v>
      </c>
      <c r="C325" s="6" t="s">
        <v>491</v>
      </c>
      <c r="D325" s="6" t="n">
        <v>6</v>
      </c>
      <c r="E325" s="9" t="s">
        <v>4968</v>
      </c>
      <c r="F325" s="42" t="n">
        <v>220394</v>
      </c>
      <c r="G325" s="48"/>
      <c r="H325" s="48"/>
      <c r="I325" s="48"/>
      <c r="J325" s="48"/>
      <c r="K325" s="48"/>
      <c r="L325" s="48"/>
      <c r="M325" s="48"/>
      <c r="N325" s="48"/>
      <c r="O325" s="48"/>
      <c r="P325" s="48"/>
      <c r="Q325" s="43" t="str">
        <f aca="false">IF($A22="","",IF(OR(F22="",I22=""),"",F22-I22))</f>
        <v/>
      </c>
      <c r="R325" s="43" t="n">
        <f aca="false">IF($A22="","",IF(Q22="","",Q22+IF(O22="",0,O22)))</f>
        <v>235000</v>
      </c>
      <c r="S325" s="48"/>
      <c r="T325" s="43" t="n">
        <f aca="false">IF($A22="","",IF(R22="","",R22-IF(S22="",0,S22)))</f>
        <v>309000</v>
      </c>
      <c r="U325" s="43" t="str">
        <f aca="false">IF($A22="","",IF(I22="","",I22-SUM(J22:P22)))</f>
        <v/>
      </c>
      <c r="V325" s="6" t="s">
        <v>4996</v>
      </c>
      <c r="W325" s="9" t="s">
        <v>774</v>
      </c>
      <c r="X325" s="9" t="s">
        <v>4997</v>
      </c>
      <c r="Y325" s="9" t="s">
        <v>4897</v>
      </c>
      <c r="Z325" s="9" t="s">
        <v>4898</v>
      </c>
      <c r="AA325" s="9" t="s">
        <v>4899</v>
      </c>
    </row>
    <row r="326" customFormat="false" ht="15" hidden="false" customHeight="true" outlineLevel="0" collapsed="false">
      <c r="A326" s="6" t="s">
        <v>1768</v>
      </c>
      <c r="B326" s="6" t="s">
        <v>487</v>
      </c>
      <c r="C326" s="6" t="s">
        <v>491</v>
      </c>
      <c r="D326" s="6" t="n">
        <v>6</v>
      </c>
      <c r="E326" s="9" t="s">
        <v>4968</v>
      </c>
      <c r="F326" s="42" t="n">
        <v>626694</v>
      </c>
      <c r="G326" s="48"/>
      <c r="H326" s="48"/>
      <c r="I326" s="48"/>
      <c r="J326" s="48"/>
      <c r="K326" s="48"/>
      <c r="L326" s="48"/>
      <c r="M326" s="48"/>
      <c r="N326" s="48"/>
      <c r="O326" s="48"/>
      <c r="P326" s="48"/>
      <c r="Q326" s="43" t="str">
        <f aca="false">IF($A23="","",IF(OR(F23="",I23=""),"",F23-I23))</f>
        <v/>
      </c>
      <c r="R326" s="43" t="n">
        <f aca="false">IF($A23="","",IF(Q23="","",Q23+IF(O23="",0,O23)))</f>
        <v>83000</v>
      </c>
      <c r="S326" s="48"/>
      <c r="T326" s="43" t="n">
        <f aca="false">IF($A23="","",IF(R23="","",R23-IF(S23="",0,S23)))</f>
        <v>127000</v>
      </c>
      <c r="U326" s="43" t="str">
        <f aca="false">IF($A23="","",IF(I23="","",I23-SUM(J23:P23)))</f>
        <v/>
      </c>
      <c r="V326" s="6" t="s">
        <v>4996</v>
      </c>
      <c r="W326" s="9" t="s">
        <v>774</v>
      </c>
      <c r="X326" s="9" t="s">
        <v>4997</v>
      </c>
      <c r="Y326" s="9" t="s">
        <v>4897</v>
      </c>
      <c r="Z326" s="9" t="s">
        <v>4898</v>
      </c>
      <c r="AA326" s="9" t="s">
        <v>4899</v>
      </c>
    </row>
    <row r="327" customFormat="false" ht="15" hidden="false" customHeight="true" outlineLevel="0" collapsed="false">
      <c r="A327" s="6" t="s">
        <v>1771</v>
      </c>
      <c r="B327" s="6" t="s">
        <v>487</v>
      </c>
      <c r="C327" s="6" t="s">
        <v>491</v>
      </c>
      <c r="D327" s="6" t="n">
        <v>6</v>
      </c>
      <c r="E327" s="9" t="s">
        <v>4968</v>
      </c>
      <c r="F327" s="42" t="n">
        <v>419943</v>
      </c>
      <c r="G327" s="48"/>
      <c r="H327" s="48"/>
      <c r="I327" s="48"/>
      <c r="J327" s="48"/>
      <c r="K327" s="48"/>
      <c r="L327" s="48"/>
      <c r="M327" s="48"/>
      <c r="N327" s="48"/>
      <c r="O327" s="48"/>
      <c r="P327" s="48"/>
      <c r="Q327" s="43" t="str">
        <f aca="false">IF($A24="","",IF(OR(F24="",I24=""),"",F24-I24))</f>
        <v/>
      </c>
      <c r="R327" s="43" t="n">
        <f aca="false">IF($A24="","",IF(Q24="","",Q24+IF(O24="",0,O24)))</f>
        <v>24000</v>
      </c>
      <c r="S327" s="48"/>
      <c r="T327" s="43" t="n">
        <f aca="false">IF($A24="","",IF(R24="","",R24-IF(S24="",0,S24)))</f>
        <v>107000</v>
      </c>
      <c r="U327" s="43" t="str">
        <f aca="false">IF($A24="","",IF(I24="","",I24-SUM(J24:P24)))</f>
        <v/>
      </c>
      <c r="V327" s="6" t="s">
        <v>4996</v>
      </c>
      <c r="W327" s="9" t="s">
        <v>774</v>
      </c>
      <c r="X327" s="9" t="s">
        <v>4997</v>
      </c>
      <c r="Y327" s="9" t="s">
        <v>4897</v>
      </c>
      <c r="Z327" s="9" t="s">
        <v>4898</v>
      </c>
      <c r="AA327" s="9" t="s">
        <v>4899</v>
      </c>
    </row>
    <row r="328" customFormat="false" ht="15" hidden="false" customHeight="true" outlineLevel="0" collapsed="false">
      <c r="A328" s="6" t="s">
        <v>1774</v>
      </c>
      <c r="B328" s="6" t="s">
        <v>487</v>
      </c>
      <c r="C328" s="6" t="s">
        <v>491</v>
      </c>
      <c r="D328" s="6" t="n">
        <v>6</v>
      </c>
      <c r="E328" s="9" t="s">
        <v>4968</v>
      </c>
      <c r="F328" s="42" t="n">
        <v>830820</v>
      </c>
      <c r="G328" s="48"/>
      <c r="H328" s="48"/>
      <c r="I328" s="48"/>
      <c r="J328" s="48"/>
      <c r="K328" s="48"/>
      <c r="L328" s="48"/>
      <c r="M328" s="48"/>
      <c r="N328" s="48"/>
      <c r="O328" s="48"/>
      <c r="P328" s="48"/>
      <c r="Q328" s="43" t="str">
        <f aca="false">IF($A25="","",IF(OR(F25="",I25=""),"",F25-I25))</f>
        <v/>
      </c>
      <c r="R328" s="43" t="n">
        <f aca="false">IF($A25="","",IF(Q25="","",Q25+IF(O25="",0,O25)))</f>
        <v>50000</v>
      </c>
      <c r="S328" s="48"/>
      <c r="T328" s="43" t="n">
        <f aca="false">IF($A25="","",IF(R25="","",R25-IF(S25="",0,S25)))</f>
        <v>64000</v>
      </c>
      <c r="U328" s="43" t="str">
        <f aca="false">IF($A25="","",IF(I25="","",I25-SUM(J25:P25)))</f>
        <v/>
      </c>
      <c r="V328" s="6" t="s">
        <v>4996</v>
      </c>
      <c r="W328" s="9" t="s">
        <v>774</v>
      </c>
      <c r="X328" s="9" t="s">
        <v>4997</v>
      </c>
      <c r="Y328" s="9" t="s">
        <v>4897</v>
      </c>
      <c r="Z328" s="9" t="s">
        <v>4898</v>
      </c>
      <c r="AA328" s="9" t="s">
        <v>4899</v>
      </c>
    </row>
    <row r="329" customFormat="false" ht="15" hidden="false" customHeight="true" outlineLevel="0" collapsed="false">
      <c r="A329" s="6" t="s">
        <v>1777</v>
      </c>
      <c r="B329" s="6" t="s">
        <v>487</v>
      </c>
      <c r="C329" s="6" t="s">
        <v>491</v>
      </c>
      <c r="D329" s="6" t="n">
        <v>6</v>
      </c>
      <c r="E329" s="9" t="s">
        <v>4908</v>
      </c>
      <c r="F329" s="48" t="n">
        <v>60967</v>
      </c>
      <c r="G329" s="48"/>
      <c r="H329" s="48"/>
      <c r="I329" s="48"/>
      <c r="J329" s="48"/>
      <c r="K329" s="48"/>
      <c r="L329" s="48"/>
      <c r="M329" s="48"/>
      <c r="N329" s="48"/>
      <c r="O329" s="48"/>
      <c r="P329" s="48"/>
      <c r="Q329" s="43" t="str">
        <f aca="false">IF($A26="","",IF(OR(F26="",I26=""),"",F26-I26))</f>
        <v/>
      </c>
      <c r="R329" s="43" t="n">
        <f aca="false">IF($A26="","",IF(Q26="","",Q26+IF(O26="",0,O26)))</f>
        <v>20000</v>
      </c>
      <c r="S329" s="48"/>
      <c r="T329" s="43" t="n">
        <f aca="false">IF($A26="","",IF(R26="","",R26-IF(S26="",0,S26)))</f>
        <v>88000</v>
      </c>
      <c r="U329" s="43" t="str">
        <f aca="false">IF($A26="","",IF(I26="","",I26-SUM(J26:P26)))</f>
        <v/>
      </c>
      <c r="V329" s="6" t="s">
        <v>4996</v>
      </c>
      <c r="W329" s="9" t="s">
        <v>774</v>
      </c>
      <c r="X329" s="9" t="s">
        <v>4998</v>
      </c>
      <c r="Y329" s="9" t="s">
        <v>4897</v>
      </c>
      <c r="Z329" s="9" t="s">
        <v>4898</v>
      </c>
      <c r="AA329" s="9" t="s">
        <v>4899</v>
      </c>
    </row>
    <row r="330" customFormat="false" ht="15" hidden="false" customHeight="true" outlineLevel="0" collapsed="false">
      <c r="A330" s="6" t="s">
        <v>1780</v>
      </c>
      <c r="B330" s="6" t="s">
        <v>487</v>
      </c>
      <c r="C330" s="6" t="s">
        <v>491</v>
      </c>
      <c r="D330" s="6" t="n">
        <v>6</v>
      </c>
      <c r="E330" s="9" t="s">
        <v>4968</v>
      </c>
      <c r="F330" s="42" t="n">
        <v>291577</v>
      </c>
      <c r="G330" s="48"/>
      <c r="H330" s="48"/>
      <c r="I330" s="48"/>
      <c r="J330" s="48"/>
      <c r="K330" s="48"/>
      <c r="L330" s="48"/>
      <c r="M330" s="48"/>
      <c r="N330" s="48"/>
      <c r="O330" s="48"/>
      <c r="P330" s="48"/>
      <c r="Q330" s="43" t="str">
        <f aca="false">IF($A27="","",IF(OR(F27="",I27=""),"",F27-I27))</f>
        <v/>
      </c>
      <c r="R330" s="43" t="n">
        <f aca="false">IF($A27="","",IF(Q27="","",Q27+IF(O27="",0,O27)))</f>
        <v>79000</v>
      </c>
      <c r="S330" s="48"/>
      <c r="T330" s="43" t="n">
        <f aca="false">IF($A27="","",IF(R27="","",R27-IF(S27="",0,S27)))</f>
        <v>97000</v>
      </c>
      <c r="U330" s="43" t="str">
        <f aca="false">IF($A27="","",IF(I27="","",I27-SUM(J27:P27)))</f>
        <v/>
      </c>
      <c r="V330" s="6" t="s">
        <v>4996</v>
      </c>
      <c r="W330" s="9" t="s">
        <v>774</v>
      </c>
      <c r="X330" s="9" t="s">
        <v>4997</v>
      </c>
      <c r="Y330" s="9" t="s">
        <v>4897</v>
      </c>
      <c r="Z330" s="9" t="s">
        <v>4898</v>
      </c>
      <c r="AA330" s="9" t="s">
        <v>4899</v>
      </c>
    </row>
    <row r="331" customFormat="false" ht="15" hidden="false" customHeight="true" outlineLevel="0" collapsed="false">
      <c r="A331" s="6" t="s">
        <v>1783</v>
      </c>
      <c r="B331" s="6" t="s">
        <v>487</v>
      </c>
      <c r="C331" s="6" t="s">
        <v>491</v>
      </c>
      <c r="D331" s="6" t="n">
        <v>6</v>
      </c>
      <c r="E331" s="9" t="s">
        <v>4908</v>
      </c>
      <c r="F331" s="48" t="n">
        <v>59250</v>
      </c>
      <c r="G331" s="48"/>
      <c r="H331" s="48"/>
      <c r="I331" s="48"/>
      <c r="J331" s="48"/>
      <c r="K331" s="48"/>
      <c r="L331" s="48"/>
      <c r="M331" s="48"/>
      <c r="N331" s="48"/>
      <c r="O331" s="48"/>
      <c r="P331" s="48"/>
      <c r="Q331" s="43" t="str">
        <f aca="false">IF($A28="","",IF(OR(F28="",I28=""),"",F28-I28))</f>
        <v/>
      </c>
      <c r="R331" s="43" t="n">
        <f aca="false">IF($A28="","",IF(Q28="","",Q28+IF(O28="",0,O28)))</f>
        <v>3271216</v>
      </c>
      <c r="S331" s="48"/>
      <c r="T331" s="43" t="n">
        <f aca="false">IF($A28="","",IF(R28="","",R28-IF(S28="",0,S28)))</f>
        <v>-1395084</v>
      </c>
      <c r="U331" s="43" t="str">
        <f aca="false">IF($A28="","",IF(I28="","",I28-SUM(J28:P28)))</f>
        <v/>
      </c>
      <c r="V331" s="6" t="s">
        <v>4996</v>
      </c>
      <c r="W331" s="9" t="s">
        <v>774</v>
      </c>
      <c r="X331" s="9" t="s">
        <v>4998</v>
      </c>
      <c r="Y331" s="9" t="s">
        <v>4897</v>
      </c>
      <c r="Z331" s="9" t="s">
        <v>4898</v>
      </c>
      <c r="AA331" s="9" t="s">
        <v>4899</v>
      </c>
    </row>
    <row r="332" customFormat="false" ht="15" hidden="false" customHeight="true" outlineLevel="0" collapsed="false">
      <c r="A332" s="6" t="s">
        <v>1786</v>
      </c>
      <c r="B332" s="6" t="s">
        <v>487</v>
      </c>
      <c r="C332" s="6" t="s">
        <v>491</v>
      </c>
      <c r="D332" s="6" t="n">
        <v>6</v>
      </c>
      <c r="E332" s="9" t="s">
        <v>4968</v>
      </c>
      <c r="F332" s="42" t="n">
        <v>134808</v>
      </c>
      <c r="G332" s="48"/>
      <c r="H332" s="48"/>
      <c r="I332" s="48"/>
      <c r="J332" s="48"/>
      <c r="K332" s="48"/>
      <c r="L332" s="48"/>
      <c r="M332" s="48"/>
      <c r="N332" s="48"/>
      <c r="O332" s="48"/>
      <c r="P332" s="48"/>
      <c r="Q332" s="43" t="str">
        <f aca="false">IF($A29="","",IF(OR(F29="",I29=""),"",F29-I29))</f>
        <v/>
      </c>
      <c r="R332" s="43" t="str">
        <f aca="false">IF($A29="","",IF(Q29="","",Q29+IF(O29="",0,O29)))</f>
        <v/>
      </c>
      <c r="S332" s="48"/>
      <c r="T332" s="43" t="n">
        <f aca="false">IF($A29="","",IF(R29="","",R29-IF(S29="",0,S29)))</f>
        <v>23296886</v>
      </c>
      <c r="U332" s="43" t="str">
        <f aca="false">IF($A29="","",IF(I29="","",I29-SUM(J29:P29)))</f>
        <v/>
      </c>
      <c r="V332" s="6" t="s">
        <v>4996</v>
      </c>
      <c r="W332" s="9" t="s">
        <v>774</v>
      </c>
      <c r="X332" s="9" t="s">
        <v>4997</v>
      </c>
      <c r="Y332" s="9" t="s">
        <v>4897</v>
      </c>
      <c r="Z332" s="9" t="s">
        <v>4898</v>
      </c>
      <c r="AA332" s="9" t="s">
        <v>4899</v>
      </c>
    </row>
    <row r="333" customFormat="false" ht="15" hidden="false" customHeight="true" outlineLevel="0" collapsed="false">
      <c r="A333" s="6" t="s">
        <v>1789</v>
      </c>
      <c r="B333" s="6" t="s">
        <v>487</v>
      </c>
      <c r="C333" s="6" t="s">
        <v>491</v>
      </c>
      <c r="D333" s="6" t="n">
        <v>6</v>
      </c>
      <c r="E333" s="9" t="s">
        <v>4908</v>
      </c>
      <c r="F333" s="48" t="n">
        <v>89072</v>
      </c>
      <c r="G333" s="48"/>
      <c r="H333" s="48"/>
      <c r="I333" s="48"/>
      <c r="J333" s="48"/>
      <c r="K333" s="48"/>
      <c r="L333" s="48"/>
      <c r="M333" s="48"/>
      <c r="N333" s="48"/>
      <c r="O333" s="48"/>
      <c r="P333" s="48"/>
      <c r="Q333" s="43" t="str">
        <f aca="false">IF($A30="","",IF(OR(F30="",I30=""),"",F30-I30))</f>
        <v/>
      </c>
      <c r="R333" s="43" t="str">
        <f aca="false">IF($A30="","",IF(Q30="","",Q30+IF(O30="",0,O30)))</f>
        <v/>
      </c>
      <c r="S333" s="48"/>
      <c r="T333" s="43" t="str">
        <f aca="false">IF($A30="","",IF(R30="","",R30-IF(S30="",0,S30)))</f>
        <v/>
      </c>
      <c r="U333" s="43" t="str">
        <f aca="false">IF($A30="","",IF(I30="","",I30-SUM(J30:P30)))</f>
        <v/>
      </c>
      <c r="V333" s="6" t="s">
        <v>4996</v>
      </c>
      <c r="W333" s="9" t="s">
        <v>774</v>
      </c>
      <c r="X333" s="9" t="s">
        <v>4998</v>
      </c>
      <c r="Y333" s="9" t="s">
        <v>4897</v>
      </c>
      <c r="Z333" s="9" t="s">
        <v>4898</v>
      </c>
      <c r="AA333" s="9" t="s">
        <v>4899</v>
      </c>
    </row>
    <row r="334" customFormat="false" ht="15" hidden="false" customHeight="true" outlineLevel="0" collapsed="false">
      <c r="A334" s="6" t="s">
        <v>1792</v>
      </c>
      <c r="B334" s="6" t="s">
        <v>487</v>
      </c>
      <c r="C334" s="6" t="s">
        <v>491</v>
      </c>
      <c r="D334" s="6" t="n">
        <v>6</v>
      </c>
      <c r="E334" s="9" t="s">
        <v>4968</v>
      </c>
      <c r="F334" s="42" t="n">
        <v>163769</v>
      </c>
      <c r="G334" s="48"/>
      <c r="H334" s="48"/>
      <c r="I334" s="48"/>
      <c r="J334" s="48"/>
      <c r="K334" s="48"/>
      <c r="L334" s="48"/>
      <c r="M334" s="48"/>
      <c r="N334" s="48"/>
      <c r="O334" s="48"/>
      <c r="P334" s="48"/>
      <c r="Q334" s="43" t="str">
        <f aca="false">IF($A31="","",IF(OR(F31="",I31=""),"",F31-I31))</f>
        <v/>
      </c>
      <c r="R334" s="43" t="str">
        <f aca="false">IF($A31="","",IF(Q31="","",Q31+IF(O31="",0,O31)))</f>
        <v/>
      </c>
      <c r="S334" s="48"/>
      <c r="T334" s="43" t="str">
        <f aca="false">IF($A31="","",IF(R31="","",R31-IF(S31="",0,S31)))</f>
        <v/>
      </c>
      <c r="U334" s="43" t="str">
        <f aca="false">IF($A31="","",IF(I31="","",I31-SUM(J31:P31)))</f>
        <v/>
      </c>
      <c r="V334" s="6" t="s">
        <v>4996</v>
      </c>
      <c r="W334" s="9" t="s">
        <v>774</v>
      </c>
      <c r="X334" s="9" t="s">
        <v>4997</v>
      </c>
      <c r="Y334" s="9" t="s">
        <v>4897</v>
      </c>
      <c r="Z334" s="9" t="s">
        <v>4898</v>
      </c>
      <c r="AA334" s="9" t="s">
        <v>4899</v>
      </c>
    </row>
    <row r="335" customFormat="false" ht="15" hidden="false" customHeight="true" outlineLevel="0" collapsed="false">
      <c r="A335" s="6" t="s">
        <v>1795</v>
      </c>
      <c r="B335" s="6" t="s">
        <v>487</v>
      </c>
      <c r="C335" s="6" t="s">
        <v>491</v>
      </c>
      <c r="D335" s="6" t="n">
        <v>6</v>
      </c>
      <c r="E335" s="9" t="s">
        <v>4908</v>
      </c>
      <c r="F335" s="48" t="n">
        <v>119375</v>
      </c>
      <c r="G335" s="48"/>
      <c r="H335" s="48"/>
      <c r="I335" s="48"/>
      <c r="J335" s="48"/>
      <c r="K335" s="48"/>
      <c r="L335" s="48"/>
      <c r="M335" s="48"/>
      <c r="N335" s="48"/>
      <c r="O335" s="48"/>
      <c r="P335" s="48"/>
      <c r="Q335" s="43" t="str">
        <f aca="false">IF($A32="","",IF(OR(F32="",I32=""),"",F32-I32))</f>
        <v/>
      </c>
      <c r="R335" s="43" t="str">
        <f aca="false">IF($A32="","",IF(Q32="","",Q32+IF(O32="",0,O32)))</f>
        <v/>
      </c>
      <c r="S335" s="48"/>
      <c r="T335" s="43" t="str">
        <f aca="false">IF($A32="","",IF(R32="","",R32-IF(S32="",0,S32)))</f>
        <v/>
      </c>
      <c r="U335" s="43" t="str">
        <f aca="false">IF($A32="","",IF(I32="","",I32-SUM(J32:P32)))</f>
        <v/>
      </c>
      <c r="V335" s="6" t="s">
        <v>4996</v>
      </c>
      <c r="W335" s="9" t="s">
        <v>774</v>
      </c>
      <c r="X335" s="9" t="s">
        <v>4998</v>
      </c>
      <c r="Y335" s="9" t="s">
        <v>4897</v>
      </c>
      <c r="Z335" s="9" t="s">
        <v>4898</v>
      </c>
      <c r="AA335" s="9" t="s">
        <v>4899</v>
      </c>
    </row>
    <row r="336" customFormat="false" ht="15" hidden="false" customHeight="true" outlineLevel="0" collapsed="false">
      <c r="A336" s="6" t="s">
        <v>1798</v>
      </c>
      <c r="B336" s="6" t="s">
        <v>487</v>
      </c>
      <c r="C336" s="6" t="s">
        <v>491</v>
      </c>
      <c r="D336" s="6" t="n">
        <v>6</v>
      </c>
      <c r="E336" s="9" t="s">
        <v>4908</v>
      </c>
      <c r="F336" s="48" t="n">
        <v>131697</v>
      </c>
      <c r="G336" s="48"/>
      <c r="H336" s="48"/>
      <c r="I336" s="48"/>
      <c r="J336" s="48"/>
      <c r="K336" s="48"/>
      <c r="L336" s="48"/>
      <c r="M336" s="48"/>
      <c r="N336" s="48"/>
      <c r="O336" s="48"/>
      <c r="P336" s="48"/>
      <c r="Q336" s="43" t="str">
        <f aca="false">IF($A33="","",IF(OR(F33="",I33=""),"",F33-I33))</f>
        <v/>
      </c>
      <c r="R336" s="43" t="str">
        <f aca="false">IF($A33="","",IF(Q33="","",Q33+IF(O33="",0,O33)))</f>
        <v/>
      </c>
      <c r="S336" s="48"/>
      <c r="T336" s="43" t="str">
        <f aca="false">IF($A33="","",IF(R33="","",R33-IF(S33="",0,S33)))</f>
        <v/>
      </c>
      <c r="U336" s="43" t="str">
        <f aca="false">IF($A33="","",IF(I33="","",I33-SUM(J33:P33)))</f>
        <v/>
      </c>
      <c r="V336" s="6" t="s">
        <v>4996</v>
      </c>
      <c r="W336" s="9" t="s">
        <v>774</v>
      </c>
      <c r="X336" s="9" t="s">
        <v>4998</v>
      </c>
      <c r="Y336" s="9" t="s">
        <v>4897</v>
      </c>
      <c r="Z336" s="9" t="s">
        <v>4898</v>
      </c>
      <c r="AA336" s="9" t="s">
        <v>4899</v>
      </c>
    </row>
    <row r="337" customFormat="false" ht="15" hidden="false" customHeight="true" outlineLevel="0" collapsed="false">
      <c r="A337" s="6" t="s">
        <v>1801</v>
      </c>
      <c r="B337" s="6" t="s">
        <v>487</v>
      </c>
      <c r="C337" s="6" t="s">
        <v>491</v>
      </c>
      <c r="D337" s="6" t="n">
        <v>6</v>
      </c>
      <c r="E337" s="9" t="s">
        <v>4968</v>
      </c>
      <c r="F337" s="42" t="n">
        <v>421097</v>
      </c>
      <c r="G337" s="48"/>
      <c r="H337" s="48"/>
      <c r="I337" s="48"/>
      <c r="J337" s="48"/>
      <c r="K337" s="48"/>
      <c r="L337" s="48"/>
      <c r="M337" s="48"/>
      <c r="N337" s="48"/>
      <c r="O337" s="48"/>
      <c r="P337" s="48"/>
      <c r="Q337" s="43" t="str">
        <f aca="false">IF($A34="","",IF(OR(F34="",I34=""),"",F34-I34))</f>
        <v/>
      </c>
      <c r="R337" s="43" t="str">
        <f aca="false">IF($A34="","",IF(Q34="","",Q34+IF(O34="",0,O34)))</f>
        <v/>
      </c>
      <c r="S337" s="48"/>
      <c r="T337" s="43" t="str">
        <f aca="false">IF($A34="","",IF(R34="","",R34-IF(S34="",0,S34)))</f>
        <v/>
      </c>
      <c r="U337" s="43" t="str">
        <f aca="false">IF($A34="","",IF(I34="","",I34-SUM(J34:P34)))</f>
        <v/>
      </c>
      <c r="V337" s="6" t="s">
        <v>4996</v>
      </c>
      <c r="W337" s="9" t="s">
        <v>774</v>
      </c>
      <c r="X337" s="9" t="s">
        <v>4997</v>
      </c>
      <c r="Y337" s="9" t="s">
        <v>4897</v>
      </c>
      <c r="Z337" s="9" t="s">
        <v>4898</v>
      </c>
      <c r="AA337" s="9" t="s">
        <v>4899</v>
      </c>
    </row>
    <row r="338" customFormat="false" ht="15" hidden="false" customHeight="true" outlineLevel="0" collapsed="false">
      <c r="A338" s="6" t="s">
        <v>1804</v>
      </c>
      <c r="B338" s="6" t="s">
        <v>487</v>
      </c>
      <c r="C338" s="6" t="s">
        <v>491</v>
      </c>
      <c r="D338" s="6" t="n">
        <v>6</v>
      </c>
      <c r="E338" s="9" t="s">
        <v>4968</v>
      </c>
      <c r="F338" s="42" t="n">
        <v>369172</v>
      </c>
      <c r="G338" s="48"/>
      <c r="H338" s="48"/>
      <c r="I338" s="48"/>
      <c r="J338" s="48"/>
      <c r="K338" s="48"/>
      <c r="L338" s="48"/>
      <c r="M338" s="48"/>
      <c r="N338" s="48"/>
      <c r="O338" s="48"/>
      <c r="P338" s="48"/>
      <c r="Q338" s="43" t="str">
        <f aca="false">IF($A35="","",IF(OR(F35="",I35=""),"",F35-I35))</f>
        <v/>
      </c>
      <c r="R338" s="43" t="str">
        <f aca="false">IF($A35="","",IF(Q35="","",Q35+IF(O35="",0,O35)))</f>
        <v/>
      </c>
      <c r="S338" s="48"/>
      <c r="T338" s="43" t="str">
        <f aca="false">IF($A35="","",IF(R35="","",R35-IF(S35="",0,S35)))</f>
        <v/>
      </c>
      <c r="U338" s="43" t="str">
        <f aca="false">IF($A35="","",IF(I35="","",I35-SUM(J35:P35)))</f>
        <v/>
      </c>
      <c r="V338" s="6" t="s">
        <v>4996</v>
      </c>
      <c r="W338" s="9" t="s">
        <v>774</v>
      </c>
      <c r="X338" s="9" t="s">
        <v>4997</v>
      </c>
      <c r="Y338" s="9" t="s">
        <v>4897</v>
      </c>
      <c r="Z338" s="9" t="s">
        <v>4898</v>
      </c>
      <c r="AA338" s="9" t="s">
        <v>4899</v>
      </c>
    </row>
    <row r="339" customFormat="false" ht="15" hidden="false" customHeight="true" outlineLevel="0" collapsed="false">
      <c r="A339" s="6" t="s">
        <v>1807</v>
      </c>
      <c r="B339" s="6" t="s">
        <v>487</v>
      </c>
      <c r="C339" s="6" t="s">
        <v>491</v>
      </c>
      <c r="D339" s="6" t="n">
        <v>6</v>
      </c>
      <c r="E339" s="9" t="s">
        <v>4908</v>
      </c>
      <c r="F339" s="48" t="n">
        <v>92429</v>
      </c>
      <c r="G339" s="48"/>
      <c r="H339" s="48"/>
      <c r="I339" s="48"/>
      <c r="J339" s="48"/>
      <c r="K339" s="48"/>
      <c r="L339" s="48"/>
      <c r="M339" s="48"/>
      <c r="N339" s="48"/>
      <c r="O339" s="48"/>
      <c r="P339" s="48"/>
      <c r="Q339" s="43" t="str">
        <f aca="false">IF($A36="","",IF(OR(F36="",I36=""),"",F36-I36))</f>
        <v/>
      </c>
      <c r="R339" s="43" t="str">
        <f aca="false">IF($A36="","",IF(Q36="","",Q36+IF(O36="",0,O36)))</f>
        <v/>
      </c>
      <c r="S339" s="48"/>
      <c r="T339" s="43" t="str">
        <f aca="false">IF($A36="","",IF(R36="","",R36-IF(S36="",0,S36)))</f>
        <v/>
      </c>
      <c r="U339" s="43" t="str">
        <f aca="false">IF($A36="","",IF(I36="","",I36-SUM(J36:P36)))</f>
        <v/>
      </c>
      <c r="V339" s="6" t="s">
        <v>4996</v>
      </c>
      <c r="W339" s="9" t="s">
        <v>774</v>
      </c>
      <c r="X339" s="9" t="s">
        <v>4998</v>
      </c>
      <c r="Y339" s="9" t="s">
        <v>4897</v>
      </c>
      <c r="Z339" s="9" t="s">
        <v>4898</v>
      </c>
      <c r="AA339" s="9" t="s">
        <v>4899</v>
      </c>
    </row>
    <row r="340" customFormat="false" ht="15" hidden="false" customHeight="true" outlineLevel="0" collapsed="false">
      <c r="A340" s="6" t="s">
        <v>1809</v>
      </c>
      <c r="B340" s="6" t="s">
        <v>487</v>
      </c>
      <c r="C340" s="6" t="s">
        <v>491</v>
      </c>
      <c r="D340" s="6" t="n">
        <v>6</v>
      </c>
      <c r="E340" s="9" t="s">
        <v>4908</v>
      </c>
      <c r="F340" s="48" t="n">
        <v>87194</v>
      </c>
      <c r="G340" s="48"/>
      <c r="H340" s="48"/>
      <c r="I340" s="48"/>
      <c r="J340" s="48"/>
      <c r="K340" s="48"/>
      <c r="L340" s="48"/>
      <c r="M340" s="48"/>
      <c r="N340" s="48"/>
      <c r="O340" s="48"/>
      <c r="P340" s="48"/>
      <c r="Q340" s="43" t="str">
        <f aca="false">IF($A37="","",IF(OR(F37="",I37=""),"",F37-I37))</f>
        <v/>
      </c>
      <c r="R340" s="43" t="str">
        <f aca="false">IF($A37="","",IF(Q37="","",Q37+IF(O37="",0,O37)))</f>
        <v/>
      </c>
      <c r="S340" s="48"/>
      <c r="T340" s="43" t="str">
        <f aca="false">IF($A37="","",IF(R37="","",R37-IF(S37="",0,S37)))</f>
        <v/>
      </c>
      <c r="U340" s="43" t="str">
        <f aca="false">IF($A37="","",IF(I37="","",I37-SUM(J37:P37)))</f>
        <v/>
      </c>
      <c r="V340" s="6" t="s">
        <v>4996</v>
      </c>
      <c r="W340" s="9" t="s">
        <v>774</v>
      </c>
      <c r="X340" s="9" t="s">
        <v>4998</v>
      </c>
      <c r="Y340" s="9" t="s">
        <v>4897</v>
      </c>
      <c r="Z340" s="9" t="s">
        <v>4898</v>
      </c>
      <c r="AA340" s="9" t="s">
        <v>4899</v>
      </c>
    </row>
    <row r="341" customFormat="false" ht="15" hidden="false" customHeight="true" outlineLevel="0" collapsed="false">
      <c r="A341" s="6" t="s">
        <v>1811</v>
      </c>
      <c r="B341" s="6" t="s">
        <v>487</v>
      </c>
      <c r="C341" s="6" t="s">
        <v>491</v>
      </c>
      <c r="D341" s="6" t="n">
        <v>6</v>
      </c>
      <c r="E341" s="9" t="s">
        <v>4968</v>
      </c>
      <c r="F341" s="42" t="n">
        <v>807893</v>
      </c>
      <c r="G341" s="48"/>
      <c r="H341" s="48"/>
      <c r="I341" s="48"/>
      <c r="J341" s="48"/>
      <c r="K341" s="48"/>
      <c r="L341" s="48"/>
      <c r="M341" s="48"/>
      <c r="N341" s="48"/>
      <c r="O341" s="48"/>
      <c r="P341" s="48"/>
      <c r="Q341" s="43" t="str">
        <f aca="false">IF($A38="","",IF(OR(F38="",I38=""),"",F38-I38))</f>
        <v/>
      </c>
      <c r="R341" s="43" t="str">
        <f aca="false">IF($A38="","",IF(Q38="","",Q38+IF(O38="",0,O38)))</f>
        <v/>
      </c>
      <c r="S341" s="48"/>
      <c r="T341" s="43" t="str">
        <f aca="false">IF($A38="","",IF(R38="","",R38-IF(S38="",0,S38)))</f>
        <v/>
      </c>
      <c r="U341" s="43" t="str">
        <f aca="false">IF($A38="","",IF(I38="","",I38-SUM(J38:P38)))</f>
        <v/>
      </c>
      <c r="V341" s="6" t="s">
        <v>4996</v>
      </c>
      <c r="W341" s="9" t="s">
        <v>774</v>
      </c>
      <c r="X341" s="9" t="s">
        <v>4997</v>
      </c>
      <c r="Y341" s="9" t="s">
        <v>4897</v>
      </c>
      <c r="Z341" s="9" t="s">
        <v>4898</v>
      </c>
      <c r="AA341" s="9" t="s">
        <v>4899</v>
      </c>
    </row>
    <row r="342" customFormat="false" ht="15" hidden="false" customHeight="true" outlineLevel="0" collapsed="false">
      <c r="A342" s="6" t="s">
        <v>1814</v>
      </c>
      <c r="B342" s="6" t="s">
        <v>487</v>
      </c>
      <c r="C342" s="6" t="s">
        <v>491</v>
      </c>
      <c r="D342" s="6" t="n">
        <v>6</v>
      </c>
      <c r="E342" s="9" t="s">
        <v>4968</v>
      </c>
      <c r="F342" s="42" t="n">
        <v>217275</v>
      </c>
      <c r="G342" s="48"/>
      <c r="H342" s="48"/>
      <c r="I342" s="48"/>
      <c r="J342" s="48"/>
      <c r="K342" s="48"/>
      <c r="L342" s="48"/>
      <c r="M342" s="48"/>
      <c r="N342" s="48"/>
      <c r="O342" s="48"/>
      <c r="P342" s="48"/>
      <c r="Q342" s="43" t="str">
        <f aca="false">IF($A39="","",IF(OR(F39="",I39=""),"",F39-I39))</f>
        <v/>
      </c>
      <c r="R342" s="43" t="str">
        <f aca="false">IF($A39="","",IF(Q39="","",Q39+IF(O39="",0,O39)))</f>
        <v/>
      </c>
      <c r="S342" s="48"/>
      <c r="T342" s="43" t="str">
        <f aca="false">IF($A39="","",IF(R39="","",R39-IF(S39="",0,S39)))</f>
        <v/>
      </c>
      <c r="U342" s="43" t="str">
        <f aca="false">IF($A39="","",IF(I39="","",I39-SUM(J39:P39)))</f>
        <v/>
      </c>
      <c r="V342" s="6" t="s">
        <v>4996</v>
      </c>
      <c r="W342" s="9" t="s">
        <v>774</v>
      </c>
      <c r="X342" s="9" t="s">
        <v>4997</v>
      </c>
      <c r="Y342" s="9" t="s">
        <v>4897</v>
      </c>
      <c r="Z342" s="9" t="s">
        <v>4898</v>
      </c>
      <c r="AA342" s="9" t="s">
        <v>4899</v>
      </c>
    </row>
    <row r="343" customFormat="false" ht="15" hidden="false" customHeight="true" outlineLevel="0" collapsed="false">
      <c r="A343" s="6" t="s">
        <v>1817</v>
      </c>
      <c r="B343" s="6" t="s">
        <v>487</v>
      </c>
      <c r="C343" s="6" t="s">
        <v>491</v>
      </c>
      <c r="D343" s="6" t="n">
        <v>6</v>
      </c>
      <c r="E343" s="9" t="s">
        <v>4968</v>
      </c>
      <c r="F343" s="42" t="n">
        <v>126752</v>
      </c>
      <c r="G343" s="48"/>
      <c r="H343" s="48"/>
      <c r="I343" s="48"/>
      <c r="J343" s="48"/>
      <c r="K343" s="48"/>
      <c r="L343" s="48"/>
      <c r="M343" s="48"/>
      <c r="N343" s="48"/>
      <c r="O343" s="48"/>
      <c r="P343" s="48"/>
      <c r="Q343" s="43" t="str">
        <f aca="false">IF($A40="","",IF(OR(F40="",I40=""),"",F40-I40))</f>
        <v/>
      </c>
      <c r="R343" s="43" t="str">
        <f aca="false">IF($A40="","",IF(Q40="","",Q40+IF(O40="",0,O40)))</f>
        <v/>
      </c>
      <c r="S343" s="48"/>
      <c r="T343" s="43" t="str">
        <f aca="false">IF($A40="","",IF(R40="","",R40-IF(S40="",0,S40)))</f>
        <v/>
      </c>
      <c r="U343" s="43" t="str">
        <f aca="false">IF($A40="","",IF(I40="","",I40-SUM(J40:P40)))</f>
        <v/>
      </c>
      <c r="V343" s="6" t="s">
        <v>4996</v>
      </c>
      <c r="W343" s="9" t="s">
        <v>774</v>
      </c>
      <c r="X343" s="9" t="s">
        <v>4997</v>
      </c>
      <c r="Y343" s="9" t="s">
        <v>4897</v>
      </c>
      <c r="Z343" s="9" t="s">
        <v>4898</v>
      </c>
      <c r="AA343" s="9" t="s">
        <v>4899</v>
      </c>
    </row>
    <row r="344" customFormat="false" ht="15" hidden="false" customHeight="true" outlineLevel="0" collapsed="false">
      <c r="A344" s="6" t="s">
        <v>1820</v>
      </c>
      <c r="B344" s="6" t="s">
        <v>487</v>
      </c>
      <c r="C344" s="6" t="s">
        <v>491</v>
      </c>
      <c r="D344" s="6" t="n">
        <v>6</v>
      </c>
      <c r="E344" s="9" t="s">
        <v>4968</v>
      </c>
      <c r="F344" s="42" t="n">
        <v>318929</v>
      </c>
      <c r="G344" s="48"/>
      <c r="H344" s="48"/>
      <c r="I344" s="48"/>
      <c r="J344" s="48"/>
      <c r="K344" s="48"/>
      <c r="L344" s="48"/>
      <c r="M344" s="48"/>
      <c r="N344" s="48"/>
      <c r="O344" s="48"/>
      <c r="P344" s="48"/>
      <c r="Q344" s="43" t="str">
        <f aca="false">IF($A41="","",IF(OR(F41="",I41=""),"",F41-I41))</f>
        <v/>
      </c>
      <c r="R344" s="43" t="str">
        <f aca="false">IF($A41="","",IF(Q41="","",Q41+IF(O41="",0,O41)))</f>
        <v/>
      </c>
      <c r="S344" s="48"/>
      <c r="T344" s="43" t="str">
        <f aca="false">IF($A41="","",IF(R41="","",R41-IF(S41="",0,S41)))</f>
        <v/>
      </c>
      <c r="U344" s="43" t="str">
        <f aca="false">IF($A41="","",IF(I41="","",I41-SUM(J41:P41)))</f>
        <v/>
      </c>
      <c r="V344" s="6" t="s">
        <v>4996</v>
      </c>
      <c r="W344" s="9" t="s">
        <v>774</v>
      </c>
      <c r="X344" s="9" t="s">
        <v>4997</v>
      </c>
      <c r="Y344" s="9" t="s">
        <v>4897</v>
      </c>
      <c r="Z344" s="9" t="s">
        <v>4898</v>
      </c>
      <c r="AA344" s="9" t="s">
        <v>4899</v>
      </c>
    </row>
    <row r="345" customFormat="false" ht="15" hidden="false" customHeight="true" outlineLevel="0" collapsed="false">
      <c r="A345" s="6" t="s">
        <v>1823</v>
      </c>
      <c r="B345" s="6" t="s">
        <v>487</v>
      </c>
      <c r="C345" s="6" t="s">
        <v>491</v>
      </c>
      <c r="D345" s="6" t="n">
        <v>6</v>
      </c>
      <c r="E345" s="9" t="s">
        <v>4968</v>
      </c>
      <c r="F345" s="42" t="n">
        <v>1282915</v>
      </c>
      <c r="G345" s="48"/>
      <c r="H345" s="48"/>
      <c r="I345" s="48"/>
      <c r="J345" s="48"/>
      <c r="K345" s="48"/>
      <c r="L345" s="48"/>
      <c r="M345" s="48"/>
      <c r="N345" s="48"/>
      <c r="O345" s="48"/>
      <c r="P345" s="48"/>
      <c r="Q345" s="43" t="str">
        <f aca="false">IF($A42="","",IF(OR(F42="",I42=""),"",F42-I42))</f>
        <v/>
      </c>
      <c r="R345" s="43" t="str">
        <f aca="false">IF($A42="","",IF(Q42="","",Q42+IF(O42="",0,O42)))</f>
        <v/>
      </c>
      <c r="S345" s="48"/>
      <c r="T345" s="43" t="str">
        <f aca="false">IF($A42="","",IF(R42="","",R42-IF(S42="",0,S42)))</f>
        <v/>
      </c>
      <c r="U345" s="43" t="str">
        <f aca="false">IF($A42="","",IF(I42="","",I42-SUM(J42:P42)))</f>
        <v/>
      </c>
      <c r="V345" s="6" t="s">
        <v>4996</v>
      </c>
      <c r="W345" s="9" t="s">
        <v>774</v>
      </c>
      <c r="X345" s="9" t="s">
        <v>4997</v>
      </c>
      <c r="Y345" s="9" t="s">
        <v>4897</v>
      </c>
      <c r="Z345" s="9" t="s">
        <v>4898</v>
      </c>
      <c r="AA345" s="9" t="s">
        <v>4899</v>
      </c>
    </row>
    <row r="346" customFormat="false" ht="15" hidden="false" customHeight="true" outlineLevel="0" collapsed="false">
      <c r="A346" s="6" t="s">
        <v>1826</v>
      </c>
      <c r="B346" s="6" t="s">
        <v>487</v>
      </c>
      <c r="C346" s="6" t="s">
        <v>491</v>
      </c>
      <c r="D346" s="6" t="n">
        <v>6</v>
      </c>
      <c r="E346" s="9" t="s">
        <v>4968</v>
      </c>
      <c r="F346" s="42" t="n">
        <v>44345</v>
      </c>
      <c r="G346" s="48"/>
      <c r="H346" s="48"/>
      <c r="I346" s="48"/>
      <c r="J346" s="48"/>
      <c r="K346" s="48"/>
      <c r="L346" s="48"/>
      <c r="M346" s="48"/>
      <c r="N346" s="48"/>
      <c r="O346" s="48"/>
      <c r="P346" s="48"/>
      <c r="Q346" s="43" t="str">
        <f aca="false">IF($A43="","",IF(OR(F43="",I43=""),"",F43-I43))</f>
        <v/>
      </c>
      <c r="R346" s="43" t="str">
        <f aca="false">IF($A43="","",IF(Q43="","",Q43+IF(O43="",0,O43)))</f>
        <v/>
      </c>
      <c r="S346" s="48"/>
      <c r="T346" s="43" t="str">
        <f aca="false">IF($A43="","",IF(R43="","",R43-IF(S43="",0,S43)))</f>
        <v/>
      </c>
      <c r="U346" s="43" t="str">
        <f aca="false">IF($A43="","",IF(I43="","",I43-SUM(J43:P43)))</f>
        <v/>
      </c>
      <c r="V346" s="6" t="s">
        <v>4996</v>
      </c>
      <c r="W346" s="9" t="s">
        <v>774</v>
      </c>
      <c r="X346" s="9" t="s">
        <v>4997</v>
      </c>
      <c r="Y346" s="9" t="s">
        <v>4897</v>
      </c>
      <c r="Z346" s="9" t="s">
        <v>4898</v>
      </c>
      <c r="AA346" s="9" t="s">
        <v>4899</v>
      </c>
    </row>
    <row r="347" customFormat="false" ht="15" hidden="false" customHeight="true" outlineLevel="0" collapsed="false">
      <c r="A347" s="6" t="s">
        <v>1829</v>
      </c>
      <c r="B347" s="6" t="s">
        <v>487</v>
      </c>
      <c r="C347" s="6" t="s">
        <v>491</v>
      </c>
      <c r="D347" s="6" t="n">
        <v>6</v>
      </c>
      <c r="E347" s="9" t="s">
        <v>4968</v>
      </c>
      <c r="F347" s="42" t="n">
        <v>60927</v>
      </c>
      <c r="G347" s="48"/>
      <c r="H347" s="48"/>
      <c r="I347" s="48"/>
      <c r="J347" s="48"/>
      <c r="K347" s="48"/>
      <c r="L347" s="48"/>
      <c r="M347" s="48"/>
      <c r="N347" s="48"/>
      <c r="O347" s="48"/>
      <c r="P347" s="48"/>
      <c r="Q347" s="43" t="str">
        <f aca="false">IF($A44="","",IF(OR(F44="",I44=""),"",F44-I44))</f>
        <v/>
      </c>
      <c r="R347" s="43" t="str">
        <f aca="false">IF($A44="","",IF(Q44="","",Q44+IF(O44="",0,O44)))</f>
        <v/>
      </c>
      <c r="S347" s="48"/>
      <c r="T347" s="43" t="str">
        <f aca="false">IF($A44="","",IF(R44="","",R44-IF(S44="",0,S44)))</f>
        <v/>
      </c>
      <c r="U347" s="43" t="str">
        <f aca="false">IF($A44="","",IF(I44="","",I44-SUM(J44:P44)))</f>
        <v/>
      </c>
      <c r="V347" s="6" t="s">
        <v>4996</v>
      </c>
      <c r="W347" s="9" t="s">
        <v>774</v>
      </c>
      <c r="X347" s="9" t="s">
        <v>4997</v>
      </c>
      <c r="Y347" s="9" t="s">
        <v>4897</v>
      </c>
      <c r="Z347" s="9" t="s">
        <v>4898</v>
      </c>
      <c r="AA347" s="9" t="s">
        <v>4899</v>
      </c>
    </row>
    <row r="348" customFormat="false" ht="15" hidden="false" customHeight="true" outlineLevel="0" collapsed="false">
      <c r="A348" s="6" t="s">
        <v>1832</v>
      </c>
      <c r="B348" s="6" t="s">
        <v>487</v>
      </c>
      <c r="C348" s="6" t="s">
        <v>491</v>
      </c>
      <c r="D348" s="6" t="n">
        <v>6</v>
      </c>
      <c r="E348" s="9" t="s">
        <v>4908</v>
      </c>
      <c r="F348" s="48" t="n">
        <v>57589</v>
      </c>
      <c r="G348" s="48"/>
      <c r="H348" s="48"/>
      <c r="I348" s="48"/>
      <c r="J348" s="48"/>
      <c r="K348" s="48"/>
      <c r="L348" s="48"/>
      <c r="M348" s="48"/>
      <c r="N348" s="48"/>
      <c r="O348" s="48"/>
      <c r="P348" s="48"/>
      <c r="Q348" s="43" t="str">
        <f aca="false">IF($A45="","",IF(OR(F45="",I45=""),"",F45-I45))</f>
        <v/>
      </c>
      <c r="R348" s="43" t="str">
        <f aca="false">IF($A45="","",IF(Q45="","",Q45+IF(O45="",0,O45)))</f>
        <v/>
      </c>
      <c r="S348" s="48"/>
      <c r="T348" s="43" t="str">
        <f aca="false">IF($A45="","",IF(R45="","",R45-IF(S45="",0,S45)))</f>
        <v/>
      </c>
      <c r="U348" s="43" t="str">
        <f aca="false">IF($A45="","",IF(I45="","",I45-SUM(J45:P45)))</f>
        <v/>
      </c>
      <c r="V348" s="6" t="s">
        <v>4996</v>
      </c>
      <c r="W348" s="9" t="s">
        <v>774</v>
      </c>
      <c r="X348" s="9" t="s">
        <v>4998</v>
      </c>
      <c r="Y348" s="9" t="s">
        <v>4897</v>
      </c>
      <c r="Z348" s="9" t="s">
        <v>4898</v>
      </c>
      <c r="AA348" s="9" t="s">
        <v>4899</v>
      </c>
    </row>
    <row r="349" customFormat="false" ht="15" hidden="false" customHeight="true" outlineLevel="0" collapsed="false">
      <c r="A349" s="6" t="s">
        <v>1835</v>
      </c>
      <c r="B349" s="6" t="s">
        <v>487</v>
      </c>
      <c r="C349" s="6" t="s">
        <v>491</v>
      </c>
      <c r="D349" s="6" t="n">
        <v>6</v>
      </c>
      <c r="E349" s="9" t="s">
        <v>4968</v>
      </c>
      <c r="F349" s="42" t="n">
        <v>158392</v>
      </c>
      <c r="G349" s="48"/>
      <c r="H349" s="48"/>
      <c r="I349" s="48"/>
      <c r="J349" s="48"/>
      <c r="K349" s="48"/>
      <c r="L349" s="48"/>
      <c r="M349" s="48"/>
      <c r="N349" s="48"/>
      <c r="O349" s="48"/>
      <c r="P349" s="48"/>
      <c r="Q349" s="43" t="str">
        <f aca="false">IF($A46="","",IF(OR(F46="",I46=""),"",F46-I46))</f>
        <v/>
      </c>
      <c r="R349" s="43" t="str">
        <f aca="false">IF($A46="","",IF(Q46="","",Q46+IF(O46="",0,O46)))</f>
        <v/>
      </c>
      <c r="S349" s="48"/>
      <c r="T349" s="43" t="str">
        <f aca="false">IF($A46="","",IF(R46="","",R46-IF(S46="",0,S46)))</f>
        <v/>
      </c>
      <c r="U349" s="43" t="str">
        <f aca="false">IF($A46="","",IF(I46="","",I46-SUM(J46:P46)))</f>
        <v/>
      </c>
      <c r="V349" s="6" t="s">
        <v>4996</v>
      </c>
      <c r="W349" s="9" t="s">
        <v>774</v>
      </c>
      <c r="X349" s="9" t="s">
        <v>4997</v>
      </c>
      <c r="Y349" s="9" t="s">
        <v>4897</v>
      </c>
      <c r="Z349" s="9" t="s">
        <v>4898</v>
      </c>
      <c r="AA349" s="9" t="s">
        <v>4899</v>
      </c>
    </row>
    <row r="350" customFormat="false" ht="15" hidden="false" customHeight="true" outlineLevel="0" collapsed="false">
      <c r="A350" s="6" t="s">
        <v>1838</v>
      </c>
      <c r="B350" s="6" t="s">
        <v>487</v>
      </c>
      <c r="C350" s="6" t="s">
        <v>491</v>
      </c>
      <c r="D350" s="6" t="n">
        <v>6</v>
      </c>
      <c r="E350" s="9" t="s">
        <v>4968</v>
      </c>
      <c r="F350" s="42" t="n">
        <v>447518</v>
      </c>
      <c r="G350" s="48"/>
      <c r="H350" s="48"/>
      <c r="I350" s="48"/>
      <c r="J350" s="48"/>
      <c r="K350" s="48"/>
      <c r="L350" s="48"/>
      <c r="M350" s="48"/>
      <c r="N350" s="48"/>
      <c r="O350" s="48"/>
      <c r="P350" s="48"/>
      <c r="Q350" s="43" t="str">
        <f aca="false">IF($A47="","",IF(OR(F47="",I47=""),"",F47-I47))</f>
        <v/>
      </c>
      <c r="R350" s="43" t="n">
        <f aca="false">IF($A47="","",IF(Q47="","",Q47+IF(O47="",0,O47)))</f>
        <v>9131616</v>
      </c>
      <c r="S350" s="48"/>
      <c r="T350" s="43" t="n">
        <f aca="false">IF($A47="","",IF(R47="","",R47-IF(S47="",0,S47)))</f>
        <v>2146809</v>
      </c>
      <c r="U350" s="43" t="str">
        <f aca="false">IF($A47="","",IF(I47="","",I47-SUM(J47:P47)))</f>
        <v/>
      </c>
      <c r="V350" s="6" t="s">
        <v>4996</v>
      </c>
      <c r="W350" s="9" t="s">
        <v>774</v>
      </c>
      <c r="X350" s="9" t="s">
        <v>4997</v>
      </c>
      <c r="Y350" s="9" t="s">
        <v>4897</v>
      </c>
      <c r="Z350" s="9" t="s">
        <v>4898</v>
      </c>
      <c r="AA350" s="9" t="s">
        <v>4899</v>
      </c>
    </row>
    <row r="351" customFormat="false" ht="15" hidden="false" customHeight="true" outlineLevel="0" collapsed="false">
      <c r="A351" s="6" t="s">
        <v>1841</v>
      </c>
      <c r="B351" s="6" t="s">
        <v>487</v>
      </c>
      <c r="C351" s="6" t="s">
        <v>491</v>
      </c>
      <c r="D351" s="6" t="n">
        <v>6</v>
      </c>
      <c r="E351" s="9" t="s">
        <v>4968</v>
      </c>
      <c r="F351" s="42" t="n">
        <v>191618</v>
      </c>
      <c r="G351" s="48"/>
      <c r="H351" s="48"/>
      <c r="I351" s="48"/>
      <c r="J351" s="48"/>
      <c r="K351" s="48"/>
      <c r="L351" s="48"/>
      <c r="M351" s="48"/>
      <c r="N351" s="48"/>
      <c r="O351" s="48"/>
      <c r="P351" s="48"/>
      <c r="Q351" s="43" t="str">
        <f aca="false">IF($A48="","",IF(OR(F48="",I48=""),"",F48-I48))</f>
        <v/>
      </c>
      <c r="R351" s="43" t="str">
        <f aca="false">IF($A48="","",IF(Q48="","",Q48+IF(O48="",0,O48)))</f>
        <v/>
      </c>
      <c r="S351" s="48"/>
      <c r="T351" s="43" t="str">
        <f aca="false">IF($A48="","",IF(R48="","",R48-IF(S48="",0,S48)))</f>
        <v/>
      </c>
      <c r="U351" s="43" t="str">
        <f aca="false">IF($A48="","",IF(I48="","",I48-SUM(J48:P48)))</f>
        <v/>
      </c>
      <c r="V351" s="6" t="s">
        <v>4996</v>
      </c>
      <c r="W351" s="9" t="s">
        <v>774</v>
      </c>
      <c r="X351" s="9" t="s">
        <v>4997</v>
      </c>
      <c r="Y351" s="9" t="s">
        <v>4897</v>
      </c>
      <c r="Z351" s="9" t="s">
        <v>4898</v>
      </c>
      <c r="AA351" s="9" t="s">
        <v>4899</v>
      </c>
    </row>
    <row r="352" customFormat="false" ht="15" hidden="false" customHeight="true" outlineLevel="0" collapsed="false">
      <c r="A352" s="6" t="s">
        <v>1844</v>
      </c>
      <c r="B352" s="6" t="s">
        <v>487</v>
      </c>
      <c r="C352" s="6" t="s">
        <v>491</v>
      </c>
      <c r="D352" s="6" t="n">
        <v>6</v>
      </c>
      <c r="E352" s="9" t="s">
        <v>4968</v>
      </c>
      <c r="F352" s="42" t="n">
        <v>197079</v>
      </c>
      <c r="G352" s="48"/>
      <c r="H352" s="48"/>
      <c r="I352" s="48"/>
      <c r="J352" s="48"/>
      <c r="K352" s="48"/>
      <c r="L352" s="48"/>
      <c r="M352" s="48"/>
      <c r="N352" s="48"/>
      <c r="O352" s="48"/>
      <c r="P352" s="48"/>
      <c r="Q352" s="43" t="str">
        <f aca="false">IF($A49="","",IF(OR(F49="",I49=""),"",F49-I49))</f>
        <v/>
      </c>
      <c r="R352" s="43" t="str">
        <f aca="false">IF($A49="","",IF(Q49="","",Q49+IF(O49="",0,O49)))</f>
        <v/>
      </c>
      <c r="S352" s="48"/>
      <c r="T352" s="43" t="str">
        <f aca="false">IF($A49="","",IF(R49="","",R49-IF(S49="",0,S49)))</f>
        <v/>
      </c>
      <c r="U352" s="43" t="str">
        <f aca="false">IF($A49="","",IF(I49="","",I49-SUM(J49:P49)))</f>
        <v/>
      </c>
      <c r="V352" s="6" t="s">
        <v>4996</v>
      </c>
      <c r="W352" s="9" t="s">
        <v>774</v>
      </c>
      <c r="X352" s="9" t="s">
        <v>4997</v>
      </c>
      <c r="Y352" s="9" t="s">
        <v>4897</v>
      </c>
      <c r="Z352" s="9" t="s">
        <v>4898</v>
      </c>
      <c r="AA352" s="9" t="s">
        <v>4899</v>
      </c>
    </row>
    <row r="353" customFormat="false" ht="15" hidden="false" customHeight="true" outlineLevel="0" collapsed="false">
      <c r="A353" s="6" t="s">
        <v>1847</v>
      </c>
      <c r="B353" s="6" t="s">
        <v>487</v>
      </c>
      <c r="C353" s="6" t="s">
        <v>491</v>
      </c>
      <c r="D353" s="6" t="n">
        <v>6</v>
      </c>
      <c r="E353" s="9" t="s">
        <v>4968</v>
      </c>
      <c r="F353" s="42" t="n">
        <v>95449</v>
      </c>
      <c r="G353" s="48"/>
      <c r="H353" s="48"/>
      <c r="I353" s="48"/>
      <c r="J353" s="48"/>
      <c r="K353" s="48"/>
      <c r="L353" s="48"/>
      <c r="M353" s="48"/>
      <c r="N353" s="48"/>
      <c r="O353" s="48"/>
      <c r="P353" s="48"/>
      <c r="Q353" s="43" t="str">
        <f aca="false">IF($A50="","",IF(OR(F50="",I50=""),"",F50-I50))</f>
        <v/>
      </c>
      <c r="R353" s="43" t="str">
        <f aca="false">IF($A50="","",IF(Q50="","",Q50+IF(O50="",0,O50)))</f>
        <v/>
      </c>
      <c r="S353" s="48"/>
      <c r="T353" s="43" t="str">
        <f aca="false">IF($A50="","",IF(R50="","",R50-IF(S50="",0,S50)))</f>
        <v/>
      </c>
      <c r="U353" s="43" t="str">
        <f aca="false">IF($A50="","",IF(I50="","",I50-SUM(J50:P50)))</f>
        <v/>
      </c>
      <c r="V353" s="6" t="s">
        <v>4996</v>
      </c>
      <c r="W353" s="9" t="s">
        <v>774</v>
      </c>
      <c r="X353" s="9" t="s">
        <v>4997</v>
      </c>
      <c r="Y353" s="9" t="s">
        <v>4897</v>
      </c>
      <c r="Z353" s="9" t="s">
        <v>4898</v>
      </c>
      <c r="AA353" s="9" t="s">
        <v>4899</v>
      </c>
    </row>
    <row r="354" customFormat="false" ht="15" hidden="false" customHeight="true" outlineLevel="0" collapsed="false">
      <c r="A354" s="6" t="s">
        <v>1852</v>
      </c>
      <c r="B354" s="6" t="s">
        <v>487</v>
      </c>
      <c r="C354" s="6" t="s">
        <v>491</v>
      </c>
      <c r="D354" s="6" t="n">
        <v>6</v>
      </c>
      <c r="E354" s="9" t="s">
        <v>4968</v>
      </c>
      <c r="F354" s="42" t="n">
        <v>156859</v>
      </c>
      <c r="G354" s="48"/>
      <c r="H354" s="48"/>
      <c r="I354" s="48"/>
      <c r="J354" s="48"/>
      <c r="K354" s="48"/>
      <c r="L354" s="48"/>
      <c r="M354" s="48"/>
      <c r="N354" s="48"/>
      <c r="O354" s="48"/>
      <c r="P354" s="48"/>
      <c r="Q354" s="43" t="str">
        <f aca="false">IF($A51="","",IF(OR(F51="",I51=""),"",F51-I51))</f>
        <v/>
      </c>
      <c r="R354" s="43" t="str">
        <f aca="false">IF($A51="","",IF(Q51="","",Q51+IF(O51="",0,O51)))</f>
        <v/>
      </c>
      <c r="S354" s="48"/>
      <c r="T354" s="43" t="str">
        <f aca="false">IF($A51="","",IF(R51="","",R51-IF(S51="",0,S51)))</f>
        <v/>
      </c>
      <c r="U354" s="43" t="str">
        <f aca="false">IF($A51="","",IF(I51="","",I51-SUM(J51:P51)))</f>
        <v/>
      </c>
      <c r="V354" s="6" t="s">
        <v>4996</v>
      </c>
      <c r="W354" s="9" t="s">
        <v>774</v>
      </c>
      <c r="X354" s="9" t="s">
        <v>4997</v>
      </c>
      <c r="Y354" s="9" t="s">
        <v>4897</v>
      </c>
      <c r="Z354" s="9" t="s">
        <v>4898</v>
      </c>
      <c r="AA354" s="9" t="s">
        <v>4899</v>
      </c>
    </row>
    <row r="355" customFormat="false" ht="15" hidden="false" customHeight="true" outlineLevel="0" collapsed="false">
      <c r="A355" s="6" t="s">
        <v>1855</v>
      </c>
      <c r="B355" s="6" t="s">
        <v>487</v>
      </c>
      <c r="C355" s="6" t="s">
        <v>491</v>
      </c>
      <c r="D355" s="6" t="n">
        <v>6</v>
      </c>
      <c r="E355" s="9" t="s">
        <v>4968</v>
      </c>
      <c r="F355" s="42" t="n">
        <v>178437</v>
      </c>
      <c r="G355" s="48"/>
      <c r="H355" s="48"/>
      <c r="I355" s="48"/>
      <c r="J355" s="48"/>
      <c r="K355" s="48"/>
      <c r="L355" s="48"/>
      <c r="M355" s="48"/>
      <c r="N355" s="48"/>
      <c r="O355" s="48"/>
      <c r="P355" s="48"/>
      <c r="Q355" s="43" t="str">
        <f aca="false">IF($A52="","",IF(OR(F52="",I52=""),"",F52-I52))</f>
        <v/>
      </c>
      <c r="R355" s="43" t="str">
        <f aca="false">IF($A52="","",IF(Q52="","",Q52+IF(O52="",0,O52)))</f>
        <v/>
      </c>
      <c r="S355" s="48"/>
      <c r="T355" s="43" t="str">
        <f aca="false">IF($A52="","",IF(R52="","",R52-IF(S52="",0,S52)))</f>
        <v/>
      </c>
      <c r="U355" s="43" t="str">
        <f aca="false">IF($A52="","",IF(I52="","",I52-SUM(J52:P52)))</f>
        <v/>
      </c>
      <c r="V355" s="6" t="s">
        <v>4996</v>
      </c>
      <c r="W355" s="9" t="s">
        <v>774</v>
      </c>
      <c r="X355" s="9" t="s">
        <v>4997</v>
      </c>
      <c r="Y355" s="9" t="s">
        <v>4897</v>
      </c>
      <c r="Z355" s="9" t="s">
        <v>4898</v>
      </c>
      <c r="AA355" s="9" t="s">
        <v>4899</v>
      </c>
    </row>
    <row r="356" customFormat="false" ht="15" hidden="false" customHeight="true" outlineLevel="0" collapsed="false">
      <c r="A356" s="6" t="s">
        <v>1858</v>
      </c>
      <c r="B356" s="6" t="s">
        <v>487</v>
      </c>
      <c r="C356" s="6" t="s">
        <v>491</v>
      </c>
      <c r="D356" s="6" t="n">
        <v>6</v>
      </c>
      <c r="E356" s="9" t="s">
        <v>4968</v>
      </c>
      <c r="F356" s="42" t="n">
        <v>36582</v>
      </c>
      <c r="G356" s="48"/>
      <c r="H356" s="48"/>
      <c r="I356" s="48"/>
      <c r="J356" s="48"/>
      <c r="K356" s="48"/>
      <c r="L356" s="48"/>
      <c r="M356" s="48"/>
      <c r="N356" s="48"/>
      <c r="O356" s="48"/>
      <c r="P356" s="48"/>
      <c r="Q356" s="43" t="str">
        <f aca="false">IF($A53="","",IF(OR(F53="",I53=""),"",F53-I53))</f>
        <v/>
      </c>
      <c r="R356" s="43" t="str">
        <f aca="false">IF($A53="","",IF(Q53="","",Q53+IF(O53="",0,O53)))</f>
        <v/>
      </c>
      <c r="S356" s="48"/>
      <c r="T356" s="43" t="str">
        <f aca="false">IF($A53="","",IF(R53="","",R53-IF(S53="",0,S53)))</f>
        <v/>
      </c>
      <c r="U356" s="43" t="str">
        <f aca="false">IF($A53="","",IF(I53="","",I53-SUM(J53:P53)))</f>
        <v/>
      </c>
      <c r="V356" s="6" t="s">
        <v>4996</v>
      </c>
      <c r="W356" s="9" t="s">
        <v>774</v>
      </c>
      <c r="X356" s="6" t="s">
        <v>4999</v>
      </c>
      <c r="Y356" s="9" t="s">
        <v>4897</v>
      </c>
      <c r="Z356" s="9" t="s">
        <v>4898</v>
      </c>
      <c r="AA356" s="9" t="s">
        <v>4899</v>
      </c>
    </row>
    <row r="357" customFormat="false" ht="15" hidden="false" customHeight="true" outlineLevel="0" collapsed="false">
      <c r="A357" s="6" t="s">
        <v>1861</v>
      </c>
      <c r="B357" s="6" t="s">
        <v>493</v>
      </c>
      <c r="C357" s="6" t="s">
        <v>500</v>
      </c>
      <c r="D357" s="6" t="n">
        <v>6</v>
      </c>
      <c r="E357" s="9" t="s">
        <v>4894</v>
      </c>
      <c r="F357" s="42" t="n">
        <v>9861789</v>
      </c>
      <c r="G357" s="42" t="n">
        <v>9665001</v>
      </c>
      <c r="H357" s="42" t="n">
        <v>196788</v>
      </c>
      <c r="I357" s="42" t="n">
        <v>3733257</v>
      </c>
      <c r="J357" s="42" t="n">
        <v>1271530</v>
      </c>
      <c r="K357" s="42" t="n">
        <v>146464</v>
      </c>
      <c r="L357" s="42" t="n">
        <v>831330</v>
      </c>
      <c r="M357" s="42" t="n">
        <v>25143</v>
      </c>
      <c r="N357" s="42" t="n">
        <v>179311</v>
      </c>
      <c r="O357" s="42" t="n">
        <v>1090287</v>
      </c>
      <c r="P357" s="42" t="n">
        <v>189190</v>
      </c>
      <c r="Q357" s="43" t="n">
        <f aca="false">IF($A127="","",IF(OR(F127="",I127=""),"",F127-I127))</f>
        <v>-9000</v>
      </c>
      <c r="R357" s="43" t="n">
        <f aca="false">IF($A127="","",IF(Q127="","",Q127+IF(O127="",0,O127)))</f>
        <v>-1000</v>
      </c>
      <c r="S357" s="42" t="n">
        <v>285009</v>
      </c>
      <c r="T357" s="43" t="str">
        <f aca="false">IF($A127="","",IF(R127="","",R127-IF(S127="",0,S127)))</f>
        <v/>
      </c>
      <c r="U357" s="43" t="n">
        <f aca="false">IF($A127="","",IF(I127="","",I127-SUM(J127:P127)))</f>
        <v>1000</v>
      </c>
      <c r="V357" s="6" t="s">
        <v>5000</v>
      </c>
      <c r="W357" s="9" t="s">
        <v>767</v>
      </c>
      <c r="X357" s="9" t="s">
        <v>5001</v>
      </c>
      <c r="Y357" s="9" t="s">
        <v>4897</v>
      </c>
      <c r="Z357" s="9" t="s">
        <v>4898</v>
      </c>
      <c r="AA357" s="9" t="s">
        <v>4899</v>
      </c>
    </row>
    <row r="358" customFormat="false" ht="15" hidden="false" customHeight="true" outlineLevel="0" collapsed="false">
      <c r="A358" s="6" t="s">
        <v>1866</v>
      </c>
      <c r="B358" s="6" t="s">
        <v>493</v>
      </c>
      <c r="C358" s="6" t="s">
        <v>500</v>
      </c>
      <c r="D358" s="6" t="n">
        <v>6</v>
      </c>
      <c r="E358" s="9" t="s">
        <v>5002</v>
      </c>
      <c r="F358" s="42" t="n">
        <v>2851394</v>
      </c>
      <c r="G358" s="42" t="n">
        <v>2851394</v>
      </c>
      <c r="H358" s="42" t="n">
        <v>0</v>
      </c>
      <c r="I358" s="42" t="n">
        <v>1001160</v>
      </c>
      <c r="J358" s="42" t="n">
        <v>426426</v>
      </c>
      <c r="K358" s="42" t="n">
        <v>0</v>
      </c>
      <c r="L358" s="42" t="n">
        <v>300990</v>
      </c>
      <c r="M358" s="42" t="n">
        <v>5520</v>
      </c>
      <c r="N358" s="42" t="n">
        <v>0</v>
      </c>
      <c r="O358" s="42" t="n">
        <v>267849</v>
      </c>
      <c r="P358" s="42" t="n">
        <v>374</v>
      </c>
      <c r="Q358" s="43" t="n">
        <f aca="false">IF($A116="","",IF(OR(F116="",I116=""),"",F116-I116))</f>
        <v>112000</v>
      </c>
      <c r="R358" s="43" t="n">
        <f aca="false">IF($A116="","",IF(Q116="","",Q116+IF(O116="",0,O116)))</f>
        <v>143000</v>
      </c>
      <c r="S358" s="42" t="n">
        <v>0</v>
      </c>
      <c r="T358" s="43" t="str">
        <f aca="false">IF($A116="","",IF(R116="","",R116-IF(S116="",0,S116)))</f>
        <v/>
      </c>
      <c r="U358" s="43" t="n">
        <f aca="false">IF($A116="","",IF(I116="","",I116-SUM(J116:P116)))</f>
        <v>2000</v>
      </c>
      <c r="V358" s="6" t="s">
        <v>5003</v>
      </c>
      <c r="W358" s="9" t="s">
        <v>774</v>
      </c>
      <c r="X358" s="9" t="s">
        <v>5004</v>
      </c>
      <c r="Y358" s="9" t="s">
        <v>4897</v>
      </c>
      <c r="Z358" s="9" t="s">
        <v>4898</v>
      </c>
      <c r="AA358" s="9" t="s">
        <v>4899</v>
      </c>
    </row>
    <row r="359" customFormat="false" ht="15" hidden="false" customHeight="true" outlineLevel="0" collapsed="false">
      <c r="A359" s="6" t="s">
        <v>1869</v>
      </c>
      <c r="B359" s="6" t="s">
        <v>493</v>
      </c>
      <c r="C359" s="6" t="s">
        <v>500</v>
      </c>
      <c r="D359" s="6" t="n">
        <v>6</v>
      </c>
      <c r="E359" s="9" t="s">
        <v>5002</v>
      </c>
      <c r="F359" s="42" t="n">
        <v>1351486</v>
      </c>
      <c r="G359" s="42" t="n">
        <v>1351486</v>
      </c>
      <c r="H359" s="42" t="n">
        <v>0</v>
      </c>
      <c r="I359" s="42" t="n">
        <v>396783</v>
      </c>
      <c r="J359" s="42" t="n">
        <v>202169</v>
      </c>
      <c r="K359" s="42" t="n">
        <v>0</v>
      </c>
      <c r="L359" s="42" t="n">
        <v>96373</v>
      </c>
      <c r="M359" s="42" t="n">
        <v>3381</v>
      </c>
      <c r="N359" s="42" t="n">
        <v>0</v>
      </c>
      <c r="O359" s="42" t="n">
        <v>92072</v>
      </c>
      <c r="P359" s="42" t="n">
        <v>2787</v>
      </c>
      <c r="Q359" s="43" t="n">
        <f aca="false">IF($A117="","",IF(OR(F117="",I117=""),"",F117-I117))</f>
        <v>283000</v>
      </c>
      <c r="R359" s="43" t="n">
        <f aca="false">IF($A117="","",IF(Q117="","",Q117+IF(O117="",0,O117)))</f>
        <v>486000</v>
      </c>
      <c r="S359" s="42" t="n">
        <v>15189</v>
      </c>
      <c r="T359" s="43" t="str">
        <f aca="false">IF($A117="","",IF(R117="","",R117-IF(S117="",0,S117)))</f>
        <v/>
      </c>
      <c r="U359" s="43" t="n">
        <f aca="false">IF($A117="","",IF(I117="","",I117-SUM(J117:P117)))</f>
        <v>3000</v>
      </c>
      <c r="V359" s="6" t="s">
        <v>5003</v>
      </c>
      <c r="W359" s="9" t="s">
        <v>774</v>
      </c>
      <c r="X359" s="9" t="s">
        <v>5004</v>
      </c>
      <c r="Y359" s="9" t="s">
        <v>4897</v>
      </c>
      <c r="Z359" s="9" t="s">
        <v>4898</v>
      </c>
      <c r="AA359" s="9" t="s">
        <v>4899</v>
      </c>
    </row>
    <row r="360" customFormat="false" ht="15" hidden="false" customHeight="true" outlineLevel="0" collapsed="false">
      <c r="A360" s="6" t="s">
        <v>1872</v>
      </c>
      <c r="B360" s="6" t="s">
        <v>493</v>
      </c>
      <c r="C360" s="6" t="s">
        <v>500</v>
      </c>
      <c r="D360" s="6" t="n">
        <v>6</v>
      </c>
      <c r="E360" s="9" t="s">
        <v>5002</v>
      </c>
      <c r="F360" s="42" t="n">
        <v>740772</v>
      </c>
      <c r="G360" s="42" t="n">
        <v>660481</v>
      </c>
      <c r="H360" s="42" t="n">
        <v>80291</v>
      </c>
      <c r="I360" s="42" t="n">
        <v>400441</v>
      </c>
      <c r="J360" s="42" t="n">
        <v>86481</v>
      </c>
      <c r="K360" s="42" t="n">
        <v>65465</v>
      </c>
      <c r="L360" s="42" t="n">
        <v>30085</v>
      </c>
      <c r="M360" s="42" t="n">
        <v>1903</v>
      </c>
      <c r="N360" s="42" t="n">
        <v>12961</v>
      </c>
      <c r="O360" s="42" t="n">
        <v>105579</v>
      </c>
      <c r="P360" s="42" t="n">
        <v>97964</v>
      </c>
      <c r="Q360" s="43" t="n">
        <f aca="false">IF($A118="","",IF(OR(F118="",I118=""),"",F118-I118))</f>
        <v>116000</v>
      </c>
      <c r="R360" s="43" t="n">
        <f aca="false">IF($A118="","",IF(Q118="","",Q118+IF(O118="",0,O118)))</f>
        <v>167000</v>
      </c>
      <c r="S360" s="42" t="n">
        <v>29833</v>
      </c>
      <c r="T360" s="43" t="str">
        <f aca="false">IF($A118="","",IF(R118="","",R118-IF(S118="",0,S118)))</f>
        <v/>
      </c>
      <c r="U360" s="43" t="n">
        <f aca="false">IF($A118="","",IF(I118="","",I118-SUM(J118:P118)))</f>
        <v>2000</v>
      </c>
      <c r="V360" s="6" t="s">
        <v>5003</v>
      </c>
      <c r="W360" s="9" t="s">
        <v>774</v>
      </c>
      <c r="X360" s="9" t="s">
        <v>5004</v>
      </c>
      <c r="Y360" s="9" t="s">
        <v>4897</v>
      </c>
      <c r="Z360" s="9" t="s">
        <v>4898</v>
      </c>
      <c r="AA360" s="9" t="s">
        <v>4899</v>
      </c>
    </row>
    <row r="361" customFormat="false" ht="15" hidden="false" customHeight="true" outlineLevel="0" collapsed="false">
      <c r="A361" s="6" t="s">
        <v>1875</v>
      </c>
      <c r="B361" s="6" t="s">
        <v>493</v>
      </c>
      <c r="C361" s="6" t="s">
        <v>500</v>
      </c>
      <c r="D361" s="6" t="n">
        <v>6</v>
      </c>
      <c r="E361" s="9" t="s">
        <v>5002</v>
      </c>
      <c r="F361" s="42" t="n">
        <v>911771</v>
      </c>
      <c r="G361" s="42" t="n">
        <v>851352</v>
      </c>
      <c r="H361" s="42" t="n">
        <v>60419</v>
      </c>
      <c r="I361" s="42" t="n">
        <v>464226</v>
      </c>
      <c r="J361" s="42" t="n">
        <v>199981</v>
      </c>
      <c r="K361" s="42" t="n">
        <v>30291</v>
      </c>
      <c r="L361" s="42" t="n">
        <v>45284</v>
      </c>
      <c r="M361" s="42" t="n">
        <v>2691</v>
      </c>
      <c r="N361" s="42" t="n">
        <v>42179</v>
      </c>
      <c r="O361" s="42" t="n">
        <v>132844</v>
      </c>
      <c r="P361" s="42" t="n">
        <v>10953</v>
      </c>
      <c r="Q361" s="43" t="n">
        <f aca="false">IF($A119="","",IF(OR(F119="",I119=""),"",F119-I119))</f>
        <v>219000</v>
      </c>
      <c r="R361" s="43" t="n">
        <f aca="false">IF($A119="","",IF(Q119="","",Q119+IF(O119="",0,O119)))</f>
        <v>269000</v>
      </c>
      <c r="S361" s="42" t="n">
        <v>89507</v>
      </c>
      <c r="T361" s="43" t="str">
        <f aca="false">IF($A119="","",IF(R119="","",R119-IF(S119="",0,S119)))</f>
        <v/>
      </c>
      <c r="U361" s="43" t="n">
        <f aca="false">IF($A119="","",IF(I119="","",I119-SUM(J119:P119)))</f>
        <v>1000</v>
      </c>
      <c r="V361" s="6" t="s">
        <v>5003</v>
      </c>
      <c r="W361" s="9" t="s">
        <v>774</v>
      </c>
      <c r="X361" s="9" t="s">
        <v>5004</v>
      </c>
      <c r="Y361" s="9" t="s">
        <v>4897</v>
      </c>
      <c r="Z361" s="9" t="s">
        <v>4898</v>
      </c>
      <c r="AA361" s="9" t="s">
        <v>4899</v>
      </c>
    </row>
    <row r="362" customFormat="false" ht="15" hidden="false" customHeight="true" outlineLevel="0" collapsed="false">
      <c r="A362" s="6" t="s">
        <v>1878</v>
      </c>
      <c r="B362" s="6" t="s">
        <v>493</v>
      </c>
      <c r="C362" s="6" t="s">
        <v>500</v>
      </c>
      <c r="D362" s="6" t="n">
        <v>6</v>
      </c>
      <c r="E362" s="9" t="s">
        <v>5002</v>
      </c>
      <c r="F362" s="42" t="n">
        <v>1012320</v>
      </c>
      <c r="G362" s="42" t="n">
        <v>1012320</v>
      </c>
      <c r="H362" s="42" t="n">
        <v>0</v>
      </c>
      <c r="I362" s="42" t="n">
        <v>337683</v>
      </c>
      <c r="J362" s="42" t="n">
        <v>2664</v>
      </c>
      <c r="K362" s="42" t="n">
        <v>0</v>
      </c>
      <c r="L362" s="42" t="n">
        <v>70166</v>
      </c>
      <c r="M362" s="42" t="n">
        <v>4502</v>
      </c>
      <c r="N362" s="42" t="n">
        <v>0</v>
      </c>
      <c r="O362" s="42" t="n">
        <v>191378</v>
      </c>
      <c r="P362" s="42" t="n">
        <v>68971</v>
      </c>
      <c r="Q362" s="43" t="n">
        <f aca="false">IF($A120="","",IF(OR(F120="",I120=""),"",F120-I120))</f>
        <v>38000</v>
      </c>
      <c r="R362" s="43" t="n">
        <f aca="false">IF($A120="","",IF(Q120="","",Q120+IF(O120="",0,O120)))</f>
        <v>47000</v>
      </c>
      <c r="S362" s="42" t="n">
        <v>28311</v>
      </c>
      <c r="T362" s="43" t="str">
        <f aca="false">IF($A120="","",IF(R120="","",R120-IF(S120="",0,S120)))</f>
        <v/>
      </c>
      <c r="U362" s="43" t="n">
        <f aca="false">IF($A120="","",IF(I120="","",I120-SUM(J120:P120)))</f>
        <v>1000</v>
      </c>
      <c r="V362" s="6" t="s">
        <v>5003</v>
      </c>
      <c r="W362" s="9" t="s">
        <v>774</v>
      </c>
      <c r="X362" s="9" t="s">
        <v>5004</v>
      </c>
      <c r="Y362" s="9" t="s">
        <v>4897</v>
      </c>
      <c r="Z362" s="9" t="s">
        <v>4898</v>
      </c>
      <c r="AA362" s="9" t="s">
        <v>4899</v>
      </c>
    </row>
    <row r="363" customFormat="false" ht="15" hidden="false" customHeight="true" outlineLevel="0" collapsed="false">
      <c r="A363" s="6" t="s">
        <v>1881</v>
      </c>
      <c r="B363" s="6" t="s">
        <v>493</v>
      </c>
      <c r="C363" s="6" t="s">
        <v>500</v>
      </c>
      <c r="D363" s="6" t="n">
        <v>6</v>
      </c>
      <c r="E363" s="9" t="s">
        <v>5002</v>
      </c>
      <c r="F363" s="42" t="n">
        <v>495909</v>
      </c>
      <c r="G363" s="42" t="n">
        <v>464509</v>
      </c>
      <c r="H363" s="42" t="n">
        <v>31400</v>
      </c>
      <c r="I363" s="42" t="n">
        <v>189881</v>
      </c>
      <c r="J363" s="42" t="n">
        <v>51913</v>
      </c>
      <c r="K363" s="42" t="n">
        <v>40426</v>
      </c>
      <c r="L363" s="42" t="n">
        <v>42641</v>
      </c>
      <c r="M363" s="42" t="n">
        <v>1496</v>
      </c>
      <c r="N363" s="42" t="n">
        <v>4254</v>
      </c>
      <c r="O363" s="42" t="n">
        <v>46837</v>
      </c>
      <c r="P363" s="42" t="n">
        <v>2312</v>
      </c>
      <c r="Q363" s="43" t="n">
        <f aca="false">IF($A121="","",IF(OR(F121="",I121=""),"",F121-I121))</f>
        <v>121000</v>
      </c>
      <c r="R363" s="43" t="n">
        <f aca="false">IF($A121="","",IF(Q121="","",Q121+IF(O121="",0,O121)))</f>
        <v>146000</v>
      </c>
      <c r="S363" s="42" t="n">
        <v>52148</v>
      </c>
      <c r="T363" s="43" t="str">
        <f aca="false">IF($A121="","",IF(R121="","",R121-IF(S121="",0,S121)))</f>
        <v/>
      </c>
      <c r="U363" s="43" t="n">
        <f aca="false">IF($A121="","",IF(I121="","",I121-SUM(J121:P121)))</f>
        <v>3000</v>
      </c>
      <c r="V363" s="6" t="s">
        <v>5003</v>
      </c>
      <c r="W363" s="9" t="s">
        <v>774</v>
      </c>
      <c r="X363" s="9" t="s">
        <v>5004</v>
      </c>
      <c r="Y363" s="9" t="s">
        <v>4897</v>
      </c>
      <c r="Z363" s="9" t="s">
        <v>4898</v>
      </c>
      <c r="AA363" s="9" t="s">
        <v>4899</v>
      </c>
    </row>
    <row r="364" customFormat="false" ht="15" hidden="false" customHeight="true" outlineLevel="0" collapsed="false">
      <c r="A364" s="6" t="s">
        <v>1884</v>
      </c>
      <c r="B364" s="6" t="s">
        <v>493</v>
      </c>
      <c r="C364" s="6" t="s">
        <v>500</v>
      </c>
      <c r="D364" s="6" t="n">
        <v>6</v>
      </c>
      <c r="E364" s="9" t="s">
        <v>5002</v>
      </c>
      <c r="F364" s="42" t="n">
        <v>1426552</v>
      </c>
      <c r="G364" s="42" t="n">
        <v>1426552</v>
      </c>
      <c r="H364" s="42" t="n">
        <v>0</v>
      </c>
      <c r="I364" s="42" t="n">
        <v>461244</v>
      </c>
      <c r="J364" s="42" t="n">
        <v>162191</v>
      </c>
      <c r="K364" s="42" t="n">
        <v>0</v>
      </c>
      <c r="L364" s="42" t="n">
        <v>117426</v>
      </c>
      <c r="M364" s="42" t="n">
        <v>3424</v>
      </c>
      <c r="N364" s="42" t="n">
        <v>0</v>
      </c>
      <c r="O364" s="42" t="n">
        <v>177954</v>
      </c>
      <c r="P364" s="42" t="n">
        <v>247</v>
      </c>
      <c r="Q364" s="43" t="n">
        <f aca="false">IF($A122="","",IF(OR(F122="",I122=""),"",F122-I122))</f>
        <v>121000</v>
      </c>
      <c r="R364" s="43" t="n">
        <f aca="false">IF($A122="","",IF(Q122="","",Q122+IF(O122="",0,O122)))</f>
        <v>162000</v>
      </c>
      <c r="S364" s="42" t="n">
        <v>3266</v>
      </c>
      <c r="T364" s="43" t="str">
        <f aca="false">IF($A122="","",IF(R122="","",R122-IF(S122="",0,S122)))</f>
        <v/>
      </c>
      <c r="U364" s="43" t="n">
        <f aca="false">IF($A122="","",IF(I122="","",I122-SUM(J122:P122)))</f>
        <v>3000</v>
      </c>
      <c r="V364" s="6" t="s">
        <v>5003</v>
      </c>
      <c r="W364" s="9" t="s">
        <v>774</v>
      </c>
      <c r="X364" s="9" t="s">
        <v>5005</v>
      </c>
      <c r="Y364" s="6" t="s">
        <v>4920</v>
      </c>
      <c r="Z364" s="9" t="s">
        <v>4939</v>
      </c>
      <c r="AA364" s="9" t="s">
        <v>4899</v>
      </c>
    </row>
    <row r="365" customFormat="false" ht="15" hidden="false" customHeight="true" outlineLevel="0" collapsed="false">
      <c r="A365" s="6" t="s">
        <v>1888</v>
      </c>
      <c r="B365" s="6" t="s">
        <v>493</v>
      </c>
      <c r="C365" s="6" t="s">
        <v>500</v>
      </c>
      <c r="D365" s="6" t="n">
        <v>6</v>
      </c>
      <c r="E365" s="9" t="s">
        <v>5002</v>
      </c>
      <c r="F365" s="42" t="n">
        <v>510429</v>
      </c>
      <c r="G365" s="42" t="n">
        <v>486455</v>
      </c>
      <c r="H365" s="42" t="n">
        <v>23974</v>
      </c>
      <c r="I365" s="42" t="n">
        <v>198481</v>
      </c>
      <c r="J365" s="42" t="n">
        <v>99460</v>
      </c>
      <c r="K365" s="42" t="n">
        <v>7605</v>
      </c>
      <c r="L365" s="42" t="n">
        <v>39118</v>
      </c>
      <c r="M365" s="42" t="n">
        <v>1503</v>
      </c>
      <c r="N365" s="42" t="n">
        <v>3854</v>
      </c>
      <c r="O365" s="42" t="n">
        <v>46731</v>
      </c>
      <c r="P365" s="42" t="n">
        <v>207</v>
      </c>
      <c r="Q365" s="43" t="n">
        <f aca="false">IF($A123="","",IF(OR(F123="",I123=""),"",F123-I123))</f>
        <v>85000</v>
      </c>
      <c r="R365" s="43" t="n">
        <f aca="false">IF($A123="","",IF(Q123="","",Q123+IF(O123="",0,O123)))</f>
        <v>106000</v>
      </c>
      <c r="S365" s="42" t="n">
        <v>8952</v>
      </c>
      <c r="T365" s="43" t="str">
        <f aca="false">IF($A123="","",IF(R123="","",R123-IF(S123="",0,S123)))</f>
        <v/>
      </c>
      <c r="U365" s="43" t="n">
        <f aca="false">IF($A123="","",IF(I123="","",I123-SUM(J123:P123)))</f>
        <v>2000</v>
      </c>
      <c r="V365" s="6" t="s">
        <v>5003</v>
      </c>
      <c r="W365" s="9" t="s">
        <v>774</v>
      </c>
      <c r="X365" s="9" t="s">
        <v>5004</v>
      </c>
      <c r="Y365" s="9" t="s">
        <v>4897</v>
      </c>
      <c r="Z365" s="9" t="s">
        <v>4898</v>
      </c>
      <c r="AA365" s="9" t="s">
        <v>4899</v>
      </c>
    </row>
    <row r="366" customFormat="false" ht="15" hidden="false" customHeight="true" outlineLevel="0" collapsed="false">
      <c r="A366" s="6" t="s">
        <v>1892</v>
      </c>
      <c r="B366" s="6" t="s">
        <v>493</v>
      </c>
      <c r="C366" s="6" t="s">
        <v>500</v>
      </c>
      <c r="D366" s="6" t="n">
        <v>6</v>
      </c>
      <c r="E366" s="9" t="s">
        <v>5002</v>
      </c>
      <c r="F366" s="42" t="n">
        <v>105837</v>
      </c>
      <c r="G366" s="42" t="n">
        <v>105407</v>
      </c>
      <c r="H366" s="42" t="n">
        <v>430</v>
      </c>
      <c r="I366" s="42" t="n">
        <v>111213</v>
      </c>
      <c r="J366" s="42" t="n">
        <v>21680</v>
      </c>
      <c r="K366" s="42" t="n">
        <v>1433</v>
      </c>
      <c r="L366" s="42" t="n">
        <v>10430</v>
      </c>
      <c r="M366" s="42" t="n">
        <v>292</v>
      </c>
      <c r="N366" s="42" t="n">
        <v>60208</v>
      </c>
      <c r="O366" s="42" t="n">
        <v>12935</v>
      </c>
      <c r="P366" s="42" t="n">
        <v>4231</v>
      </c>
      <c r="Q366" s="43" t="n">
        <f aca="false">IF($A124="","",IF(OR(F124="",I124=""),"",F124-I124))</f>
        <v>680000</v>
      </c>
      <c r="R366" s="43" t="n">
        <f aca="false">IF($A124="","",IF(Q124="","",Q124+IF(O124="",0,O124)))</f>
        <v>862000</v>
      </c>
      <c r="S366" s="42" t="n">
        <v>27001</v>
      </c>
      <c r="T366" s="43" t="str">
        <f aca="false">IF($A124="","",IF(R124="","",R124-IF(S124="",0,S124)))</f>
        <v/>
      </c>
      <c r="U366" s="43" t="n">
        <f aca="false">IF($A124="","",IF(I124="","",I124-SUM(J124:P124)))</f>
        <v>2000</v>
      </c>
      <c r="V366" s="6" t="s">
        <v>5003</v>
      </c>
      <c r="W366" s="9" t="s">
        <v>774</v>
      </c>
      <c r="X366" s="9" t="s">
        <v>5006</v>
      </c>
      <c r="Y366" s="9" t="s">
        <v>4897</v>
      </c>
      <c r="Z366" s="9" t="s">
        <v>4898</v>
      </c>
      <c r="AA366" s="9" t="s">
        <v>4899</v>
      </c>
    </row>
    <row r="367" customFormat="false" ht="15" hidden="false" customHeight="true" outlineLevel="0" collapsed="false">
      <c r="A367" s="6" t="s">
        <v>1896</v>
      </c>
      <c r="B367" s="6" t="s">
        <v>493</v>
      </c>
      <c r="C367" s="6" t="s">
        <v>500</v>
      </c>
      <c r="D367" s="6" t="n">
        <v>6</v>
      </c>
      <c r="E367" s="9" t="s">
        <v>5002</v>
      </c>
      <c r="F367" s="42" t="n">
        <v>111507</v>
      </c>
      <c r="G367" s="42" t="n">
        <v>111234</v>
      </c>
      <c r="H367" s="42" t="n">
        <v>273</v>
      </c>
      <c r="I367" s="42" t="n">
        <v>109182</v>
      </c>
      <c r="J367" s="42" t="n">
        <v>18560</v>
      </c>
      <c r="K367" s="42" t="n">
        <v>1243</v>
      </c>
      <c r="L367" s="42" t="n">
        <v>15910</v>
      </c>
      <c r="M367" s="42" t="n">
        <v>425</v>
      </c>
      <c r="N367" s="42" t="n">
        <v>55853</v>
      </c>
      <c r="O367" s="42" t="n">
        <v>16104</v>
      </c>
      <c r="P367" s="42" t="n">
        <v>1083</v>
      </c>
      <c r="Q367" s="43" t="n">
        <f aca="false">IF($A125="","",IF(OR(F125="",I125=""),"",F125-I125))</f>
        <v>288000</v>
      </c>
      <c r="R367" s="43" t="n">
        <f aca="false">IF($A125="","",IF(Q125="","",Q125+IF(O125="",0,O125)))</f>
        <v>567000</v>
      </c>
      <c r="S367" s="42" t="n">
        <v>30797</v>
      </c>
      <c r="T367" s="43" t="str">
        <f aca="false">IF($A125="","",IF(R125="","",R125-IF(S125="",0,S125)))</f>
        <v/>
      </c>
      <c r="U367" s="43" t="n">
        <f aca="false">IF($A125="","",IF(I125="","",I125-SUM(J125:P125)))</f>
        <v>2000</v>
      </c>
      <c r="V367" s="6" t="s">
        <v>5003</v>
      </c>
      <c r="W367" s="9" t="s">
        <v>774</v>
      </c>
      <c r="X367" s="9" t="s">
        <v>5007</v>
      </c>
      <c r="Y367" s="9" t="s">
        <v>4897</v>
      </c>
      <c r="Z367" s="9" t="s">
        <v>4898</v>
      </c>
      <c r="AA367" s="9" t="s">
        <v>4899</v>
      </c>
    </row>
    <row r="368" customFormat="false" ht="15" hidden="false" customHeight="true" outlineLevel="0" collapsed="false">
      <c r="A368" s="6" t="s">
        <v>1899</v>
      </c>
      <c r="B368" s="6" t="s">
        <v>493</v>
      </c>
      <c r="C368" s="6" t="s">
        <v>500</v>
      </c>
      <c r="D368" s="6" t="n">
        <v>6</v>
      </c>
      <c r="E368" s="9" t="s">
        <v>5002</v>
      </c>
      <c r="F368" s="42" t="n">
        <v>343806</v>
      </c>
      <c r="G368" s="42" t="n">
        <v>343806</v>
      </c>
      <c r="H368" s="42" t="n">
        <v>0</v>
      </c>
      <c r="I368" s="42" t="n">
        <v>62959</v>
      </c>
      <c r="J368" s="42" t="n">
        <v>0</v>
      </c>
      <c r="K368" s="42" t="n">
        <v>0</v>
      </c>
      <c r="L368" s="42" t="n">
        <v>62903</v>
      </c>
      <c r="M368" s="42" t="n">
        <v>0</v>
      </c>
      <c r="N368" s="42" t="n">
        <v>0</v>
      </c>
      <c r="O368" s="42" t="n">
        <v>0</v>
      </c>
      <c r="P368" s="42" t="n">
        <v>55</v>
      </c>
      <c r="Q368" s="43" t="n">
        <f aca="false">IF($A126="","",IF(OR(F126="",I126=""),"",F126-I126))</f>
        <v>101000</v>
      </c>
      <c r="R368" s="43" t="n">
        <f aca="false">IF($A126="","",IF(Q126="","",Q126+IF(O126="",0,O126)))</f>
        <v>130000</v>
      </c>
      <c r="S368" s="42" t="n">
        <v>0</v>
      </c>
      <c r="T368" s="43" t="str">
        <f aca="false">IF($A126="","",IF(R126="","",R126-IF(S126="",0,S126)))</f>
        <v/>
      </c>
      <c r="U368" s="43" t="n">
        <f aca="false">IF($A126="","",IF(I126="","",I126-SUM(J126:P126)))</f>
        <v>2000</v>
      </c>
      <c r="V368" s="6" t="s">
        <v>5003</v>
      </c>
      <c r="W368" s="9" t="s">
        <v>774</v>
      </c>
      <c r="X368" s="9" t="s">
        <v>5008</v>
      </c>
      <c r="Y368" s="9" t="s">
        <v>4897</v>
      </c>
      <c r="Z368" s="9" t="s">
        <v>4898</v>
      </c>
      <c r="AA368" s="9" t="s">
        <v>4899</v>
      </c>
    </row>
    <row r="369" customFormat="false" ht="15" hidden="false" customHeight="true" outlineLevel="0" collapsed="false">
      <c r="A369" s="6" t="s">
        <v>1903</v>
      </c>
      <c r="B369" s="6" t="s">
        <v>502</v>
      </c>
      <c r="C369" s="6" t="s">
        <v>507</v>
      </c>
      <c r="D369" s="6" t="n">
        <v>6</v>
      </c>
      <c r="E369" s="9" t="s">
        <v>4894</v>
      </c>
      <c r="F369" s="42" t="n">
        <v>18460367</v>
      </c>
      <c r="G369" s="42" t="n">
        <v>17283751</v>
      </c>
      <c r="H369" s="42" t="n">
        <v>1176615</v>
      </c>
      <c r="I369" s="42" t="n">
        <v>8718295</v>
      </c>
      <c r="J369" s="42" t="n">
        <v>803651</v>
      </c>
      <c r="K369" s="42" t="n">
        <v>1227970</v>
      </c>
      <c r="L369" s="42" t="n">
        <v>2725332</v>
      </c>
      <c r="M369" s="42" t="n">
        <v>35727</v>
      </c>
      <c r="N369" s="42" t="n">
        <v>466958</v>
      </c>
      <c r="O369" s="42" t="n">
        <v>2188623</v>
      </c>
      <c r="P369" s="42" t="n">
        <v>1270031</v>
      </c>
      <c r="Q369" s="43" t="n">
        <f aca="false">IF($A267="","",IF(OR(F267="",I267=""),"",F267-I267))</f>
        <v>-8538263</v>
      </c>
      <c r="R369" s="43" t="str">
        <f aca="false">IF($A267="","",IF(Q267="","",Q267+IF(O267="",0,O267)))</f>
        <v/>
      </c>
      <c r="S369" s="42" t="n">
        <v>1606000</v>
      </c>
      <c r="T369" s="43" t="str">
        <f aca="false">IF($A267="","",IF(R267="","",R267-IF(S267="",0,S267)))</f>
        <v/>
      </c>
      <c r="U369" s="43" t="n">
        <f aca="false">IF($A267="","",IF(I267="","",I267-SUM(J267:P267)))</f>
        <v>3</v>
      </c>
      <c r="V369" s="6" t="s">
        <v>5009</v>
      </c>
      <c r="W369" s="9" t="s">
        <v>767</v>
      </c>
      <c r="X369" s="9" t="s">
        <v>5010</v>
      </c>
      <c r="Y369" s="9" t="s">
        <v>4897</v>
      </c>
      <c r="Z369" s="9" t="s">
        <v>4898</v>
      </c>
      <c r="AA369" s="9" t="s">
        <v>4899</v>
      </c>
    </row>
    <row r="370" customFormat="false" ht="15" hidden="false" customHeight="true" outlineLevel="0" collapsed="false">
      <c r="A370" s="6" t="s">
        <v>1909</v>
      </c>
      <c r="B370" s="6" t="s">
        <v>502</v>
      </c>
      <c r="C370" s="6" t="s">
        <v>507</v>
      </c>
      <c r="D370" s="6" t="n">
        <v>6</v>
      </c>
      <c r="E370" s="9" t="s">
        <v>4988</v>
      </c>
      <c r="F370" s="42" t="n">
        <v>401058</v>
      </c>
      <c r="G370" s="48"/>
      <c r="H370" s="48"/>
      <c r="I370" s="48"/>
      <c r="J370" s="48"/>
      <c r="K370" s="48"/>
      <c r="L370" s="48"/>
      <c r="M370" s="48"/>
      <c r="N370" s="48"/>
      <c r="O370" s="48"/>
      <c r="P370" s="48"/>
      <c r="Q370" s="43" t="str">
        <f aca="false">IF($A199="","",IF(OR(F199="",I199=""),"",F199-I199))</f>
        <v/>
      </c>
      <c r="R370" s="43" t="n">
        <f aca="false">IF($A199="","",IF(Q199="","",Q199+IF(O199="",0,O199)))</f>
        <v>96000</v>
      </c>
      <c r="S370" s="48"/>
      <c r="T370" s="43" t="n">
        <f aca="false">IF($A199="","",IF(R199="","",R199-IF(S199="",0,S199)))</f>
        <v>131000</v>
      </c>
      <c r="U370" s="43" t="str">
        <f aca="false">IF($A199="","",IF(I199="","",I199-SUM(J199:P199)))</f>
        <v/>
      </c>
      <c r="V370" s="6" t="s">
        <v>5011</v>
      </c>
      <c r="W370" s="9" t="s">
        <v>774</v>
      </c>
      <c r="X370" s="9" t="s">
        <v>5012</v>
      </c>
      <c r="Y370" s="9" t="s">
        <v>4897</v>
      </c>
      <c r="Z370" s="9" t="s">
        <v>4898</v>
      </c>
      <c r="AA370" s="9" t="s">
        <v>4899</v>
      </c>
    </row>
    <row r="371" customFormat="false" ht="15" hidden="false" customHeight="true" outlineLevel="0" collapsed="false">
      <c r="A371" s="6" t="s">
        <v>1912</v>
      </c>
      <c r="B371" s="6" t="s">
        <v>502</v>
      </c>
      <c r="C371" s="6" t="s">
        <v>507</v>
      </c>
      <c r="D371" s="6" t="n">
        <v>6</v>
      </c>
      <c r="E371" s="9" t="s">
        <v>4908</v>
      </c>
      <c r="F371" s="48" t="n">
        <v>47952</v>
      </c>
      <c r="G371" s="48"/>
      <c r="H371" s="48"/>
      <c r="I371" s="48"/>
      <c r="J371" s="48"/>
      <c r="K371" s="48"/>
      <c r="L371" s="48"/>
      <c r="M371" s="48"/>
      <c r="N371" s="48"/>
      <c r="O371" s="48"/>
      <c r="P371" s="48"/>
      <c r="Q371" s="43" t="str">
        <f aca="false">IF($A200="","",IF(OR(F200="",I200=""),"",F200-I200))</f>
        <v/>
      </c>
      <c r="R371" s="43" t="n">
        <f aca="false">IF($A200="","",IF(Q200="","",Q200+IF(O200="",0,O200)))</f>
        <v>15000</v>
      </c>
      <c r="S371" s="48"/>
      <c r="T371" s="43" t="n">
        <f aca="false">IF($A200="","",IF(R200="","",R200-IF(S200="",0,S200)))</f>
        <v>26000</v>
      </c>
      <c r="U371" s="43" t="str">
        <f aca="false">IF($A200="","",IF(I200="","",I200-SUM(J200:P200)))</f>
        <v/>
      </c>
      <c r="V371" s="6" t="s">
        <v>5013</v>
      </c>
      <c r="W371" s="9" t="s">
        <v>774</v>
      </c>
      <c r="X371" s="9" t="s">
        <v>5014</v>
      </c>
      <c r="Y371" s="9" t="s">
        <v>4897</v>
      </c>
      <c r="Z371" s="9" t="s">
        <v>4898</v>
      </c>
      <c r="AA371" s="9" t="s">
        <v>4899</v>
      </c>
    </row>
    <row r="372" customFormat="false" ht="15" hidden="false" customHeight="true" outlineLevel="0" collapsed="false">
      <c r="A372" s="6" t="s">
        <v>1915</v>
      </c>
      <c r="B372" s="6" t="s">
        <v>502</v>
      </c>
      <c r="C372" s="6" t="s">
        <v>507</v>
      </c>
      <c r="D372" s="6" t="n">
        <v>6</v>
      </c>
      <c r="E372" s="9" t="s">
        <v>4988</v>
      </c>
      <c r="F372" s="42" t="n">
        <v>100332</v>
      </c>
      <c r="G372" s="48"/>
      <c r="H372" s="48"/>
      <c r="I372" s="48"/>
      <c r="J372" s="48"/>
      <c r="K372" s="48"/>
      <c r="L372" s="48"/>
      <c r="M372" s="48"/>
      <c r="N372" s="48"/>
      <c r="O372" s="48"/>
      <c r="P372" s="48"/>
      <c r="Q372" s="43" t="str">
        <f aca="false">IF($A201="","",IF(OR(F201="",I201=""),"",F201-I201))</f>
        <v/>
      </c>
      <c r="R372" s="43" t="n">
        <f aca="false">IF($A201="","",IF(Q201="","",Q201+IF(O201="",0,O201)))</f>
        <v>115000</v>
      </c>
      <c r="S372" s="48"/>
      <c r="T372" s="43" t="n">
        <f aca="false">IF($A201="","",IF(R201="","",R201-IF(S201="",0,S201)))</f>
        <v>171000</v>
      </c>
      <c r="U372" s="43" t="str">
        <f aca="false">IF($A201="","",IF(I201="","",I201-SUM(J201:P201)))</f>
        <v/>
      </c>
      <c r="V372" s="6" t="s">
        <v>5011</v>
      </c>
      <c r="W372" s="9" t="s">
        <v>774</v>
      </c>
      <c r="X372" s="9" t="s">
        <v>5015</v>
      </c>
      <c r="Y372" s="9" t="s">
        <v>4897</v>
      </c>
      <c r="Z372" s="9" t="s">
        <v>4898</v>
      </c>
      <c r="AA372" s="9" t="s">
        <v>4899</v>
      </c>
    </row>
    <row r="373" customFormat="false" ht="15" hidden="false" customHeight="true" outlineLevel="0" collapsed="false">
      <c r="A373" s="6" t="s">
        <v>1917</v>
      </c>
      <c r="B373" s="6" t="s">
        <v>502</v>
      </c>
      <c r="C373" s="6" t="s">
        <v>507</v>
      </c>
      <c r="D373" s="6" t="n">
        <v>6</v>
      </c>
      <c r="E373" s="9" t="s">
        <v>4988</v>
      </c>
      <c r="F373" s="42" t="n">
        <v>118965</v>
      </c>
      <c r="G373" s="48"/>
      <c r="H373" s="48"/>
      <c r="I373" s="48"/>
      <c r="J373" s="48"/>
      <c r="K373" s="48"/>
      <c r="L373" s="48"/>
      <c r="M373" s="48"/>
      <c r="N373" s="48"/>
      <c r="O373" s="48"/>
      <c r="P373" s="48"/>
      <c r="Q373" s="43" t="str">
        <f aca="false">IF($A202="","",IF(OR(F202="",I202=""),"",F202-I202))</f>
        <v/>
      </c>
      <c r="R373" s="43" t="n">
        <f aca="false">IF($A202="","",IF(Q202="","",Q202+IF(O202="",0,O202)))</f>
        <v>148000</v>
      </c>
      <c r="S373" s="48"/>
      <c r="T373" s="43" t="n">
        <f aca="false">IF($A202="","",IF(R202="","",R202-IF(S202="",0,S202)))</f>
        <v>532000</v>
      </c>
      <c r="U373" s="43" t="str">
        <f aca="false">IF($A202="","",IF(I202="","",I202-SUM(J202:P202)))</f>
        <v/>
      </c>
      <c r="V373" s="6" t="s">
        <v>5011</v>
      </c>
      <c r="W373" s="9" t="s">
        <v>774</v>
      </c>
      <c r="X373" s="9" t="s">
        <v>5016</v>
      </c>
      <c r="Y373" s="9" t="s">
        <v>4897</v>
      </c>
      <c r="Z373" s="9" t="s">
        <v>4898</v>
      </c>
      <c r="AA373" s="9" t="s">
        <v>4899</v>
      </c>
    </row>
    <row r="374" customFormat="false" ht="15" hidden="false" customHeight="true" outlineLevel="0" collapsed="false">
      <c r="A374" s="6" t="s">
        <v>1920</v>
      </c>
      <c r="B374" s="6" t="s">
        <v>502</v>
      </c>
      <c r="C374" s="6" t="s">
        <v>507</v>
      </c>
      <c r="D374" s="6" t="n">
        <v>6</v>
      </c>
      <c r="E374" s="9" t="s">
        <v>4988</v>
      </c>
      <c r="F374" s="42" t="n">
        <v>403252</v>
      </c>
      <c r="G374" s="48"/>
      <c r="H374" s="48"/>
      <c r="I374" s="48"/>
      <c r="J374" s="48"/>
      <c r="K374" s="48"/>
      <c r="L374" s="48"/>
      <c r="M374" s="48"/>
      <c r="N374" s="48"/>
      <c r="O374" s="48"/>
      <c r="P374" s="48"/>
      <c r="Q374" s="43" t="str">
        <f aca="false">IF($A203="","",IF(OR(F203="",I203=""),"",F203-I203))</f>
        <v/>
      </c>
      <c r="R374" s="43" t="n">
        <f aca="false">IF($A203="","",IF(Q203="","",Q203+IF(O203="",0,O203)))</f>
        <v>246000</v>
      </c>
      <c r="S374" s="48"/>
      <c r="T374" s="43" t="n">
        <f aca="false">IF($A203="","",IF(R203="","",R203-IF(S203="",0,S203)))</f>
        <v>261000</v>
      </c>
      <c r="U374" s="43" t="str">
        <f aca="false">IF($A203="","",IF(I203="","",I203-SUM(J203:P203)))</f>
        <v/>
      </c>
      <c r="V374" s="6" t="s">
        <v>5011</v>
      </c>
      <c r="W374" s="9" t="s">
        <v>774</v>
      </c>
      <c r="X374" s="9" t="s">
        <v>5017</v>
      </c>
      <c r="Y374" s="9" t="s">
        <v>4897</v>
      </c>
      <c r="Z374" s="9" t="s">
        <v>4898</v>
      </c>
      <c r="AA374" s="9" t="s">
        <v>4899</v>
      </c>
    </row>
    <row r="375" customFormat="false" ht="15" hidden="false" customHeight="true" outlineLevel="0" collapsed="false">
      <c r="A375" s="6" t="s">
        <v>1923</v>
      </c>
      <c r="B375" s="6" t="s">
        <v>502</v>
      </c>
      <c r="C375" s="6" t="s">
        <v>507</v>
      </c>
      <c r="D375" s="6" t="n">
        <v>6</v>
      </c>
      <c r="E375" s="9" t="s">
        <v>4988</v>
      </c>
      <c r="F375" s="42" t="n">
        <v>157830</v>
      </c>
      <c r="G375" s="48"/>
      <c r="H375" s="48"/>
      <c r="I375" s="48"/>
      <c r="J375" s="48"/>
      <c r="K375" s="48"/>
      <c r="L375" s="48"/>
      <c r="M375" s="48"/>
      <c r="N375" s="48"/>
      <c r="O375" s="48"/>
      <c r="P375" s="48"/>
      <c r="Q375" s="43" t="str">
        <f aca="false">IF($A204="","",IF(OR(F204="",I204=""),"",F204-I204))</f>
        <v/>
      </c>
      <c r="R375" s="43" t="n">
        <f aca="false">IF($A204="","",IF(Q204="","",Q204+IF(O204="",0,O204)))</f>
        <v>95000</v>
      </c>
      <c r="S375" s="48"/>
      <c r="T375" s="43" t="n">
        <f aca="false">IF($A204="","",IF(R204="","",R204-IF(S204="",0,S204)))</f>
        <v>466000</v>
      </c>
      <c r="U375" s="43" t="str">
        <f aca="false">IF($A204="","",IF(I204="","",I204-SUM(J204:P204)))</f>
        <v/>
      </c>
      <c r="V375" s="6" t="s">
        <v>5011</v>
      </c>
      <c r="W375" s="9" t="s">
        <v>774</v>
      </c>
      <c r="X375" s="9" t="s">
        <v>5015</v>
      </c>
      <c r="Y375" s="9" t="s">
        <v>4897</v>
      </c>
      <c r="Z375" s="9" t="s">
        <v>4898</v>
      </c>
      <c r="AA375" s="9" t="s">
        <v>4899</v>
      </c>
    </row>
    <row r="376" customFormat="false" ht="15" hidden="false" customHeight="true" outlineLevel="0" collapsed="false">
      <c r="A376" s="6" t="s">
        <v>1925</v>
      </c>
      <c r="B376" s="6" t="s">
        <v>502</v>
      </c>
      <c r="C376" s="6" t="s">
        <v>507</v>
      </c>
      <c r="D376" s="6" t="n">
        <v>6</v>
      </c>
      <c r="E376" s="9" t="s">
        <v>4908</v>
      </c>
      <c r="F376" s="48" t="n">
        <v>97413</v>
      </c>
      <c r="G376" s="48"/>
      <c r="H376" s="48"/>
      <c r="I376" s="48"/>
      <c r="J376" s="48"/>
      <c r="K376" s="48"/>
      <c r="L376" s="48"/>
      <c r="M376" s="48"/>
      <c r="N376" s="48"/>
      <c r="O376" s="48"/>
      <c r="P376" s="48"/>
      <c r="Q376" s="43" t="str">
        <f aca="false">IF($A205="","",IF(OR(F205="",I205=""),"",F205-I205))</f>
        <v/>
      </c>
      <c r="R376" s="43" t="n">
        <f aca="false">IF($A205="","",IF(Q205="","",Q205+IF(O205="",0,O205)))</f>
        <v>119000</v>
      </c>
      <c r="S376" s="48"/>
      <c r="T376" s="43" t="n">
        <f aca="false">IF($A205="","",IF(R205="","",R205-IF(S205="",0,S205)))</f>
        <v>148000</v>
      </c>
      <c r="U376" s="43" t="str">
        <f aca="false">IF($A205="","",IF(I205="","",I205-SUM(J205:P205)))</f>
        <v/>
      </c>
      <c r="V376" s="6" t="s">
        <v>5013</v>
      </c>
      <c r="W376" s="9" t="s">
        <v>774</v>
      </c>
      <c r="X376" s="9" t="s">
        <v>5018</v>
      </c>
      <c r="Y376" s="9" t="s">
        <v>4897</v>
      </c>
      <c r="Z376" s="9" t="s">
        <v>4898</v>
      </c>
      <c r="AA376" s="9" t="s">
        <v>4899</v>
      </c>
    </row>
    <row r="377" customFormat="false" ht="15" hidden="false" customHeight="true" outlineLevel="0" collapsed="false">
      <c r="A377" s="6" t="s">
        <v>1928</v>
      </c>
      <c r="B377" s="6" t="s">
        <v>502</v>
      </c>
      <c r="C377" s="6" t="s">
        <v>507</v>
      </c>
      <c r="D377" s="6" t="n">
        <v>6</v>
      </c>
      <c r="E377" s="9" t="s">
        <v>4988</v>
      </c>
      <c r="F377" s="42" t="n">
        <v>445058</v>
      </c>
      <c r="G377" s="48"/>
      <c r="H377" s="48"/>
      <c r="I377" s="48"/>
      <c r="J377" s="48"/>
      <c r="K377" s="48"/>
      <c r="L377" s="48"/>
      <c r="M377" s="48"/>
      <c r="N377" s="48"/>
      <c r="O377" s="48"/>
      <c r="P377" s="48"/>
      <c r="Q377" s="43" t="str">
        <f aca="false">IF($A206="","",IF(OR(F206="",I206=""),"",F206-I206))</f>
        <v/>
      </c>
      <c r="R377" s="43" t="n">
        <f aca="false">IF($A206="","",IF(Q206="","",Q206+IF(O206="",0,O206)))</f>
        <v>116000</v>
      </c>
      <c r="S377" s="48"/>
      <c r="T377" s="43" t="n">
        <f aca="false">IF($A206="","",IF(R206="","",R206-IF(S206="",0,S206)))</f>
        <v>147000</v>
      </c>
      <c r="U377" s="43" t="str">
        <f aca="false">IF($A206="","",IF(I206="","",I206-SUM(J206:P206)))</f>
        <v/>
      </c>
      <c r="V377" s="6" t="s">
        <v>5011</v>
      </c>
      <c r="W377" s="9" t="s">
        <v>774</v>
      </c>
      <c r="X377" s="9" t="s">
        <v>5019</v>
      </c>
      <c r="Y377" s="9" t="s">
        <v>4897</v>
      </c>
      <c r="Z377" s="9" t="s">
        <v>4898</v>
      </c>
      <c r="AA377" s="9" t="s">
        <v>4899</v>
      </c>
    </row>
    <row r="378" customFormat="false" ht="15" hidden="false" customHeight="true" outlineLevel="0" collapsed="false">
      <c r="A378" s="6" t="s">
        <v>1931</v>
      </c>
      <c r="B378" s="6" t="s">
        <v>502</v>
      </c>
      <c r="C378" s="6" t="s">
        <v>507</v>
      </c>
      <c r="D378" s="6" t="n">
        <v>6</v>
      </c>
      <c r="E378" s="9" t="s">
        <v>4988</v>
      </c>
      <c r="F378" s="42" t="n">
        <v>640659</v>
      </c>
      <c r="G378" s="48"/>
      <c r="H378" s="48"/>
      <c r="I378" s="48"/>
      <c r="J378" s="48"/>
      <c r="K378" s="48"/>
      <c r="L378" s="48"/>
      <c r="M378" s="48"/>
      <c r="N378" s="48"/>
      <c r="O378" s="48"/>
      <c r="P378" s="48"/>
      <c r="Q378" s="43" t="str">
        <f aca="false">IF($A207="","",IF(OR(F207="",I207=""),"",F207-I207))</f>
        <v/>
      </c>
      <c r="R378" s="43" t="n">
        <f aca="false">IF($A207="","",IF(Q207="","",Q207+IF(O207="",0,O207)))</f>
        <v>511000</v>
      </c>
      <c r="S378" s="48"/>
      <c r="T378" s="43" t="n">
        <f aca="false">IF($A207="","",IF(R207="","",R207-IF(S207="",0,S207)))</f>
        <v>555000</v>
      </c>
      <c r="U378" s="43" t="str">
        <f aca="false">IF($A207="","",IF(I207="","",I207-SUM(J207:P207)))</f>
        <v/>
      </c>
      <c r="V378" s="6" t="s">
        <v>5011</v>
      </c>
      <c r="W378" s="9" t="s">
        <v>774</v>
      </c>
      <c r="X378" s="9" t="s">
        <v>5020</v>
      </c>
      <c r="Y378" s="9" t="s">
        <v>4897</v>
      </c>
      <c r="Z378" s="9" t="s">
        <v>4898</v>
      </c>
      <c r="AA378" s="9" t="s">
        <v>4899</v>
      </c>
    </row>
    <row r="379" customFormat="false" ht="15" hidden="false" customHeight="true" outlineLevel="0" collapsed="false">
      <c r="A379" s="6" t="s">
        <v>1934</v>
      </c>
      <c r="B379" s="6" t="s">
        <v>502</v>
      </c>
      <c r="C379" s="6" t="s">
        <v>507</v>
      </c>
      <c r="D379" s="6" t="n">
        <v>6</v>
      </c>
      <c r="E379" s="9" t="s">
        <v>4988</v>
      </c>
      <c r="F379" s="42" t="n">
        <v>39218</v>
      </c>
      <c r="G379" s="48"/>
      <c r="H379" s="48"/>
      <c r="I379" s="48"/>
      <c r="J379" s="48"/>
      <c r="K379" s="48"/>
      <c r="L379" s="48"/>
      <c r="M379" s="48"/>
      <c r="N379" s="48"/>
      <c r="O379" s="48"/>
      <c r="P379" s="48"/>
      <c r="Q379" s="43" t="str">
        <f aca="false">IF($A208="","",IF(OR(F208="",I208=""),"",F208-I208))</f>
        <v/>
      </c>
      <c r="R379" s="43" t="n">
        <f aca="false">IF($A208="","",IF(Q208="","",Q208+IF(O208="",0,O208)))</f>
        <v>81000</v>
      </c>
      <c r="S379" s="48"/>
      <c r="T379" s="43" t="n">
        <f aca="false">IF($A208="","",IF(R208="","",R208-IF(S208="",0,S208)))</f>
        <v>119000</v>
      </c>
      <c r="U379" s="43" t="str">
        <f aca="false">IF($A208="","",IF(I208="","",I208-SUM(J208:P208)))</f>
        <v/>
      </c>
      <c r="V379" s="6" t="s">
        <v>5011</v>
      </c>
      <c r="W379" s="9" t="s">
        <v>774</v>
      </c>
      <c r="X379" s="9" t="s">
        <v>5015</v>
      </c>
      <c r="Y379" s="9" t="s">
        <v>4897</v>
      </c>
      <c r="Z379" s="9" t="s">
        <v>4898</v>
      </c>
      <c r="AA379" s="9" t="s">
        <v>4899</v>
      </c>
    </row>
    <row r="380" customFormat="false" ht="15" hidden="false" customHeight="true" outlineLevel="0" collapsed="false">
      <c r="A380" s="6" t="s">
        <v>1936</v>
      </c>
      <c r="B380" s="6" t="s">
        <v>502</v>
      </c>
      <c r="C380" s="6" t="s">
        <v>507</v>
      </c>
      <c r="D380" s="6" t="n">
        <v>6</v>
      </c>
      <c r="E380" s="9" t="s">
        <v>4988</v>
      </c>
      <c r="F380" s="42" t="n">
        <v>642412</v>
      </c>
      <c r="G380" s="48"/>
      <c r="H380" s="48"/>
      <c r="I380" s="48"/>
      <c r="J380" s="48"/>
      <c r="K380" s="48"/>
      <c r="L380" s="48"/>
      <c r="M380" s="48"/>
      <c r="N380" s="48"/>
      <c r="O380" s="48"/>
      <c r="P380" s="48"/>
      <c r="Q380" s="43" t="str">
        <f aca="false">IF($A209="","",IF(OR(F209="",I209=""),"",F209-I209))</f>
        <v/>
      </c>
      <c r="R380" s="43" t="n">
        <f aca="false">IF($A209="","",IF(Q209="","",Q209+IF(O209="",0,O209)))</f>
        <v>455000</v>
      </c>
      <c r="S380" s="48"/>
      <c r="T380" s="43" t="n">
        <f aca="false">IF($A209="","",IF(R209="","",R209-IF(S209="",0,S209)))</f>
        <v>707000</v>
      </c>
      <c r="U380" s="43" t="str">
        <f aca="false">IF($A209="","",IF(I209="","",I209-SUM(J209:P209)))</f>
        <v/>
      </c>
      <c r="V380" s="6" t="s">
        <v>5011</v>
      </c>
      <c r="W380" s="9" t="s">
        <v>774</v>
      </c>
      <c r="X380" s="9" t="s">
        <v>5021</v>
      </c>
      <c r="Y380" s="9" t="s">
        <v>4897</v>
      </c>
      <c r="Z380" s="9" t="s">
        <v>4898</v>
      </c>
      <c r="AA380" s="9" t="s">
        <v>4899</v>
      </c>
    </row>
    <row r="381" customFormat="false" ht="15" hidden="false" customHeight="true" outlineLevel="0" collapsed="false">
      <c r="A381" s="6" t="s">
        <v>1939</v>
      </c>
      <c r="B381" s="6" t="s">
        <v>502</v>
      </c>
      <c r="C381" s="6" t="s">
        <v>507</v>
      </c>
      <c r="D381" s="6" t="n">
        <v>6</v>
      </c>
      <c r="E381" s="9" t="s">
        <v>4908</v>
      </c>
      <c r="F381" s="48" t="n">
        <v>41759</v>
      </c>
      <c r="G381" s="48"/>
      <c r="H381" s="48"/>
      <c r="I381" s="48"/>
      <c r="J381" s="48"/>
      <c r="K381" s="48"/>
      <c r="L381" s="48"/>
      <c r="M381" s="48"/>
      <c r="N381" s="48"/>
      <c r="O381" s="48"/>
      <c r="P381" s="48"/>
      <c r="Q381" s="43" t="str">
        <f aca="false">IF($A210="","",IF(OR(F210="",I210=""),"",F210-I210))</f>
        <v/>
      </c>
      <c r="R381" s="43" t="n">
        <f aca="false">IF($A210="","",IF(Q210="","",Q210+IF(O210="",0,O210)))</f>
        <v>262000</v>
      </c>
      <c r="S381" s="48"/>
      <c r="T381" s="43" t="n">
        <f aca="false">IF($A210="","",IF(R210="","",R210-IF(S210="",0,S210)))</f>
        <v>348000</v>
      </c>
      <c r="U381" s="43" t="str">
        <f aca="false">IF($A210="","",IF(I210="","",I210-SUM(J210:P210)))</f>
        <v/>
      </c>
      <c r="V381" s="6" t="s">
        <v>5013</v>
      </c>
      <c r="W381" s="9" t="s">
        <v>774</v>
      </c>
      <c r="X381" s="9" t="s">
        <v>5022</v>
      </c>
      <c r="Y381" s="9" t="s">
        <v>4897</v>
      </c>
      <c r="Z381" s="9" t="s">
        <v>4898</v>
      </c>
      <c r="AA381" s="9" t="s">
        <v>4899</v>
      </c>
    </row>
    <row r="382" customFormat="false" ht="15" hidden="false" customHeight="true" outlineLevel="0" collapsed="false">
      <c r="A382" s="6" t="s">
        <v>1942</v>
      </c>
      <c r="B382" s="6" t="s">
        <v>502</v>
      </c>
      <c r="C382" s="6" t="s">
        <v>507</v>
      </c>
      <c r="D382" s="6" t="n">
        <v>6</v>
      </c>
      <c r="E382" s="9" t="s">
        <v>4988</v>
      </c>
      <c r="F382" s="42" t="n">
        <v>75220</v>
      </c>
      <c r="G382" s="48"/>
      <c r="H382" s="48"/>
      <c r="I382" s="48"/>
      <c r="J382" s="48"/>
      <c r="K382" s="48"/>
      <c r="L382" s="48"/>
      <c r="M382" s="48"/>
      <c r="N382" s="48"/>
      <c r="O382" s="48"/>
      <c r="P382" s="48"/>
      <c r="Q382" s="43" t="str">
        <f aca="false">IF($A211="","",IF(OR(F211="",I211=""),"",F211-I211))</f>
        <v/>
      </c>
      <c r="R382" s="43" t="n">
        <f aca="false">IF($A211="","",IF(Q211="","",Q211+IF(O211="",0,O211)))</f>
        <v>278000</v>
      </c>
      <c r="S382" s="48"/>
      <c r="T382" s="43" t="n">
        <f aca="false">IF($A211="","",IF(R211="","",R211-IF(S211="",0,S211)))</f>
        <v>361000</v>
      </c>
      <c r="U382" s="43" t="str">
        <f aca="false">IF($A211="","",IF(I211="","",I211-SUM(J211:P211)))</f>
        <v/>
      </c>
      <c r="V382" s="6" t="s">
        <v>5011</v>
      </c>
      <c r="W382" s="9" t="s">
        <v>774</v>
      </c>
      <c r="X382" s="9" t="s">
        <v>5023</v>
      </c>
      <c r="Y382" s="9" t="s">
        <v>4897</v>
      </c>
      <c r="Z382" s="9" t="s">
        <v>4898</v>
      </c>
      <c r="AA382" s="9" t="s">
        <v>4899</v>
      </c>
    </row>
    <row r="383" customFormat="false" ht="15" hidden="false" customHeight="true" outlineLevel="0" collapsed="false">
      <c r="A383" s="6" t="s">
        <v>1945</v>
      </c>
      <c r="B383" s="6" t="s">
        <v>502</v>
      </c>
      <c r="C383" s="6" t="s">
        <v>507</v>
      </c>
      <c r="D383" s="6" t="n">
        <v>6</v>
      </c>
      <c r="E383" s="9" t="s">
        <v>4908</v>
      </c>
      <c r="F383" s="48" t="n">
        <v>76134</v>
      </c>
      <c r="G383" s="48"/>
      <c r="H383" s="48"/>
      <c r="I383" s="48"/>
      <c r="J383" s="48"/>
      <c r="K383" s="48"/>
      <c r="L383" s="48"/>
      <c r="M383" s="48"/>
      <c r="N383" s="48"/>
      <c r="O383" s="48"/>
      <c r="P383" s="48"/>
      <c r="Q383" s="43" t="str">
        <f aca="false">IF($A212="","",IF(OR(F212="",I212=""),"",F212-I212))</f>
        <v/>
      </c>
      <c r="R383" s="43" t="n">
        <f aca="false">IF($A212="","",IF(Q212="","",Q212+IF(O212="",0,O212)))</f>
        <v>143000</v>
      </c>
      <c r="S383" s="48"/>
      <c r="T383" s="43" t="n">
        <f aca="false">IF($A212="","",IF(R212="","",R212-IF(S212="",0,S212)))</f>
        <v>383000</v>
      </c>
      <c r="U383" s="43" t="str">
        <f aca="false">IF($A212="","",IF(I212="","",I212-SUM(J212:P212)))</f>
        <v/>
      </c>
      <c r="V383" s="6" t="s">
        <v>5013</v>
      </c>
      <c r="W383" s="9" t="s">
        <v>774</v>
      </c>
      <c r="X383" s="9" t="s">
        <v>5014</v>
      </c>
      <c r="Y383" s="9" t="s">
        <v>4897</v>
      </c>
      <c r="Z383" s="9" t="s">
        <v>4898</v>
      </c>
      <c r="AA383" s="9" t="s">
        <v>4899</v>
      </c>
    </row>
    <row r="384" customFormat="false" ht="15" hidden="false" customHeight="true" outlineLevel="0" collapsed="false">
      <c r="A384" s="6" t="s">
        <v>1947</v>
      </c>
      <c r="B384" s="6" t="s">
        <v>502</v>
      </c>
      <c r="C384" s="6" t="s">
        <v>507</v>
      </c>
      <c r="D384" s="6" t="n">
        <v>6</v>
      </c>
      <c r="E384" s="9" t="s">
        <v>4988</v>
      </c>
      <c r="F384" s="42" t="n">
        <v>287129</v>
      </c>
      <c r="G384" s="48"/>
      <c r="H384" s="48"/>
      <c r="I384" s="48"/>
      <c r="J384" s="48"/>
      <c r="K384" s="48"/>
      <c r="L384" s="48"/>
      <c r="M384" s="48"/>
      <c r="N384" s="48"/>
      <c r="O384" s="48"/>
      <c r="P384" s="48"/>
      <c r="Q384" s="43" t="str">
        <f aca="false">IF($A213="","",IF(OR(F213="",I213=""),"",F213-I213))</f>
        <v/>
      </c>
      <c r="R384" s="43" t="n">
        <f aca="false">IF($A213="","",IF(Q213="","",Q213+IF(O213="",0,O213)))</f>
        <v>57000</v>
      </c>
      <c r="S384" s="48"/>
      <c r="T384" s="43" t="n">
        <f aca="false">IF($A213="","",IF(R213="","",R213-IF(S213="",0,S213)))</f>
        <v>257000</v>
      </c>
      <c r="U384" s="43" t="str">
        <f aca="false">IF($A213="","",IF(I213="","",I213-SUM(J213:P213)))</f>
        <v/>
      </c>
      <c r="V384" s="6" t="s">
        <v>5011</v>
      </c>
      <c r="W384" s="9" t="s">
        <v>774</v>
      </c>
      <c r="X384" s="9" t="s">
        <v>5015</v>
      </c>
      <c r="Y384" s="9" t="s">
        <v>4897</v>
      </c>
      <c r="Z384" s="9" t="s">
        <v>4898</v>
      </c>
      <c r="AA384" s="9" t="s">
        <v>4899</v>
      </c>
    </row>
    <row r="385" customFormat="false" ht="15" hidden="false" customHeight="true" outlineLevel="0" collapsed="false">
      <c r="A385" s="6" t="s">
        <v>1949</v>
      </c>
      <c r="B385" s="6" t="s">
        <v>502</v>
      </c>
      <c r="C385" s="6" t="s">
        <v>507</v>
      </c>
      <c r="D385" s="6" t="n">
        <v>6</v>
      </c>
      <c r="E385" s="9" t="s">
        <v>4988</v>
      </c>
      <c r="F385" s="42" t="n">
        <v>189374</v>
      </c>
      <c r="G385" s="48" t="n">
        <v>7602246</v>
      </c>
      <c r="H385" s="48" t="n">
        <v>577551</v>
      </c>
      <c r="I385" s="48" t="n">
        <v>3240617</v>
      </c>
      <c r="J385" s="48" t="n">
        <v>719504</v>
      </c>
      <c r="K385" s="48" t="n">
        <v>517048</v>
      </c>
      <c r="L385" s="48" t="n">
        <v>767422</v>
      </c>
      <c r="M385" s="48" t="n">
        <v>25230</v>
      </c>
      <c r="N385" s="48" t="n">
        <v>126600</v>
      </c>
      <c r="O385" s="48" t="n">
        <v>999845</v>
      </c>
      <c r="P385" s="48" t="n">
        <v>84966</v>
      </c>
      <c r="Q385" s="43" t="str">
        <f aca="false">IF($A214="","",IF(OR(F214="",I214=""),"",F214-I214))</f>
        <v/>
      </c>
      <c r="R385" s="43" t="n">
        <f aca="false">IF($A214="","",IF(Q214="","",Q214+IF(O214="",0,O214)))</f>
        <v>1370000</v>
      </c>
      <c r="S385" s="48" t="n">
        <v>1979864</v>
      </c>
      <c r="T385" s="43" t="n">
        <f aca="false">IF($A214="","",IF(R214="","",R214-IF(S214="",0,S214)))</f>
        <v>1623000</v>
      </c>
      <c r="U385" s="43" t="str">
        <f aca="false">IF($A214="","",IF(I214="","",I214-SUM(J214:P214)))</f>
        <v/>
      </c>
      <c r="V385" s="6" t="s">
        <v>5011</v>
      </c>
      <c r="W385" s="49" t="s">
        <v>774</v>
      </c>
      <c r="X385" s="9" t="s">
        <v>5015</v>
      </c>
      <c r="Y385" s="9" t="s">
        <v>4897</v>
      </c>
      <c r="Z385" s="9" t="s">
        <v>4898</v>
      </c>
      <c r="AA385" s="9" t="s">
        <v>4899</v>
      </c>
    </row>
    <row r="386" customFormat="false" ht="15" hidden="false" customHeight="true" outlineLevel="0" collapsed="false">
      <c r="A386" s="6" t="s">
        <v>1951</v>
      </c>
      <c r="B386" s="6" t="s">
        <v>502</v>
      </c>
      <c r="C386" s="6" t="s">
        <v>507</v>
      </c>
      <c r="D386" s="6" t="n">
        <v>6</v>
      </c>
      <c r="E386" s="9" t="s">
        <v>4988</v>
      </c>
      <c r="F386" s="42" t="n">
        <v>126830</v>
      </c>
      <c r="G386" s="48" t="n">
        <v>189000</v>
      </c>
      <c r="H386" s="48" t="n">
        <v>19000</v>
      </c>
      <c r="I386" s="48" t="n">
        <v>87000</v>
      </c>
      <c r="J386" s="48" t="n">
        <v>17000</v>
      </c>
      <c r="K386" s="48" t="n">
        <v>8000</v>
      </c>
      <c r="L386" s="48" t="n">
        <v>29000</v>
      </c>
      <c r="M386" s="48" t="n">
        <v>0</v>
      </c>
      <c r="N386" s="48" t="n">
        <v>2000</v>
      </c>
      <c r="O386" s="48" t="n">
        <v>25000</v>
      </c>
      <c r="P386" s="48" t="n">
        <v>4000</v>
      </c>
      <c r="Q386" s="43" t="str">
        <f aca="false">IF($A215="","",IF(OR(F215="",I215=""),"",F215-I215))</f>
        <v/>
      </c>
      <c r="R386" s="43" t="n">
        <f aca="false">IF($A215="","",IF(Q215="","",Q215+IF(O215="",0,O215)))</f>
        <v>155000</v>
      </c>
      <c r="S386" s="48"/>
      <c r="T386" s="43" t="n">
        <f aca="false">IF($A215="","",IF(R215="","",R215-IF(S215="",0,S215)))</f>
        <v>220000</v>
      </c>
      <c r="U386" s="43" t="str">
        <f aca="false">IF($A215="","",IF(I215="","",I215-SUM(J215:P215)))</f>
        <v/>
      </c>
      <c r="V386" s="6" t="s">
        <v>5011</v>
      </c>
      <c r="W386" s="49" t="s">
        <v>774</v>
      </c>
      <c r="X386" s="9" t="s">
        <v>5015</v>
      </c>
      <c r="Y386" s="9" t="s">
        <v>4897</v>
      </c>
      <c r="Z386" s="9" t="s">
        <v>4898</v>
      </c>
      <c r="AA386" s="9" t="s">
        <v>4899</v>
      </c>
    </row>
    <row r="387" customFormat="false" ht="15" hidden="false" customHeight="true" outlineLevel="0" collapsed="false">
      <c r="A387" s="6" t="s">
        <v>1953</v>
      </c>
      <c r="B387" s="6" t="s">
        <v>502</v>
      </c>
      <c r="C387" s="6" t="s">
        <v>507</v>
      </c>
      <c r="D387" s="6" t="n">
        <v>6</v>
      </c>
      <c r="E387" s="9" t="s">
        <v>4988</v>
      </c>
      <c r="F387" s="42" t="n">
        <v>1839000</v>
      </c>
      <c r="G387" s="48" t="n">
        <v>27000</v>
      </c>
      <c r="H387" s="48" t="n">
        <v>3000</v>
      </c>
      <c r="I387" s="48" t="n">
        <v>24000</v>
      </c>
      <c r="J387" s="48" t="n">
        <v>3000</v>
      </c>
      <c r="K387" s="48" t="n">
        <v>3000</v>
      </c>
      <c r="L387" s="48" t="n">
        <v>6000</v>
      </c>
      <c r="M387" s="48" t="n">
        <v>0</v>
      </c>
      <c r="N387" s="48" t="n">
        <v>0</v>
      </c>
      <c r="O387" s="48" t="n">
        <v>10000</v>
      </c>
      <c r="P387" s="48" t="n">
        <v>0</v>
      </c>
      <c r="Q387" s="43" t="str">
        <f aca="false">IF($A216="","",IF(OR(F216="",I216=""),"",F216-I216))</f>
        <v/>
      </c>
      <c r="R387" s="43" t="n">
        <f aca="false">IF($A216="","",IF(Q216="","",Q216+IF(O216="",0,O216)))</f>
        <v>72000</v>
      </c>
      <c r="S387" s="48"/>
      <c r="T387" s="43" t="n">
        <f aca="false">IF($A216="","",IF(R216="","",R216-IF(S216="",0,S216)))</f>
        <v>5000</v>
      </c>
      <c r="U387" s="43" t="str">
        <f aca="false">IF($A216="","",IF(I216="","",I216-SUM(J216:P216)))</f>
        <v/>
      </c>
      <c r="V387" s="6" t="s">
        <v>5011</v>
      </c>
      <c r="W387" s="49" t="s">
        <v>774</v>
      </c>
      <c r="X387" s="9" t="s">
        <v>5024</v>
      </c>
      <c r="Y387" s="9" t="s">
        <v>4897</v>
      </c>
      <c r="Z387" s="9" t="s">
        <v>4898</v>
      </c>
      <c r="AA387" s="9" t="s">
        <v>4899</v>
      </c>
    </row>
    <row r="388" customFormat="false" ht="15" hidden="false" customHeight="true" outlineLevel="0" collapsed="false">
      <c r="A388" s="6" t="s">
        <v>1956</v>
      </c>
      <c r="B388" s="6" t="s">
        <v>502</v>
      </c>
      <c r="C388" s="6" t="s">
        <v>507</v>
      </c>
      <c r="D388" s="6" t="n">
        <v>6</v>
      </c>
      <c r="E388" s="9" t="s">
        <v>4988</v>
      </c>
      <c r="F388" s="42" t="n">
        <v>118679</v>
      </c>
      <c r="G388" s="48" t="n">
        <v>87000</v>
      </c>
      <c r="H388" s="48" t="n">
        <v>11000</v>
      </c>
      <c r="I388" s="48" t="n">
        <v>30000</v>
      </c>
      <c r="J388" s="48" t="n">
        <v>7000</v>
      </c>
      <c r="K388" s="48" t="n">
        <v>3000</v>
      </c>
      <c r="L388" s="48" t="n">
        <v>6000</v>
      </c>
      <c r="M388" s="48" t="n">
        <v>0</v>
      </c>
      <c r="N388" s="48" t="n">
        <v>0</v>
      </c>
      <c r="O388" s="48" t="n">
        <v>12000</v>
      </c>
      <c r="P388" s="48" t="n">
        <v>0</v>
      </c>
      <c r="Q388" s="43" t="str">
        <f aca="false">IF($A217="","",IF(OR(F217="",I217=""),"",F217-I217))</f>
        <v/>
      </c>
      <c r="R388" s="43" t="n">
        <f aca="false">IF($A217="","",IF(Q217="","",Q217+IF(O217="",0,O217)))</f>
        <v>118000</v>
      </c>
      <c r="S388" s="48"/>
      <c r="T388" s="43" t="n">
        <f aca="false">IF($A217="","",IF(R217="","",R217-IF(S217="",0,S217)))</f>
        <v>166000</v>
      </c>
      <c r="U388" s="43" t="str">
        <f aca="false">IF($A217="","",IF(I217="","",I217-SUM(J217:P217)))</f>
        <v/>
      </c>
      <c r="V388" s="6" t="s">
        <v>5011</v>
      </c>
      <c r="W388" s="49" t="s">
        <v>774</v>
      </c>
      <c r="X388" s="9" t="s">
        <v>5025</v>
      </c>
      <c r="Y388" s="9" t="s">
        <v>4897</v>
      </c>
      <c r="Z388" s="9" t="s">
        <v>4898</v>
      </c>
      <c r="AA388" s="9" t="s">
        <v>4899</v>
      </c>
    </row>
    <row r="389" customFormat="false" ht="15" hidden="false" customHeight="true" outlineLevel="0" collapsed="false">
      <c r="A389" s="6" t="s">
        <v>1959</v>
      </c>
      <c r="B389" s="6" t="s">
        <v>502</v>
      </c>
      <c r="C389" s="6" t="s">
        <v>507</v>
      </c>
      <c r="D389" s="6" t="n">
        <v>6</v>
      </c>
      <c r="E389" s="9" t="s">
        <v>4988</v>
      </c>
      <c r="F389" s="42" t="n">
        <v>180356</v>
      </c>
      <c r="G389" s="48" t="n">
        <v>254000</v>
      </c>
      <c r="H389" s="48" t="n">
        <v>42000</v>
      </c>
      <c r="I389" s="48" t="n">
        <v>105000</v>
      </c>
      <c r="J389" s="48" t="n">
        <v>20000</v>
      </c>
      <c r="K389" s="48" t="n">
        <v>28000</v>
      </c>
      <c r="L389" s="48" t="n">
        <v>17000</v>
      </c>
      <c r="M389" s="48" t="n">
        <v>0</v>
      </c>
      <c r="N389" s="48" t="n">
        <v>7000</v>
      </c>
      <c r="O389" s="48" t="n">
        <v>29000</v>
      </c>
      <c r="P389" s="48" t="n">
        <v>1000</v>
      </c>
      <c r="Q389" s="43" t="str">
        <f aca="false">IF($A218="","",IF(OR(F218="",I218=""),"",F218-I218))</f>
        <v/>
      </c>
      <c r="R389" s="43" t="n">
        <f aca="false">IF($A218="","",IF(Q218="","",Q218+IF(O218="",0,O218)))</f>
        <v>109000</v>
      </c>
      <c r="S389" s="48"/>
      <c r="T389" s="43" t="n">
        <f aca="false">IF($A218="","",IF(R218="","",R218-IF(S218="",0,S218)))</f>
        <v>136000</v>
      </c>
      <c r="U389" s="43" t="str">
        <f aca="false">IF($A218="","",IF(I218="","",I218-SUM(J218:P218)))</f>
        <v/>
      </c>
      <c r="V389" s="6" t="s">
        <v>5011</v>
      </c>
      <c r="W389" s="49" t="s">
        <v>774</v>
      </c>
      <c r="X389" s="9" t="s">
        <v>5026</v>
      </c>
      <c r="Y389" s="9" t="s">
        <v>4897</v>
      </c>
      <c r="Z389" s="9" t="s">
        <v>4898</v>
      </c>
      <c r="AA389" s="9" t="s">
        <v>4899</v>
      </c>
    </row>
    <row r="390" customFormat="false" ht="15" hidden="false" customHeight="true" outlineLevel="0" collapsed="false">
      <c r="A390" s="6" t="s">
        <v>1962</v>
      </c>
      <c r="B390" s="6" t="s">
        <v>502</v>
      </c>
      <c r="C390" s="6" t="s">
        <v>507</v>
      </c>
      <c r="D390" s="6" t="n">
        <v>6</v>
      </c>
      <c r="E390" s="9" t="s">
        <v>4988</v>
      </c>
      <c r="F390" s="42" t="n">
        <v>412034</v>
      </c>
      <c r="G390" s="48" t="n">
        <v>221000</v>
      </c>
      <c r="H390" s="48" t="n">
        <v>36000</v>
      </c>
      <c r="I390" s="48" t="n">
        <v>112000</v>
      </c>
      <c r="J390" s="48" t="n">
        <v>25000</v>
      </c>
      <c r="K390" s="48" t="n">
        <v>14000</v>
      </c>
      <c r="L390" s="48" t="n">
        <v>22000</v>
      </c>
      <c r="M390" s="48" t="n">
        <v>0</v>
      </c>
      <c r="N390" s="48" t="n">
        <v>1000</v>
      </c>
      <c r="O390" s="48" t="n">
        <v>47000</v>
      </c>
      <c r="P390" s="48" t="n">
        <v>2000</v>
      </c>
      <c r="Q390" s="43" t="str">
        <f aca="false">IF($A219="","",IF(OR(F219="",I219=""),"",F219-I219))</f>
        <v/>
      </c>
      <c r="R390" s="43" t="n">
        <f aca="false">IF($A219="","",IF(Q219="","",Q219+IF(O219="",0,O219)))</f>
        <v>949000</v>
      </c>
      <c r="S390" s="48"/>
      <c r="T390" s="43" t="n">
        <f aca="false">IF($A219="","",IF(R219="","",R219-IF(S219="",0,S219)))</f>
        <v>-385000</v>
      </c>
      <c r="U390" s="43" t="str">
        <f aca="false">IF($A219="","",IF(I219="","",I219-SUM(J219:P219)))</f>
        <v/>
      </c>
      <c r="V390" s="6" t="s">
        <v>5011</v>
      </c>
      <c r="W390" s="49" t="s">
        <v>774</v>
      </c>
      <c r="X390" s="9" t="s">
        <v>5027</v>
      </c>
      <c r="Y390" s="9" t="s">
        <v>4897</v>
      </c>
      <c r="Z390" s="9" t="s">
        <v>4898</v>
      </c>
      <c r="AA390" s="9" t="s">
        <v>4899</v>
      </c>
    </row>
    <row r="391" customFormat="false" ht="15" hidden="false" customHeight="true" outlineLevel="0" collapsed="false">
      <c r="A391" s="6" t="s">
        <v>1965</v>
      </c>
      <c r="B391" s="6" t="s">
        <v>502</v>
      </c>
      <c r="C391" s="6" t="s">
        <v>507</v>
      </c>
      <c r="D391" s="6" t="n">
        <v>6</v>
      </c>
      <c r="E391" s="9" t="s">
        <v>4988</v>
      </c>
      <c r="F391" s="42" t="n">
        <v>123923</v>
      </c>
      <c r="G391" s="48" t="n">
        <v>305000</v>
      </c>
      <c r="H391" s="48" t="n">
        <v>21000</v>
      </c>
      <c r="I391" s="48" t="n">
        <v>158000</v>
      </c>
      <c r="J391" s="48" t="n">
        <v>31000</v>
      </c>
      <c r="K391" s="48" t="n">
        <v>19000</v>
      </c>
      <c r="L391" s="48" t="n">
        <v>44000</v>
      </c>
      <c r="M391" s="48" t="n">
        <v>0</v>
      </c>
      <c r="N391" s="48" t="n">
        <v>5000</v>
      </c>
      <c r="O391" s="48" t="n">
        <v>51000</v>
      </c>
      <c r="P391" s="48" t="n">
        <v>5000</v>
      </c>
      <c r="Q391" s="43" t="str">
        <f aca="false">IF($A220="","",IF(OR(F220="",I220=""),"",F220-I220))</f>
        <v/>
      </c>
      <c r="R391" s="43" t="n">
        <f aca="false">IF($A220="","",IF(Q220="","",Q220+IF(O220="",0,O220)))</f>
        <v>432000</v>
      </c>
      <c r="S391" s="48"/>
      <c r="T391" s="43" t="n">
        <f aca="false">IF($A220="","",IF(R220="","",R220-IF(S220="",0,S220)))</f>
        <v>609000</v>
      </c>
      <c r="U391" s="43" t="str">
        <f aca="false">IF($A220="","",IF(I220="","",I220-SUM(J220:P220)))</f>
        <v/>
      </c>
      <c r="V391" s="6" t="s">
        <v>5011</v>
      </c>
      <c r="W391" s="49" t="s">
        <v>774</v>
      </c>
      <c r="X391" s="9" t="s">
        <v>5015</v>
      </c>
      <c r="Y391" s="9" t="s">
        <v>4897</v>
      </c>
      <c r="Z391" s="9" t="s">
        <v>4898</v>
      </c>
      <c r="AA391" s="9" t="s">
        <v>4899</v>
      </c>
    </row>
    <row r="392" customFormat="false" ht="15" hidden="false" customHeight="true" outlineLevel="0" collapsed="false">
      <c r="A392" s="6" t="s">
        <v>1967</v>
      </c>
      <c r="B392" s="6" t="s">
        <v>502</v>
      </c>
      <c r="C392" s="6" t="s">
        <v>507</v>
      </c>
      <c r="D392" s="6" t="n">
        <v>6</v>
      </c>
      <c r="E392" s="9" t="s">
        <v>4988</v>
      </c>
      <c r="F392" s="42" t="n">
        <v>250288</v>
      </c>
      <c r="G392" s="48"/>
      <c r="H392" s="48"/>
      <c r="I392" s="48"/>
      <c r="J392" s="48"/>
      <c r="K392" s="48"/>
      <c r="L392" s="48"/>
      <c r="M392" s="48"/>
      <c r="N392" s="48"/>
      <c r="O392" s="48"/>
      <c r="P392" s="48"/>
      <c r="Q392" s="43" t="str">
        <f aca="false">IF($A221="","",IF(OR(F221="",I221=""),"",F221-I221))</f>
        <v/>
      </c>
      <c r="R392" s="43" t="n">
        <f aca="false">IF($A221="","",IF(Q221="","",Q221+IF(O221="",0,O221)))</f>
        <v>412000</v>
      </c>
      <c r="S392" s="48"/>
      <c r="T392" s="43" t="n">
        <f aca="false">IF($A221="","",IF(R221="","",R221-IF(S221="",0,S221)))</f>
        <v>559000</v>
      </c>
      <c r="U392" s="43" t="str">
        <f aca="false">IF($A221="","",IF(I221="","",I221-SUM(J221:P221)))</f>
        <v/>
      </c>
      <c r="V392" s="6" t="s">
        <v>5011</v>
      </c>
      <c r="W392" s="9" t="s">
        <v>774</v>
      </c>
      <c r="X392" s="9" t="s">
        <v>5028</v>
      </c>
      <c r="Y392" s="9" t="s">
        <v>4897</v>
      </c>
      <c r="Z392" s="9" t="s">
        <v>4898</v>
      </c>
      <c r="AA392" s="9" t="s">
        <v>4899</v>
      </c>
    </row>
    <row r="393" customFormat="false" ht="15" hidden="false" customHeight="true" outlineLevel="0" collapsed="false">
      <c r="A393" s="6" t="s">
        <v>1970</v>
      </c>
      <c r="B393" s="6" t="s">
        <v>502</v>
      </c>
      <c r="C393" s="6" t="s">
        <v>507</v>
      </c>
      <c r="D393" s="6" t="n">
        <v>6</v>
      </c>
      <c r="E393" s="9" t="s">
        <v>4988</v>
      </c>
      <c r="F393" s="42" t="n">
        <v>354254</v>
      </c>
      <c r="G393" s="48" t="n">
        <v>948000</v>
      </c>
      <c r="H393" s="48" t="n">
        <v>116000</v>
      </c>
      <c r="I393" s="48" t="n">
        <v>605000</v>
      </c>
      <c r="J393" s="48" t="n">
        <v>135000</v>
      </c>
      <c r="K393" s="48" t="n">
        <v>145000</v>
      </c>
      <c r="L393" s="48" t="n">
        <v>99000</v>
      </c>
      <c r="M393" s="48" t="n">
        <v>0</v>
      </c>
      <c r="N393" s="48" t="n">
        <v>105000</v>
      </c>
      <c r="O393" s="48" t="n">
        <v>107000</v>
      </c>
      <c r="P393" s="48" t="n">
        <v>11000</v>
      </c>
      <c r="Q393" s="43" t="str">
        <f aca="false">IF($A222="","",IF(OR(F222="",I222=""),"",F222-I222))</f>
        <v/>
      </c>
      <c r="R393" s="43" t="n">
        <f aca="false">IF($A222="","",IF(Q222="","",Q222+IF(O222="",0,O222)))</f>
        <v>130000</v>
      </c>
      <c r="S393" s="48"/>
      <c r="T393" s="43" t="n">
        <f aca="false">IF($A222="","",IF(R222="","",R222-IF(S222="",0,S222)))</f>
        <v>-23000</v>
      </c>
      <c r="U393" s="43" t="str">
        <f aca="false">IF($A222="","",IF(I222="","",I222-SUM(J222:P222)))</f>
        <v/>
      </c>
      <c r="V393" s="6" t="s">
        <v>5011</v>
      </c>
      <c r="W393" s="49" t="s">
        <v>774</v>
      </c>
      <c r="X393" s="9" t="s">
        <v>5029</v>
      </c>
      <c r="Y393" s="9" t="s">
        <v>4897</v>
      </c>
      <c r="Z393" s="9" t="s">
        <v>4898</v>
      </c>
      <c r="AA393" s="9" t="s">
        <v>4899</v>
      </c>
    </row>
    <row r="394" customFormat="false" ht="15" hidden="false" customHeight="true" outlineLevel="0" collapsed="false">
      <c r="A394" s="6" t="s">
        <v>1973</v>
      </c>
      <c r="B394" s="6" t="s">
        <v>502</v>
      </c>
      <c r="C394" s="6" t="s">
        <v>507</v>
      </c>
      <c r="D394" s="6" t="n">
        <v>6</v>
      </c>
      <c r="E394" s="9" t="s">
        <v>4908</v>
      </c>
      <c r="F394" s="48"/>
      <c r="G394" s="48"/>
      <c r="H394" s="48"/>
      <c r="I394" s="48"/>
      <c r="J394" s="48"/>
      <c r="K394" s="48"/>
      <c r="L394" s="48"/>
      <c r="M394" s="48"/>
      <c r="N394" s="48"/>
      <c r="O394" s="48"/>
      <c r="P394" s="48"/>
      <c r="Q394" s="43" t="str">
        <f aca="false">IF($A223="","",IF(OR(F223="",I223=""),"",F223-I223))</f>
        <v/>
      </c>
      <c r="R394" s="43" t="n">
        <f aca="false">IF($A223="","",IF(Q223="","",Q223+IF(O223="",0,O223)))</f>
        <v>207000</v>
      </c>
      <c r="S394" s="48"/>
      <c r="T394" s="43" t="n">
        <f aca="false">IF($A223="","",IF(R223="","",R223-IF(S223="",0,S223)))</f>
        <v>-820000</v>
      </c>
      <c r="U394" s="43" t="str">
        <f aca="false">IF($A223="","",IF(I223="","",I223-SUM(J223:P223)))</f>
        <v/>
      </c>
      <c r="V394" s="6" t="s">
        <v>5013</v>
      </c>
      <c r="W394" s="9" t="s">
        <v>774</v>
      </c>
      <c r="X394" s="9" t="s">
        <v>5030</v>
      </c>
      <c r="Y394" s="9" t="s">
        <v>4897</v>
      </c>
      <c r="Z394" s="9" t="s">
        <v>4898</v>
      </c>
      <c r="AA394" s="9" t="s">
        <v>4899</v>
      </c>
    </row>
    <row r="395" customFormat="false" ht="15" hidden="false" customHeight="true" outlineLevel="0" collapsed="false">
      <c r="A395" s="6" t="s">
        <v>1976</v>
      </c>
      <c r="B395" s="6" t="s">
        <v>502</v>
      </c>
      <c r="C395" s="6" t="s">
        <v>507</v>
      </c>
      <c r="D395" s="6" t="n">
        <v>6</v>
      </c>
      <c r="E395" s="9" t="s">
        <v>4908</v>
      </c>
      <c r="F395" s="48"/>
      <c r="G395" s="48"/>
      <c r="H395" s="48"/>
      <c r="I395" s="48"/>
      <c r="J395" s="48"/>
      <c r="K395" s="48"/>
      <c r="L395" s="48"/>
      <c r="M395" s="48"/>
      <c r="N395" s="48"/>
      <c r="O395" s="48"/>
      <c r="P395" s="48"/>
      <c r="Q395" s="43" t="str">
        <f aca="false">IF($A224="","",IF(OR(F224="",I224=""),"",F224-I224))</f>
        <v/>
      </c>
      <c r="R395" s="43" t="n">
        <f aca="false">IF($A224="","",IF(Q224="","",Q224+IF(O224="",0,O224)))</f>
        <v>107000</v>
      </c>
      <c r="S395" s="48"/>
      <c r="T395" s="43" t="n">
        <f aca="false">IF($A224="","",IF(R224="","",R224-IF(S224="",0,S224)))</f>
        <v>135000</v>
      </c>
      <c r="U395" s="43" t="str">
        <f aca="false">IF($A224="","",IF(I224="","",I224-SUM(J224:P224)))</f>
        <v/>
      </c>
      <c r="V395" s="6" t="s">
        <v>5013</v>
      </c>
      <c r="W395" s="9" t="s">
        <v>774</v>
      </c>
      <c r="X395" s="9" t="s">
        <v>5031</v>
      </c>
      <c r="Y395" s="9" t="s">
        <v>4897</v>
      </c>
      <c r="Z395" s="9" t="s">
        <v>4898</v>
      </c>
      <c r="AA395" s="9" t="s">
        <v>4899</v>
      </c>
    </row>
    <row r="396" customFormat="false" ht="15" hidden="false" customHeight="true" outlineLevel="0" collapsed="false">
      <c r="A396" s="6" t="s">
        <v>1979</v>
      </c>
      <c r="B396" s="6" t="s">
        <v>502</v>
      </c>
      <c r="C396" s="6" t="s">
        <v>507</v>
      </c>
      <c r="D396" s="6" t="n">
        <v>6</v>
      </c>
      <c r="E396" s="9" t="s">
        <v>4988</v>
      </c>
      <c r="F396" s="42" t="n">
        <v>92055</v>
      </c>
      <c r="G396" s="48"/>
      <c r="H396" s="48"/>
      <c r="I396" s="48"/>
      <c r="J396" s="48"/>
      <c r="K396" s="48"/>
      <c r="L396" s="48"/>
      <c r="M396" s="48"/>
      <c r="N396" s="48"/>
      <c r="O396" s="48"/>
      <c r="P396" s="48"/>
      <c r="Q396" s="43" t="str">
        <f aca="false">IF($A225="","",IF(OR(F225="",I225=""),"",F225-I225))</f>
        <v/>
      </c>
      <c r="R396" s="43" t="n">
        <f aca="false">IF($A225="","",IF(Q225="","",Q225+IF(O225="",0,O225)))</f>
        <v>328000</v>
      </c>
      <c r="S396" s="48"/>
      <c r="T396" s="43" t="n">
        <f aca="false">IF($A225="","",IF(R225="","",R225-IF(S225="",0,S225)))</f>
        <v>460000</v>
      </c>
      <c r="U396" s="43" t="str">
        <f aca="false">IF($A225="","",IF(I225="","",I225-SUM(J225:P225)))</f>
        <v/>
      </c>
      <c r="V396" s="6" t="s">
        <v>5011</v>
      </c>
      <c r="W396" s="9" t="s">
        <v>774</v>
      </c>
      <c r="X396" s="9" t="s">
        <v>5015</v>
      </c>
      <c r="Y396" s="9" t="s">
        <v>4897</v>
      </c>
      <c r="Z396" s="9" t="s">
        <v>4898</v>
      </c>
      <c r="AA396" s="9" t="s">
        <v>4899</v>
      </c>
    </row>
    <row r="397" customFormat="false" ht="15" hidden="false" customHeight="true" outlineLevel="0" collapsed="false">
      <c r="A397" s="6" t="s">
        <v>1981</v>
      </c>
      <c r="B397" s="6" t="s">
        <v>502</v>
      </c>
      <c r="C397" s="6" t="s">
        <v>507</v>
      </c>
      <c r="D397" s="6" t="n">
        <v>6</v>
      </c>
      <c r="E397" s="9" t="s">
        <v>4908</v>
      </c>
      <c r="F397" s="48"/>
      <c r="G397" s="48"/>
      <c r="H397" s="48"/>
      <c r="I397" s="48"/>
      <c r="J397" s="48"/>
      <c r="K397" s="48"/>
      <c r="L397" s="48"/>
      <c r="M397" s="48"/>
      <c r="N397" s="48"/>
      <c r="O397" s="48"/>
      <c r="P397" s="48"/>
      <c r="Q397" s="43" t="str">
        <f aca="false">IF($A226="","",IF(OR(F226="",I226=""),"",F226-I226))</f>
        <v/>
      </c>
      <c r="R397" s="43" t="n">
        <f aca="false">IF($A226="","",IF(Q226="","",Q226+IF(O226="",0,O226)))</f>
        <v>217000</v>
      </c>
      <c r="S397" s="48"/>
      <c r="T397" s="43" t="n">
        <f aca="false">IF($A226="","",IF(R226="","",R226-IF(S226="",0,S226)))</f>
        <v>275000</v>
      </c>
      <c r="U397" s="43" t="str">
        <f aca="false">IF($A226="","",IF(I226="","",I226-SUM(J226:P226)))</f>
        <v/>
      </c>
      <c r="V397" s="6" t="s">
        <v>5013</v>
      </c>
      <c r="W397" s="9" t="s">
        <v>774</v>
      </c>
      <c r="X397" s="9" t="s">
        <v>5032</v>
      </c>
      <c r="Y397" s="9" t="s">
        <v>4897</v>
      </c>
      <c r="Z397" s="9" t="s">
        <v>4898</v>
      </c>
      <c r="AA397" s="9" t="s">
        <v>4899</v>
      </c>
    </row>
    <row r="398" customFormat="false" ht="15" hidden="false" customHeight="true" outlineLevel="0" collapsed="false">
      <c r="A398" s="6" t="s">
        <v>1984</v>
      </c>
      <c r="B398" s="6" t="s">
        <v>502</v>
      </c>
      <c r="C398" s="6" t="s">
        <v>507</v>
      </c>
      <c r="D398" s="6" t="n">
        <v>6</v>
      </c>
      <c r="E398" s="9" t="s">
        <v>4908</v>
      </c>
      <c r="F398" s="48" t="n">
        <v>98000</v>
      </c>
      <c r="G398" s="48" t="n">
        <v>85000</v>
      </c>
      <c r="H398" s="48" t="n">
        <v>12000</v>
      </c>
      <c r="I398" s="48" t="n">
        <v>45000</v>
      </c>
      <c r="J398" s="48" t="n">
        <v>10000</v>
      </c>
      <c r="K398" s="48" t="n">
        <v>9000</v>
      </c>
      <c r="L398" s="48" t="n">
        <v>8000</v>
      </c>
      <c r="M398" s="48" t="n">
        <v>0</v>
      </c>
      <c r="N398" s="48" t="n">
        <v>0</v>
      </c>
      <c r="O398" s="48" t="n">
        <v>15000</v>
      </c>
      <c r="P398" s="48" t="n">
        <v>1000</v>
      </c>
      <c r="Q398" s="43" t="str">
        <f aca="false">IF($A227="","",IF(OR(F227="",I227=""),"",F227-I227))</f>
        <v/>
      </c>
      <c r="R398" s="43" t="n">
        <f aca="false">IF($A227="","",IF(Q227="","",Q227+IF(O227="",0,O227)))</f>
        <v>122000</v>
      </c>
      <c r="S398" s="48"/>
      <c r="T398" s="43" t="n">
        <f aca="false">IF($A227="","",IF(R227="","",R227-IF(S227="",0,S227)))</f>
        <v>152000</v>
      </c>
      <c r="U398" s="43" t="str">
        <f aca="false">IF($A227="","",IF(I227="","",I227-SUM(J227:P227)))</f>
        <v/>
      </c>
      <c r="V398" s="6" t="s">
        <v>5013</v>
      </c>
      <c r="W398" s="49" t="s">
        <v>774</v>
      </c>
      <c r="X398" s="9" t="s">
        <v>5033</v>
      </c>
      <c r="Y398" s="9" t="s">
        <v>4897</v>
      </c>
      <c r="Z398" s="9" t="s">
        <v>4898</v>
      </c>
      <c r="AA398" s="9" t="s">
        <v>4899</v>
      </c>
    </row>
    <row r="399" customFormat="false" ht="15" hidden="false" customHeight="true" outlineLevel="0" collapsed="false">
      <c r="A399" s="6" t="s">
        <v>1987</v>
      </c>
      <c r="B399" s="6" t="s">
        <v>502</v>
      </c>
      <c r="C399" s="6" t="s">
        <v>507</v>
      </c>
      <c r="D399" s="6" t="n">
        <v>6</v>
      </c>
      <c r="E399" s="9" t="s">
        <v>4988</v>
      </c>
      <c r="F399" s="42" t="n">
        <v>202859</v>
      </c>
      <c r="G399" s="48" t="n">
        <v>116000</v>
      </c>
      <c r="H399" s="48" t="n">
        <v>15000</v>
      </c>
      <c r="I399" s="48" t="n">
        <v>68000</v>
      </c>
      <c r="J399" s="48" t="n">
        <v>14000</v>
      </c>
      <c r="K399" s="48" t="n">
        <v>9000</v>
      </c>
      <c r="L399" s="48" t="n">
        <v>9000</v>
      </c>
      <c r="M399" s="48" t="n">
        <v>0</v>
      </c>
      <c r="N399" s="48" t="n">
        <v>0</v>
      </c>
      <c r="O399" s="48" t="n">
        <v>16000</v>
      </c>
      <c r="P399" s="48" t="n">
        <v>18000</v>
      </c>
      <c r="Q399" s="43" t="str">
        <f aca="false">IF($A228="","",IF(OR(F228="",I228=""),"",F228-I228))</f>
        <v/>
      </c>
      <c r="R399" s="43" t="n">
        <f aca="false">IF($A228="","",IF(Q228="","",Q228+IF(O228="",0,O228)))</f>
        <v>129000</v>
      </c>
      <c r="S399" s="48"/>
      <c r="T399" s="43" t="n">
        <f aca="false">IF($A228="","",IF(R228="","",R228-IF(S228="",0,S228)))</f>
        <v>17000</v>
      </c>
      <c r="U399" s="43" t="str">
        <f aca="false">IF($A228="","",IF(I228="","",I228-SUM(J228:P228)))</f>
        <v/>
      </c>
      <c r="V399" s="6" t="s">
        <v>5011</v>
      </c>
      <c r="W399" s="49" t="s">
        <v>774</v>
      </c>
      <c r="X399" s="9" t="s">
        <v>5015</v>
      </c>
      <c r="Y399" s="9" t="s">
        <v>4897</v>
      </c>
      <c r="Z399" s="9" t="s">
        <v>4898</v>
      </c>
      <c r="AA399" s="9" t="s">
        <v>4899</v>
      </c>
    </row>
    <row r="400" customFormat="false" ht="15" hidden="false" customHeight="true" outlineLevel="0" collapsed="false">
      <c r="A400" s="6" t="s">
        <v>1989</v>
      </c>
      <c r="B400" s="6" t="s">
        <v>502</v>
      </c>
      <c r="C400" s="6" t="s">
        <v>507</v>
      </c>
      <c r="D400" s="6" t="n">
        <v>6</v>
      </c>
      <c r="E400" s="9" t="s">
        <v>4988</v>
      </c>
      <c r="F400" s="42" t="n">
        <v>88804</v>
      </c>
      <c r="G400" s="48" t="n">
        <v>94000</v>
      </c>
      <c r="H400" s="48" t="n">
        <v>12000</v>
      </c>
      <c r="I400" s="48" t="n">
        <v>51000</v>
      </c>
      <c r="J400" s="48" t="n">
        <v>10000</v>
      </c>
      <c r="K400" s="48" t="n">
        <v>7000</v>
      </c>
      <c r="L400" s="48" t="n">
        <v>10000</v>
      </c>
      <c r="M400" s="48" t="n">
        <v>0</v>
      </c>
      <c r="N400" s="48" t="n">
        <v>7000</v>
      </c>
      <c r="O400" s="48" t="n">
        <v>14000</v>
      </c>
      <c r="P400" s="48" t="n">
        <v>1000</v>
      </c>
      <c r="Q400" s="43" t="str">
        <f aca="false">IF($A229="","",IF(OR(F229="",I229=""),"",F229-I229))</f>
        <v/>
      </c>
      <c r="R400" s="43" t="n">
        <f aca="false">IF($A229="","",IF(Q229="","",Q229+IF(O229="",0,O229)))</f>
        <v>480000</v>
      </c>
      <c r="S400" s="48"/>
      <c r="T400" s="43" t="n">
        <f aca="false">IF($A229="","",IF(R229="","",R229-IF(S229="",0,S229)))</f>
        <v>480000</v>
      </c>
      <c r="U400" s="43" t="str">
        <f aca="false">IF($A229="","",IF(I229="","",I229-SUM(J229:P229)))</f>
        <v/>
      </c>
      <c r="V400" s="6" t="s">
        <v>5011</v>
      </c>
      <c r="W400" s="49" t="s">
        <v>774</v>
      </c>
      <c r="X400" s="9" t="s">
        <v>5015</v>
      </c>
      <c r="Y400" s="9" t="s">
        <v>4897</v>
      </c>
      <c r="Z400" s="9" t="s">
        <v>4898</v>
      </c>
      <c r="AA400" s="9" t="s">
        <v>4899</v>
      </c>
    </row>
    <row r="401" customFormat="false" ht="15" hidden="false" customHeight="true" outlineLevel="0" collapsed="false">
      <c r="A401" s="6" t="s">
        <v>1991</v>
      </c>
      <c r="B401" s="6" t="s">
        <v>502</v>
      </c>
      <c r="C401" s="6" t="s">
        <v>507</v>
      </c>
      <c r="D401" s="6" t="n">
        <v>6</v>
      </c>
      <c r="E401" s="9" t="s">
        <v>4988</v>
      </c>
      <c r="F401" s="42" t="n">
        <v>273348</v>
      </c>
      <c r="G401" s="48" t="n">
        <v>192000</v>
      </c>
      <c r="H401" s="48" t="n">
        <v>23000</v>
      </c>
      <c r="I401" s="48" t="n">
        <v>67000</v>
      </c>
      <c r="J401" s="48" t="n">
        <v>13000</v>
      </c>
      <c r="K401" s="48" t="n">
        <v>12000</v>
      </c>
      <c r="L401" s="48" t="n">
        <v>14000</v>
      </c>
      <c r="M401" s="48" t="n">
        <v>0</v>
      </c>
      <c r="N401" s="48" t="n">
        <v>0</v>
      </c>
      <c r="O401" s="48" t="n">
        <v>22000</v>
      </c>
      <c r="P401" s="48" t="n">
        <v>4000</v>
      </c>
      <c r="Q401" s="43" t="str">
        <f aca="false">IF($A230="","",IF(OR(F230="",I230=""),"",F230-I230))</f>
        <v/>
      </c>
      <c r="R401" s="43" t="n">
        <f aca="false">IF($A230="","",IF(Q230="","",Q230+IF(O230="",0,O230)))</f>
        <v>240000</v>
      </c>
      <c r="S401" s="48"/>
      <c r="T401" s="43" t="n">
        <f aca="false">IF($A230="","",IF(R230="","",R230-IF(S230="",0,S230)))</f>
        <v>896000</v>
      </c>
      <c r="U401" s="43" t="str">
        <f aca="false">IF($A230="","",IF(I230="","",I230-SUM(J230:P230)))</f>
        <v/>
      </c>
      <c r="V401" s="6" t="s">
        <v>5011</v>
      </c>
      <c r="W401" s="49" t="s">
        <v>774</v>
      </c>
      <c r="X401" s="9" t="s">
        <v>5015</v>
      </c>
      <c r="Y401" s="9" t="s">
        <v>4897</v>
      </c>
      <c r="Z401" s="9" t="s">
        <v>4898</v>
      </c>
      <c r="AA401" s="9" t="s">
        <v>4899</v>
      </c>
    </row>
    <row r="402" customFormat="false" ht="15" hidden="false" customHeight="true" outlineLevel="0" collapsed="false">
      <c r="A402" s="6" t="s">
        <v>1994</v>
      </c>
      <c r="B402" s="6" t="s">
        <v>502</v>
      </c>
      <c r="C402" s="6" t="s">
        <v>507</v>
      </c>
      <c r="D402" s="6" t="n">
        <v>6</v>
      </c>
      <c r="E402" s="9" t="s">
        <v>4988</v>
      </c>
      <c r="F402" s="42" t="n">
        <v>138347</v>
      </c>
      <c r="G402" s="48" t="n">
        <v>656000</v>
      </c>
      <c r="H402" s="48" t="n">
        <v>106000</v>
      </c>
      <c r="I402" s="48" t="n">
        <v>369000</v>
      </c>
      <c r="J402" s="48" t="n">
        <v>71000</v>
      </c>
      <c r="K402" s="48" t="n">
        <v>68000</v>
      </c>
      <c r="L402" s="48" t="n">
        <v>37000</v>
      </c>
      <c r="M402" s="48" t="n">
        <v>0</v>
      </c>
      <c r="N402" s="48" t="n">
        <v>14000</v>
      </c>
      <c r="O402" s="48" t="n">
        <v>170000</v>
      </c>
      <c r="P402" s="48" t="n">
        <v>5000</v>
      </c>
      <c r="Q402" s="43" t="str">
        <f aca="false">IF($A231="","",IF(OR(F231="",I231=""),"",F231-I231))</f>
        <v/>
      </c>
      <c r="R402" s="43" t="n">
        <f aca="false">IF($A231="","",IF(Q231="","",Q231+IF(O231="",0,O231)))</f>
        <v>414000</v>
      </c>
      <c r="S402" s="48"/>
      <c r="T402" s="43" t="n">
        <f aca="false">IF($A231="","",IF(R231="","",R231-IF(S231="",0,S231)))</f>
        <v>532000</v>
      </c>
      <c r="U402" s="43" t="str">
        <f aca="false">IF($A231="","",IF(I231="","",I231-SUM(J231:P231)))</f>
        <v/>
      </c>
      <c r="V402" s="6" t="s">
        <v>5011</v>
      </c>
      <c r="W402" s="49" t="s">
        <v>774</v>
      </c>
      <c r="X402" s="9" t="s">
        <v>5034</v>
      </c>
      <c r="Y402" s="9" t="s">
        <v>4897</v>
      </c>
      <c r="Z402" s="9" t="s">
        <v>4898</v>
      </c>
      <c r="AA402" s="9" t="s">
        <v>4899</v>
      </c>
    </row>
    <row r="403" customFormat="false" ht="15" hidden="false" customHeight="true" outlineLevel="0" collapsed="false">
      <c r="A403" s="6" t="s">
        <v>1998</v>
      </c>
      <c r="B403" s="6" t="s">
        <v>502</v>
      </c>
      <c r="C403" s="6" t="s">
        <v>507</v>
      </c>
      <c r="D403" s="6" t="n">
        <v>6</v>
      </c>
      <c r="E403" s="9" t="s">
        <v>4988</v>
      </c>
      <c r="F403" s="42" t="n">
        <v>132043</v>
      </c>
      <c r="G403" s="48" t="n">
        <v>238000</v>
      </c>
      <c r="H403" s="48" t="n">
        <v>11000</v>
      </c>
      <c r="I403" s="48" t="n">
        <v>121000</v>
      </c>
      <c r="J403" s="48" t="n">
        <v>29000</v>
      </c>
      <c r="K403" s="48" t="n">
        <v>14000</v>
      </c>
      <c r="L403" s="48" t="n">
        <v>19000</v>
      </c>
      <c r="M403" s="48" t="n">
        <v>0</v>
      </c>
      <c r="N403" s="48" t="n">
        <v>1000</v>
      </c>
      <c r="O403" s="48" t="n">
        <v>51000</v>
      </c>
      <c r="P403" s="48" t="n">
        <v>4000</v>
      </c>
      <c r="Q403" s="43" t="str">
        <f aca="false">IF($A232="","",IF(OR(F232="",I232=""),"",F232-I232))</f>
        <v/>
      </c>
      <c r="R403" s="43" t="n">
        <f aca="false">IF($A232="","",IF(Q232="","",Q232+IF(O232="",0,O232)))</f>
        <v>409000</v>
      </c>
      <c r="S403" s="48"/>
      <c r="T403" s="43" t="n">
        <f aca="false">IF($A232="","",IF(R232="","",R232-IF(S232="",0,S232)))</f>
        <v>595000</v>
      </c>
      <c r="U403" s="43" t="str">
        <f aca="false">IF($A232="","",IF(I232="","",I232-SUM(J232:P232)))</f>
        <v/>
      </c>
      <c r="V403" s="6" t="s">
        <v>5011</v>
      </c>
      <c r="W403" s="49" t="s">
        <v>774</v>
      </c>
      <c r="X403" s="9" t="s">
        <v>5035</v>
      </c>
      <c r="Y403" s="6" t="s">
        <v>4920</v>
      </c>
      <c r="Z403" s="9" t="s">
        <v>4921</v>
      </c>
      <c r="AA403" s="9" t="s">
        <v>4899</v>
      </c>
    </row>
    <row r="404" customFormat="false" ht="15" hidden="false" customHeight="true" outlineLevel="0" collapsed="false">
      <c r="A404" s="6" t="s">
        <v>2002</v>
      </c>
      <c r="B404" s="6" t="s">
        <v>502</v>
      </c>
      <c r="C404" s="6" t="s">
        <v>507</v>
      </c>
      <c r="D404" s="6" t="n">
        <v>6</v>
      </c>
      <c r="E404" s="9" t="s">
        <v>4988</v>
      </c>
      <c r="F404" s="42" t="n">
        <v>124848</v>
      </c>
      <c r="G404" s="48" t="n">
        <v>192000</v>
      </c>
      <c r="H404" s="48" t="n">
        <v>15000</v>
      </c>
      <c r="I404" s="48" t="n">
        <v>106000</v>
      </c>
      <c r="J404" s="48" t="n">
        <v>18000</v>
      </c>
      <c r="K404" s="48" t="n">
        <v>15000</v>
      </c>
      <c r="L404" s="48" t="n">
        <v>21000</v>
      </c>
      <c r="M404" s="48" t="n">
        <v>0</v>
      </c>
      <c r="N404" s="48" t="n">
        <v>10000</v>
      </c>
      <c r="O404" s="48" t="n">
        <v>37000</v>
      </c>
      <c r="P404" s="48" t="n">
        <v>1000</v>
      </c>
      <c r="Q404" s="43" t="n">
        <f aca="false">IF($A233="","",IF(OR(F233="",I233=""),"",F233-I233))</f>
        <v>4939181</v>
      </c>
      <c r="R404" s="43" t="n">
        <f aca="false">IF($A233="","",IF(Q233="","",Q233+IF(O233="",0,O233)))</f>
        <v>-2051398</v>
      </c>
      <c r="S404" s="48"/>
      <c r="T404" s="43" t="str">
        <f aca="false">IF($A233="","",IF(R233="","",R233-IF(S233="",0,S233)))</f>
        <v/>
      </c>
      <c r="U404" s="43" t="n">
        <f aca="false">IF($A233="","",IF(I233="","",I233-SUM(J233:P233)))</f>
        <v>2</v>
      </c>
      <c r="V404" s="6" t="s">
        <v>5011</v>
      </c>
      <c r="W404" s="49" t="s">
        <v>774</v>
      </c>
      <c r="X404" s="9" t="s">
        <v>5036</v>
      </c>
      <c r="Y404" s="9" t="s">
        <v>4897</v>
      </c>
      <c r="Z404" s="9" t="s">
        <v>4898</v>
      </c>
      <c r="AA404" s="9" t="s">
        <v>4899</v>
      </c>
    </row>
    <row r="405" customFormat="false" ht="15" hidden="false" customHeight="true" outlineLevel="0" collapsed="false">
      <c r="A405" s="6" t="s">
        <v>2005</v>
      </c>
      <c r="B405" s="6" t="s">
        <v>502</v>
      </c>
      <c r="C405" s="6" t="s">
        <v>507</v>
      </c>
      <c r="D405" s="6" t="n">
        <v>6</v>
      </c>
      <c r="E405" s="9" t="s">
        <v>4988</v>
      </c>
      <c r="F405" s="42" t="n">
        <v>509506</v>
      </c>
      <c r="G405" s="48"/>
      <c r="H405" s="48"/>
      <c r="I405" s="48"/>
      <c r="J405" s="48"/>
      <c r="K405" s="48"/>
      <c r="L405" s="48"/>
      <c r="M405" s="48"/>
      <c r="N405" s="48"/>
      <c r="O405" s="48"/>
      <c r="P405" s="48"/>
      <c r="Q405" s="43" t="str">
        <f aca="false">IF($A234="","",IF(OR(F234="",I234=""),"",F234-I234))</f>
        <v/>
      </c>
      <c r="R405" s="43" t="str">
        <f aca="false">IF($A234="","",IF(Q234="","",Q234+IF(O234="",0,O234)))</f>
        <v/>
      </c>
      <c r="S405" s="48"/>
      <c r="T405" s="43" t="n">
        <f aca="false">IF($A234="","",IF(R234="","",R234-IF(S234="",0,S234)))</f>
        <v>340331</v>
      </c>
      <c r="U405" s="43" t="str">
        <f aca="false">IF($A234="","",IF(I234="","",I234-SUM(J234:P234)))</f>
        <v/>
      </c>
      <c r="V405" s="6" t="s">
        <v>5011</v>
      </c>
      <c r="W405" s="9" t="s">
        <v>774</v>
      </c>
      <c r="X405" s="9" t="s">
        <v>5015</v>
      </c>
      <c r="Y405" s="9" t="s">
        <v>4897</v>
      </c>
      <c r="Z405" s="9" t="s">
        <v>4898</v>
      </c>
      <c r="AA405" s="9" t="s">
        <v>4899</v>
      </c>
    </row>
    <row r="406" customFormat="false" ht="15" hidden="false" customHeight="true" outlineLevel="0" collapsed="false">
      <c r="A406" s="6" t="s">
        <v>2008</v>
      </c>
      <c r="B406" s="6" t="s">
        <v>502</v>
      </c>
      <c r="C406" s="6" t="s">
        <v>507</v>
      </c>
      <c r="D406" s="6" t="n">
        <v>6</v>
      </c>
      <c r="E406" s="9" t="s">
        <v>4988</v>
      </c>
      <c r="F406" s="42" t="n">
        <v>153825</v>
      </c>
      <c r="G406" s="48" t="n">
        <v>137000</v>
      </c>
      <c r="H406" s="48" t="n">
        <v>22000</v>
      </c>
      <c r="I406" s="48" t="n">
        <v>76000</v>
      </c>
      <c r="J406" s="48" t="n">
        <v>14000</v>
      </c>
      <c r="K406" s="48" t="n">
        <v>9000</v>
      </c>
      <c r="L406" s="48" t="n">
        <v>13000</v>
      </c>
      <c r="M406" s="48" t="n">
        <v>0</v>
      </c>
      <c r="N406" s="48" t="n">
        <v>0</v>
      </c>
      <c r="O406" s="48" t="n">
        <v>36000</v>
      </c>
      <c r="P406" s="48" t="n">
        <v>1000</v>
      </c>
      <c r="Q406" s="43" t="str">
        <f aca="false">IF($A235="","",IF(OR(F235="",I235=""),"",F235-I235))</f>
        <v/>
      </c>
      <c r="R406" s="43" t="str">
        <f aca="false">IF($A235="","",IF(Q235="","",Q235+IF(O235="",0,O235)))</f>
        <v/>
      </c>
      <c r="S406" s="48"/>
      <c r="T406" s="43" t="n">
        <f aca="false">IF($A235="","",IF(R235="","",R235-IF(S235="",0,S235)))</f>
        <v>447545</v>
      </c>
      <c r="U406" s="43" t="str">
        <f aca="false">IF($A235="","",IF(I235="","",I235-SUM(J235:P235)))</f>
        <v/>
      </c>
      <c r="V406" s="6" t="s">
        <v>5011</v>
      </c>
      <c r="W406" s="49" t="s">
        <v>774</v>
      </c>
      <c r="X406" s="9" t="s">
        <v>5037</v>
      </c>
      <c r="Y406" s="9" t="s">
        <v>4897</v>
      </c>
      <c r="Z406" s="9" t="s">
        <v>4898</v>
      </c>
      <c r="AA406" s="9" t="s">
        <v>4899</v>
      </c>
    </row>
    <row r="407" customFormat="false" ht="15" hidden="false" customHeight="true" outlineLevel="0" collapsed="false">
      <c r="A407" s="6" t="s">
        <v>2011</v>
      </c>
      <c r="B407" s="6" t="s">
        <v>502</v>
      </c>
      <c r="C407" s="6" t="s">
        <v>507</v>
      </c>
      <c r="D407" s="6" t="n">
        <v>6</v>
      </c>
      <c r="E407" s="9" t="s">
        <v>4988</v>
      </c>
      <c r="F407" s="42" t="n">
        <v>516199</v>
      </c>
      <c r="G407" s="48" t="n">
        <v>93000</v>
      </c>
      <c r="H407" s="48" t="n">
        <v>14000</v>
      </c>
      <c r="I407" s="48" t="n">
        <v>52000</v>
      </c>
      <c r="J407" s="48" t="n">
        <v>16000</v>
      </c>
      <c r="K407" s="48" t="n">
        <v>6000</v>
      </c>
      <c r="L407" s="48" t="n">
        <v>5000</v>
      </c>
      <c r="M407" s="48" t="n">
        <v>0</v>
      </c>
      <c r="N407" s="48" t="n">
        <v>3000</v>
      </c>
      <c r="O407" s="48" t="n">
        <v>19000</v>
      </c>
      <c r="P407" s="48" t="n">
        <v>1000</v>
      </c>
      <c r="Q407" s="43" t="str">
        <f aca="false">IF($A236="","",IF(OR(F236="",I236=""),"",F236-I236))</f>
        <v/>
      </c>
      <c r="R407" s="43" t="str">
        <f aca="false">IF($A236="","",IF(Q236="","",Q236+IF(O236="",0,O236)))</f>
        <v/>
      </c>
      <c r="S407" s="48"/>
      <c r="T407" s="43" t="n">
        <f aca="false">IF($A236="","",IF(R236="","",R236-IF(S236="",0,S236)))</f>
        <v>674637</v>
      </c>
      <c r="U407" s="43" t="str">
        <f aca="false">IF($A236="","",IF(I236="","",I236-SUM(J236:P236)))</f>
        <v/>
      </c>
      <c r="V407" s="6" t="s">
        <v>5011</v>
      </c>
      <c r="W407" s="49" t="s">
        <v>774</v>
      </c>
      <c r="X407" s="9" t="s">
        <v>5038</v>
      </c>
      <c r="Y407" s="9" t="s">
        <v>4897</v>
      </c>
      <c r="Z407" s="9" t="s">
        <v>4898</v>
      </c>
      <c r="AA407" s="9" t="s">
        <v>4899</v>
      </c>
    </row>
    <row r="408" customFormat="false" ht="15" hidden="false" customHeight="true" outlineLevel="0" collapsed="false">
      <c r="A408" s="6" t="s">
        <v>2014</v>
      </c>
      <c r="B408" s="6" t="s">
        <v>502</v>
      </c>
      <c r="C408" s="6" t="s">
        <v>507</v>
      </c>
      <c r="D408" s="6" t="n">
        <v>6</v>
      </c>
      <c r="E408" s="9" t="s">
        <v>4988</v>
      </c>
      <c r="F408" s="42" t="n">
        <v>342713</v>
      </c>
      <c r="G408" s="48" t="n">
        <v>68000</v>
      </c>
      <c r="H408" s="48" t="n">
        <v>6000</v>
      </c>
      <c r="I408" s="48" t="n">
        <v>35000</v>
      </c>
      <c r="J408" s="48" t="n">
        <v>12000</v>
      </c>
      <c r="K408" s="48" t="n">
        <v>4000</v>
      </c>
      <c r="L408" s="48" t="n">
        <v>5000</v>
      </c>
      <c r="M408" s="48" t="n">
        <v>0</v>
      </c>
      <c r="N408" s="48" t="n">
        <v>1000</v>
      </c>
      <c r="O408" s="48" t="n">
        <v>10000</v>
      </c>
      <c r="P408" s="48" t="n">
        <v>0</v>
      </c>
      <c r="Q408" s="43" t="str">
        <f aca="false">IF($A237="","",IF(OR(F237="",I237=""),"",F237-I237))</f>
        <v/>
      </c>
      <c r="R408" s="43" t="str">
        <f aca="false">IF($A237="","",IF(Q237="","",Q237+IF(O237="",0,O237)))</f>
        <v/>
      </c>
      <c r="S408" s="48"/>
      <c r="T408" s="43" t="n">
        <f aca="false">IF($A237="","",IF(R237="","",R237-IF(S237="",0,S237)))</f>
        <v>306028</v>
      </c>
      <c r="U408" s="43" t="str">
        <f aca="false">IF($A237="","",IF(I237="","",I237-SUM(J237:P237)))</f>
        <v/>
      </c>
      <c r="V408" s="6" t="s">
        <v>5011</v>
      </c>
      <c r="W408" s="49" t="s">
        <v>774</v>
      </c>
      <c r="X408" s="9" t="s">
        <v>5034</v>
      </c>
      <c r="Y408" s="9" t="s">
        <v>4897</v>
      </c>
      <c r="Z408" s="9" t="s">
        <v>4898</v>
      </c>
      <c r="AA408" s="9" t="s">
        <v>4899</v>
      </c>
    </row>
    <row r="409" customFormat="false" ht="15" hidden="false" customHeight="true" outlineLevel="0" collapsed="false">
      <c r="A409" s="6" t="s">
        <v>2016</v>
      </c>
      <c r="B409" s="6" t="s">
        <v>502</v>
      </c>
      <c r="C409" s="6" t="s">
        <v>507</v>
      </c>
      <c r="D409" s="6" t="n">
        <v>6</v>
      </c>
      <c r="E409" s="9" t="s">
        <v>4988</v>
      </c>
      <c r="F409" s="42" t="n">
        <v>998074</v>
      </c>
      <c r="G409" s="48" t="n">
        <v>217000</v>
      </c>
      <c r="H409" s="48" t="n">
        <v>27000</v>
      </c>
      <c r="I409" s="48" t="n">
        <v>137000</v>
      </c>
      <c r="J409" s="48" t="n">
        <v>36000</v>
      </c>
      <c r="K409" s="48" t="n">
        <v>20000</v>
      </c>
      <c r="L409" s="48" t="n">
        <v>23000</v>
      </c>
      <c r="M409" s="48" t="n">
        <v>0</v>
      </c>
      <c r="N409" s="48" t="n">
        <v>2000</v>
      </c>
      <c r="O409" s="48" t="n">
        <v>50000</v>
      </c>
      <c r="P409" s="48" t="n">
        <v>2000</v>
      </c>
      <c r="Q409" s="43" t="str">
        <f aca="false">IF($A238="","",IF(OR(F238="",I238=""),"",F238-I238))</f>
        <v/>
      </c>
      <c r="R409" s="43" t="str">
        <f aca="false">IF($A238="","",IF(Q238="","",Q238+IF(O238="",0,O238)))</f>
        <v/>
      </c>
      <c r="S409" s="48"/>
      <c r="T409" s="43" t="n">
        <f aca="false">IF($A238="","",IF(R238="","",R238-IF(S238="",0,S238)))</f>
        <v>965308</v>
      </c>
      <c r="U409" s="43" t="str">
        <f aca="false">IF($A238="","",IF(I238="","",I238-SUM(J238:P238)))</f>
        <v/>
      </c>
      <c r="V409" s="6" t="s">
        <v>5011</v>
      </c>
      <c r="W409" s="49" t="s">
        <v>774</v>
      </c>
      <c r="X409" s="9" t="s">
        <v>5039</v>
      </c>
      <c r="Y409" s="9" t="s">
        <v>4897</v>
      </c>
      <c r="Z409" s="9" t="s">
        <v>4898</v>
      </c>
      <c r="AA409" s="9" t="s">
        <v>4899</v>
      </c>
    </row>
    <row r="410" customFormat="false" ht="15" hidden="false" customHeight="true" outlineLevel="0" collapsed="false">
      <c r="A410" s="6" t="s">
        <v>2019</v>
      </c>
      <c r="B410" s="6" t="s">
        <v>502</v>
      </c>
      <c r="C410" s="6" t="s">
        <v>507</v>
      </c>
      <c r="D410" s="6" t="n">
        <v>6</v>
      </c>
      <c r="E410" s="9" t="s">
        <v>4988</v>
      </c>
      <c r="F410" s="42" t="n">
        <v>307314</v>
      </c>
      <c r="G410" s="48" t="n">
        <v>399000</v>
      </c>
      <c r="H410" s="48" t="n">
        <v>59000</v>
      </c>
      <c r="I410" s="48" t="n">
        <v>276000</v>
      </c>
      <c r="J410" s="48" t="n">
        <v>83000</v>
      </c>
      <c r="K410" s="48" t="n">
        <v>32000</v>
      </c>
      <c r="L410" s="48" t="n">
        <v>69000</v>
      </c>
      <c r="M410" s="48" t="n">
        <v>0</v>
      </c>
      <c r="N410" s="48" t="n">
        <v>8000</v>
      </c>
      <c r="O410" s="48" t="n">
        <v>25000</v>
      </c>
      <c r="P410" s="48" t="n">
        <v>57000</v>
      </c>
      <c r="Q410" s="43" t="str">
        <f aca="false">IF($A239="","",IF(OR(F239="",I239=""),"",F239-I239))</f>
        <v/>
      </c>
      <c r="R410" s="43" t="str">
        <f aca="false">IF($A239="","",IF(Q239="","",Q239+IF(O239="",0,O239)))</f>
        <v/>
      </c>
      <c r="S410" s="48"/>
      <c r="T410" s="43" t="n">
        <f aca="false">IF($A239="","",IF(R239="","",R239-IF(S239="",0,S239)))</f>
        <v>311948</v>
      </c>
      <c r="U410" s="43" t="str">
        <f aca="false">IF($A239="","",IF(I239="","",I239-SUM(J239:P239)))</f>
        <v/>
      </c>
      <c r="V410" s="6" t="s">
        <v>5011</v>
      </c>
      <c r="W410" s="49" t="s">
        <v>774</v>
      </c>
      <c r="X410" s="9" t="s">
        <v>5015</v>
      </c>
      <c r="Y410" s="9" t="s">
        <v>4897</v>
      </c>
      <c r="Z410" s="9" t="s">
        <v>4898</v>
      </c>
      <c r="AA410" s="9" t="s">
        <v>4899</v>
      </c>
    </row>
    <row r="411" customFormat="false" ht="15" hidden="false" customHeight="true" outlineLevel="0" collapsed="false">
      <c r="A411" s="6" t="s">
        <v>2021</v>
      </c>
      <c r="B411" s="6" t="s">
        <v>502</v>
      </c>
      <c r="C411" s="6" t="s">
        <v>507</v>
      </c>
      <c r="D411" s="6" t="n">
        <v>6</v>
      </c>
      <c r="E411" s="9" t="s">
        <v>4988</v>
      </c>
      <c r="F411" s="42" t="n">
        <v>282546</v>
      </c>
      <c r="G411" s="48" t="n">
        <v>283000</v>
      </c>
      <c r="H411" s="48" t="n">
        <v>33000</v>
      </c>
      <c r="I411" s="48" t="n">
        <v>169000</v>
      </c>
      <c r="J411" s="48" t="n">
        <v>36000</v>
      </c>
      <c r="K411" s="48" t="n">
        <v>25000</v>
      </c>
      <c r="L411" s="48" t="n">
        <v>29000</v>
      </c>
      <c r="M411" s="48" t="n">
        <v>0</v>
      </c>
      <c r="N411" s="48" t="n">
        <v>54000</v>
      </c>
      <c r="O411" s="48" t="n">
        <v>20000</v>
      </c>
      <c r="P411" s="48" t="n">
        <v>2000</v>
      </c>
      <c r="Q411" s="43" t="str">
        <f aca="false">IF($A240="","",IF(OR(F240="",I240=""),"",F240-I240))</f>
        <v/>
      </c>
      <c r="R411" s="43" t="str">
        <f aca="false">IF($A240="","",IF(Q240="","",Q240+IF(O240="",0,O240)))</f>
        <v/>
      </c>
      <c r="S411" s="48"/>
      <c r="T411" s="43" t="n">
        <f aca="false">IF($A240="","",IF(R240="","",R240-IF(S240="",0,S240)))</f>
        <v>-5376</v>
      </c>
      <c r="U411" s="43" t="str">
        <f aca="false">IF($A240="","",IF(I240="","",I240-SUM(J240:P240)))</f>
        <v/>
      </c>
      <c r="V411" s="6" t="s">
        <v>5011</v>
      </c>
      <c r="W411" s="49" t="s">
        <v>774</v>
      </c>
      <c r="X411" s="9" t="s">
        <v>5015</v>
      </c>
      <c r="Y411" s="9" t="s">
        <v>4897</v>
      </c>
      <c r="Z411" s="9" t="s">
        <v>4898</v>
      </c>
      <c r="AA411" s="9" t="s">
        <v>4899</v>
      </c>
    </row>
    <row r="412" customFormat="false" ht="15" hidden="false" customHeight="true" outlineLevel="0" collapsed="false">
      <c r="A412" s="6" t="s">
        <v>2023</v>
      </c>
      <c r="B412" s="6" t="s">
        <v>502</v>
      </c>
      <c r="C412" s="6" t="s">
        <v>507</v>
      </c>
      <c r="D412" s="6" t="n">
        <v>6</v>
      </c>
      <c r="E412" s="9" t="s">
        <v>4988</v>
      </c>
      <c r="F412" s="42" t="n">
        <v>435066</v>
      </c>
      <c r="G412" s="48" t="n">
        <v>159000</v>
      </c>
      <c r="H412" s="48" t="n">
        <v>13000</v>
      </c>
      <c r="I412" s="48" t="n">
        <v>68000</v>
      </c>
      <c r="J412" s="48" t="n">
        <v>23000</v>
      </c>
      <c r="K412" s="48" t="n">
        <v>1000</v>
      </c>
      <c r="L412" s="48" t="n">
        <v>8000</v>
      </c>
      <c r="M412" s="48" t="n">
        <v>0</v>
      </c>
      <c r="N412" s="48" t="n">
        <v>6000</v>
      </c>
      <c r="O412" s="48" t="n">
        <v>25000</v>
      </c>
      <c r="P412" s="48" t="n">
        <v>3000</v>
      </c>
      <c r="Q412" s="43" t="str">
        <f aca="false">IF($A241="","",IF(OR(F241="",I241=""),"",F241-I241))</f>
        <v/>
      </c>
      <c r="R412" s="43" t="str">
        <f aca="false">IF($A241="","",IF(Q241="","",Q241+IF(O241="",0,O241)))</f>
        <v/>
      </c>
      <c r="S412" s="48"/>
      <c r="T412" s="43" t="n">
        <f aca="false">IF($A241="","",IF(R241="","",R241-IF(S241="",0,S241)))</f>
        <v>2325</v>
      </c>
      <c r="U412" s="43" t="str">
        <f aca="false">IF($A241="","",IF(I241="","",I241-SUM(J241:P241)))</f>
        <v/>
      </c>
      <c r="V412" s="6" t="s">
        <v>5011</v>
      </c>
      <c r="W412" s="49" t="s">
        <v>774</v>
      </c>
      <c r="X412" s="9" t="s">
        <v>5040</v>
      </c>
      <c r="Y412" s="9" t="s">
        <v>4897</v>
      </c>
      <c r="Z412" s="9" t="s">
        <v>4898</v>
      </c>
      <c r="AA412" s="9" t="s">
        <v>4899</v>
      </c>
    </row>
    <row r="413" customFormat="false" ht="15" hidden="false" customHeight="true" outlineLevel="0" collapsed="false">
      <c r="A413" s="6" t="s">
        <v>2026</v>
      </c>
      <c r="B413" s="6" t="s">
        <v>502</v>
      </c>
      <c r="C413" s="6" t="s">
        <v>507</v>
      </c>
      <c r="D413" s="6" t="n">
        <v>6</v>
      </c>
      <c r="E413" s="9" t="s">
        <v>4988</v>
      </c>
      <c r="F413" s="42" t="n">
        <v>1194667</v>
      </c>
      <c r="G413" s="48" t="n">
        <v>56000</v>
      </c>
      <c r="H413" s="48" t="n">
        <v>6000</v>
      </c>
      <c r="I413" s="48" t="n">
        <v>19000</v>
      </c>
      <c r="J413" s="48" t="n">
        <v>6000</v>
      </c>
      <c r="K413" s="48" t="n">
        <v>1000</v>
      </c>
      <c r="L413" s="48" t="n">
        <v>3000</v>
      </c>
      <c r="M413" s="48" t="n">
        <v>0</v>
      </c>
      <c r="N413" s="48" t="n">
        <v>1000</v>
      </c>
      <c r="O413" s="48" t="n">
        <v>6000</v>
      </c>
      <c r="P413" s="48" t="n">
        <v>0</v>
      </c>
      <c r="Q413" s="43" t="str">
        <f aca="false">IF($A242="","",IF(OR(F242="",I242=""),"",F242-I242))</f>
        <v/>
      </c>
      <c r="R413" s="43" t="str">
        <f aca="false">IF($A242="","",IF(Q242="","",Q242+IF(O242="",0,O242)))</f>
        <v/>
      </c>
      <c r="S413" s="48"/>
      <c r="T413" s="43" t="n">
        <f aca="false">IF($A242="","",IF(R242="","",R242-IF(S242="",0,S242)))</f>
        <v>280847</v>
      </c>
      <c r="U413" s="43" t="str">
        <f aca="false">IF($A242="","",IF(I242="","",I242-SUM(J242:P242)))</f>
        <v/>
      </c>
      <c r="V413" s="6" t="s">
        <v>5011</v>
      </c>
      <c r="W413" s="49" t="s">
        <v>774</v>
      </c>
      <c r="X413" s="9" t="s">
        <v>5041</v>
      </c>
      <c r="Y413" s="9" t="s">
        <v>4897</v>
      </c>
      <c r="Z413" s="9" t="s">
        <v>4898</v>
      </c>
      <c r="AA413" s="9" t="s">
        <v>4899</v>
      </c>
    </row>
    <row r="414" customFormat="false" ht="15" hidden="false" customHeight="true" outlineLevel="0" collapsed="false">
      <c r="A414" s="6" t="s">
        <v>2029</v>
      </c>
      <c r="B414" s="6" t="s">
        <v>502</v>
      </c>
      <c r="C414" s="6" t="s">
        <v>507</v>
      </c>
      <c r="D414" s="6" t="n">
        <v>6</v>
      </c>
      <c r="E414" s="9" t="s">
        <v>4908</v>
      </c>
      <c r="F414" s="48" t="n">
        <v>40000</v>
      </c>
      <c r="G414" s="48" t="n">
        <v>37000</v>
      </c>
      <c r="H414" s="48" t="n">
        <v>3000</v>
      </c>
      <c r="I414" s="48" t="n">
        <v>44000</v>
      </c>
      <c r="J414" s="48" t="n">
        <v>5000</v>
      </c>
      <c r="K414" s="48" t="n">
        <v>0</v>
      </c>
      <c r="L414" s="48" t="n">
        <v>2000</v>
      </c>
      <c r="M414" s="48" t="n">
        <v>0</v>
      </c>
      <c r="N414" s="48" t="n">
        <v>30000</v>
      </c>
      <c r="O414" s="48" t="n">
        <v>5000</v>
      </c>
      <c r="P414" s="48" t="n">
        <v>0</v>
      </c>
      <c r="Q414" s="43" t="str">
        <f aca="false">IF($A243="","",IF(OR(F243="",I243=""),"",F243-I243))</f>
        <v/>
      </c>
      <c r="R414" s="43" t="str">
        <f aca="false">IF($A243="","",IF(Q243="","",Q243+IF(O243="",0,O243)))</f>
        <v/>
      </c>
      <c r="S414" s="48"/>
      <c r="T414" s="43" t="n">
        <f aca="false">IF($A243="","",IF(R243="","",R243-IF(S243="",0,S243)))</f>
        <v>9742072</v>
      </c>
      <c r="U414" s="43" t="str">
        <f aca="false">IF($A243="","",IF(I243="","",I243-SUM(J243:P243)))</f>
        <v/>
      </c>
      <c r="V414" s="6" t="s">
        <v>5013</v>
      </c>
      <c r="W414" s="49" t="s">
        <v>774</v>
      </c>
      <c r="X414" s="9" t="s">
        <v>5042</v>
      </c>
      <c r="Y414" s="9" t="s">
        <v>4897</v>
      </c>
      <c r="Z414" s="9" t="s">
        <v>4898</v>
      </c>
      <c r="AA414" s="9" t="s">
        <v>4899</v>
      </c>
    </row>
    <row r="415" customFormat="false" ht="15" hidden="false" customHeight="true" outlineLevel="0" collapsed="false">
      <c r="A415" s="6" t="s">
        <v>2033</v>
      </c>
      <c r="B415" s="6" t="s">
        <v>502</v>
      </c>
      <c r="C415" s="6" t="s">
        <v>507</v>
      </c>
      <c r="D415" s="6" t="n">
        <v>6</v>
      </c>
      <c r="E415" s="9" t="s">
        <v>4908</v>
      </c>
      <c r="F415" s="48" t="n">
        <v>38000</v>
      </c>
      <c r="G415" s="48" t="n">
        <v>35000</v>
      </c>
      <c r="H415" s="48" t="n">
        <v>3000</v>
      </c>
      <c r="I415" s="48" t="n">
        <v>35000</v>
      </c>
      <c r="J415" s="48" t="n">
        <v>5000</v>
      </c>
      <c r="K415" s="48" t="n">
        <v>0</v>
      </c>
      <c r="L415" s="48" t="n">
        <v>2000</v>
      </c>
      <c r="M415" s="48" t="n">
        <v>0</v>
      </c>
      <c r="N415" s="48" t="n">
        <v>20000</v>
      </c>
      <c r="O415" s="48" t="n">
        <v>7000</v>
      </c>
      <c r="P415" s="48" t="n">
        <v>0</v>
      </c>
      <c r="Q415" s="43" t="str">
        <f aca="false">IF($A244="","",IF(OR(F244="",I244=""),"",F244-I244))</f>
        <v/>
      </c>
      <c r="R415" s="43" t="str">
        <f aca="false">IF($A244="","",IF(Q244="","",Q244+IF(O244="",0,O244)))</f>
        <v/>
      </c>
      <c r="S415" s="48"/>
      <c r="T415" s="43" t="str">
        <f aca="false">IF($A244="","",IF(R244="","",R244-IF(S244="",0,S244)))</f>
        <v/>
      </c>
      <c r="U415" s="43" t="str">
        <f aca="false">IF($A244="","",IF(I244="","",I244-SUM(J244:P244)))</f>
        <v/>
      </c>
      <c r="V415" s="6" t="s">
        <v>5013</v>
      </c>
      <c r="W415" s="49" t="s">
        <v>774</v>
      </c>
      <c r="X415" s="9" t="s">
        <v>5043</v>
      </c>
      <c r="Y415" s="9" t="s">
        <v>4897</v>
      </c>
      <c r="Z415" s="9" t="s">
        <v>4898</v>
      </c>
      <c r="AA415" s="9" t="s">
        <v>4899</v>
      </c>
    </row>
    <row r="416" customFormat="false" ht="15" hidden="false" customHeight="true" outlineLevel="0" collapsed="false">
      <c r="A416" s="6" t="s">
        <v>2036</v>
      </c>
      <c r="B416" s="6" t="s">
        <v>502</v>
      </c>
      <c r="C416" s="6" t="s">
        <v>507</v>
      </c>
      <c r="D416" s="6" t="n">
        <v>6</v>
      </c>
      <c r="E416" s="9" t="s">
        <v>4908</v>
      </c>
      <c r="F416" s="48" t="n">
        <v>173000</v>
      </c>
      <c r="G416" s="48" t="n">
        <v>169000</v>
      </c>
      <c r="H416" s="48" t="n">
        <v>3000</v>
      </c>
      <c r="I416" s="48" t="n">
        <v>101000</v>
      </c>
      <c r="J416" s="48" t="n">
        <v>16000</v>
      </c>
      <c r="K416" s="48" t="n">
        <v>1000</v>
      </c>
      <c r="L416" s="48" t="n">
        <v>8000</v>
      </c>
      <c r="M416" s="48" t="n">
        <v>0</v>
      </c>
      <c r="N416" s="48" t="n">
        <v>45000</v>
      </c>
      <c r="O416" s="48" t="n">
        <v>26000</v>
      </c>
      <c r="P416" s="48" t="n">
        <v>1000</v>
      </c>
      <c r="Q416" s="43" t="str">
        <f aca="false">IF($A245="","",IF(OR(F245="",I245=""),"",F245-I245))</f>
        <v/>
      </c>
      <c r="R416" s="43" t="str">
        <f aca="false">IF($A245="","",IF(Q245="","",Q245+IF(O245="",0,O245)))</f>
        <v/>
      </c>
      <c r="S416" s="48"/>
      <c r="T416" s="43" t="str">
        <f aca="false">IF($A245="","",IF(R245="","",R245-IF(S245="",0,S245)))</f>
        <v/>
      </c>
      <c r="U416" s="43" t="str">
        <f aca="false">IF($A245="","",IF(I245="","",I245-SUM(J245:P245)))</f>
        <v/>
      </c>
      <c r="V416" s="6" t="s">
        <v>5013</v>
      </c>
      <c r="W416" s="49" t="s">
        <v>774</v>
      </c>
      <c r="X416" s="9" t="s">
        <v>5044</v>
      </c>
      <c r="Y416" s="9" t="s">
        <v>4897</v>
      </c>
      <c r="Z416" s="9" t="s">
        <v>4898</v>
      </c>
      <c r="AA416" s="9" t="s">
        <v>4899</v>
      </c>
    </row>
    <row r="417" customFormat="false" ht="15" hidden="false" customHeight="true" outlineLevel="0" collapsed="false">
      <c r="A417" s="6" t="s">
        <v>2039</v>
      </c>
      <c r="B417" s="6" t="s">
        <v>502</v>
      </c>
      <c r="C417" s="6" t="s">
        <v>507</v>
      </c>
      <c r="D417" s="6" t="n">
        <v>6</v>
      </c>
      <c r="E417" s="9" t="s">
        <v>4988</v>
      </c>
      <c r="F417" s="42" t="n">
        <v>127071</v>
      </c>
      <c r="G417" s="48" t="n">
        <v>58000</v>
      </c>
      <c r="H417" s="48" t="n">
        <v>3000</v>
      </c>
      <c r="I417" s="48" t="n">
        <v>55000</v>
      </c>
      <c r="J417" s="48" t="n">
        <v>5000</v>
      </c>
      <c r="K417" s="48" t="n">
        <v>0</v>
      </c>
      <c r="L417" s="48" t="n">
        <v>3000</v>
      </c>
      <c r="M417" s="48" t="n">
        <v>0</v>
      </c>
      <c r="N417" s="48" t="n">
        <v>35000</v>
      </c>
      <c r="O417" s="48" t="n">
        <v>9000</v>
      </c>
      <c r="P417" s="48" t="n">
        <v>1000</v>
      </c>
      <c r="Q417" s="43" t="str">
        <f aca="false">IF($A246="","",IF(OR(F246="",I246=""),"",F246-I246))</f>
        <v/>
      </c>
      <c r="R417" s="43" t="str">
        <f aca="false">IF($A246="","",IF(Q246="","",Q246+IF(O246="",0,O246)))</f>
        <v/>
      </c>
      <c r="S417" s="48"/>
      <c r="T417" s="43" t="str">
        <f aca="false">IF($A246="","",IF(R246="","",R246-IF(S246="",0,S246)))</f>
        <v/>
      </c>
      <c r="U417" s="43" t="str">
        <f aca="false">IF($A246="","",IF(I246="","",I246-SUM(J246:P246)))</f>
        <v/>
      </c>
      <c r="V417" s="6" t="s">
        <v>5011</v>
      </c>
      <c r="W417" s="49" t="s">
        <v>774</v>
      </c>
      <c r="X417" s="9" t="s">
        <v>5015</v>
      </c>
      <c r="Y417" s="9" t="s">
        <v>4897</v>
      </c>
      <c r="Z417" s="9" t="s">
        <v>4898</v>
      </c>
      <c r="AA417" s="9" t="s">
        <v>4899</v>
      </c>
    </row>
    <row r="418" customFormat="false" ht="15" hidden="false" customHeight="true" outlineLevel="0" collapsed="false">
      <c r="A418" s="6" t="s">
        <v>2041</v>
      </c>
      <c r="B418" s="6" t="s">
        <v>502</v>
      </c>
      <c r="C418" s="6" t="s">
        <v>507</v>
      </c>
      <c r="D418" s="6" t="n">
        <v>6</v>
      </c>
      <c r="E418" s="9" t="s">
        <v>4988</v>
      </c>
      <c r="F418" s="42" t="n">
        <v>462208</v>
      </c>
      <c r="G418" s="48" t="n">
        <v>36000</v>
      </c>
      <c r="H418" s="48" t="n">
        <v>33000</v>
      </c>
      <c r="I418" s="48" t="n">
        <v>48000</v>
      </c>
      <c r="J418" s="48" t="n">
        <v>4000</v>
      </c>
      <c r="K418" s="48" t="n">
        <v>0</v>
      </c>
      <c r="L418" s="48" t="n">
        <v>1000</v>
      </c>
      <c r="M418" s="48" t="n">
        <v>0</v>
      </c>
      <c r="N418" s="48" t="n">
        <v>2000</v>
      </c>
      <c r="O418" s="48" t="n">
        <v>6000</v>
      </c>
      <c r="P418" s="48" t="n">
        <v>31000</v>
      </c>
      <c r="Q418" s="43" t="str">
        <f aca="false">IF($A247="","",IF(OR(F247="",I247=""),"",F247-I247))</f>
        <v/>
      </c>
      <c r="R418" s="43" t="str">
        <f aca="false">IF($A247="","",IF(Q247="","",Q247+IF(O247="",0,O247)))</f>
        <v/>
      </c>
      <c r="S418" s="48"/>
      <c r="T418" s="43" t="str">
        <f aca="false">IF($A247="","",IF(R247="","",R247-IF(S247="",0,S247)))</f>
        <v/>
      </c>
      <c r="U418" s="43" t="str">
        <f aca="false">IF($A247="","",IF(I247="","",I247-SUM(J247:P247)))</f>
        <v/>
      </c>
      <c r="V418" s="6" t="s">
        <v>5011</v>
      </c>
      <c r="W418" s="49" t="s">
        <v>774</v>
      </c>
      <c r="X418" s="9" t="s">
        <v>5045</v>
      </c>
      <c r="Y418" s="9" t="s">
        <v>4897</v>
      </c>
      <c r="Z418" s="9" t="s">
        <v>4898</v>
      </c>
      <c r="AA418" s="9" t="s">
        <v>4899</v>
      </c>
    </row>
    <row r="419" customFormat="false" ht="15" hidden="false" customHeight="true" outlineLevel="0" collapsed="false">
      <c r="A419" s="6" t="s">
        <v>2044</v>
      </c>
      <c r="B419" s="6" t="s">
        <v>502</v>
      </c>
      <c r="C419" s="6" t="s">
        <v>507</v>
      </c>
      <c r="D419" s="6" t="n">
        <v>6</v>
      </c>
      <c r="E419" s="9" t="s">
        <v>4988</v>
      </c>
      <c r="F419" s="42" t="n">
        <v>141809</v>
      </c>
      <c r="G419" s="48" t="n">
        <v>51000</v>
      </c>
      <c r="H419" s="48" t="n">
        <v>1000</v>
      </c>
      <c r="I419" s="48" t="n">
        <v>15000</v>
      </c>
      <c r="J419" s="48" t="n">
        <v>4000</v>
      </c>
      <c r="K419" s="48" t="n">
        <v>0</v>
      </c>
      <c r="L419" s="48" t="n">
        <v>2000</v>
      </c>
      <c r="M419" s="48" t="n">
        <v>0</v>
      </c>
      <c r="N419" s="48" t="n">
        <v>2000</v>
      </c>
      <c r="O419" s="48" t="n">
        <v>5000</v>
      </c>
      <c r="P419" s="48" t="n">
        <v>0</v>
      </c>
      <c r="Q419" s="43" t="str">
        <f aca="false">IF($A248="","",IF(OR(F248="",I248=""),"",F248-I248))</f>
        <v/>
      </c>
      <c r="R419" s="43" t="str">
        <f aca="false">IF($A248="","",IF(Q248="","",Q248+IF(O248="",0,O248)))</f>
        <v/>
      </c>
      <c r="S419" s="48"/>
      <c r="T419" s="43" t="str">
        <f aca="false">IF($A248="","",IF(R248="","",R248-IF(S248="",0,S248)))</f>
        <v/>
      </c>
      <c r="U419" s="43" t="str">
        <f aca="false">IF($A248="","",IF(I248="","",I248-SUM(J248:P248)))</f>
        <v/>
      </c>
      <c r="V419" s="6" t="s">
        <v>5011</v>
      </c>
      <c r="W419" s="49" t="s">
        <v>774</v>
      </c>
      <c r="X419" s="9" t="s">
        <v>5015</v>
      </c>
      <c r="Y419" s="9" t="s">
        <v>4897</v>
      </c>
      <c r="Z419" s="9" t="s">
        <v>4898</v>
      </c>
      <c r="AA419" s="9" t="s">
        <v>4899</v>
      </c>
    </row>
    <row r="420" customFormat="false" ht="15" hidden="false" customHeight="true" outlineLevel="0" collapsed="false">
      <c r="A420" s="6" t="s">
        <v>2046</v>
      </c>
      <c r="B420" s="6" t="s">
        <v>502</v>
      </c>
      <c r="C420" s="6" t="s">
        <v>507</v>
      </c>
      <c r="D420" s="6" t="n">
        <v>6</v>
      </c>
      <c r="E420" s="9" t="s">
        <v>4988</v>
      </c>
      <c r="F420" s="42" t="n">
        <v>14394</v>
      </c>
      <c r="G420" s="48" t="n">
        <v>56000</v>
      </c>
      <c r="H420" s="48" t="n">
        <v>6000</v>
      </c>
      <c r="I420" s="48" t="n">
        <v>23000</v>
      </c>
      <c r="J420" s="48" t="n">
        <v>5000</v>
      </c>
      <c r="K420" s="48" t="n">
        <v>1000</v>
      </c>
      <c r="L420" s="48" t="n">
        <v>3000</v>
      </c>
      <c r="M420" s="48" t="n">
        <v>0</v>
      </c>
      <c r="N420" s="48" t="n">
        <v>2000</v>
      </c>
      <c r="O420" s="48" t="n">
        <v>10000</v>
      </c>
      <c r="P420" s="48" t="n">
        <v>0</v>
      </c>
      <c r="Q420" s="43" t="str">
        <f aca="false">IF($A249="","",IF(OR(F249="",I249=""),"",F249-I249))</f>
        <v/>
      </c>
      <c r="R420" s="43" t="str">
        <f aca="false">IF($A249="","",IF(Q249="","",Q249+IF(O249="",0,O249)))</f>
        <v/>
      </c>
      <c r="S420" s="48"/>
      <c r="T420" s="43" t="str">
        <f aca="false">IF($A249="","",IF(R249="","",R249-IF(S249="",0,S249)))</f>
        <v/>
      </c>
      <c r="U420" s="43" t="str">
        <f aca="false">IF($A249="","",IF(I249="","",I249-SUM(J249:P249)))</f>
        <v/>
      </c>
      <c r="V420" s="6" t="s">
        <v>5011</v>
      </c>
      <c r="W420" s="49" t="s">
        <v>774</v>
      </c>
      <c r="X420" s="9" t="s">
        <v>5046</v>
      </c>
      <c r="Y420" s="6" t="s">
        <v>4920</v>
      </c>
      <c r="Z420" s="9" t="s">
        <v>4939</v>
      </c>
      <c r="AA420" s="9" t="s">
        <v>4899</v>
      </c>
    </row>
    <row r="421" customFormat="false" ht="15" hidden="false" customHeight="true" outlineLevel="0" collapsed="false">
      <c r="A421" s="6" t="s">
        <v>2049</v>
      </c>
      <c r="B421" s="6" t="s">
        <v>502</v>
      </c>
      <c r="C421" s="6" t="s">
        <v>507</v>
      </c>
      <c r="D421" s="6" t="n">
        <v>6</v>
      </c>
      <c r="E421" s="9" t="s">
        <v>4908</v>
      </c>
      <c r="F421" s="48" t="n">
        <v>75000</v>
      </c>
      <c r="G421" s="48" t="n">
        <v>71000</v>
      </c>
      <c r="H421" s="48" t="n">
        <v>4000</v>
      </c>
      <c r="I421" s="48" t="n">
        <v>31000</v>
      </c>
      <c r="J421" s="48" t="n">
        <v>7000</v>
      </c>
      <c r="K421" s="48" t="n">
        <v>0</v>
      </c>
      <c r="L421" s="48" t="n">
        <v>3000</v>
      </c>
      <c r="M421" s="48" t="n">
        <v>0</v>
      </c>
      <c r="N421" s="48" t="n">
        <v>3000</v>
      </c>
      <c r="O421" s="48" t="n">
        <v>15000</v>
      </c>
      <c r="P421" s="48" t="n">
        <v>1000</v>
      </c>
      <c r="Q421" s="43" t="str">
        <f aca="false">IF($A250="","",IF(OR(F250="",I250=""),"",F250-I250))</f>
        <v/>
      </c>
      <c r="R421" s="43" t="str">
        <f aca="false">IF($A250="","",IF(Q250="","",Q250+IF(O250="",0,O250)))</f>
        <v/>
      </c>
      <c r="S421" s="48"/>
      <c r="T421" s="43" t="str">
        <f aca="false">IF($A250="","",IF(R250="","",R250-IF(S250="",0,S250)))</f>
        <v/>
      </c>
      <c r="U421" s="43" t="str">
        <f aca="false">IF($A250="","",IF(I250="","",I250-SUM(J250:P250)))</f>
        <v/>
      </c>
      <c r="V421" s="6" t="s">
        <v>5013</v>
      </c>
      <c r="W421" s="49" t="s">
        <v>774</v>
      </c>
      <c r="X421" s="9" t="s">
        <v>5047</v>
      </c>
      <c r="Y421" s="6" t="s">
        <v>4920</v>
      </c>
      <c r="Z421" s="9" t="s">
        <v>4939</v>
      </c>
      <c r="AA421" s="9" t="s">
        <v>4899</v>
      </c>
    </row>
    <row r="422" customFormat="false" ht="15" hidden="false" customHeight="true" outlineLevel="0" collapsed="false">
      <c r="A422" s="6" t="s">
        <v>2053</v>
      </c>
      <c r="B422" s="6" t="s">
        <v>502</v>
      </c>
      <c r="C422" s="6" t="s">
        <v>507</v>
      </c>
      <c r="D422" s="6" t="n">
        <v>6</v>
      </c>
      <c r="E422" s="9" t="s">
        <v>4988</v>
      </c>
      <c r="F422" s="42" t="n">
        <v>126555</v>
      </c>
      <c r="G422" s="48" t="n">
        <v>59000</v>
      </c>
      <c r="H422" s="48" t="n">
        <v>4000</v>
      </c>
      <c r="I422" s="48" t="n">
        <v>19000</v>
      </c>
      <c r="J422" s="48" t="n">
        <v>5000</v>
      </c>
      <c r="K422" s="48" t="n">
        <v>1000</v>
      </c>
      <c r="L422" s="48" t="n">
        <v>2000</v>
      </c>
      <c r="M422" s="48" t="n">
        <v>0</v>
      </c>
      <c r="N422" s="48" t="n">
        <v>0</v>
      </c>
      <c r="O422" s="48" t="n">
        <v>9000</v>
      </c>
      <c r="P422" s="48" t="n">
        <v>0</v>
      </c>
      <c r="Q422" s="43" t="str">
        <f aca="false">IF($A251="","",IF(OR(F251="",I251=""),"",F251-I251))</f>
        <v/>
      </c>
      <c r="R422" s="43" t="str">
        <f aca="false">IF($A251="","",IF(Q251="","",Q251+IF(O251="",0,O251)))</f>
        <v/>
      </c>
      <c r="S422" s="48"/>
      <c r="T422" s="43" t="str">
        <f aca="false">IF($A251="","",IF(R251="","",R251-IF(S251="",0,S251)))</f>
        <v/>
      </c>
      <c r="U422" s="43" t="str">
        <f aca="false">IF($A251="","",IF(I251="","",I251-SUM(J251:P251)))</f>
        <v/>
      </c>
      <c r="V422" s="6" t="s">
        <v>5011</v>
      </c>
      <c r="W422" s="49" t="s">
        <v>774</v>
      </c>
      <c r="X422" s="9" t="s">
        <v>5034</v>
      </c>
      <c r="Y422" s="9" t="s">
        <v>4897</v>
      </c>
      <c r="Z422" s="9" t="s">
        <v>4898</v>
      </c>
      <c r="AA422" s="9" t="s">
        <v>4899</v>
      </c>
    </row>
    <row r="423" customFormat="false" ht="15" hidden="false" customHeight="true" outlineLevel="0" collapsed="false">
      <c r="A423" s="6" t="s">
        <v>2056</v>
      </c>
      <c r="B423" s="6" t="s">
        <v>502</v>
      </c>
      <c r="C423" s="6" t="s">
        <v>507</v>
      </c>
      <c r="D423" s="6" t="n">
        <v>6</v>
      </c>
      <c r="E423" s="9" t="s">
        <v>4988</v>
      </c>
      <c r="F423" s="42" t="n">
        <v>115117</v>
      </c>
      <c r="G423" s="48" t="n">
        <v>46000</v>
      </c>
      <c r="H423" s="48" t="n">
        <v>1000</v>
      </c>
      <c r="I423" s="48" t="n">
        <v>68000</v>
      </c>
      <c r="J423" s="48" t="n">
        <v>6000</v>
      </c>
      <c r="K423" s="48" t="n">
        <v>0</v>
      </c>
      <c r="L423" s="48" t="n">
        <v>1000</v>
      </c>
      <c r="M423" s="48" t="n">
        <v>0</v>
      </c>
      <c r="N423" s="48" t="n">
        <v>51000</v>
      </c>
      <c r="O423" s="48" t="n">
        <v>7000</v>
      </c>
      <c r="P423" s="48" t="n">
        <v>0</v>
      </c>
      <c r="Q423" s="43" t="str">
        <f aca="false">IF($A252="","",IF(OR(F252="",I252=""),"",F252-I252))</f>
        <v/>
      </c>
      <c r="R423" s="43" t="str">
        <f aca="false">IF($A252="","",IF(Q252="","",Q252+IF(O252="",0,O252)))</f>
        <v/>
      </c>
      <c r="S423" s="48"/>
      <c r="T423" s="43" t="str">
        <f aca="false">IF($A252="","",IF(R252="","",R252-IF(S252="",0,S252)))</f>
        <v/>
      </c>
      <c r="U423" s="43" t="str">
        <f aca="false">IF($A252="","",IF(I252="","",I252-SUM(J252:P252)))</f>
        <v/>
      </c>
      <c r="V423" s="6" t="s">
        <v>5011</v>
      </c>
      <c r="W423" s="49" t="s">
        <v>774</v>
      </c>
      <c r="X423" s="9" t="s">
        <v>5015</v>
      </c>
      <c r="Y423" s="9" t="s">
        <v>4897</v>
      </c>
      <c r="Z423" s="9" t="s">
        <v>4898</v>
      </c>
      <c r="AA423" s="9" t="s">
        <v>4899</v>
      </c>
    </row>
    <row r="424" customFormat="false" ht="15" hidden="false" customHeight="true" outlineLevel="0" collapsed="false">
      <c r="A424" s="6" t="s">
        <v>2059</v>
      </c>
      <c r="B424" s="6" t="s">
        <v>502</v>
      </c>
      <c r="C424" s="6" t="s">
        <v>507</v>
      </c>
      <c r="D424" s="6" t="n">
        <v>6</v>
      </c>
      <c r="E424" s="9" t="s">
        <v>4988</v>
      </c>
      <c r="F424" s="42" t="n">
        <v>192245</v>
      </c>
      <c r="G424" s="48" t="n">
        <v>47000</v>
      </c>
      <c r="H424" s="48" t="n">
        <v>5000</v>
      </c>
      <c r="I424" s="48" t="n">
        <v>32000</v>
      </c>
      <c r="J424" s="48" t="n">
        <v>6000</v>
      </c>
      <c r="K424" s="48" t="n">
        <v>0</v>
      </c>
      <c r="L424" s="48" t="n">
        <v>3000</v>
      </c>
      <c r="M424" s="48" t="n">
        <v>0</v>
      </c>
      <c r="N424" s="48" t="n">
        <v>8000</v>
      </c>
      <c r="O424" s="48" t="n">
        <v>11000</v>
      </c>
      <c r="P424" s="48" t="n">
        <v>1000</v>
      </c>
      <c r="Q424" s="43" t="str">
        <f aca="false">IF($A253="","",IF(OR(F253="",I253=""),"",F253-I253))</f>
        <v/>
      </c>
      <c r="R424" s="43" t="str">
        <f aca="false">IF($A253="","",IF(Q253="","",Q253+IF(O253="",0,O253)))</f>
        <v/>
      </c>
      <c r="S424" s="48"/>
      <c r="T424" s="43" t="str">
        <f aca="false">IF($A253="","",IF(R253="","",R253-IF(S253="",0,S253)))</f>
        <v/>
      </c>
      <c r="U424" s="43" t="str">
        <f aca="false">IF($A253="","",IF(I253="","",I253-SUM(J253:P253)))</f>
        <v/>
      </c>
      <c r="V424" s="6" t="s">
        <v>5011</v>
      </c>
      <c r="W424" s="49" t="s">
        <v>774</v>
      </c>
      <c r="X424" s="9" t="s">
        <v>5015</v>
      </c>
      <c r="Y424" s="9" t="s">
        <v>4897</v>
      </c>
      <c r="Z424" s="9" t="s">
        <v>4898</v>
      </c>
      <c r="AA424" s="9" t="s">
        <v>4899</v>
      </c>
    </row>
    <row r="425" customFormat="false" ht="15" hidden="false" customHeight="true" outlineLevel="0" collapsed="false">
      <c r="A425" s="6" t="s">
        <v>2061</v>
      </c>
      <c r="B425" s="6" t="s">
        <v>502</v>
      </c>
      <c r="C425" s="6" t="s">
        <v>507</v>
      </c>
      <c r="D425" s="6" t="n">
        <v>6</v>
      </c>
      <c r="E425" s="9" t="s">
        <v>4988</v>
      </c>
      <c r="F425" s="42" t="n">
        <v>105755</v>
      </c>
      <c r="G425" s="48" t="n">
        <v>43000</v>
      </c>
      <c r="H425" s="48" t="n">
        <v>3000</v>
      </c>
      <c r="I425" s="48" t="n">
        <v>24000</v>
      </c>
      <c r="J425" s="48" t="n">
        <v>7000</v>
      </c>
      <c r="K425" s="48" t="n">
        <v>0</v>
      </c>
      <c r="L425" s="48" t="n">
        <v>2000</v>
      </c>
      <c r="M425" s="48" t="n">
        <v>0</v>
      </c>
      <c r="N425" s="48" t="n">
        <v>4000</v>
      </c>
      <c r="O425" s="48" t="n">
        <v>8000</v>
      </c>
      <c r="P425" s="48" t="n">
        <v>1000</v>
      </c>
      <c r="Q425" s="43" t="str">
        <f aca="false">IF($A254="","",IF(OR(F254="",I254=""),"",F254-I254))</f>
        <v/>
      </c>
      <c r="R425" s="43" t="str">
        <f aca="false">IF($A254="","",IF(Q254="","",Q254+IF(O254="",0,O254)))</f>
        <v/>
      </c>
      <c r="S425" s="48"/>
      <c r="T425" s="43" t="str">
        <f aca="false">IF($A254="","",IF(R254="","",R254-IF(S254="",0,S254)))</f>
        <v/>
      </c>
      <c r="U425" s="43" t="str">
        <f aca="false">IF($A254="","",IF(I254="","",I254-SUM(J254:P254)))</f>
        <v/>
      </c>
      <c r="V425" s="6" t="s">
        <v>5011</v>
      </c>
      <c r="W425" s="49" t="s">
        <v>774</v>
      </c>
      <c r="X425" s="9" t="s">
        <v>5034</v>
      </c>
      <c r="Y425" s="9" t="s">
        <v>4897</v>
      </c>
      <c r="Z425" s="9" t="s">
        <v>4898</v>
      </c>
      <c r="AA425" s="9" t="s">
        <v>4899</v>
      </c>
    </row>
    <row r="426" customFormat="false" ht="15" hidden="false" customHeight="true" outlineLevel="0" collapsed="false">
      <c r="A426" s="6" t="s">
        <v>2065</v>
      </c>
      <c r="B426" s="6" t="s">
        <v>502</v>
      </c>
      <c r="C426" s="6" t="s">
        <v>507</v>
      </c>
      <c r="D426" s="6" t="n">
        <v>6</v>
      </c>
      <c r="E426" s="9" t="s">
        <v>4988</v>
      </c>
      <c r="F426" s="42" t="n">
        <v>126844</v>
      </c>
      <c r="G426" s="48" t="n">
        <v>32000</v>
      </c>
      <c r="H426" s="48" t="n">
        <v>5000</v>
      </c>
      <c r="I426" s="48" t="n">
        <v>126000</v>
      </c>
      <c r="J426" s="48" t="n">
        <v>8000</v>
      </c>
      <c r="K426" s="48" t="n">
        <v>0</v>
      </c>
      <c r="L426" s="48" t="n">
        <v>2000</v>
      </c>
      <c r="M426" s="48" t="n">
        <v>0</v>
      </c>
      <c r="N426" s="48" t="n">
        <v>103000</v>
      </c>
      <c r="O426" s="48" t="n">
        <v>9000</v>
      </c>
      <c r="P426" s="48" t="n">
        <v>0</v>
      </c>
      <c r="Q426" s="43" t="str">
        <f aca="false">IF($A255="","",IF(OR(F255="",I255=""),"",F255-I255))</f>
        <v/>
      </c>
      <c r="R426" s="43" t="str">
        <f aca="false">IF($A255="","",IF(Q255="","",Q255+IF(O255="",0,O255)))</f>
        <v/>
      </c>
      <c r="S426" s="48"/>
      <c r="T426" s="43" t="str">
        <f aca="false">IF($A255="","",IF(R255="","",R255-IF(S255="",0,S255)))</f>
        <v/>
      </c>
      <c r="U426" s="43" t="str">
        <f aca="false">IF($A255="","",IF(I255="","",I255-SUM(J255:P255)))</f>
        <v/>
      </c>
      <c r="V426" s="6" t="s">
        <v>5011</v>
      </c>
      <c r="W426" s="49" t="s">
        <v>774</v>
      </c>
      <c r="X426" s="9" t="s">
        <v>5015</v>
      </c>
      <c r="Y426" s="9" t="s">
        <v>4897</v>
      </c>
      <c r="Z426" s="9" t="s">
        <v>4898</v>
      </c>
      <c r="AA426" s="9" t="s">
        <v>4899</v>
      </c>
    </row>
    <row r="427" customFormat="false" ht="15" hidden="false" customHeight="true" outlineLevel="0" collapsed="false">
      <c r="A427" s="6" t="s">
        <v>2067</v>
      </c>
      <c r="B427" s="6" t="s">
        <v>502</v>
      </c>
      <c r="C427" s="6" t="s">
        <v>507</v>
      </c>
      <c r="D427" s="6" t="n">
        <v>6</v>
      </c>
      <c r="E427" s="9" t="s">
        <v>4988</v>
      </c>
      <c r="F427" s="42" t="n">
        <v>141893</v>
      </c>
      <c r="G427" s="48" t="n">
        <v>354000</v>
      </c>
      <c r="H427" s="48" t="n">
        <v>40000</v>
      </c>
      <c r="I427" s="48" t="n">
        <v>299000</v>
      </c>
      <c r="J427" s="48" t="n">
        <v>64000</v>
      </c>
      <c r="K427" s="48" t="n">
        <v>11000</v>
      </c>
      <c r="L427" s="48" t="n">
        <v>16000</v>
      </c>
      <c r="M427" s="48" t="n">
        <v>0</v>
      </c>
      <c r="N427" s="48" t="n">
        <v>60000</v>
      </c>
      <c r="O427" s="48" t="n">
        <v>80000</v>
      </c>
      <c r="P427" s="48" t="n">
        <v>65000</v>
      </c>
      <c r="Q427" s="43" t="str">
        <f aca="false">IF($A256="","",IF(OR(F256="",I256=""),"",F256-I256))</f>
        <v/>
      </c>
      <c r="R427" s="43" t="str">
        <f aca="false">IF($A256="","",IF(Q256="","",Q256+IF(O256="",0,O256)))</f>
        <v/>
      </c>
      <c r="S427" s="48"/>
      <c r="T427" s="43" t="str">
        <f aca="false">IF($A256="","",IF(R256="","",R256-IF(S256="",0,S256)))</f>
        <v/>
      </c>
      <c r="U427" s="43" t="str">
        <f aca="false">IF($A256="","",IF(I256="","",I256-SUM(J256:P256)))</f>
        <v/>
      </c>
      <c r="V427" s="6" t="s">
        <v>5011</v>
      </c>
      <c r="W427" s="49" t="s">
        <v>774</v>
      </c>
      <c r="X427" s="9" t="s">
        <v>5048</v>
      </c>
      <c r="Y427" s="9" t="s">
        <v>4897</v>
      </c>
      <c r="Z427" s="9" t="s">
        <v>4898</v>
      </c>
      <c r="AA427" s="9" t="s">
        <v>4899</v>
      </c>
    </row>
    <row r="428" customFormat="false" ht="15" hidden="false" customHeight="true" outlineLevel="0" collapsed="false">
      <c r="A428" s="6" t="s">
        <v>2070</v>
      </c>
      <c r="B428" s="6" t="s">
        <v>502</v>
      </c>
      <c r="C428" s="6" t="s">
        <v>507</v>
      </c>
      <c r="D428" s="6" t="n">
        <v>6</v>
      </c>
      <c r="E428" s="9" t="s">
        <v>4988</v>
      </c>
      <c r="F428" s="42" t="n">
        <v>602639</v>
      </c>
      <c r="G428" s="48" t="n">
        <v>95000</v>
      </c>
      <c r="H428" s="48" t="n">
        <v>7000</v>
      </c>
      <c r="I428" s="48" t="n">
        <v>50000</v>
      </c>
      <c r="J428" s="48" t="n">
        <v>11000</v>
      </c>
      <c r="K428" s="48" t="n">
        <v>2000</v>
      </c>
      <c r="L428" s="48" t="n">
        <v>7000</v>
      </c>
      <c r="M428" s="48" t="n">
        <v>0</v>
      </c>
      <c r="N428" s="48" t="n">
        <v>5000</v>
      </c>
      <c r="O428" s="48" t="n">
        <v>20000</v>
      </c>
      <c r="P428" s="48" t="n">
        <v>3000</v>
      </c>
      <c r="Q428" s="43" t="str">
        <f aca="false">IF($A257="","",IF(OR(F257="",I257=""),"",F257-I257))</f>
        <v/>
      </c>
      <c r="R428" s="43" t="str">
        <f aca="false">IF($A257="","",IF(Q257="","",Q257+IF(O257="",0,O257)))</f>
        <v/>
      </c>
      <c r="S428" s="48"/>
      <c r="T428" s="43" t="str">
        <f aca="false">IF($A257="","",IF(R257="","",R257-IF(S257="",0,S257)))</f>
        <v/>
      </c>
      <c r="U428" s="43" t="str">
        <f aca="false">IF($A257="","",IF(I257="","",I257-SUM(J257:P257)))</f>
        <v/>
      </c>
      <c r="V428" s="6" t="s">
        <v>5011</v>
      </c>
      <c r="W428" s="49" t="s">
        <v>774</v>
      </c>
      <c r="X428" s="9" t="s">
        <v>5049</v>
      </c>
      <c r="Y428" s="9" t="s">
        <v>4897</v>
      </c>
      <c r="Z428" s="9" t="s">
        <v>4898</v>
      </c>
      <c r="AA428" s="9" t="s">
        <v>4899</v>
      </c>
    </row>
    <row r="429" customFormat="false" ht="15" hidden="false" customHeight="true" outlineLevel="0" collapsed="false">
      <c r="A429" s="6" t="s">
        <v>2073</v>
      </c>
      <c r="B429" s="6" t="s">
        <v>502</v>
      </c>
      <c r="C429" s="6" t="s">
        <v>507</v>
      </c>
      <c r="D429" s="6" t="n">
        <v>6</v>
      </c>
      <c r="E429" s="9" t="s">
        <v>4988</v>
      </c>
      <c r="F429" s="42" t="n">
        <v>133914</v>
      </c>
      <c r="G429" s="48" t="n">
        <v>176000</v>
      </c>
      <c r="H429" s="48" t="n">
        <v>22000</v>
      </c>
      <c r="I429" s="48" t="n">
        <v>143000</v>
      </c>
      <c r="J429" s="48" t="n">
        <v>35000</v>
      </c>
      <c r="K429" s="48" t="n">
        <v>5000</v>
      </c>
      <c r="L429" s="48" t="n">
        <v>11000</v>
      </c>
      <c r="M429" s="48" t="n">
        <v>0</v>
      </c>
      <c r="N429" s="48" t="n">
        <v>37000</v>
      </c>
      <c r="O429" s="48" t="n">
        <v>51000</v>
      </c>
      <c r="P429" s="48" t="n">
        <v>1000</v>
      </c>
      <c r="Q429" s="43" t="str">
        <f aca="false">IF($A258="","",IF(OR(F258="",I258=""),"",F258-I258))</f>
        <v/>
      </c>
      <c r="R429" s="43" t="str">
        <f aca="false">IF($A258="","",IF(Q258="","",Q258+IF(O258="",0,O258)))</f>
        <v/>
      </c>
      <c r="S429" s="48"/>
      <c r="T429" s="43" t="str">
        <f aca="false">IF($A258="","",IF(R258="","",R258-IF(S258="",0,S258)))</f>
        <v/>
      </c>
      <c r="U429" s="43" t="str">
        <f aca="false">IF($A258="","",IF(I258="","",I258-SUM(J258:P258)))</f>
        <v/>
      </c>
      <c r="V429" s="6" t="s">
        <v>5011</v>
      </c>
      <c r="W429" s="49" t="s">
        <v>774</v>
      </c>
      <c r="X429" s="9" t="s">
        <v>5050</v>
      </c>
      <c r="Y429" s="9" t="s">
        <v>4897</v>
      </c>
      <c r="Z429" s="9" t="s">
        <v>4898</v>
      </c>
      <c r="AA429" s="9" t="s">
        <v>4899</v>
      </c>
    </row>
    <row r="430" customFormat="false" ht="15" hidden="false" customHeight="true" outlineLevel="0" collapsed="false">
      <c r="A430" s="6" t="s">
        <v>2076</v>
      </c>
      <c r="B430" s="6" t="s">
        <v>502</v>
      </c>
      <c r="C430" s="6" t="s">
        <v>507</v>
      </c>
      <c r="D430" s="6" t="n">
        <v>6</v>
      </c>
      <c r="E430" s="9" t="s">
        <v>4988</v>
      </c>
      <c r="F430" s="42" t="n">
        <v>160746</v>
      </c>
      <c r="G430" s="48" t="n">
        <v>290000</v>
      </c>
      <c r="H430" s="48" t="n">
        <v>22000</v>
      </c>
      <c r="I430" s="48" t="n">
        <v>203000</v>
      </c>
      <c r="J430" s="48" t="n">
        <v>48000</v>
      </c>
      <c r="K430" s="48" t="n">
        <v>3000</v>
      </c>
      <c r="L430" s="48" t="n">
        <v>13000</v>
      </c>
      <c r="M430" s="48" t="n">
        <v>0</v>
      </c>
      <c r="N430" s="48" t="n">
        <v>42000</v>
      </c>
      <c r="O430" s="48" t="n">
        <v>58000</v>
      </c>
      <c r="P430" s="48" t="n">
        <v>36000</v>
      </c>
      <c r="Q430" s="43" t="str">
        <f aca="false">IF($A259="","",IF(OR(F259="",I259=""),"",F259-I259))</f>
        <v/>
      </c>
      <c r="R430" s="43" t="n">
        <f aca="false">IF($A259="","",IF(Q259="","",Q259+IF(O259="",0,O259)))</f>
        <v>5315649</v>
      </c>
      <c r="S430" s="48"/>
      <c r="T430" s="43" t="n">
        <f aca="false">IF($A259="","",IF(R259="","",R259-IF(S259="",0,S259)))</f>
        <v>-3900800</v>
      </c>
      <c r="U430" s="43" t="str">
        <f aca="false">IF($A259="","",IF(I259="","",I259-SUM(J259:P259)))</f>
        <v/>
      </c>
      <c r="V430" s="6" t="s">
        <v>5011</v>
      </c>
      <c r="W430" s="49" t="s">
        <v>774</v>
      </c>
      <c r="X430" s="9" t="s">
        <v>5051</v>
      </c>
      <c r="Y430" s="9" t="s">
        <v>4897</v>
      </c>
      <c r="Z430" s="9" t="s">
        <v>4898</v>
      </c>
      <c r="AA430" s="9" t="s">
        <v>4899</v>
      </c>
    </row>
    <row r="431" customFormat="false" ht="15" hidden="false" customHeight="true" outlineLevel="0" collapsed="false">
      <c r="A431" s="6" t="s">
        <v>2079</v>
      </c>
      <c r="B431" s="6" t="s">
        <v>502</v>
      </c>
      <c r="C431" s="6" t="s">
        <v>507</v>
      </c>
      <c r="D431" s="6" t="n">
        <v>6</v>
      </c>
      <c r="E431" s="9" t="s">
        <v>4908</v>
      </c>
      <c r="F431" s="48" t="n">
        <v>162000</v>
      </c>
      <c r="G431" s="48" t="n">
        <v>149000</v>
      </c>
      <c r="H431" s="48" t="n">
        <v>13000</v>
      </c>
      <c r="I431" s="48" t="n">
        <v>56000</v>
      </c>
      <c r="J431" s="48" t="n">
        <v>16000</v>
      </c>
      <c r="K431" s="48" t="n">
        <v>3000</v>
      </c>
      <c r="L431" s="48" t="n">
        <v>7000</v>
      </c>
      <c r="M431" s="48" t="n">
        <v>0</v>
      </c>
      <c r="N431" s="48" t="n">
        <v>4000</v>
      </c>
      <c r="O431" s="48" t="n">
        <v>22000</v>
      </c>
      <c r="P431" s="48" t="n">
        <v>1000</v>
      </c>
      <c r="Q431" s="43" t="str">
        <f aca="false">IF($A260="","",IF(OR(F260="",I260=""),"",F260-I260))</f>
        <v/>
      </c>
      <c r="R431" s="43" t="str">
        <f aca="false">IF($A260="","",IF(Q260="","",Q260+IF(O260="",0,O260)))</f>
        <v/>
      </c>
      <c r="S431" s="48"/>
      <c r="T431" s="43" t="str">
        <f aca="false">IF($A260="","",IF(R260="","",R260-IF(S260="",0,S260)))</f>
        <v/>
      </c>
      <c r="U431" s="43" t="str">
        <f aca="false">IF($A260="","",IF(I260="","",I260-SUM(J260:P260)))</f>
        <v/>
      </c>
      <c r="V431" s="6" t="s">
        <v>5013</v>
      </c>
      <c r="W431" s="49" t="s">
        <v>774</v>
      </c>
      <c r="X431" s="9" t="s">
        <v>5052</v>
      </c>
      <c r="Y431" s="6" t="s">
        <v>4920</v>
      </c>
      <c r="Z431" s="9" t="s">
        <v>4921</v>
      </c>
      <c r="AA431" s="9" t="s">
        <v>4899</v>
      </c>
    </row>
    <row r="432" customFormat="false" ht="15" hidden="false" customHeight="true" outlineLevel="0" collapsed="false">
      <c r="A432" s="6" t="s">
        <v>2081</v>
      </c>
      <c r="B432" s="6" t="s">
        <v>502</v>
      </c>
      <c r="C432" s="6" t="s">
        <v>507</v>
      </c>
      <c r="D432" s="6" t="n">
        <v>6</v>
      </c>
      <c r="E432" s="9" t="s">
        <v>4908</v>
      </c>
      <c r="F432" s="48" t="n">
        <v>68000</v>
      </c>
      <c r="G432" s="48" t="n">
        <v>65000</v>
      </c>
      <c r="H432" s="48" t="n">
        <v>3000</v>
      </c>
      <c r="I432" s="48" t="n">
        <v>28000</v>
      </c>
      <c r="J432" s="48" t="n">
        <v>8000</v>
      </c>
      <c r="K432" s="48" t="n">
        <v>0</v>
      </c>
      <c r="L432" s="48" t="n">
        <v>3000</v>
      </c>
      <c r="M432" s="48" t="n">
        <v>0</v>
      </c>
      <c r="N432" s="48" t="n">
        <v>3000</v>
      </c>
      <c r="O432" s="48" t="n">
        <v>12000</v>
      </c>
      <c r="P432" s="48" t="n">
        <v>0</v>
      </c>
      <c r="Q432" s="43" t="str">
        <f aca="false">IF($A261="","",IF(OR(F261="",I261=""),"",F261-I261))</f>
        <v/>
      </c>
      <c r="R432" s="43" t="str">
        <f aca="false">IF($A261="","",IF(Q261="","",Q261+IF(O261="",0,O261)))</f>
        <v/>
      </c>
      <c r="S432" s="48"/>
      <c r="T432" s="43" t="str">
        <f aca="false">IF($A261="","",IF(R261="","",R261-IF(S261="",0,S261)))</f>
        <v/>
      </c>
      <c r="U432" s="43" t="str">
        <f aca="false">IF($A261="","",IF(I261="","",I261-SUM(J261:P261)))</f>
        <v/>
      </c>
      <c r="V432" s="6" t="s">
        <v>5013</v>
      </c>
      <c r="W432" s="49" t="s">
        <v>774</v>
      </c>
      <c r="X432" s="9" t="s">
        <v>5053</v>
      </c>
      <c r="Y432" s="6" t="s">
        <v>4920</v>
      </c>
      <c r="Z432" s="9" t="s">
        <v>4921</v>
      </c>
      <c r="AA432" s="9" t="s">
        <v>4899</v>
      </c>
    </row>
    <row r="433" customFormat="false" ht="15" hidden="false" customHeight="true" outlineLevel="0" collapsed="false">
      <c r="A433" s="6" t="s">
        <v>2083</v>
      </c>
      <c r="B433" s="6" t="s">
        <v>502</v>
      </c>
      <c r="C433" s="6" t="s">
        <v>507</v>
      </c>
      <c r="D433" s="6" t="n">
        <v>6</v>
      </c>
      <c r="E433" s="9" t="s">
        <v>4988</v>
      </c>
      <c r="F433" s="42" t="n">
        <v>91074</v>
      </c>
      <c r="G433" s="48" t="n">
        <v>36000</v>
      </c>
      <c r="H433" s="48" t="n">
        <v>12000</v>
      </c>
      <c r="I433" s="48" t="n">
        <v>22000</v>
      </c>
      <c r="J433" s="48" t="n">
        <v>4000</v>
      </c>
      <c r="K433" s="48" t="n">
        <v>0</v>
      </c>
      <c r="L433" s="48" t="n">
        <v>1000</v>
      </c>
      <c r="M433" s="48" t="n">
        <v>0</v>
      </c>
      <c r="N433" s="48" t="n">
        <v>9000</v>
      </c>
      <c r="O433" s="48" t="n">
        <v>4000</v>
      </c>
      <c r="P433" s="48" t="n">
        <v>1000</v>
      </c>
      <c r="Q433" s="43" t="str">
        <f aca="false">IF($A262="","",IF(OR(F262="",I262=""),"",F262-I262))</f>
        <v/>
      </c>
      <c r="R433" s="43" t="str">
        <f aca="false">IF($A262="","",IF(Q262="","",Q262+IF(O262="",0,O262)))</f>
        <v/>
      </c>
      <c r="S433" s="48"/>
      <c r="T433" s="43" t="str">
        <f aca="false">IF($A262="","",IF(R262="","",R262-IF(S262="",0,S262)))</f>
        <v/>
      </c>
      <c r="U433" s="43" t="str">
        <f aca="false">IF($A262="","",IF(I262="","",I262-SUM(J262:P262)))</f>
        <v/>
      </c>
      <c r="V433" s="6" t="s">
        <v>5011</v>
      </c>
      <c r="W433" s="49" t="s">
        <v>774</v>
      </c>
      <c r="X433" s="9" t="s">
        <v>5015</v>
      </c>
      <c r="Y433" s="9" t="s">
        <v>4897</v>
      </c>
      <c r="Z433" s="9" t="s">
        <v>4898</v>
      </c>
      <c r="AA433" s="9" t="s">
        <v>4899</v>
      </c>
    </row>
    <row r="434" customFormat="false" ht="15" hidden="false" customHeight="true" outlineLevel="0" collapsed="false">
      <c r="A434" s="6" t="s">
        <v>2085</v>
      </c>
      <c r="B434" s="6" t="s">
        <v>502</v>
      </c>
      <c r="C434" s="6" t="s">
        <v>507</v>
      </c>
      <c r="D434" s="6" t="n">
        <v>6</v>
      </c>
      <c r="E434" s="9" t="s">
        <v>4988</v>
      </c>
      <c r="F434" s="42" t="n">
        <v>218454</v>
      </c>
      <c r="G434" s="48" t="n">
        <v>31000</v>
      </c>
      <c r="H434" s="48" t="n">
        <v>2000</v>
      </c>
      <c r="I434" s="48" t="n">
        <v>12000</v>
      </c>
      <c r="J434" s="48" t="n">
        <v>2000</v>
      </c>
      <c r="K434" s="48" t="n">
        <v>0</v>
      </c>
      <c r="L434" s="48" t="n">
        <v>1000</v>
      </c>
      <c r="M434" s="48" t="n">
        <v>0</v>
      </c>
      <c r="N434" s="48" t="n">
        <v>2000</v>
      </c>
      <c r="O434" s="48" t="n">
        <v>5000</v>
      </c>
      <c r="P434" s="48" t="n">
        <v>0</v>
      </c>
      <c r="Q434" s="43" t="str">
        <f aca="false">IF($A263="","",IF(OR(F263="",I263=""),"",F263-I263))</f>
        <v/>
      </c>
      <c r="R434" s="43" t="str">
        <f aca="false">IF($A263="","",IF(Q263="","",Q263+IF(O263="",0,O263)))</f>
        <v/>
      </c>
      <c r="S434" s="48"/>
      <c r="T434" s="43" t="str">
        <f aca="false">IF($A263="","",IF(R263="","",R263-IF(S263="",0,S263)))</f>
        <v/>
      </c>
      <c r="U434" s="43" t="str">
        <f aca="false">IF($A263="","",IF(I263="","",I263-SUM(J263:P263)))</f>
        <v/>
      </c>
      <c r="V434" s="6" t="s">
        <v>5011</v>
      </c>
      <c r="W434" s="49" t="s">
        <v>774</v>
      </c>
      <c r="X434" s="9" t="s">
        <v>5015</v>
      </c>
      <c r="Y434" s="9" t="s">
        <v>4897</v>
      </c>
      <c r="Z434" s="9" t="s">
        <v>4898</v>
      </c>
      <c r="AA434" s="9" t="s">
        <v>4899</v>
      </c>
    </row>
    <row r="435" customFormat="false" ht="15" hidden="false" customHeight="true" outlineLevel="0" collapsed="false">
      <c r="A435" s="6" t="s">
        <v>2087</v>
      </c>
      <c r="B435" s="6" t="s">
        <v>502</v>
      </c>
      <c r="C435" s="6" t="s">
        <v>507</v>
      </c>
      <c r="D435" s="6" t="n">
        <v>6</v>
      </c>
      <c r="E435" s="9" t="s">
        <v>4988</v>
      </c>
      <c r="F435" s="42" t="n">
        <v>75759</v>
      </c>
      <c r="G435" s="48" t="n">
        <v>35000</v>
      </c>
      <c r="H435" s="48" t="n">
        <v>4000</v>
      </c>
      <c r="I435" s="48" t="n">
        <v>16000</v>
      </c>
      <c r="J435" s="48" t="n">
        <v>4000</v>
      </c>
      <c r="K435" s="48" t="n">
        <v>0</v>
      </c>
      <c r="L435" s="48" t="n">
        <v>1000</v>
      </c>
      <c r="M435" s="48" t="n">
        <v>0</v>
      </c>
      <c r="N435" s="48" t="n">
        <v>3000</v>
      </c>
      <c r="O435" s="48" t="n">
        <v>5000</v>
      </c>
      <c r="P435" s="48" t="n">
        <v>0</v>
      </c>
      <c r="Q435" s="43" t="str">
        <f aca="false">IF($A264="","",IF(OR(F264="",I264=""),"",F264-I264))</f>
        <v/>
      </c>
      <c r="R435" s="43" t="str">
        <f aca="false">IF($A264="","",IF(Q264="","",Q264+IF(O264="",0,O264)))</f>
        <v/>
      </c>
      <c r="S435" s="48"/>
      <c r="T435" s="43" t="str">
        <f aca="false">IF($A264="","",IF(R264="","",R264-IF(S264="",0,S264)))</f>
        <v/>
      </c>
      <c r="U435" s="43" t="str">
        <f aca="false">IF($A264="","",IF(I264="","",I264-SUM(J264:P264)))</f>
        <v/>
      </c>
      <c r="V435" s="6" t="s">
        <v>5011</v>
      </c>
      <c r="W435" s="49" t="s">
        <v>774</v>
      </c>
      <c r="X435" s="9" t="s">
        <v>5054</v>
      </c>
      <c r="Y435" s="9" t="s">
        <v>4897</v>
      </c>
      <c r="Z435" s="9" t="s">
        <v>4898</v>
      </c>
      <c r="AA435" s="9" t="s">
        <v>4899</v>
      </c>
    </row>
    <row r="436" customFormat="false" ht="15" hidden="false" customHeight="true" outlineLevel="0" collapsed="false">
      <c r="A436" s="6" t="s">
        <v>2090</v>
      </c>
      <c r="B436" s="6" t="s">
        <v>502</v>
      </c>
      <c r="C436" s="6" t="s">
        <v>507</v>
      </c>
      <c r="D436" s="6" t="n">
        <v>6</v>
      </c>
      <c r="E436" s="9" t="s">
        <v>4908</v>
      </c>
      <c r="F436" s="48" t="n">
        <v>34000</v>
      </c>
      <c r="G436" s="48" t="n">
        <v>32000</v>
      </c>
      <c r="H436" s="48" t="n">
        <v>2000</v>
      </c>
      <c r="I436" s="48" t="n">
        <v>47000</v>
      </c>
      <c r="J436" s="48" t="n">
        <v>5000</v>
      </c>
      <c r="K436" s="48" t="n">
        <v>0</v>
      </c>
      <c r="L436" s="48" t="n">
        <v>2000</v>
      </c>
      <c r="M436" s="48" t="n">
        <v>0</v>
      </c>
      <c r="N436" s="48" t="n">
        <v>32000</v>
      </c>
      <c r="O436" s="48" t="n">
        <v>4000</v>
      </c>
      <c r="P436" s="48" t="n">
        <v>1000</v>
      </c>
      <c r="Q436" s="43" t="str">
        <f aca="false">IF($A265="","",IF(OR(F265="",I265=""),"",F265-I265))</f>
        <v/>
      </c>
      <c r="R436" s="43" t="str">
        <f aca="false">IF($A265="","",IF(Q265="","",Q265+IF(O265="",0,O265)))</f>
        <v/>
      </c>
      <c r="S436" s="48"/>
      <c r="T436" s="43" t="str">
        <f aca="false">IF($A265="","",IF(R265="","",R265-IF(S265="",0,S265)))</f>
        <v/>
      </c>
      <c r="U436" s="43" t="str">
        <f aca="false">IF($A265="","",IF(I265="","",I265-SUM(J265:P265)))</f>
        <v/>
      </c>
      <c r="V436" s="6" t="s">
        <v>5013</v>
      </c>
      <c r="W436" s="49" t="s">
        <v>774</v>
      </c>
      <c r="X436" s="9" t="s">
        <v>5055</v>
      </c>
      <c r="Y436" s="9" t="s">
        <v>4897</v>
      </c>
      <c r="Z436" s="9" t="s">
        <v>4898</v>
      </c>
      <c r="AA436" s="9" t="s">
        <v>4899</v>
      </c>
    </row>
    <row r="437" customFormat="false" ht="15" hidden="false" customHeight="true" outlineLevel="0" collapsed="false">
      <c r="A437" s="6" t="s">
        <v>2093</v>
      </c>
      <c r="B437" s="6" t="s">
        <v>502</v>
      </c>
      <c r="C437" s="6" t="s">
        <v>507</v>
      </c>
      <c r="D437" s="6" t="n">
        <v>6</v>
      </c>
      <c r="E437" s="9" t="s">
        <v>5056</v>
      </c>
      <c r="F437" s="48" t="n">
        <v>46000</v>
      </c>
      <c r="G437" s="48" t="n">
        <v>43000</v>
      </c>
      <c r="H437" s="48" t="n">
        <v>3000</v>
      </c>
      <c r="I437" s="48" t="n">
        <v>18000</v>
      </c>
      <c r="J437" s="48" t="n">
        <v>3000</v>
      </c>
      <c r="K437" s="48" t="n">
        <v>0</v>
      </c>
      <c r="L437" s="48" t="n">
        <v>2000</v>
      </c>
      <c r="M437" s="48" t="n">
        <v>0</v>
      </c>
      <c r="N437" s="48" t="n">
        <v>2000</v>
      </c>
      <c r="O437" s="48" t="n">
        <v>8000</v>
      </c>
      <c r="P437" s="48" t="n">
        <v>1000</v>
      </c>
      <c r="Q437" s="43" t="str">
        <f aca="false">IF($A266="","",IF(OR(F266="",I266=""),"",F266-I266))</f>
        <v/>
      </c>
      <c r="R437" s="43" t="str">
        <f aca="false">IF($A266="","",IF(Q266="","",Q266+IF(O266="",0,O266)))</f>
        <v/>
      </c>
      <c r="S437" s="48"/>
      <c r="T437" s="43" t="str">
        <f aca="false">IF($A266="","",IF(R266="","",R266-IF(S266="",0,S266)))</f>
        <v/>
      </c>
      <c r="U437" s="43" t="str">
        <f aca="false">IF($A266="","",IF(I266="","",I266-SUM(J266:P266)))</f>
        <v/>
      </c>
      <c r="V437" s="6" t="s">
        <v>5057</v>
      </c>
      <c r="W437" s="49" t="s">
        <v>774</v>
      </c>
      <c r="X437" s="9" t="s">
        <v>5058</v>
      </c>
      <c r="Y437" s="6" t="s">
        <v>4920</v>
      </c>
      <c r="Z437" s="9" t="s">
        <v>4981</v>
      </c>
      <c r="AA437" s="9" t="s">
        <v>4899</v>
      </c>
    </row>
    <row r="438" customFormat="false" ht="15" hidden="false" customHeight="true" outlineLevel="0" collapsed="false">
      <c r="A438" s="6" t="s">
        <v>2097</v>
      </c>
      <c r="B438" s="6" t="s">
        <v>509</v>
      </c>
      <c r="C438" s="6" t="s">
        <v>513</v>
      </c>
      <c r="D438" s="6" t="n">
        <v>6</v>
      </c>
      <c r="E438" s="9" t="s">
        <v>4894</v>
      </c>
      <c r="F438" s="42" t="n">
        <v>7885535</v>
      </c>
      <c r="G438" s="42" t="n">
        <v>7379368</v>
      </c>
      <c r="H438" s="42" t="n">
        <v>506166</v>
      </c>
      <c r="I438" s="42" t="n">
        <v>3801500</v>
      </c>
      <c r="J438" s="42" t="n">
        <v>532100</v>
      </c>
      <c r="K438" s="42" t="n">
        <v>495249</v>
      </c>
      <c r="L438" s="42" t="n">
        <v>791528</v>
      </c>
      <c r="M438" s="42" t="n">
        <v>14263</v>
      </c>
      <c r="N438" s="42" t="n">
        <v>451981</v>
      </c>
      <c r="O438" s="42" t="n">
        <v>986051</v>
      </c>
      <c r="P438" s="42" t="n">
        <v>530324</v>
      </c>
      <c r="Q438" s="43" t="n">
        <f aca="false">IF($A296="","",IF(OR(F296="",I296=""),"",F296-I296))</f>
        <v>-3677348</v>
      </c>
      <c r="R438" s="43" t="n">
        <f aca="false">IF($A296="","",IF(Q296="","",Q296+IF(O296="",0,O296)))</f>
        <v>1940754</v>
      </c>
      <c r="S438" s="42" t="n">
        <v>1350320</v>
      </c>
      <c r="T438" s="43" t="n">
        <f aca="false">IF($A296="","",IF(R296="","",R296-IF(S296="",0,S296)))</f>
        <v>-975248</v>
      </c>
      <c r="U438" s="43" t="n">
        <f aca="false">IF($A296="","",IF(I296="","",I296-SUM(J296:P296)))</f>
        <v>4</v>
      </c>
      <c r="V438" s="6" t="s">
        <v>5059</v>
      </c>
      <c r="W438" s="49" t="s">
        <v>767</v>
      </c>
      <c r="X438" s="9" t="s">
        <v>5060</v>
      </c>
      <c r="Y438" s="9" t="s">
        <v>4897</v>
      </c>
      <c r="Z438" s="9" t="s">
        <v>4898</v>
      </c>
      <c r="AA438" s="9" t="s">
        <v>4899</v>
      </c>
    </row>
    <row r="439" customFormat="false" ht="15" hidden="false" customHeight="true" outlineLevel="0" collapsed="false">
      <c r="A439" s="6" t="s">
        <v>2102</v>
      </c>
      <c r="B439" s="6" t="s">
        <v>509</v>
      </c>
      <c r="C439" s="6" t="s">
        <v>513</v>
      </c>
      <c r="D439" s="6" t="n">
        <v>6</v>
      </c>
      <c r="E439" s="9" t="s">
        <v>5061</v>
      </c>
      <c r="F439" s="48" t="n">
        <v>55000</v>
      </c>
      <c r="G439" s="48" t="n">
        <v>52000</v>
      </c>
      <c r="H439" s="48" t="n">
        <v>2000</v>
      </c>
      <c r="I439" s="48" t="n">
        <v>25000</v>
      </c>
      <c r="J439" s="48" t="n">
        <v>5000</v>
      </c>
      <c r="K439" s="48" t="n">
        <v>0</v>
      </c>
      <c r="L439" s="48" t="n">
        <v>2000</v>
      </c>
      <c r="M439" s="48" t="n">
        <v>0</v>
      </c>
      <c r="N439" s="48" t="n">
        <v>2000</v>
      </c>
      <c r="O439" s="48" t="n">
        <v>12000</v>
      </c>
      <c r="P439" s="48" t="n">
        <v>1000</v>
      </c>
      <c r="Q439" s="43" t="str">
        <f aca="false">IF($A268="","",IF(OR(F268="",I268=""),"",F268-I268))</f>
        <v/>
      </c>
      <c r="R439" s="43" t="str">
        <f aca="false">IF($A268="","",IF(Q268="","",Q268+IF(O268="",0,O268)))</f>
        <v/>
      </c>
      <c r="S439" s="48"/>
      <c r="T439" s="43" t="str">
        <f aca="false">IF($A268="","",IF(R268="","",R268-IF(S268="",0,S268)))</f>
        <v/>
      </c>
      <c r="U439" s="43" t="str">
        <f aca="false">IF($A268="","",IF(I268="","",I268-SUM(J268:P268)))</f>
        <v/>
      </c>
      <c r="V439" s="6" t="s">
        <v>5062</v>
      </c>
      <c r="W439" s="49" t="s">
        <v>774</v>
      </c>
      <c r="X439" s="6" t="s">
        <v>5063</v>
      </c>
      <c r="Y439" s="9" t="s">
        <v>4897</v>
      </c>
      <c r="Z439" s="9" t="s">
        <v>4898</v>
      </c>
      <c r="AA439" s="9" t="s">
        <v>4899</v>
      </c>
    </row>
    <row r="440" customFormat="false" ht="15" hidden="false" customHeight="true" outlineLevel="0" collapsed="false">
      <c r="A440" s="6" t="s">
        <v>2105</v>
      </c>
      <c r="B440" s="6" t="s">
        <v>509</v>
      </c>
      <c r="C440" s="6" t="s">
        <v>513</v>
      </c>
      <c r="D440" s="6" t="n">
        <v>6</v>
      </c>
      <c r="E440" s="9" t="s">
        <v>5061</v>
      </c>
      <c r="F440" s="48" t="n">
        <v>57000</v>
      </c>
      <c r="G440" s="48" t="n">
        <v>53000</v>
      </c>
      <c r="H440" s="48" t="n">
        <v>4000</v>
      </c>
      <c r="I440" s="48" t="n">
        <v>25000</v>
      </c>
      <c r="J440" s="48" t="n">
        <v>6000</v>
      </c>
      <c r="K440" s="48" t="n">
        <v>0</v>
      </c>
      <c r="L440" s="48" t="n">
        <v>2000</v>
      </c>
      <c r="M440" s="48" t="n">
        <v>0</v>
      </c>
      <c r="N440" s="48" t="n">
        <v>3000</v>
      </c>
      <c r="O440" s="48" t="n">
        <v>11000</v>
      </c>
      <c r="P440" s="48" t="n">
        <v>1000</v>
      </c>
      <c r="Q440" s="43" t="str">
        <f aca="false">IF($A269="","",IF(OR(F269="",I269=""),"",F269-I269))</f>
        <v/>
      </c>
      <c r="R440" s="43" t="str">
        <f aca="false">IF($A269="","",IF(Q269="","",Q269+IF(O269="",0,O269)))</f>
        <v/>
      </c>
      <c r="S440" s="48"/>
      <c r="T440" s="43" t="str">
        <f aca="false">IF($A269="","",IF(R269="","",R269-IF(S269="",0,S269)))</f>
        <v/>
      </c>
      <c r="U440" s="43" t="str">
        <f aca="false">IF($A269="","",IF(I269="","",I269-SUM(J269:P269)))</f>
        <v/>
      </c>
      <c r="V440" s="6" t="s">
        <v>5062</v>
      </c>
      <c r="W440" s="49" t="s">
        <v>774</v>
      </c>
      <c r="X440" s="6" t="s">
        <v>5064</v>
      </c>
      <c r="Y440" s="9" t="s">
        <v>4897</v>
      </c>
      <c r="Z440" s="9" t="s">
        <v>4898</v>
      </c>
      <c r="AA440" s="9" t="s">
        <v>4899</v>
      </c>
    </row>
    <row r="441" customFormat="false" ht="15" hidden="false" customHeight="true" outlineLevel="0" collapsed="false">
      <c r="A441" s="6" t="s">
        <v>2108</v>
      </c>
      <c r="B441" s="6" t="s">
        <v>509</v>
      </c>
      <c r="C441" s="6" t="s">
        <v>513</v>
      </c>
      <c r="D441" s="6" t="n">
        <v>6</v>
      </c>
      <c r="E441" s="9" t="s">
        <v>5061</v>
      </c>
      <c r="F441" s="48" t="n">
        <v>45000</v>
      </c>
      <c r="G441" s="48" t="n">
        <v>42000</v>
      </c>
      <c r="H441" s="48" t="n">
        <v>2000</v>
      </c>
      <c r="I441" s="48" t="n">
        <v>17000</v>
      </c>
      <c r="J441" s="48" t="n">
        <v>4000</v>
      </c>
      <c r="K441" s="48" t="n">
        <v>0</v>
      </c>
      <c r="L441" s="48" t="n">
        <v>1000</v>
      </c>
      <c r="M441" s="48" t="n">
        <v>0</v>
      </c>
      <c r="N441" s="48" t="n">
        <v>2000</v>
      </c>
      <c r="O441" s="48" t="n">
        <v>7000</v>
      </c>
      <c r="P441" s="48" t="n">
        <v>1000</v>
      </c>
      <c r="Q441" s="43" t="str">
        <f aca="false">IF($A270="","",IF(OR(F270="",I270=""),"",F270-I270))</f>
        <v/>
      </c>
      <c r="R441" s="43" t="str">
        <f aca="false">IF($A270="","",IF(Q270="","",Q270+IF(O270="",0,O270)))</f>
        <v/>
      </c>
      <c r="S441" s="48"/>
      <c r="T441" s="43" t="str">
        <f aca="false">IF($A270="","",IF(R270="","",R270-IF(S270="",0,S270)))</f>
        <v/>
      </c>
      <c r="U441" s="43" t="str">
        <f aca="false">IF($A270="","",IF(I270="","",I270-SUM(J270:P270)))</f>
        <v/>
      </c>
      <c r="V441" s="6" t="s">
        <v>5062</v>
      </c>
      <c r="W441" s="49" t="s">
        <v>774</v>
      </c>
      <c r="X441" s="6" t="s">
        <v>5065</v>
      </c>
      <c r="Y441" s="9" t="s">
        <v>4897</v>
      </c>
      <c r="Z441" s="9" t="s">
        <v>4898</v>
      </c>
      <c r="AA441" s="9" t="s">
        <v>4899</v>
      </c>
    </row>
    <row r="442" customFormat="false" ht="15" hidden="false" customHeight="true" outlineLevel="0" collapsed="false">
      <c r="A442" s="6" t="s">
        <v>2111</v>
      </c>
      <c r="B442" s="6" t="s">
        <v>509</v>
      </c>
      <c r="C442" s="6" t="s">
        <v>513</v>
      </c>
      <c r="D442" s="6" t="n">
        <v>6</v>
      </c>
      <c r="E442" s="9" t="s">
        <v>5061</v>
      </c>
      <c r="F442" s="48" t="n">
        <v>89000</v>
      </c>
      <c r="G442" s="48" t="n">
        <v>83000</v>
      </c>
      <c r="H442" s="48" t="n">
        <v>5000</v>
      </c>
      <c r="I442" s="48" t="n">
        <v>33000</v>
      </c>
      <c r="J442" s="48" t="n">
        <v>7000</v>
      </c>
      <c r="K442" s="48" t="n">
        <v>0</v>
      </c>
      <c r="L442" s="48" t="n">
        <v>4000</v>
      </c>
      <c r="M442" s="48" t="n">
        <v>0</v>
      </c>
      <c r="N442" s="48" t="n">
        <v>4000</v>
      </c>
      <c r="O442" s="48" t="n">
        <v>15000</v>
      </c>
      <c r="P442" s="48" t="n">
        <v>1000</v>
      </c>
      <c r="Q442" s="43" t="str">
        <f aca="false">IF($A271="","",IF(OR(F271="",I271=""),"",F271-I271))</f>
        <v/>
      </c>
      <c r="R442" s="43" t="str">
        <f aca="false">IF($A271="","",IF(Q271="","",Q271+IF(O271="",0,O271)))</f>
        <v/>
      </c>
      <c r="S442" s="48"/>
      <c r="T442" s="43" t="str">
        <f aca="false">IF($A271="","",IF(R271="","",R271-IF(S271="",0,S271)))</f>
        <v/>
      </c>
      <c r="U442" s="43" t="str">
        <f aca="false">IF($A271="","",IF(I271="","",I271-SUM(J271:P271)))</f>
        <v/>
      </c>
      <c r="V442" s="6" t="s">
        <v>5062</v>
      </c>
      <c r="W442" s="49" t="s">
        <v>774</v>
      </c>
      <c r="X442" s="6" t="s">
        <v>5066</v>
      </c>
      <c r="Y442" s="9" t="s">
        <v>4897</v>
      </c>
      <c r="Z442" s="9" t="s">
        <v>4898</v>
      </c>
      <c r="AA442" s="9" t="s">
        <v>4899</v>
      </c>
    </row>
    <row r="443" customFormat="false" ht="15" hidden="false" customHeight="true" outlineLevel="0" collapsed="false">
      <c r="A443" s="6" t="s">
        <v>2114</v>
      </c>
      <c r="B443" s="6" t="s">
        <v>509</v>
      </c>
      <c r="C443" s="6" t="s">
        <v>513</v>
      </c>
      <c r="D443" s="6" t="n">
        <v>6</v>
      </c>
      <c r="E443" s="9" t="s">
        <v>5061</v>
      </c>
      <c r="F443" s="48" t="n">
        <v>52000</v>
      </c>
      <c r="G443" s="48" t="n">
        <v>48000</v>
      </c>
      <c r="H443" s="48" t="n">
        <v>4000</v>
      </c>
      <c r="I443" s="48" t="n">
        <v>20000</v>
      </c>
      <c r="J443" s="48" t="n">
        <v>5000</v>
      </c>
      <c r="K443" s="48" t="n">
        <v>0</v>
      </c>
      <c r="L443" s="48" t="n">
        <v>2000</v>
      </c>
      <c r="M443" s="48" t="n">
        <v>0</v>
      </c>
      <c r="N443" s="48" t="n">
        <v>2000</v>
      </c>
      <c r="O443" s="48" t="n">
        <v>9000</v>
      </c>
      <c r="P443" s="48" t="n">
        <v>0</v>
      </c>
      <c r="Q443" s="43" t="str">
        <f aca="false">IF($A272="","",IF(OR(F272="",I272=""),"",F272-I272))</f>
        <v/>
      </c>
      <c r="R443" s="43" t="str">
        <f aca="false">IF($A272="","",IF(Q272="","",Q272+IF(O272="",0,O272)))</f>
        <v/>
      </c>
      <c r="S443" s="48"/>
      <c r="T443" s="43" t="str">
        <f aca="false">IF($A272="","",IF(R272="","",R272-IF(S272="",0,S272)))</f>
        <v/>
      </c>
      <c r="U443" s="43" t="str">
        <f aca="false">IF($A272="","",IF(I272="","",I272-SUM(J272:P272)))</f>
        <v/>
      </c>
      <c r="V443" s="6" t="s">
        <v>5062</v>
      </c>
      <c r="W443" s="49" t="s">
        <v>774</v>
      </c>
      <c r="X443" s="6" t="s">
        <v>5067</v>
      </c>
      <c r="Y443" s="9" t="s">
        <v>4897</v>
      </c>
      <c r="Z443" s="9" t="s">
        <v>4898</v>
      </c>
      <c r="AA443" s="9" t="s">
        <v>4899</v>
      </c>
    </row>
    <row r="444" customFormat="false" ht="15" hidden="false" customHeight="true" outlineLevel="0" collapsed="false">
      <c r="A444" s="6" t="s">
        <v>2117</v>
      </c>
      <c r="B444" s="6" t="s">
        <v>509</v>
      </c>
      <c r="C444" s="6" t="s">
        <v>513</v>
      </c>
      <c r="D444" s="6" t="n">
        <v>6</v>
      </c>
      <c r="E444" s="9" t="s">
        <v>5061</v>
      </c>
      <c r="F444" s="48" t="n">
        <v>86000</v>
      </c>
      <c r="G444" s="48" t="n">
        <v>79000</v>
      </c>
      <c r="H444" s="48" t="n">
        <v>6000</v>
      </c>
      <c r="I444" s="48" t="n">
        <v>35000</v>
      </c>
      <c r="J444" s="48" t="n">
        <v>8000</v>
      </c>
      <c r="K444" s="48" t="n">
        <v>0</v>
      </c>
      <c r="L444" s="48" t="n">
        <v>5000</v>
      </c>
      <c r="M444" s="48" t="n">
        <v>0</v>
      </c>
      <c r="N444" s="48" t="n">
        <v>6000</v>
      </c>
      <c r="O444" s="48" t="n">
        <v>13000</v>
      </c>
      <c r="P444" s="48" t="n">
        <v>0</v>
      </c>
      <c r="Q444" s="43" t="str">
        <f aca="false">IF($A273="","",IF(OR(F273="",I273=""),"",F273-I273))</f>
        <v/>
      </c>
      <c r="R444" s="43" t="str">
        <f aca="false">IF($A273="","",IF(Q273="","",Q273+IF(O273="",0,O273)))</f>
        <v/>
      </c>
      <c r="S444" s="48"/>
      <c r="T444" s="43" t="str">
        <f aca="false">IF($A273="","",IF(R273="","",R273-IF(S273="",0,S273)))</f>
        <v/>
      </c>
      <c r="U444" s="43" t="str">
        <f aca="false">IF($A273="","",IF(I273="","",I273-SUM(J273:P273)))</f>
        <v/>
      </c>
      <c r="V444" s="6" t="s">
        <v>5062</v>
      </c>
      <c r="W444" s="49" t="s">
        <v>774</v>
      </c>
      <c r="X444" s="6" t="s">
        <v>5068</v>
      </c>
      <c r="Y444" s="9" t="s">
        <v>4897</v>
      </c>
      <c r="Z444" s="9" t="s">
        <v>4898</v>
      </c>
      <c r="AA444" s="9" t="s">
        <v>4899</v>
      </c>
    </row>
    <row r="445" customFormat="false" ht="15" hidden="false" customHeight="true" outlineLevel="0" collapsed="false">
      <c r="A445" s="6" t="s">
        <v>2120</v>
      </c>
      <c r="B445" s="6" t="s">
        <v>509</v>
      </c>
      <c r="C445" s="6" t="s">
        <v>513</v>
      </c>
      <c r="D445" s="6" t="n">
        <v>6</v>
      </c>
      <c r="E445" s="9" t="s">
        <v>5061</v>
      </c>
      <c r="F445" s="48" t="n">
        <v>59000</v>
      </c>
      <c r="G445" s="48" t="n">
        <v>58000</v>
      </c>
      <c r="H445" s="48" t="n">
        <v>1000</v>
      </c>
      <c r="I445" s="48" t="n">
        <v>21000</v>
      </c>
      <c r="J445" s="48" t="n">
        <v>1000</v>
      </c>
      <c r="K445" s="48" t="n">
        <v>0</v>
      </c>
      <c r="L445" s="48" t="n">
        <v>0</v>
      </c>
      <c r="M445" s="48" t="n">
        <v>0</v>
      </c>
      <c r="N445" s="48" t="n">
        <v>0</v>
      </c>
      <c r="O445" s="48" t="n">
        <v>17000</v>
      </c>
      <c r="P445" s="48" t="n">
        <v>2000</v>
      </c>
      <c r="Q445" s="43" t="str">
        <f aca="false">IF($A274="","",IF(OR(F274="",I274=""),"",F274-I274))</f>
        <v/>
      </c>
      <c r="R445" s="43" t="str">
        <f aca="false">IF($A274="","",IF(Q274="","",Q274+IF(O274="",0,O274)))</f>
        <v/>
      </c>
      <c r="S445" s="48"/>
      <c r="T445" s="43" t="str">
        <f aca="false">IF($A274="","",IF(R274="","",R274-IF(S274="",0,S274)))</f>
        <v/>
      </c>
      <c r="U445" s="43" t="str">
        <f aca="false">IF($A274="","",IF(I274="","",I274-SUM(J274:P274)))</f>
        <v/>
      </c>
      <c r="V445" s="6" t="s">
        <v>5062</v>
      </c>
      <c r="W445" s="49" t="s">
        <v>774</v>
      </c>
      <c r="X445" s="6" t="s">
        <v>5069</v>
      </c>
      <c r="Y445" s="9" t="s">
        <v>4897</v>
      </c>
      <c r="Z445" s="9" t="s">
        <v>4898</v>
      </c>
      <c r="AA445" s="9" t="s">
        <v>4899</v>
      </c>
    </row>
    <row r="446" customFormat="false" ht="15" hidden="false" customHeight="true" outlineLevel="0" collapsed="false">
      <c r="A446" s="6" t="s">
        <v>2123</v>
      </c>
      <c r="B446" s="6" t="s">
        <v>509</v>
      </c>
      <c r="C446" s="6" t="s">
        <v>513</v>
      </c>
      <c r="D446" s="6" t="n">
        <v>6</v>
      </c>
      <c r="E446" s="9" t="s">
        <v>5061</v>
      </c>
      <c r="F446" s="48" t="n">
        <v>75000</v>
      </c>
      <c r="G446" s="48" t="n">
        <v>66000</v>
      </c>
      <c r="H446" s="48" t="n">
        <v>8000</v>
      </c>
      <c r="I446" s="48" t="n">
        <v>48000</v>
      </c>
      <c r="J446" s="48" t="n">
        <v>14000</v>
      </c>
      <c r="K446" s="48" t="n">
        <v>3000</v>
      </c>
      <c r="L446" s="48" t="n">
        <v>0</v>
      </c>
      <c r="M446" s="48" t="n">
        <v>0</v>
      </c>
      <c r="N446" s="48" t="n">
        <v>3000</v>
      </c>
      <c r="O446" s="48" t="n">
        <v>19000</v>
      </c>
      <c r="P446" s="48" t="n">
        <v>7000</v>
      </c>
      <c r="Q446" s="43" t="str">
        <f aca="false">IF($A275="","",IF(OR(F275="",I275=""),"",F275-I275))</f>
        <v/>
      </c>
      <c r="R446" s="43" t="str">
        <f aca="false">IF($A275="","",IF(Q275="","",Q275+IF(O275="",0,O275)))</f>
        <v/>
      </c>
      <c r="S446" s="48"/>
      <c r="T446" s="43" t="str">
        <f aca="false">IF($A275="","",IF(R275="","",R275-IF(S275="",0,S275)))</f>
        <v/>
      </c>
      <c r="U446" s="43" t="str">
        <f aca="false">IF($A275="","",IF(I275="","",I275-SUM(J275:P275)))</f>
        <v/>
      </c>
      <c r="V446" s="6" t="s">
        <v>5062</v>
      </c>
      <c r="W446" s="49" t="s">
        <v>774</v>
      </c>
      <c r="X446" s="6" t="s">
        <v>5070</v>
      </c>
      <c r="Y446" s="9" t="s">
        <v>4897</v>
      </c>
      <c r="Z446" s="9" t="s">
        <v>4898</v>
      </c>
      <c r="AA446" s="9" t="s">
        <v>4899</v>
      </c>
    </row>
    <row r="447" customFormat="false" ht="15" hidden="false" customHeight="true" outlineLevel="0" collapsed="false">
      <c r="A447" s="6" t="s">
        <v>2126</v>
      </c>
      <c r="B447" s="6" t="s">
        <v>509</v>
      </c>
      <c r="C447" s="6" t="s">
        <v>513</v>
      </c>
      <c r="D447" s="6" t="n">
        <v>6</v>
      </c>
      <c r="E447" s="9" t="s">
        <v>5061</v>
      </c>
      <c r="F447" s="48" t="n">
        <v>11000</v>
      </c>
      <c r="G447" s="48" t="n">
        <v>10000</v>
      </c>
      <c r="H447" s="48" t="n">
        <v>0</v>
      </c>
      <c r="I447" s="48" t="n">
        <v>6000</v>
      </c>
      <c r="J447" s="48" t="n">
        <v>1000</v>
      </c>
      <c r="K447" s="48" t="n">
        <v>0</v>
      </c>
      <c r="L447" s="48" t="n">
        <v>0</v>
      </c>
      <c r="M447" s="48" t="n">
        <v>0</v>
      </c>
      <c r="N447" s="48" t="n">
        <v>0</v>
      </c>
      <c r="O447" s="48" t="n">
        <v>4000</v>
      </c>
      <c r="P447" s="48" t="n">
        <v>0</v>
      </c>
      <c r="Q447" s="43" t="str">
        <f aca="false">IF($A276="","",IF(OR(F276="",I276=""),"",F276-I276))</f>
        <v/>
      </c>
      <c r="R447" s="43" t="str">
        <f aca="false">IF($A276="","",IF(Q276="","",Q276+IF(O276="",0,O276)))</f>
        <v/>
      </c>
      <c r="S447" s="48"/>
      <c r="T447" s="43" t="str">
        <f aca="false">IF($A276="","",IF(R276="","",R276-IF(S276="",0,S276)))</f>
        <v/>
      </c>
      <c r="U447" s="43" t="str">
        <f aca="false">IF($A276="","",IF(I276="","",I276-SUM(J276:P276)))</f>
        <v/>
      </c>
      <c r="V447" s="6" t="s">
        <v>5062</v>
      </c>
      <c r="W447" s="49" t="s">
        <v>774</v>
      </c>
      <c r="X447" s="6" t="s">
        <v>5071</v>
      </c>
      <c r="Y447" s="9" t="s">
        <v>4897</v>
      </c>
      <c r="Z447" s="9" t="s">
        <v>4898</v>
      </c>
      <c r="AA447" s="9" t="s">
        <v>4899</v>
      </c>
    </row>
    <row r="448" customFormat="false" ht="15" hidden="false" customHeight="true" outlineLevel="0" collapsed="false">
      <c r="A448" s="6" t="s">
        <v>2129</v>
      </c>
      <c r="B448" s="6" t="s">
        <v>509</v>
      </c>
      <c r="C448" s="6" t="s">
        <v>513</v>
      </c>
      <c r="D448" s="6" t="n">
        <v>6</v>
      </c>
      <c r="E448" s="9" t="s">
        <v>5061</v>
      </c>
      <c r="F448" s="48"/>
      <c r="G448" s="48"/>
      <c r="H448" s="48"/>
      <c r="I448" s="48"/>
      <c r="J448" s="48"/>
      <c r="K448" s="48"/>
      <c r="L448" s="48"/>
      <c r="M448" s="48"/>
      <c r="N448" s="48"/>
      <c r="O448" s="48"/>
      <c r="P448" s="48"/>
      <c r="Q448" s="43" t="str">
        <f aca="false">IF($A277="","",IF(OR(F277="",I277=""),"",F277-I277))</f>
        <v/>
      </c>
      <c r="R448" s="43" t="str">
        <f aca="false">IF($A277="","",IF(Q277="","",Q277+IF(O277="",0,O277)))</f>
        <v/>
      </c>
      <c r="S448" s="48"/>
      <c r="T448" s="43" t="str">
        <f aca="false">IF($A277="","",IF(R277="","",R277-IF(S277="",0,S277)))</f>
        <v/>
      </c>
      <c r="U448" s="43" t="str">
        <f aca="false">IF($A277="","",IF(I277="","",I277-SUM(J277:P277)))</f>
        <v/>
      </c>
      <c r="V448" s="6" t="s">
        <v>5062</v>
      </c>
      <c r="W448" s="9" t="s">
        <v>774</v>
      </c>
      <c r="X448" s="6" t="s">
        <v>5072</v>
      </c>
      <c r="Y448" s="9" t="s">
        <v>4897</v>
      </c>
      <c r="Z448" s="9" t="s">
        <v>4898</v>
      </c>
      <c r="AA448" s="9" t="s">
        <v>4899</v>
      </c>
    </row>
    <row r="449" customFormat="false" ht="15" hidden="false" customHeight="true" outlineLevel="0" collapsed="false">
      <c r="A449" s="6" t="s">
        <v>2132</v>
      </c>
      <c r="B449" s="6" t="s">
        <v>509</v>
      </c>
      <c r="C449" s="6" t="s">
        <v>513</v>
      </c>
      <c r="D449" s="6" t="n">
        <v>6</v>
      </c>
      <c r="E449" s="9" t="s">
        <v>5061</v>
      </c>
      <c r="F449" s="48" t="n">
        <v>11206538</v>
      </c>
      <c r="G449" s="48" t="n">
        <v>10100506</v>
      </c>
      <c r="H449" s="48" t="n">
        <v>1106031</v>
      </c>
      <c r="I449" s="48" t="n">
        <v>6416161</v>
      </c>
      <c r="J449" s="48" t="n">
        <v>1384712</v>
      </c>
      <c r="K449" s="48" t="n">
        <v>740597</v>
      </c>
      <c r="L449" s="48" t="n">
        <v>827948</v>
      </c>
      <c r="M449" s="48" t="n">
        <v>21745</v>
      </c>
      <c r="N449" s="48" t="n">
        <v>1011352</v>
      </c>
      <c r="O449" s="48" t="n">
        <v>1653117</v>
      </c>
      <c r="P449" s="48" t="n">
        <v>776685</v>
      </c>
      <c r="Q449" s="43" t="str">
        <f aca="false">IF($A278="","",IF(OR(F278="",I278=""),"",F278-I278))</f>
        <v/>
      </c>
      <c r="R449" s="43" t="str">
        <f aca="false">IF($A278="","",IF(Q278="","",Q278+IF(O278="",0,O278)))</f>
        <v/>
      </c>
      <c r="S449" s="48" t="n">
        <v>1355308</v>
      </c>
      <c r="T449" s="43" t="str">
        <f aca="false">IF($A278="","",IF(R278="","",R278-IF(S278="",0,S278)))</f>
        <v/>
      </c>
      <c r="U449" s="43" t="str">
        <f aca="false">IF($A278="","",IF(I278="","",I278-SUM(J278:P278)))</f>
        <v/>
      </c>
      <c r="V449" s="6" t="s">
        <v>5062</v>
      </c>
      <c r="W449" s="49" t="s">
        <v>774</v>
      </c>
      <c r="X449" s="6" t="s">
        <v>5073</v>
      </c>
      <c r="Y449" s="9" t="s">
        <v>4897</v>
      </c>
      <c r="Z449" s="9" t="s">
        <v>4898</v>
      </c>
      <c r="AA449" s="9" t="s">
        <v>4899</v>
      </c>
    </row>
    <row r="450" customFormat="false" ht="15" hidden="false" customHeight="true" outlineLevel="0" collapsed="false">
      <c r="A450" s="6" t="s">
        <v>2135</v>
      </c>
      <c r="B450" s="6" t="s">
        <v>509</v>
      </c>
      <c r="C450" s="6" t="s">
        <v>513</v>
      </c>
      <c r="D450" s="6" t="n">
        <v>6</v>
      </c>
      <c r="E450" s="9" t="s">
        <v>5061</v>
      </c>
      <c r="F450" s="48" t="n">
        <v>178000</v>
      </c>
      <c r="G450" s="48"/>
      <c r="H450" s="48"/>
      <c r="I450" s="48"/>
      <c r="J450" s="48"/>
      <c r="K450" s="48"/>
      <c r="L450" s="48"/>
      <c r="M450" s="48"/>
      <c r="N450" s="48"/>
      <c r="O450" s="48"/>
      <c r="P450" s="48"/>
      <c r="Q450" s="43" t="str">
        <f aca="false">IF($A279="","",IF(OR(F279="",I279=""),"",F279-I279))</f>
        <v/>
      </c>
      <c r="R450" s="43" t="str">
        <f aca="false">IF($A279="","",IF(Q279="","",Q279+IF(O279="",0,O279)))</f>
        <v/>
      </c>
      <c r="S450" s="48"/>
      <c r="T450" s="43" t="str">
        <f aca="false">IF($A279="","",IF(R279="","",R279-IF(S279="",0,S279)))</f>
        <v/>
      </c>
      <c r="U450" s="43" t="str">
        <f aca="false">IF($A279="","",IF(I279="","",I279-SUM(J279:P279)))</f>
        <v/>
      </c>
      <c r="V450" s="6" t="s">
        <v>5062</v>
      </c>
      <c r="W450" s="49" t="s">
        <v>774</v>
      </c>
      <c r="X450" s="6" t="s">
        <v>5074</v>
      </c>
      <c r="Y450" s="9" t="s">
        <v>4897</v>
      </c>
      <c r="Z450" s="9" t="s">
        <v>4898</v>
      </c>
      <c r="AA450" s="9" t="s">
        <v>4899</v>
      </c>
    </row>
    <row r="451" customFormat="false" ht="15" hidden="false" customHeight="true" outlineLevel="0" collapsed="false">
      <c r="A451" s="6" t="s">
        <v>2139</v>
      </c>
      <c r="B451" s="6" t="s">
        <v>509</v>
      </c>
      <c r="C451" s="6" t="s">
        <v>513</v>
      </c>
      <c r="D451" s="6" t="n">
        <v>6</v>
      </c>
      <c r="E451" s="9" t="s">
        <v>5061</v>
      </c>
      <c r="F451" s="48" t="n">
        <v>48000</v>
      </c>
      <c r="G451" s="48"/>
      <c r="H451" s="48"/>
      <c r="I451" s="48"/>
      <c r="J451" s="48"/>
      <c r="K451" s="48"/>
      <c r="L451" s="48"/>
      <c r="M451" s="48"/>
      <c r="N451" s="48"/>
      <c r="O451" s="48"/>
      <c r="P451" s="48"/>
      <c r="Q451" s="43" t="str">
        <f aca="false">IF($A280="","",IF(OR(F280="",I280=""),"",F280-I280))</f>
        <v/>
      </c>
      <c r="R451" s="43" t="str">
        <f aca="false">IF($A280="","",IF(Q280="","",Q280+IF(O280="",0,O280)))</f>
        <v/>
      </c>
      <c r="S451" s="48"/>
      <c r="T451" s="43" t="str">
        <f aca="false">IF($A280="","",IF(R280="","",R280-IF(S280="",0,S280)))</f>
        <v/>
      </c>
      <c r="U451" s="43" t="str">
        <f aca="false">IF($A280="","",IF(I280="","",I280-SUM(J280:P280)))</f>
        <v/>
      </c>
      <c r="V451" s="6" t="s">
        <v>5062</v>
      </c>
      <c r="W451" s="49" t="s">
        <v>774</v>
      </c>
      <c r="X451" s="6" t="s">
        <v>5075</v>
      </c>
      <c r="Y451" s="9" t="s">
        <v>4897</v>
      </c>
      <c r="Z451" s="9" t="s">
        <v>4898</v>
      </c>
      <c r="AA451" s="9" t="s">
        <v>4899</v>
      </c>
    </row>
    <row r="452" customFormat="false" ht="15" hidden="false" customHeight="true" outlineLevel="0" collapsed="false">
      <c r="A452" s="6" t="s">
        <v>2142</v>
      </c>
      <c r="B452" s="6" t="s">
        <v>509</v>
      </c>
      <c r="C452" s="6" t="s">
        <v>513</v>
      </c>
      <c r="D452" s="6" t="n">
        <v>6</v>
      </c>
      <c r="E452" s="9" t="s">
        <v>5061</v>
      </c>
      <c r="F452" s="48" t="n">
        <v>61000</v>
      </c>
      <c r="G452" s="48"/>
      <c r="H452" s="48"/>
      <c r="I452" s="48"/>
      <c r="J452" s="48"/>
      <c r="K452" s="48"/>
      <c r="L452" s="48"/>
      <c r="M452" s="48"/>
      <c r="N452" s="48"/>
      <c r="O452" s="48"/>
      <c r="P452" s="48"/>
      <c r="Q452" s="43" t="str">
        <f aca="false">IF($A281="","",IF(OR(F281="",I281=""),"",F281-I281))</f>
        <v/>
      </c>
      <c r="R452" s="43" t="str">
        <f aca="false">IF($A281="","",IF(Q281="","",Q281+IF(O281="",0,O281)))</f>
        <v/>
      </c>
      <c r="S452" s="48"/>
      <c r="T452" s="43" t="str">
        <f aca="false">IF($A281="","",IF(R281="","",R281-IF(S281="",0,S281)))</f>
        <v/>
      </c>
      <c r="U452" s="43" t="str">
        <f aca="false">IF($A281="","",IF(I281="","",I281-SUM(J281:P281)))</f>
        <v/>
      </c>
      <c r="V452" s="6" t="s">
        <v>5062</v>
      </c>
      <c r="W452" s="49" t="s">
        <v>774</v>
      </c>
      <c r="X452" s="6" t="s">
        <v>5076</v>
      </c>
      <c r="Y452" s="9" t="s">
        <v>4897</v>
      </c>
      <c r="Z452" s="9" t="s">
        <v>4898</v>
      </c>
      <c r="AA452" s="9" t="s">
        <v>4899</v>
      </c>
    </row>
    <row r="453" customFormat="false" ht="15" hidden="false" customHeight="true" outlineLevel="0" collapsed="false">
      <c r="A453" s="6" t="s">
        <v>2145</v>
      </c>
      <c r="B453" s="6" t="s">
        <v>509</v>
      </c>
      <c r="C453" s="6" t="s">
        <v>513</v>
      </c>
      <c r="D453" s="6" t="n">
        <v>6</v>
      </c>
      <c r="E453" s="9" t="s">
        <v>5061</v>
      </c>
      <c r="F453" s="48" t="n">
        <v>12000</v>
      </c>
      <c r="G453" s="48"/>
      <c r="H453" s="48"/>
      <c r="I453" s="48"/>
      <c r="J453" s="48"/>
      <c r="K453" s="48"/>
      <c r="L453" s="48"/>
      <c r="M453" s="48"/>
      <c r="N453" s="48"/>
      <c r="O453" s="48"/>
      <c r="P453" s="48"/>
      <c r="Q453" s="43" t="str">
        <f aca="false">IF($A282="","",IF(OR(F282="",I282=""),"",F282-I282))</f>
        <v/>
      </c>
      <c r="R453" s="43" t="str">
        <f aca="false">IF($A282="","",IF(Q282="","",Q282+IF(O282="",0,O282)))</f>
        <v/>
      </c>
      <c r="S453" s="48"/>
      <c r="T453" s="43" t="str">
        <f aca="false">IF($A282="","",IF(R282="","",R282-IF(S282="",0,S282)))</f>
        <v/>
      </c>
      <c r="U453" s="43" t="str">
        <f aca="false">IF($A282="","",IF(I282="","",I282-SUM(J282:P282)))</f>
        <v/>
      </c>
      <c r="V453" s="6" t="s">
        <v>5062</v>
      </c>
      <c r="W453" s="9" t="s">
        <v>774</v>
      </c>
      <c r="X453" s="6" t="s">
        <v>5077</v>
      </c>
      <c r="Y453" s="9" t="s">
        <v>4897</v>
      </c>
      <c r="Z453" s="9" t="s">
        <v>4898</v>
      </c>
      <c r="AA453" s="9" t="s">
        <v>4899</v>
      </c>
    </row>
    <row r="454" customFormat="false" ht="15" hidden="false" customHeight="true" outlineLevel="0" collapsed="false">
      <c r="A454" s="6" t="s">
        <v>2148</v>
      </c>
      <c r="B454" s="6" t="s">
        <v>509</v>
      </c>
      <c r="C454" s="6" t="s">
        <v>513</v>
      </c>
      <c r="D454" s="6" t="n">
        <v>6</v>
      </c>
      <c r="E454" s="9" t="s">
        <v>5061</v>
      </c>
      <c r="F454" s="48" t="n">
        <v>48000</v>
      </c>
      <c r="G454" s="48"/>
      <c r="H454" s="48"/>
      <c r="I454" s="48"/>
      <c r="J454" s="48"/>
      <c r="K454" s="48"/>
      <c r="L454" s="48"/>
      <c r="M454" s="48"/>
      <c r="N454" s="48"/>
      <c r="O454" s="48"/>
      <c r="P454" s="48"/>
      <c r="Q454" s="43" t="str">
        <f aca="false">IF($A283="","",IF(OR(F283="",I283=""),"",F283-I283))</f>
        <v/>
      </c>
      <c r="R454" s="43" t="str">
        <f aca="false">IF($A283="","",IF(Q283="","",Q283+IF(O283="",0,O283)))</f>
        <v/>
      </c>
      <c r="S454" s="48"/>
      <c r="T454" s="43" t="str">
        <f aca="false">IF($A283="","",IF(R283="","",R283-IF(S283="",0,S283)))</f>
        <v/>
      </c>
      <c r="U454" s="43" t="str">
        <f aca="false">IF($A283="","",IF(I283="","",I283-SUM(J283:P283)))</f>
        <v/>
      </c>
      <c r="V454" s="6" t="s">
        <v>5062</v>
      </c>
      <c r="W454" s="49" t="s">
        <v>774</v>
      </c>
      <c r="X454" s="6" t="s">
        <v>5078</v>
      </c>
      <c r="Y454" s="9" t="s">
        <v>4897</v>
      </c>
      <c r="Z454" s="9" t="s">
        <v>4898</v>
      </c>
      <c r="AA454" s="9" t="s">
        <v>4899</v>
      </c>
    </row>
    <row r="455" customFormat="false" ht="15" hidden="false" customHeight="true" outlineLevel="0" collapsed="false">
      <c r="A455" s="6" t="s">
        <v>2151</v>
      </c>
      <c r="B455" s="6" t="s">
        <v>509</v>
      </c>
      <c r="C455" s="6" t="s">
        <v>513</v>
      </c>
      <c r="D455" s="6" t="n">
        <v>6</v>
      </c>
      <c r="E455" s="9" t="s">
        <v>5061</v>
      </c>
      <c r="F455" s="48" t="n">
        <v>47000</v>
      </c>
      <c r="G455" s="48"/>
      <c r="H455" s="48"/>
      <c r="I455" s="48"/>
      <c r="J455" s="48"/>
      <c r="K455" s="48"/>
      <c r="L455" s="48"/>
      <c r="M455" s="48"/>
      <c r="N455" s="48"/>
      <c r="O455" s="48"/>
      <c r="P455" s="48"/>
      <c r="Q455" s="43" t="str">
        <f aca="false">IF($A284="","",IF(OR(F284="",I284=""),"",F284-I284))</f>
        <v/>
      </c>
      <c r="R455" s="43" t="str">
        <f aca="false">IF($A284="","",IF(Q284="","",Q284+IF(O284="",0,O284)))</f>
        <v/>
      </c>
      <c r="S455" s="48"/>
      <c r="T455" s="43" t="str">
        <f aca="false">IF($A284="","",IF(R284="","",R284-IF(S284="",0,S284)))</f>
        <v/>
      </c>
      <c r="U455" s="43" t="str">
        <f aca="false">IF($A284="","",IF(I284="","",I284-SUM(J284:P284)))</f>
        <v/>
      </c>
      <c r="V455" s="6" t="s">
        <v>5062</v>
      </c>
      <c r="W455" s="49" t="s">
        <v>774</v>
      </c>
      <c r="X455" s="6" t="s">
        <v>5079</v>
      </c>
      <c r="Y455" s="9" t="s">
        <v>4897</v>
      </c>
      <c r="Z455" s="9" t="s">
        <v>4898</v>
      </c>
      <c r="AA455" s="9" t="s">
        <v>4899</v>
      </c>
    </row>
    <row r="456" customFormat="false" ht="15" hidden="false" customHeight="true" outlineLevel="0" collapsed="false">
      <c r="A456" s="6" t="s">
        <v>2154</v>
      </c>
      <c r="B456" s="6" t="s">
        <v>509</v>
      </c>
      <c r="C456" s="6" t="s">
        <v>513</v>
      </c>
      <c r="D456" s="6" t="n">
        <v>6</v>
      </c>
      <c r="E456" s="9" t="s">
        <v>5061</v>
      </c>
      <c r="F456" s="48" t="n">
        <v>71000</v>
      </c>
      <c r="G456" s="48"/>
      <c r="H456" s="48"/>
      <c r="I456" s="48"/>
      <c r="J456" s="48"/>
      <c r="K456" s="48"/>
      <c r="L456" s="48"/>
      <c r="M456" s="48"/>
      <c r="N456" s="48"/>
      <c r="O456" s="48"/>
      <c r="P456" s="48"/>
      <c r="Q456" s="43" t="str">
        <f aca="false">IF($A285="","",IF(OR(F285="",I285=""),"",F285-I285))</f>
        <v/>
      </c>
      <c r="R456" s="43" t="str">
        <f aca="false">IF($A285="","",IF(Q285="","",Q285+IF(O285="",0,O285)))</f>
        <v/>
      </c>
      <c r="S456" s="48"/>
      <c r="T456" s="43" t="str">
        <f aca="false">IF($A285="","",IF(R285="","",R285-IF(S285="",0,S285)))</f>
        <v/>
      </c>
      <c r="U456" s="43" t="str">
        <f aca="false">IF($A285="","",IF(I285="","",I285-SUM(J285:P285)))</f>
        <v/>
      </c>
      <c r="V456" s="6" t="s">
        <v>5062</v>
      </c>
      <c r="W456" s="49" t="s">
        <v>774</v>
      </c>
      <c r="X456" s="6" t="s">
        <v>5080</v>
      </c>
      <c r="Y456" s="9" t="s">
        <v>4897</v>
      </c>
      <c r="Z456" s="9" t="s">
        <v>4898</v>
      </c>
      <c r="AA456" s="9" t="s">
        <v>4899</v>
      </c>
    </row>
    <row r="457" customFormat="false" ht="15" hidden="false" customHeight="true" outlineLevel="0" collapsed="false">
      <c r="A457" s="6" t="s">
        <v>2157</v>
      </c>
      <c r="B457" s="6" t="s">
        <v>509</v>
      </c>
      <c r="C457" s="6" t="s">
        <v>513</v>
      </c>
      <c r="D457" s="6" t="n">
        <v>6</v>
      </c>
      <c r="E457" s="9" t="s">
        <v>5061</v>
      </c>
      <c r="F457" s="48" t="n">
        <v>38000</v>
      </c>
      <c r="G457" s="48"/>
      <c r="H457" s="48"/>
      <c r="I457" s="48"/>
      <c r="J457" s="48"/>
      <c r="K457" s="48"/>
      <c r="L457" s="48"/>
      <c r="M457" s="48"/>
      <c r="N457" s="48"/>
      <c r="O457" s="48"/>
      <c r="P457" s="48"/>
      <c r="Q457" s="43" t="str">
        <f aca="false">IF($A286="","",IF(OR(F286="",I286=""),"",F286-I286))</f>
        <v/>
      </c>
      <c r="R457" s="43" t="str">
        <f aca="false">IF($A286="","",IF(Q286="","",Q286+IF(O286="",0,O286)))</f>
        <v/>
      </c>
      <c r="S457" s="48"/>
      <c r="T457" s="43" t="str">
        <f aca="false">IF($A286="","",IF(R286="","",R286-IF(S286="",0,S286)))</f>
        <v/>
      </c>
      <c r="U457" s="43" t="str">
        <f aca="false">IF($A286="","",IF(I286="","",I286-SUM(J286:P286)))</f>
        <v/>
      </c>
      <c r="V457" s="6" t="s">
        <v>5062</v>
      </c>
      <c r="W457" s="9" t="s">
        <v>774</v>
      </c>
      <c r="X457" s="6" t="s">
        <v>5081</v>
      </c>
      <c r="Y457" s="9" t="s">
        <v>4897</v>
      </c>
      <c r="Z457" s="9" t="s">
        <v>4898</v>
      </c>
      <c r="AA457" s="9" t="s">
        <v>4899</v>
      </c>
    </row>
    <row r="458" customFormat="false" ht="15" hidden="false" customHeight="true" outlineLevel="0" collapsed="false">
      <c r="A458" s="6" t="s">
        <v>2160</v>
      </c>
      <c r="B458" s="6" t="s">
        <v>509</v>
      </c>
      <c r="C458" s="6" t="s">
        <v>513</v>
      </c>
      <c r="D458" s="6" t="n">
        <v>6</v>
      </c>
      <c r="E458" s="9" t="s">
        <v>5061</v>
      </c>
      <c r="F458" s="48" t="n">
        <v>57000</v>
      </c>
      <c r="G458" s="48"/>
      <c r="H458" s="48"/>
      <c r="I458" s="48"/>
      <c r="J458" s="48"/>
      <c r="K458" s="48"/>
      <c r="L458" s="48"/>
      <c r="M458" s="48"/>
      <c r="N458" s="48"/>
      <c r="O458" s="48"/>
      <c r="P458" s="48"/>
      <c r="Q458" s="43" t="str">
        <f aca="false">IF($A287="","",IF(OR(F287="",I287=""),"",F287-I287))</f>
        <v/>
      </c>
      <c r="R458" s="43" t="str">
        <f aca="false">IF($A287="","",IF(Q287="","",Q287+IF(O287="",0,O287)))</f>
        <v/>
      </c>
      <c r="S458" s="48"/>
      <c r="T458" s="43" t="str">
        <f aca="false">IF($A287="","",IF(R287="","",R287-IF(S287="",0,S287)))</f>
        <v/>
      </c>
      <c r="U458" s="43" t="str">
        <f aca="false">IF($A287="","",IF(I287="","",I287-SUM(J287:P287)))</f>
        <v/>
      </c>
      <c r="V458" s="6" t="s">
        <v>5062</v>
      </c>
      <c r="W458" s="49" t="s">
        <v>774</v>
      </c>
      <c r="X458" s="6" t="s">
        <v>5082</v>
      </c>
      <c r="Y458" s="9" t="s">
        <v>4897</v>
      </c>
      <c r="Z458" s="9" t="s">
        <v>4898</v>
      </c>
      <c r="AA458" s="9" t="s">
        <v>4899</v>
      </c>
    </row>
    <row r="459" customFormat="false" ht="15" hidden="false" customHeight="true" outlineLevel="0" collapsed="false">
      <c r="A459" s="6" t="s">
        <v>2163</v>
      </c>
      <c r="B459" s="6" t="s">
        <v>509</v>
      </c>
      <c r="C459" s="6" t="s">
        <v>513</v>
      </c>
      <c r="D459" s="6" t="n">
        <v>6</v>
      </c>
      <c r="E459" s="9" t="s">
        <v>5061</v>
      </c>
      <c r="F459" s="48" t="n">
        <v>31000</v>
      </c>
      <c r="G459" s="48"/>
      <c r="H459" s="48"/>
      <c r="I459" s="48"/>
      <c r="J459" s="48"/>
      <c r="K459" s="48"/>
      <c r="L459" s="48"/>
      <c r="M459" s="48"/>
      <c r="N459" s="48"/>
      <c r="O459" s="48"/>
      <c r="P459" s="48"/>
      <c r="Q459" s="43" t="str">
        <f aca="false">IF($A288="","",IF(OR(F288="",I288=""),"",F288-I288))</f>
        <v/>
      </c>
      <c r="R459" s="43" t="str">
        <f aca="false">IF($A288="","",IF(Q288="","",Q288+IF(O288="",0,O288)))</f>
        <v/>
      </c>
      <c r="S459" s="48"/>
      <c r="T459" s="43" t="str">
        <f aca="false">IF($A288="","",IF(R288="","",R288-IF(S288="",0,S288)))</f>
        <v/>
      </c>
      <c r="U459" s="43" t="str">
        <f aca="false">IF($A288="","",IF(I288="","",I288-SUM(J288:P288)))</f>
        <v/>
      </c>
      <c r="V459" s="6" t="s">
        <v>5062</v>
      </c>
      <c r="W459" s="49" t="s">
        <v>774</v>
      </c>
      <c r="X459" s="6" t="s">
        <v>5083</v>
      </c>
      <c r="Y459" s="9" t="s">
        <v>4897</v>
      </c>
      <c r="Z459" s="9" t="s">
        <v>4898</v>
      </c>
      <c r="AA459" s="9" t="s">
        <v>4899</v>
      </c>
    </row>
    <row r="460" customFormat="false" ht="15" hidden="false" customHeight="true" outlineLevel="0" collapsed="false">
      <c r="A460" s="6" t="s">
        <v>2166</v>
      </c>
      <c r="B460" s="6" t="s">
        <v>509</v>
      </c>
      <c r="C460" s="6" t="s">
        <v>513</v>
      </c>
      <c r="D460" s="6" t="n">
        <v>6</v>
      </c>
      <c r="E460" s="9" t="s">
        <v>5061</v>
      </c>
      <c r="F460" s="48" t="n">
        <v>48000</v>
      </c>
      <c r="G460" s="48"/>
      <c r="H460" s="48"/>
      <c r="I460" s="48"/>
      <c r="J460" s="48"/>
      <c r="K460" s="48"/>
      <c r="L460" s="48"/>
      <c r="M460" s="48"/>
      <c r="N460" s="48"/>
      <c r="O460" s="48"/>
      <c r="P460" s="48"/>
      <c r="Q460" s="43" t="str">
        <f aca="false">IF($A289="","",IF(OR(F289="",I289=""),"",F289-I289))</f>
        <v/>
      </c>
      <c r="R460" s="43" t="str">
        <f aca="false">IF($A289="","",IF(Q289="","",Q289+IF(O289="",0,O289)))</f>
        <v/>
      </c>
      <c r="S460" s="48"/>
      <c r="T460" s="43" t="str">
        <f aca="false">IF($A289="","",IF(R289="","",R289-IF(S289="",0,S289)))</f>
        <v/>
      </c>
      <c r="U460" s="43" t="str">
        <f aca="false">IF($A289="","",IF(I289="","",I289-SUM(J289:P289)))</f>
        <v/>
      </c>
      <c r="V460" s="6" t="s">
        <v>5062</v>
      </c>
      <c r="W460" s="49" t="s">
        <v>774</v>
      </c>
      <c r="X460" s="6" t="s">
        <v>5084</v>
      </c>
      <c r="Y460" s="9" t="s">
        <v>4897</v>
      </c>
      <c r="Z460" s="9" t="s">
        <v>4898</v>
      </c>
      <c r="AA460" s="9" t="s">
        <v>4899</v>
      </c>
    </row>
    <row r="461" customFormat="false" ht="15" hidden="false" customHeight="true" outlineLevel="0" collapsed="false">
      <c r="A461" s="6" t="s">
        <v>2169</v>
      </c>
      <c r="B461" s="6" t="s">
        <v>509</v>
      </c>
      <c r="C461" s="6" t="s">
        <v>513</v>
      </c>
      <c r="D461" s="6" t="n">
        <v>6</v>
      </c>
      <c r="E461" s="9" t="s">
        <v>5061</v>
      </c>
      <c r="F461" s="48" t="n">
        <v>42000</v>
      </c>
      <c r="G461" s="48"/>
      <c r="H461" s="48"/>
      <c r="I461" s="48"/>
      <c r="J461" s="48"/>
      <c r="K461" s="48"/>
      <c r="L461" s="48"/>
      <c r="M461" s="48"/>
      <c r="N461" s="48"/>
      <c r="O461" s="48"/>
      <c r="P461" s="48"/>
      <c r="Q461" s="43" t="str">
        <f aca="false">IF($A290="","",IF(OR(F290="",I290=""),"",F290-I290))</f>
        <v/>
      </c>
      <c r="R461" s="43" t="str">
        <f aca="false">IF($A290="","",IF(Q290="","",Q290+IF(O290="",0,O290)))</f>
        <v/>
      </c>
      <c r="S461" s="48"/>
      <c r="T461" s="43" t="str">
        <f aca="false">IF($A290="","",IF(R290="","",R290-IF(S290="",0,S290)))</f>
        <v/>
      </c>
      <c r="U461" s="43" t="str">
        <f aca="false">IF($A290="","",IF(I290="","",I290-SUM(J290:P290)))</f>
        <v/>
      </c>
      <c r="V461" s="6" t="s">
        <v>5062</v>
      </c>
      <c r="W461" s="9" t="s">
        <v>774</v>
      </c>
      <c r="X461" s="6" t="s">
        <v>5085</v>
      </c>
      <c r="Y461" s="6" t="s">
        <v>4920</v>
      </c>
      <c r="Z461" s="9" t="s">
        <v>4921</v>
      </c>
      <c r="AA461" s="9" t="s">
        <v>4899</v>
      </c>
    </row>
    <row r="462" customFormat="false" ht="15" hidden="false" customHeight="true" outlineLevel="0" collapsed="false">
      <c r="A462" s="6" t="s">
        <v>2172</v>
      </c>
      <c r="B462" s="6" t="s">
        <v>509</v>
      </c>
      <c r="C462" s="6" t="s">
        <v>513</v>
      </c>
      <c r="D462" s="6" t="n">
        <v>6</v>
      </c>
      <c r="E462" s="9" t="s">
        <v>5061</v>
      </c>
      <c r="F462" s="48" t="n">
        <v>31000</v>
      </c>
      <c r="G462" s="48"/>
      <c r="H462" s="48"/>
      <c r="I462" s="48"/>
      <c r="J462" s="48"/>
      <c r="K462" s="48"/>
      <c r="L462" s="48"/>
      <c r="M462" s="48"/>
      <c r="N462" s="48"/>
      <c r="O462" s="48"/>
      <c r="P462" s="48"/>
      <c r="Q462" s="43" t="str">
        <f aca="false">IF($A291="","",IF(OR(F291="",I291=""),"",F291-I291))</f>
        <v/>
      </c>
      <c r="R462" s="43" t="str">
        <f aca="false">IF($A291="","",IF(Q291="","",Q291+IF(O291="",0,O291)))</f>
        <v/>
      </c>
      <c r="S462" s="48"/>
      <c r="T462" s="43" t="str">
        <f aca="false">IF($A291="","",IF(R291="","",R291-IF(S291="",0,S291)))</f>
        <v/>
      </c>
      <c r="U462" s="43" t="str">
        <f aca="false">IF($A291="","",IF(I291="","",I291-SUM(J291:P291)))</f>
        <v/>
      </c>
      <c r="V462" s="6" t="s">
        <v>5062</v>
      </c>
      <c r="W462" s="49" t="s">
        <v>774</v>
      </c>
      <c r="X462" s="6" t="s">
        <v>5086</v>
      </c>
      <c r="Y462" s="9" t="s">
        <v>4897</v>
      </c>
      <c r="Z462" s="9" t="s">
        <v>4898</v>
      </c>
      <c r="AA462" s="9" t="s">
        <v>4899</v>
      </c>
    </row>
    <row r="463" customFormat="false" ht="15" hidden="false" customHeight="true" outlineLevel="0" collapsed="false">
      <c r="A463" s="6" t="s">
        <v>2175</v>
      </c>
      <c r="B463" s="6" t="s">
        <v>509</v>
      </c>
      <c r="C463" s="6" t="s">
        <v>513</v>
      </c>
      <c r="D463" s="6" t="n">
        <v>6</v>
      </c>
      <c r="E463" s="9" t="s">
        <v>5061</v>
      </c>
      <c r="F463" s="48" t="n">
        <v>34000</v>
      </c>
      <c r="G463" s="48"/>
      <c r="H463" s="48"/>
      <c r="I463" s="48"/>
      <c r="J463" s="48"/>
      <c r="K463" s="48"/>
      <c r="L463" s="48"/>
      <c r="M463" s="48"/>
      <c r="N463" s="48"/>
      <c r="O463" s="48"/>
      <c r="P463" s="48"/>
      <c r="Q463" s="43" t="str">
        <f aca="false">IF($A292="","",IF(OR(F292="",I292=""),"",F292-I292))</f>
        <v/>
      </c>
      <c r="R463" s="43" t="str">
        <f aca="false">IF($A292="","",IF(Q292="","",Q292+IF(O292="",0,O292)))</f>
        <v/>
      </c>
      <c r="S463" s="48"/>
      <c r="T463" s="43" t="str">
        <f aca="false">IF($A292="","",IF(R292="","",R292-IF(S292="",0,S292)))</f>
        <v/>
      </c>
      <c r="U463" s="43" t="str">
        <f aca="false">IF($A292="","",IF(I292="","",I292-SUM(J292:P292)))</f>
        <v/>
      </c>
      <c r="V463" s="6" t="s">
        <v>5062</v>
      </c>
      <c r="W463" s="49" t="s">
        <v>774</v>
      </c>
      <c r="X463" s="6" t="s">
        <v>5087</v>
      </c>
      <c r="Y463" s="9" t="s">
        <v>4897</v>
      </c>
      <c r="Z463" s="9" t="s">
        <v>4898</v>
      </c>
      <c r="AA463" s="9" t="s">
        <v>4899</v>
      </c>
    </row>
    <row r="464" customFormat="false" ht="15" hidden="false" customHeight="true" outlineLevel="0" collapsed="false">
      <c r="A464" s="6" t="s">
        <v>2178</v>
      </c>
      <c r="B464" s="6" t="s">
        <v>509</v>
      </c>
      <c r="C464" s="6" t="s">
        <v>513</v>
      </c>
      <c r="D464" s="6" t="n">
        <v>6</v>
      </c>
      <c r="E464" s="9" t="s">
        <v>5061</v>
      </c>
      <c r="F464" s="48" t="n">
        <v>103000</v>
      </c>
      <c r="G464" s="48"/>
      <c r="H464" s="48"/>
      <c r="I464" s="48"/>
      <c r="J464" s="48"/>
      <c r="K464" s="48"/>
      <c r="L464" s="48"/>
      <c r="M464" s="48"/>
      <c r="N464" s="48"/>
      <c r="O464" s="48"/>
      <c r="P464" s="48"/>
      <c r="Q464" s="43" t="str">
        <f aca="false">IF($A293="","",IF(OR(F293="",I293=""),"",F293-I293))</f>
        <v/>
      </c>
      <c r="R464" s="43" t="str">
        <f aca="false">IF($A293="","",IF(Q293="","",Q293+IF(O293="",0,O293)))</f>
        <v/>
      </c>
      <c r="S464" s="48"/>
      <c r="T464" s="43" t="str">
        <f aca="false">IF($A293="","",IF(R293="","",R293-IF(S293="",0,S293)))</f>
        <v/>
      </c>
      <c r="U464" s="43" t="str">
        <f aca="false">IF($A293="","",IF(I293="","",I293-SUM(J293:P293)))</f>
        <v/>
      </c>
      <c r="V464" s="6" t="s">
        <v>5062</v>
      </c>
      <c r="W464" s="49" t="s">
        <v>774</v>
      </c>
      <c r="X464" s="6" t="s">
        <v>5088</v>
      </c>
      <c r="Y464" s="9" t="s">
        <v>4897</v>
      </c>
      <c r="Z464" s="9" t="s">
        <v>4898</v>
      </c>
      <c r="AA464" s="9" t="s">
        <v>4899</v>
      </c>
    </row>
    <row r="465" customFormat="false" ht="15" hidden="false" customHeight="true" outlineLevel="0" collapsed="false">
      <c r="A465" s="6" t="s">
        <v>2181</v>
      </c>
      <c r="B465" s="6" t="s">
        <v>509</v>
      </c>
      <c r="C465" s="6" t="s">
        <v>513</v>
      </c>
      <c r="D465" s="6" t="n">
        <v>6</v>
      </c>
      <c r="E465" s="9" t="s">
        <v>5061</v>
      </c>
      <c r="F465" s="48" t="n">
        <v>81000</v>
      </c>
      <c r="G465" s="48"/>
      <c r="H465" s="48"/>
      <c r="I465" s="48"/>
      <c r="J465" s="48"/>
      <c r="K465" s="48"/>
      <c r="L465" s="48"/>
      <c r="M465" s="48"/>
      <c r="N465" s="48"/>
      <c r="O465" s="48"/>
      <c r="P465" s="48"/>
      <c r="Q465" s="43" t="str">
        <f aca="false">IF($A294="","",IF(OR(F294="",I294=""),"",F294-I294))</f>
        <v/>
      </c>
      <c r="R465" s="43" t="n">
        <f aca="false">IF($A294="","",IF(Q294="","",Q294+IF(O294="",0,O294)))</f>
        <v>6128532</v>
      </c>
      <c r="S465" s="48"/>
      <c r="T465" s="43" t="n">
        <f aca="false">IF($A294="","",IF(R294="","",R294-IF(S294="",0,S294)))</f>
        <v>1081287</v>
      </c>
      <c r="U465" s="43" t="str">
        <f aca="false">IF($A294="","",IF(I294="","",I294-SUM(J294:P294)))</f>
        <v/>
      </c>
      <c r="V465" s="6" t="s">
        <v>5062</v>
      </c>
      <c r="W465" s="49" t="s">
        <v>774</v>
      </c>
      <c r="X465" s="6" t="s">
        <v>5089</v>
      </c>
      <c r="Y465" s="9" t="s">
        <v>4897</v>
      </c>
      <c r="Z465" s="9" t="s">
        <v>4898</v>
      </c>
      <c r="AA465" s="9" t="s">
        <v>4899</v>
      </c>
    </row>
    <row r="466" customFormat="false" ht="15" hidden="false" customHeight="true" outlineLevel="0" collapsed="false">
      <c r="A466" s="6" t="s">
        <v>2184</v>
      </c>
      <c r="B466" s="6" t="s">
        <v>509</v>
      </c>
      <c r="C466" s="6" t="s">
        <v>513</v>
      </c>
      <c r="D466" s="6" t="n">
        <v>6</v>
      </c>
      <c r="E466" s="9" t="s">
        <v>5061</v>
      </c>
      <c r="F466" s="48" t="n">
        <v>32000</v>
      </c>
      <c r="G466" s="48"/>
      <c r="H466" s="48"/>
      <c r="I466" s="48"/>
      <c r="J466" s="48"/>
      <c r="K466" s="48"/>
      <c r="L466" s="48"/>
      <c r="M466" s="48"/>
      <c r="N466" s="48"/>
      <c r="O466" s="48"/>
      <c r="P466" s="48"/>
      <c r="Q466" s="43" t="str">
        <f aca="false">IF($A295="","",IF(OR(F295="",I295=""),"",F295-I295))</f>
        <v/>
      </c>
      <c r="R466" s="43" t="n">
        <f aca="false">IF($A295="","",IF(Q295="","",Q295+IF(O295="",0,O295)))</f>
        <v>1850234</v>
      </c>
      <c r="S466" s="48"/>
      <c r="T466" s="43" t="n">
        <f aca="false">IF($A295="","",IF(R295="","",R295-IF(S295="",0,S295)))</f>
        <v>379849</v>
      </c>
      <c r="U466" s="43" t="str">
        <f aca="false">IF($A295="","",IF(I295="","",I295-SUM(J295:P295)))</f>
        <v/>
      </c>
      <c r="V466" s="6" t="s">
        <v>5062</v>
      </c>
      <c r="W466" s="9" t="s">
        <v>774</v>
      </c>
      <c r="X466" s="6" t="s">
        <v>5090</v>
      </c>
      <c r="Y466" s="9" t="s">
        <v>4897</v>
      </c>
      <c r="Z466" s="9" t="s">
        <v>4898</v>
      </c>
      <c r="AA466" s="9" t="s">
        <v>4899</v>
      </c>
    </row>
    <row r="467" customFormat="false" ht="15" hidden="false" customHeight="true" outlineLevel="0" collapsed="false">
      <c r="A467" s="6" t="s">
        <v>2189</v>
      </c>
      <c r="B467" s="6" t="s">
        <v>515</v>
      </c>
      <c r="C467" s="6" t="s">
        <v>521</v>
      </c>
      <c r="D467" s="6" t="n">
        <v>6</v>
      </c>
      <c r="E467" s="9" t="s">
        <v>4950</v>
      </c>
      <c r="F467" s="6" t="n">
        <v>11416272</v>
      </c>
      <c r="G467" s="6" t="n">
        <v>10841245</v>
      </c>
      <c r="H467" s="6" t="n">
        <v>575027</v>
      </c>
      <c r="I467" s="6" t="n">
        <v>3849536</v>
      </c>
      <c r="J467" s="6" t="n">
        <v>615645</v>
      </c>
      <c r="K467" s="6" t="n">
        <v>462420</v>
      </c>
      <c r="L467" s="6" t="n">
        <v>935264</v>
      </c>
      <c r="M467" s="6" t="n">
        <v>18986</v>
      </c>
      <c r="N467" s="6" t="n">
        <v>153258</v>
      </c>
      <c r="O467" s="6" t="n">
        <v>1415769</v>
      </c>
      <c r="P467" s="6" t="n">
        <v>248191</v>
      </c>
      <c r="Q467" s="1" t="n">
        <f aca="false">IF($A1155="","",IF(OR(F1155="",I1155=""),"",F1155-I1155))</f>
        <v>-3518536</v>
      </c>
      <c r="R467" s="1" t="str">
        <f aca="false">IF($A1155="","",IF(Q1155="","",Q1155+IF(O1155="",0,O1155)))</f>
        <v/>
      </c>
      <c r="S467" s="6" t="n">
        <v>735060</v>
      </c>
      <c r="T467" s="1" t="str">
        <f aca="false">IF($A1155="","",IF(R1155="","",R1155-IF(S1155="",0,S1155)))</f>
        <v/>
      </c>
      <c r="U467" s="1" t="n">
        <f aca="false">IF($A1155="","",IF(I1155="","",I1155-SUM(J1155:P1155)))</f>
        <v>3</v>
      </c>
      <c r="V467" s="6" t="s">
        <v>5091</v>
      </c>
      <c r="W467" s="49" t="s">
        <v>767</v>
      </c>
      <c r="X467" s="9" t="s">
        <v>5092</v>
      </c>
      <c r="Y467" s="9" t="s">
        <v>4897</v>
      </c>
      <c r="Z467" s="9" t="s">
        <v>4898</v>
      </c>
      <c r="AA467" s="9" t="s">
        <v>4899</v>
      </c>
    </row>
    <row r="468" customFormat="false" ht="15" hidden="false" customHeight="true" outlineLevel="0" collapsed="false">
      <c r="A468" s="6" t="s">
        <v>2194</v>
      </c>
      <c r="B468" s="6" t="s">
        <v>515</v>
      </c>
      <c r="C468" s="6" t="s">
        <v>521</v>
      </c>
      <c r="D468" s="6" t="n">
        <v>6</v>
      </c>
      <c r="E468" s="9" t="s">
        <v>5002</v>
      </c>
      <c r="F468" s="6" t="n">
        <v>246810</v>
      </c>
      <c r="G468" s="6" t="n">
        <v>212348</v>
      </c>
      <c r="H468" s="6" t="n">
        <v>34461</v>
      </c>
      <c r="I468" s="6" t="n">
        <v>78047</v>
      </c>
      <c r="J468" s="6" t="n">
        <v>17765</v>
      </c>
      <c r="K468" s="6" t="n">
        <v>19094</v>
      </c>
      <c r="L468" s="6" t="n">
        <v>17295</v>
      </c>
      <c r="M468" s="6" t="n">
        <v>309</v>
      </c>
      <c r="N468" s="6" t="n">
        <v>5601</v>
      </c>
      <c r="O468" s="6" t="n">
        <v>16242</v>
      </c>
      <c r="P468" s="6" t="n">
        <v>1738</v>
      </c>
      <c r="Q468" s="1" t="n">
        <f aca="false">IF($A1086="","",IF(OR(F1086="",I1086=""),"",F1086-I1086))</f>
        <v>101953</v>
      </c>
      <c r="R468" s="1" t="n">
        <f aca="false">IF($A1086="","",IF(Q1086="","",Q1086+IF(O1086="",0,O1086)))</f>
        <v>144875</v>
      </c>
      <c r="T468" s="1" t="n">
        <f aca="false">IF($A1086="","",IF(R1086="","",R1086-IF(S1086="",0,S1086)))</f>
        <v>141660</v>
      </c>
      <c r="U468" s="1" t="n">
        <f aca="false">IF($A1086="","",IF(I1086="","",I1086-SUM(J1086:P1086)))</f>
        <v>3</v>
      </c>
      <c r="V468" s="6" t="s">
        <v>5093</v>
      </c>
      <c r="W468" s="49" t="s">
        <v>774</v>
      </c>
      <c r="X468" s="9" t="s">
        <v>5094</v>
      </c>
      <c r="Y468" s="9" t="s">
        <v>4897</v>
      </c>
      <c r="Z468" s="9" t="s">
        <v>4898</v>
      </c>
      <c r="AA468" s="9" t="s">
        <v>4899</v>
      </c>
    </row>
    <row r="469" customFormat="false" ht="15" hidden="false" customHeight="true" outlineLevel="0" collapsed="false">
      <c r="A469" s="6" t="s">
        <v>2197</v>
      </c>
      <c r="B469" s="6" t="s">
        <v>515</v>
      </c>
      <c r="C469" s="6" t="s">
        <v>521</v>
      </c>
      <c r="D469" s="6" t="n">
        <v>6</v>
      </c>
      <c r="E469" s="9" t="s">
        <v>5002</v>
      </c>
      <c r="F469" s="6" t="n">
        <v>265002</v>
      </c>
      <c r="G469" s="6" t="n">
        <v>265002</v>
      </c>
      <c r="H469" s="6" t="n">
        <v>0</v>
      </c>
      <c r="I469" s="6" t="n">
        <v>40584</v>
      </c>
      <c r="J469" s="6" t="n">
        <v>1325</v>
      </c>
      <c r="K469" s="6" t="n">
        <v>0</v>
      </c>
      <c r="L469" s="6" t="n">
        <v>38702</v>
      </c>
      <c r="M469" s="6" t="n">
        <v>49</v>
      </c>
      <c r="N469" s="6" t="n">
        <v>0</v>
      </c>
      <c r="O469" s="6" t="n">
        <v>0</v>
      </c>
      <c r="P469" s="6" t="n">
        <v>506</v>
      </c>
      <c r="Q469" s="1" t="n">
        <f aca="false">IF($A1087="","",IF(OR(F1087="",I1087=""),"",F1087-I1087))</f>
        <v>44416</v>
      </c>
      <c r="R469" s="1" t="n">
        <f aca="false">IF($A1087="","",IF(Q1087="","",Q1087+IF(O1087="",0,O1087)))</f>
        <v>446692</v>
      </c>
      <c r="T469" s="1" t="n">
        <f aca="false">IF($A1087="","",IF(R1087="","",R1087-IF(S1087="",0,S1087)))</f>
        <v>509546</v>
      </c>
      <c r="U469" s="1" t="n">
        <f aca="false">IF($A1087="","",IF(I1087="","",I1087-SUM(J1087:P1087)))</f>
        <v>2</v>
      </c>
      <c r="V469" s="6" t="s">
        <v>5093</v>
      </c>
      <c r="W469" s="49" t="s">
        <v>774</v>
      </c>
      <c r="X469" s="9" t="s">
        <v>5094</v>
      </c>
      <c r="Y469" s="9" t="s">
        <v>4897</v>
      </c>
      <c r="Z469" s="9" t="s">
        <v>4898</v>
      </c>
      <c r="AA469" s="9" t="s">
        <v>4899</v>
      </c>
    </row>
    <row r="470" customFormat="false" ht="15" hidden="false" customHeight="true" outlineLevel="0" collapsed="false">
      <c r="A470" s="6" t="s">
        <v>2200</v>
      </c>
      <c r="B470" s="6" t="s">
        <v>515</v>
      </c>
      <c r="C470" s="6" t="s">
        <v>521</v>
      </c>
      <c r="D470" s="6" t="n">
        <v>6</v>
      </c>
      <c r="E470" s="9" t="s">
        <v>5002</v>
      </c>
      <c r="F470" s="6" t="n">
        <v>293380</v>
      </c>
      <c r="G470" s="6" t="n">
        <v>271549</v>
      </c>
      <c r="H470" s="6" t="n">
        <v>21831</v>
      </c>
      <c r="I470" s="6" t="n">
        <v>143412</v>
      </c>
      <c r="J470" s="6" t="n">
        <v>5116</v>
      </c>
      <c r="K470" s="6" t="n">
        <v>17891</v>
      </c>
      <c r="L470" s="6" t="n">
        <v>49442</v>
      </c>
      <c r="M470" s="6" t="n">
        <v>294</v>
      </c>
      <c r="N470" s="6" t="n">
        <v>9957</v>
      </c>
      <c r="O470" s="6" t="n">
        <v>34017</v>
      </c>
      <c r="P470" s="6" t="n">
        <v>26693</v>
      </c>
      <c r="Q470" s="1" t="n">
        <f aca="false">IF($A1088="","",IF(OR(F1088="",I1088=""),"",F1088-I1088))</f>
        <v>-89412</v>
      </c>
      <c r="R470" s="1" t="n">
        <f aca="false">IF($A1088="","",IF(Q1088="","",Q1088+IF(O1088="",0,O1088)))</f>
        <v>221207</v>
      </c>
      <c r="T470" s="1" t="n">
        <f aca="false">IF($A1088="","",IF(R1088="","",R1088-IF(S1088="",0,S1088)))</f>
        <v>213204</v>
      </c>
      <c r="U470" s="1" t="n">
        <f aca="false">IF($A1088="","",IF(I1088="","",I1088-SUM(J1088:P1088)))</f>
        <v>2</v>
      </c>
      <c r="V470" s="6" t="s">
        <v>5093</v>
      </c>
      <c r="W470" s="9" t="s">
        <v>774</v>
      </c>
      <c r="X470" s="9" t="s">
        <v>5094</v>
      </c>
      <c r="Y470" s="9" t="s">
        <v>4897</v>
      </c>
      <c r="Z470" s="9" t="s">
        <v>4898</v>
      </c>
      <c r="AA470" s="9" t="s">
        <v>4899</v>
      </c>
    </row>
    <row r="471" customFormat="false" ht="15" hidden="false" customHeight="true" outlineLevel="0" collapsed="false">
      <c r="A471" s="6" t="s">
        <v>2203</v>
      </c>
      <c r="B471" s="6" t="s">
        <v>515</v>
      </c>
      <c r="C471" s="6" t="s">
        <v>521</v>
      </c>
      <c r="D471" s="6" t="n">
        <v>6</v>
      </c>
      <c r="E471" s="9" t="s">
        <v>5002</v>
      </c>
      <c r="F471" s="6" t="n">
        <v>274316</v>
      </c>
      <c r="G471" s="6" t="n">
        <v>251876</v>
      </c>
      <c r="H471" s="6" t="n">
        <v>22440</v>
      </c>
      <c r="I471" s="6" t="n">
        <v>164482</v>
      </c>
      <c r="J471" s="6" t="n">
        <v>4999</v>
      </c>
      <c r="K471" s="6" t="n">
        <v>19418</v>
      </c>
      <c r="L471" s="6" t="n">
        <v>56170</v>
      </c>
      <c r="M471" s="6" t="n">
        <v>818</v>
      </c>
      <c r="N471" s="6" t="n">
        <v>1268</v>
      </c>
      <c r="O471" s="6" t="n">
        <v>19286</v>
      </c>
      <c r="P471" s="6" t="n">
        <v>62522</v>
      </c>
      <c r="Q471" s="1" t="n">
        <f aca="false">IF($A1089="","",IF(OR(F1089="",I1089=""),"",F1089-I1089))</f>
        <v>-122482</v>
      </c>
      <c r="R471" s="1" t="n">
        <f aca="false">IF($A1089="","",IF(Q1089="","",Q1089+IF(O1089="",0,O1089)))</f>
        <v>154649</v>
      </c>
      <c r="T471" s="1" t="n">
        <f aca="false">IF($A1089="","",IF(R1089="","",R1089-IF(S1089="",0,S1089)))</f>
        <v>150314</v>
      </c>
      <c r="U471" s="1" t="n">
        <f aca="false">IF($A1089="","",IF(I1089="","",I1089-SUM(J1089:P1089)))</f>
        <v>1</v>
      </c>
      <c r="V471" s="6" t="s">
        <v>5093</v>
      </c>
      <c r="W471" s="49" t="s">
        <v>774</v>
      </c>
      <c r="X471" s="9" t="s">
        <v>5094</v>
      </c>
      <c r="Y471" s="9" t="s">
        <v>4897</v>
      </c>
      <c r="Z471" s="9" t="s">
        <v>4898</v>
      </c>
      <c r="AA471" s="9" t="s">
        <v>4899</v>
      </c>
    </row>
    <row r="472" customFormat="false" ht="15" hidden="false" customHeight="true" outlineLevel="0" collapsed="false">
      <c r="A472" s="6" t="s">
        <v>2206</v>
      </c>
      <c r="B472" s="6" t="s">
        <v>515</v>
      </c>
      <c r="C472" s="6" t="s">
        <v>521</v>
      </c>
      <c r="D472" s="6" t="n">
        <v>6</v>
      </c>
      <c r="E472" s="9" t="s">
        <v>5002</v>
      </c>
      <c r="F472" s="6" t="n">
        <v>175341</v>
      </c>
      <c r="G472" s="6" t="n">
        <v>157952</v>
      </c>
      <c r="H472" s="6" t="n">
        <v>17388</v>
      </c>
      <c r="I472" s="6" t="n">
        <v>73597</v>
      </c>
      <c r="J472" s="6" t="n">
        <v>14442</v>
      </c>
      <c r="K472" s="6" t="n">
        <v>14568</v>
      </c>
      <c r="L472" s="6" t="n">
        <v>14846</v>
      </c>
      <c r="M472" s="6" t="n">
        <v>271</v>
      </c>
      <c r="N472" s="6" t="n">
        <v>3937</v>
      </c>
      <c r="O472" s="6" t="n">
        <v>23724</v>
      </c>
      <c r="P472" s="6" t="n">
        <v>1808</v>
      </c>
      <c r="Q472" s="1" t="n">
        <f aca="false">IF($A1090="","",IF(OR(F1090="",I1090=""),"",F1090-I1090))</f>
        <v>-47597</v>
      </c>
      <c r="R472" s="1" t="n">
        <f aca="false">IF($A1090="","",IF(Q1090="","",Q1090+IF(O1090="",0,O1090)))</f>
        <v>222626</v>
      </c>
      <c r="T472" s="1" t="n">
        <f aca="false">IF($A1090="","",IF(R1090="","",R1090-IF(S1090="",0,S1090)))</f>
        <v>251809</v>
      </c>
      <c r="U472" s="1" t="n">
        <f aca="false">IF($A1090="","",IF(I1090="","",I1090-SUM(J1090:P1090)))</f>
        <v>1</v>
      </c>
      <c r="V472" s="6" t="s">
        <v>5093</v>
      </c>
      <c r="W472" s="49" t="s">
        <v>774</v>
      </c>
      <c r="X472" s="9" t="s">
        <v>5094</v>
      </c>
      <c r="Y472" s="9" t="s">
        <v>4897</v>
      </c>
      <c r="Z472" s="9" t="s">
        <v>4898</v>
      </c>
      <c r="AA472" s="9" t="s">
        <v>4899</v>
      </c>
    </row>
    <row r="473" customFormat="false" ht="15" hidden="false" customHeight="true" outlineLevel="0" collapsed="false">
      <c r="A473" s="6" t="s">
        <v>2209</v>
      </c>
      <c r="B473" s="6" t="s">
        <v>515</v>
      </c>
      <c r="C473" s="6" t="s">
        <v>521</v>
      </c>
      <c r="D473" s="6" t="n">
        <v>6</v>
      </c>
      <c r="E473" s="9" t="s">
        <v>5002</v>
      </c>
      <c r="F473" s="6" t="n">
        <v>153696</v>
      </c>
      <c r="G473" s="6" t="n">
        <v>141641</v>
      </c>
      <c r="H473" s="6" t="n">
        <v>12055</v>
      </c>
      <c r="I473" s="6" t="n">
        <v>71171</v>
      </c>
      <c r="J473" s="6" t="n">
        <v>7785</v>
      </c>
      <c r="K473" s="6" t="n">
        <v>9976</v>
      </c>
      <c r="L473" s="6" t="n">
        <v>4074</v>
      </c>
      <c r="M473" s="6" t="n">
        <v>137</v>
      </c>
      <c r="N473" s="6" t="n">
        <v>2373</v>
      </c>
      <c r="O473" s="6" t="n">
        <v>11951</v>
      </c>
      <c r="P473" s="6" t="n">
        <v>34872</v>
      </c>
      <c r="Q473" s="1" t="n">
        <f aca="false">IF($A1091="","",IF(OR(F1091="",I1091=""),"",F1091-I1091))</f>
        <v>-51171</v>
      </c>
      <c r="R473" s="1" t="n">
        <f aca="false">IF($A1091="","",IF(Q1091="","",Q1091+IF(O1091="",0,O1091)))</f>
        <v>881107</v>
      </c>
      <c r="T473" s="1" t="n">
        <f aca="false">IF($A1091="","",IF(R1091="","",R1091-IF(S1091="",0,S1091)))</f>
        <v>936595</v>
      </c>
      <c r="U473" s="1" t="n">
        <f aca="false">IF($A1091="","",IF(I1091="","",I1091-SUM(J1091:P1091)))</f>
        <v>3</v>
      </c>
      <c r="V473" s="6" t="s">
        <v>5093</v>
      </c>
      <c r="W473" s="49" t="s">
        <v>774</v>
      </c>
      <c r="X473" s="9" t="s">
        <v>5094</v>
      </c>
      <c r="Y473" s="9" t="s">
        <v>4897</v>
      </c>
      <c r="Z473" s="9" t="s">
        <v>4898</v>
      </c>
      <c r="AA473" s="9" t="s">
        <v>4899</v>
      </c>
    </row>
    <row r="474" customFormat="false" ht="15" hidden="false" customHeight="true" outlineLevel="0" collapsed="false">
      <c r="A474" s="6" t="s">
        <v>2212</v>
      </c>
      <c r="B474" s="6" t="s">
        <v>515</v>
      </c>
      <c r="C474" s="6" t="s">
        <v>521</v>
      </c>
      <c r="D474" s="6" t="n">
        <v>6</v>
      </c>
      <c r="E474" s="9" t="s">
        <v>5002</v>
      </c>
      <c r="F474" s="6" t="n">
        <v>92656</v>
      </c>
      <c r="G474" s="6" t="n">
        <v>84126</v>
      </c>
      <c r="H474" s="6" t="n">
        <v>8530</v>
      </c>
      <c r="I474" s="6" t="n">
        <v>42835</v>
      </c>
      <c r="J474" s="6" t="n">
        <v>5848</v>
      </c>
      <c r="K474" s="6" t="n">
        <v>8047</v>
      </c>
      <c r="L474" s="6" t="n">
        <v>11376</v>
      </c>
      <c r="M474" s="6" t="n">
        <v>114</v>
      </c>
      <c r="N474" s="6" t="n">
        <v>4442</v>
      </c>
      <c r="O474" s="6" t="n">
        <v>11718</v>
      </c>
      <c r="P474" s="6" t="n">
        <v>1288</v>
      </c>
      <c r="Q474" s="1" t="n">
        <f aca="false">IF($A1092="","",IF(OR(F1092="",I1092=""),"",F1092-I1092))</f>
        <v>-13835</v>
      </c>
      <c r="R474" s="1" t="n">
        <f aca="false">IF($A1092="","",IF(Q1092="","",Q1092+IF(O1092="",0,O1092)))</f>
        <v>455577</v>
      </c>
      <c r="T474" s="1" t="n">
        <f aca="false">IF($A1092="","",IF(R1092="","",R1092-IF(S1092="",0,S1092)))</f>
        <v>535604</v>
      </c>
      <c r="U474" s="1" t="n">
        <f aca="false">IF($A1092="","",IF(I1092="","",I1092-SUM(J1092:P1092)))</f>
        <v>2</v>
      </c>
      <c r="V474" s="6" t="s">
        <v>5093</v>
      </c>
      <c r="W474" s="49" t="s">
        <v>774</v>
      </c>
      <c r="X474" s="9" t="s">
        <v>5094</v>
      </c>
      <c r="Y474" s="9" t="s">
        <v>4897</v>
      </c>
      <c r="Z474" s="9" t="s">
        <v>4898</v>
      </c>
      <c r="AA474" s="9" t="s">
        <v>4899</v>
      </c>
    </row>
    <row r="475" customFormat="false" ht="15" hidden="false" customHeight="true" outlineLevel="0" collapsed="false">
      <c r="A475" s="6" t="s">
        <v>2215</v>
      </c>
      <c r="B475" s="6" t="s">
        <v>515</v>
      </c>
      <c r="C475" s="6" t="s">
        <v>521</v>
      </c>
      <c r="D475" s="6" t="n">
        <v>6</v>
      </c>
      <c r="E475" s="9" t="s">
        <v>5002</v>
      </c>
      <c r="F475" s="6" t="n">
        <v>108281</v>
      </c>
      <c r="G475" s="6" t="n">
        <v>94668</v>
      </c>
      <c r="H475" s="6" t="n">
        <v>13612</v>
      </c>
      <c r="I475" s="6" t="n">
        <v>43660</v>
      </c>
      <c r="J475" s="6" t="n">
        <v>10995</v>
      </c>
      <c r="K475" s="6" t="n">
        <v>8636</v>
      </c>
      <c r="L475" s="6" t="n">
        <v>10995</v>
      </c>
      <c r="M475" s="6" t="n">
        <v>130</v>
      </c>
      <c r="N475" s="6" t="n">
        <v>960</v>
      </c>
      <c r="O475" s="6" t="n">
        <v>9741</v>
      </c>
      <c r="P475" s="6" t="n">
        <v>2200</v>
      </c>
      <c r="Q475" s="1" t="n">
        <f aca="false">IF($A1093="","",IF(OR(F1093="",I1093=""),"",F1093-I1093))</f>
        <v>-18660</v>
      </c>
      <c r="R475" s="1" t="n">
        <f aca="false">IF($A1093="","",IF(Q1093="","",Q1093+IF(O1093="",0,O1093)))</f>
        <v>100221</v>
      </c>
      <c r="T475" s="1" t="n">
        <f aca="false">IF($A1093="","",IF(R1093="","",R1093-IF(S1093="",0,S1093)))</f>
        <v>156305</v>
      </c>
      <c r="U475" s="1" t="n">
        <f aca="false">IF($A1093="","",IF(I1093="","",I1093-SUM(J1093:P1093)))</f>
        <v>3</v>
      </c>
      <c r="V475" s="6" t="s">
        <v>5093</v>
      </c>
      <c r="W475" s="9" t="s">
        <v>774</v>
      </c>
      <c r="X475" s="9" t="s">
        <v>5094</v>
      </c>
      <c r="Y475" s="9" t="s">
        <v>4897</v>
      </c>
      <c r="Z475" s="9" t="s">
        <v>4898</v>
      </c>
      <c r="AA475" s="9" t="s">
        <v>4899</v>
      </c>
    </row>
    <row r="476" customFormat="false" ht="15" hidden="false" customHeight="true" outlineLevel="0" collapsed="false">
      <c r="A476" s="6" t="s">
        <v>2218</v>
      </c>
      <c r="B476" s="6" t="s">
        <v>515</v>
      </c>
      <c r="C476" s="6" t="s">
        <v>521</v>
      </c>
      <c r="D476" s="6" t="n">
        <v>6</v>
      </c>
      <c r="E476" s="9" t="s">
        <v>5095</v>
      </c>
      <c r="F476" s="1" t="n">
        <v>30000</v>
      </c>
      <c r="Q476" s="1" t="str">
        <f aca="false">IF($A1094="","",IF(OR(F1094="",I1094=""),"",F1094-I1094))</f>
        <v/>
      </c>
      <c r="R476" s="1" t="n">
        <f aca="false">IF($A1094="","",IF(Q1094="","",Q1094+IF(O1094="",0,O1094)))</f>
        <v>411515</v>
      </c>
      <c r="T476" s="1" t="n">
        <f aca="false">IF($A1094="","",IF(R1094="","",R1094-IF(S1094="",0,S1094)))</f>
        <v>480641</v>
      </c>
      <c r="U476" s="1" t="str">
        <f aca="false">IF($A1094="","",IF(I1094="","",I1094-SUM(J1094:P1094)))</f>
        <v/>
      </c>
      <c r="V476" s="6" t="s">
        <v>5093</v>
      </c>
      <c r="W476" s="49" t="s">
        <v>774</v>
      </c>
      <c r="X476" s="9" t="s">
        <v>5096</v>
      </c>
      <c r="Y476" s="9" t="s">
        <v>4897</v>
      </c>
      <c r="Z476" s="9" t="s">
        <v>4898</v>
      </c>
      <c r="AA476" s="9" t="s">
        <v>4899</v>
      </c>
    </row>
    <row r="477" customFormat="false" ht="15" hidden="false" customHeight="true" outlineLevel="0" collapsed="false">
      <c r="A477" s="6" t="s">
        <v>2220</v>
      </c>
      <c r="B477" s="6" t="s">
        <v>515</v>
      </c>
      <c r="C477" s="6" t="s">
        <v>521</v>
      </c>
      <c r="D477" s="6" t="n">
        <v>6</v>
      </c>
      <c r="E477" s="9" t="s">
        <v>5002</v>
      </c>
      <c r="F477" s="6" t="n">
        <v>100630</v>
      </c>
      <c r="G477" s="6" t="n">
        <v>89701</v>
      </c>
      <c r="H477" s="6" t="n">
        <v>10928</v>
      </c>
      <c r="I477" s="6" t="n">
        <v>48361</v>
      </c>
      <c r="J477" s="6" t="n">
        <v>10328</v>
      </c>
      <c r="K477" s="6" t="n">
        <v>7969</v>
      </c>
      <c r="L477" s="6" t="n">
        <v>9376</v>
      </c>
      <c r="M477" s="6" t="n">
        <v>133</v>
      </c>
      <c r="N477" s="6" t="n">
        <v>1956</v>
      </c>
      <c r="O477" s="6" t="n">
        <v>16709</v>
      </c>
      <c r="P477" s="6" t="n">
        <v>1887</v>
      </c>
      <c r="Q477" s="1" t="n">
        <f aca="false">IF($A1095="","",IF(OR(F1095="",I1095=""),"",F1095-I1095))</f>
        <v>2639</v>
      </c>
      <c r="R477" s="1" t="n">
        <f aca="false">IF($A1095="","",IF(Q1095="","",Q1095+IF(O1095="",0,O1095)))</f>
        <v>450628</v>
      </c>
      <c r="T477" s="1" t="n">
        <f aca="false">IF($A1095="","",IF(R1095="","",R1095-IF(S1095="",0,S1095)))</f>
        <v>474419</v>
      </c>
      <c r="U477" s="1" t="n">
        <f aca="false">IF($A1095="","",IF(I1095="","",I1095-SUM(J1095:P1095)))</f>
        <v>3</v>
      </c>
      <c r="V477" s="6" t="s">
        <v>5093</v>
      </c>
      <c r="W477" s="49" t="s">
        <v>774</v>
      </c>
      <c r="X477" s="9" t="s">
        <v>5094</v>
      </c>
      <c r="Y477" s="9" t="s">
        <v>4897</v>
      </c>
      <c r="Z477" s="9" t="s">
        <v>4898</v>
      </c>
      <c r="AA477" s="9" t="s">
        <v>4899</v>
      </c>
    </row>
    <row r="478" customFormat="false" ht="15" hidden="false" customHeight="true" outlineLevel="0" collapsed="false">
      <c r="A478" s="6" t="s">
        <v>2223</v>
      </c>
      <c r="B478" s="6" t="s">
        <v>515</v>
      </c>
      <c r="C478" s="6" t="s">
        <v>521</v>
      </c>
      <c r="D478" s="6" t="n">
        <v>6</v>
      </c>
      <c r="E478" s="9" t="s">
        <v>5002</v>
      </c>
      <c r="F478" s="6" t="n">
        <v>56902</v>
      </c>
      <c r="G478" s="6" t="n">
        <v>56182</v>
      </c>
      <c r="H478" s="6" t="n">
        <v>720</v>
      </c>
      <c r="I478" s="6" t="n">
        <v>20750</v>
      </c>
      <c r="J478" s="6" t="n">
        <v>9790</v>
      </c>
      <c r="K478" s="6" t="n">
        <v>0</v>
      </c>
      <c r="L478" s="6" t="n">
        <v>2536</v>
      </c>
      <c r="M478" s="6" t="n">
        <v>180</v>
      </c>
      <c r="N478" s="6" t="n">
        <v>0</v>
      </c>
      <c r="O478" s="6" t="n">
        <v>4719</v>
      </c>
      <c r="P478" s="6" t="n">
        <v>3523</v>
      </c>
      <c r="Q478" s="1" t="n">
        <f aca="false">IF($A1096="","",IF(OR(F1096="",I1096=""),"",F1096-I1096))</f>
        <v>49250</v>
      </c>
      <c r="R478" s="1" t="n">
        <f aca="false">IF($A1096="","",IF(Q1096="","",Q1096+IF(O1096="",0,O1096)))</f>
        <v>528163</v>
      </c>
      <c r="T478" s="1" t="n">
        <f aca="false">IF($A1096="","",IF(R1096="","",R1096-IF(S1096="",0,S1096)))</f>
        <v>575603</v>
      </c>
      <c r="U478" s="1" t="n">
        <f aca="false">IF($A1096="","",IF(I1096="","",I1096-SUM(J1096:P1096)))</f>
        <v>2</v>
      </c>
      <c r="V478" s="6" t="s">
        <v>5093</v>
      </c>
      <c r="W478" s="49" t="s">
        <v>774</v>
      </c>
      <c r="X478" s="9" t="s">
        <v>5094</v>
      </c>
      <c r="Y478" s="9" t="s">
        <v>4897</v>
      </c>
      <c r="Z478" s="9" t="s">
        <v>4898</v>
      </c>
      <c r="AA478" s="9" t="s">
        <v>4899</v>
      </c>
    </row>
    <row r="479" customFormat="false" ht="15" hidden="false" customHeight="true" outlineLevel="0" collapsed="false">
      <c r="A479" s="6" t="s">
        <v>2226</v>
      </c>
      <c r="B479" s="6" t="s">
        <v>515</v>
      </c>
      <c r="C479" s="6" t="s">
        <v>521</v>
      </c>
      <c r="D479" s="6" t="n">
        <v>6</v>
      </c>
      <c r="E479" s="9" t="s">
        <v>5002</v>
      </c>
      <c r="F479" s="6" t="n">
        <v>431238</v>
      </c>
      <c r="G479" s="6" t="n">
        <v>403199</v>
      </c>
      <c r="H479" s="6" t="n">
        <v>28039</v>
      </c>
      <c r="I479" s="6" t="n">
        <v>199123</v>
      </c>
      <c r="J479" s="6" t="n">
        <v>40344</v>
      </c>
      <c r="K479" s="6" t="n">
        <v>23692</v>
      </c>
      <c r="L479" s="6" t="n">
        <v>76145</v>
      </c>
      <c r="M479" s="6" t="n">
        <v>371</v>
      </c>
      <c r="N479" s="6" t="n">
        <v>5599</v>
      </c>
      <c r="O479" s="6" t="n">
        <v>51656</v>
      </c>
      <c r="P479" s="6" t="n">
        <v>1313</v>
      </c>
      <c r="Q479" s="1" t="n">
        <f aca="false">IF($A1097="","",IF(OR(F1097="",I1097=""),"",F1097-I1097))</f>
        <v>-174123</v>
      </c>
      <c r="R479" s="1" t="str">
        <f aca="false">IF($A1097="","",IF(Q1097="","",Q1097+IF(O1097="",0,O1097)))</f>
        <v/>
      </c>
      <c r="T479" s="1" t="str">
        <f aca="false">IF($A1097="","",IF(R1097="","",R1097-IF(S1097="",0,S1097)))</f>
        <v/>
      </c>
      <c r="U479" s="1" t="n">
        <f aca="false">IF($A1097="","",IF(I1097="","",I1097-SUM(J1097:P1097)))</f>
        <v>3</v>
      </c>
      <c r="V479" s="6" t="s">
        <v>5093</v>
      </c>
      <c r="W479" s="49" t="s">
        <v>774</v>
      </c>
      <c r="X479" s="9" t="s">
        <v>5094</v>
      </c>
      <c r="Y479" s="9" t="s">
        <v>4897</v>
      </c>
      <c r="Z479" s="9" t="s">
        <v>4898</v>
      </c>
      <c r="AA479" s="9" t="s">
        <v>4899</v>
      </c>
    </row>
    <row r="480" customFormat="false" ht="15" hidden="false" customHeight="true" outlineLevel="0" collapsed="false">
      <c r="A480" s="6" t="s">
        <v>2229</v>
      </c>
      <c r="B480" s="6" t="s">
        <v>515</v>
      </c>
      <c r="C480" s="6" t="s">
        <v>521</v>
      </c>
      <c r="D480" s="6" t="n">
        <v>6</v>
      </c>
      <c r="E480" s="9" t="s">
        <v>5002</v>
      </c>
      <c r="F480" s="6" t="n">
        <v>138197</v>
      </c>
      <c r="G480" s="6" t="n">
        <v>128318</v>
      </c>
      <c r="H480" s="6" t="n">
        <v>9878</v>
      </c>
      <c r="I480" s="6" t="n">
        <v>49090</v>
      </c>
      <c r="J480" s="6" t="n">
        <v>7988</v>
      </c>
      <c r="K480" s="6" t="n">
        <v>7283</v>
      </c>
      <c r="L480" s="6" t="n">
        <v>10465</v>
      </c>
      <c r="M480" s="6" t="n">
        <v>147</v>
      </c>
      <c r="N480" s="6" t="n">
        <v>5478</v>
      </c>
      <c r="O480" s="6" t="n">
        <v>16042</v>
      </c>
      <c r="P480" s="6" t="n">
        <v>1685</v>
      </c>
      <c r="Q480" s="1" t="n">
        <f aca="false">IF($A1098="","",IF(OR(F1098="",I1098=""),"",F1098-I1098))</f>
        <v>-25090</v>
      </c>
      <c r="R480" s="1" t="n">
        <f aca="false">IF($A1098="","",IF(Q1098="","",Q1098+IF(O1098="",0,O1098)))</f>
        <v>313785</v>
      </c>
      <c r="T480" s="1" t="n">
        <f aca="false">IF($A1098="","",IF(R1098="","",R1098-IF(S1098="",0,S1098)))</f>
        <v>333743</v>
      </c>
      <c r="U480" s="1" t="n">
        <f aca="false">IF($A1098="","",IF(I1098="","",I1098-SUM(J1098:P1098)))</f>
        <v>2</v>
      </c>
      <c r="V480" s="6" t="s">
        <v>5093</v>
      </c>
      <c r="W480" s="9" t="s">
        <v>774</v>
      </c>
      <c r="X480" s="9" t="s">
        <v>5094</v>
      </c>
      <c r="Y480" s="9" t="s">
        <v>4897</v>
      </c>
      <c r="Z480" s="9" t="s">
        <v>4898</v>
      </c>
      <c r="AA480" s="9" t="s">
        <v>4899</v>
      </c>
    </row>
    <row r="481" customFormat="false" ht="15" hidden="false" customHeight="true" outlineLevel="0" collapsed="false">
      <c r="A481" s="6" t="s">
        <v>2232</v>
      </c>
      <c r="B481" s="6" t="s">
        <v>515</v>
      </c>
      <c r="C481" s="6" t="s">
        <v>521</v>
      </c>
      <c r="D481" s="6" t="n">
        <v>6</v>
      </c>
      <c r="E481" s="9" t="s">
        <v>5002</v>
      </c>
      <c r="F481" s="6" t="n">
        <v>46550</v>
      </c>
      <c r="G481" s="6" t="n">
        <v>39646</v>
      </c>
      <c r="H481" s="6" t="n">
        <v>6904</v>
      </c>
      <c r="I481" s="6" t="n">
        <v>18120</v>
      </c>
      <c r="J481" s="6" t="n">
        <v>3793</v>
      </c>
      <c r="K481" s="6" t="n">
        <v>3026</v>
      </c>
      <c r="L481" s="6" t="n">
        <v>3754</v>
      </c>
      <c r="M481" s="6" t="n">
        <v>64</v>
      </c>
      <c r="N481" s="6" t="n">
        <v>1206</v>
      </c>
      <c r="O481" s="6" t="n">
        <v>5600</v>
      </c>
      <c r="P481" s="6" t="n">
        <v>675</v>
      </c>
      <c r="Q481" s="1" t="n">
        <f aca="false">IF($A1099="","",IF(OR(F1099="",I1099=""),"",F1099-I1099))</f>
        <v>67880</v>
      </c>
      <c r="R481" s="1" t="n">
        <f aca="false">IF($A1099="","",IF(Q1099="","",Q1099+IF(O1099="",0,O1099)))</f>
        <v>121190</v>
      </c>
      <c r="T481" s="1" t="n">
        <f aca="false">IF($A1099="","",IF(R1099="","",R1099-IF(S1099="",0,S1099)))</f>
        <v>115590</v>
      </c>
      <c r="U481" s="1" t="n">
        <f aca="false">IF($A1099="","",IF(I1099="","",I1099-SUM(J1099:P1099)))</f>
        <v>2</v>
      </c>
      <c r="V481" s="6" t="s">
        <v>5093</v>
      </c>
      <c r="W481" s="49" t="s">
        <v>774</v>
      </c>
      <c r="X481" s="9" t="s">
        <v>5094</v>
      </c>
      <c r="Y481" s="9" t="s">
        <v>4897</v>
      </c>
      <c r="Z481" s="9" t="s">
        <v>4898</v>
      </c>
      <c r="AA481" s="9" t="s">
        <v>4899</v>
      </c>
    </row>
    <row r="482" customFormat="false" ht="15" hidden="false" customHeight="true" outlineLevel="0" collapsed="false">
      <c r="A482" s="6" t="s">
        <v>2235</v>
      </c>
      <c r="B482" s="6" t="s">
        <v>515</v>
      </c>
      <c r="C482" s="6" t="s">
        <v>521</v>
      </c>
      <c r="D482" s="6" t="n">
        <v>6</v>
      </c>
      <c r="E482" s="9" t="s">
        <v>5002</v>
      </c>
      <c r="F482" s="6" t="n">
        <v>106606</v>
      </c>
      <c r="G482" s="6" t="n">
        <v>93419</v>
      </c>
      <c r="H482" s="6" t="n">
        <v>13186</v>
      </c>
      <c r="I482" s="6" t="n">
        <v>61532</v>
      </c>
      <c r="J482" s="6" t="n">
        <v>5858</v>
      </c>
      <c r="K482" s="6" t="n">
        <v>9510</v>
      </c>
      <c r="L482" s="6" t="n">
        <v>6030</v>
      </c>
      <c r="M482" s="6" t="n">
        <v>162</v>
      </c>
      <c r="N482" s="6" t="n">
        <v>2486</v>
      </c>
      <c r="O482" s="6" t="n">
        <v>12626</v>
      </c>
      <c r="P482" s="6" t="n">
        <v>24858</v>
      </c>
      <c r="Q482" s="1" t="n">
        <f aca="false">IF($A1100="","",IF(OR(F1100="",I1100=""),"",F1100-I1100))</f>
        <v>-12532</v>
      </c>
      <c r="R482" s="1" t="n">
        <f aca="false">IF($A1100="","",IF(Q1100="","",Q1100+IF(O1100="",0,O1100)))</f>
        <v>80524</v>
      </c>
      <c r="T482" s="1" t="n">
        <f aca="false">IF($A1100="","",IF(R1100="","",R1100-IF(S1100="",0,S1100)))</f>
        <v>75674</v>
      </c>
      <c r="U482" s="1" t="n">
        <f aca="false">IF($A1100="","",IF(I1100="","",I1100-SUM(J1100:P1100)))</f>
        <v>2</v>
      </c>
      <c r="V482" s="6" t="s">
        <v>5093</v>
      </c>
      <c r="W482" s="49" t="s">
        <v>774</v>
      </c>
      <c r="X482" s="9" t="s">
        <v>5094</v>
      </c>
      <c r="Y482" s="9" t="s">
        <v>4897</v>
      </c>
      <c r="Z482" s="9" t="s">
        <v>4898</v>
      </c>
      <c r="AA482" s="9" t="s">
        <v>4899</v>
      </c>
    </row>
    <row r="483" customFormat="false" ht="15" hidden="false" customHeight="true" outlineLevel="0" collapsed="false">
      <c r="A483" s="6" t="s">
        <v>2238</v>
      </c>
      <c r="B483" s="6" t="s">
        <v>515</v>
      </c>
      <c r="C483" s="6" t="s">
        <v>521</v>
      </c>
      <c r="D483" s="6" t="n">
        <v>6</v>
      </c>
      <c r="E483" s="9" t="s">
        <v>5095</v>
      </c>
      <c r="F483" s="1" t="n">
        <v>31000</v>
      </c>
      <c r="Q483" s="1" t="str">
        <f aca="false">IF($A1101="","",IF(OR(F1101="",I1101=""),"",F1101-I1101))</f>
        <v/>
      </c>
      <c r="R483" s="1" t="n">
        <f aca="false">IF($A1101="","",IF(Q1101="","",Q1101+IF(O1101="",0,O1101)))</f>
        <v>1934280</v>
      </c>
      <c r="T483" s="1" t="n">
        <f aca="false">IF($A1101="","",IF(R1101="","",R1101-IF(S1101="",0,S1101)))</f>
        <v>-519871</v>
      </c>
      <c r="U483" s="1" t="str">
        <f aca="false">IF($A1101="","",IF(I1101="","",I1101-SUM(J1101:P1101)))</f>
        <v/>
      </c>
      <c r="V483" s="6" t="s">
        <v>5093</v>
      </c>
      <c r="W483" s="49" t="s">
        <v>774</v>
      </c>
      <c r="X483" s="9" t="s">
        <v>5097</v>
      </c>
      <c r="Y483" s="9" t="s">
        <v>4897</v>
      </c>
      <c r="Z483" s="9" t="s">
        <v>4898</v>
      </c>
      <c r="AA483" s="9" t="s">
        <v>4899</v>
      </c>
    </row>
    <row r="484" customFormat="false" ht="15" hidden="false" customHeight="true" outlineLevel="0" collapsed="false">
      <c r="A484" s="6" t="s">
        <v>2241</v>
      </c>
      <c r="B484" s="6" t="s">
        <v>515</v>
      </c>
      <c r="C484" s="6" t="s">
        <v>521</v>
      </c>
      <c r="D484" s="6" t="n">
        <v>6</v>
      </c>
      <c r="E484" s="9" t="s">
        <v>5095</v>
      </c>
      <c r="F484" s="1" t="n">
        <v>22000</v>
      </c>
      <c r="Q484" s="1" t="str">
        <f aca="false">IF($A1102="","",IF(OR(F1102="",I1102=""),"",F1102-I1102))</f>
        <v/>
      </c>
      <c r="R484" s="1" t="str">
        <f aca="false">IF($A1102="","",IF(Q1102="","",Q1102+IF(O1102="",0,O1102)))</f>
        <v/>
      </c>
      <c r="T484" s="1" t="str">
        <f aca="false">IF($A1102="","",IF(R1102="","",R1102-IF(S1102="",0,S1102)))</f>
        <v/>
      </c>
      <c r="U484" s="1" t="str">
        <f aca="false">IF($A1102="","",IF(I1102="","",I1102-SUM(J1102:P1102)))</f>
        <v/>
      </c>
      <c r="V484" s="6" t="s">
        <v>5093</v>
      </c>
      <c r="W484" s="49" t="s">
        <v>774</v>
      </c>
      <c r="X484" s="9" t="s">
        <v>5098</v>
      </c>
      <c r="Y484" s="9" t="s">
        <v>4897</v>
      </c>
      <c r="Z484" s="9" t="s">
        <v>4898</v>
      </c>
      <c r="AA484" s="9" t="s">
        <v>4899</v>
      </c>
    </row>
    <row r="485" customFormat="false" ht="15" hidden="false" customHeight="true" outlineLevel="0" collapsed="false">
      <c r="A485" s="6" t="s">
        <v>2244</v>
      </c>
      <c r="B485" s="6" t="s">
        <v>515</v>
      </c>
      <c r="C485" s="6" t="s">
        <v>521</v>
      </c>
      <c r="D485" s="6" t="n">
        <v>6</v>
      </c>
      <c r="E485" s="9" t="s">
        <v>5002</v>
      </c>
      <c r="F485" s="6" t="n">
        <v>45811</v>
      </c>
      <c r="G485" s="6" t="n">
        <v>40625</v>
      </c>
      <c r="H485" s="6" t="n">
        <v>5186</v>
      </c>
      <c r="I485" s="6" t="n">
        <v>22881</v>
      </c>
      <c r="J485" s="6" t="n">
        <v>4064</v>
      </c>
      <c r="K485" s="6" t="n">
        <v>4835</v>
      </c>
      <c r="L485" s="6" t="n">
        <v>4075</v>
      </c>
      <c r="M485" s="6" t="n">
        <v>66</v>
      </c>
      <c r="N485" s="6" t="n">
        <v>1660</v>
      </c>
      <c r="O485" s="6" t="n">
        <v>7253</v>
      </c>
      <c r="P485" s="6" t="n">
        <v>925</v>
      </c>
      <c r="Q485" s="1" t="n">
        <f aca="false">IF($A1103="","",IF(OR(F1103="",I1103=""),"",F1103-I1103))</f>
        <v>32119</v>
      </c>
      <c r="R485" s="1" t="str">
        <f aca="false">IF($A1103="","",IF(Q1103="","",Q1103+IF(O1103="",0,O1103)))</f>
        <v/>
      </c>
      <c r="T485" s="1" t="str">
        <f aca="false">IF($A1103="","",IF(R1103="","",R1103-IF(S1103="",0,S1103)))</f>
        <v/>
      </c>
      <c r="U485" s="1" t="n">
        <f aca="false">IF($A1103="","",IF(I1103="","",I1103-SUM(J1103:P1103)))</f>
        <v>3</v>
      </c>
      <c r="V485" s="6" t="s">
        <v>5093</v>
      </c>
      <c r="W485" s="49" t="s">
        <v>774</v>
      </c>
      <c r="X485" s="9" t="s">
        <v>5094</v>
      </c>
      <c r="Y485" s="9" t="s">
        <v>4897</v>
      </c>
      <c r="Z485" s="9" t="s">
        <v>4898</v>
      </c>
      <c r="AA485" s="9" t="s">
        <v>4899</v>
      </c>
    </row>
    <row r="486" customFormat="false" ht="15" hidden="false" customHeight="true" outlineLevel="0" collapsed="false">
      <c r="A486" s="6" t="s">
        <v>2247</v>
      </c>
      <c r="B486" s="6" t="s">
        <v>515</v>
      </c>
      <c r="C486" s="6" t="s">
        <v>521</v>
      </c>
      <c r="D486" s="6" t="n">
        <v>6</v>
      </c>
      <c r="E486" s="9" t="s">
        <v>5002</v>
      </c>
      <c r="F486" s="6" t="n">
        <v>285696</v>
      </c>
      <c r="G486" s="6" t="n">
        <v>268650</v>
      </c>
      <c r="H486" s="6" t="n">
        <v>17045</v>
      </c>
      <c r="I486" s="6" t="n">
        <v>212982</v>
      </c>
      <c r="J486" s="6" t="n">
        <v>60220</v>
      </c>
      <c r="K486" s="6" t="n">
        <v>24772</v>
      </c>
      <c r="L486" s="6" t="n">
        <v>12639</v>
      </c>
      <c r="M486" s="6" t="n">
        <v>436</v>
      </c>
      <c r="N486" s="6" t="n">
        <v>7371</v>
      </c>
      <c r="O486" s="6" t="n">
        <v>92890</v>
      </c>
      <c r="P486" s="6" t="n">
        <v>14650</v>
      </c>
      <c r="Q486" s="1" t="n">
        <f aca="false">IF($A1104="","",IF(OR(F1104="",I1104=""),"",F1104-I1104))</f>
        <v>-188982</v>
      </c>
      <c r="R486" s="1" t="str">
        <f aca="false">IF($A1104="","",IF(Q1104="","",Q1104+IF(O1104="",0,O1104)))</f>
        <v/>
      </c>
      <c r="T486" s="1" t="str">
        <f aca="false">IF($A1104="","",IF(R1104="","",R1104-IF(S1104="",0,S1104)))</f>
        <v/>
      </c>
      <c r="U486" s="1" t="n">
        <f aca="false">IF($A1104="","",IF(I1104="","",I1104-SUM(J1104:P1104)))</f>
        <v>4</v>
      </c>
      <c r="V486" s="6" t="s">
        <v>5093</v>
      </c>
      <c r="W486" s="49" t="s">
        <v>774</v>
      </c>
      <c r="X486" s="9" t="s">
        <v>5094</v>
      </c>
      <c r="Y486" s="9" t="s">
        <v>4897</v>
      </c>
      <c r="Z486" s="9" t="s">
        <v>4898</v>
      </c>
      <c r="AA486" s="9" t="s">
        <v>4899</v>
      </c>
    </row>
    <row r="487" customFormat="false" ht="15" hidden="false" customHeight="true" outlineLevel="0" collapsed="false">
      <c r="A487" s="6" t="s">
        <v>2250</v>
      </c>
      <c r="B487" s="6" t="s">
        <v>515</v>
      </c>
      <c r="C487" s="6" t="s">
        <v>521</v>
      </c>
      <c r="D487" s="6" t="n">
        <v>6</v>
      </c>
      <c r="E487" s="9" t="s">
        <v>5002</v>
      </c>
      <c r="F487" s="6" t="n">
        <v>39812</v>
      </c>
      <c r="G487" s="6" t="n">
        <v>37034</v>
      </c>
      <c r="H487" s="6" t="n">
        <v>2777</v>
      </c>
      <c r="I487" s="6" t="n">
        <v>12215</v>
      </c>
      <c r="J487" s="6" t="n">
        <v>2979</v>
      </c>
      <c r="K487" s="6" t="n">
        <v>2782</v>
      </c>
      <c r="L487" s="6" t="n">
        <v>3169</v>
      </c>
      <c r="M487" s="6" t="n">
        <v>38</v>
      </c>
      <c r="N487" s="6" t="n">
        <v>732</v>
      </c>
      <c r="O487" s="6" t="n">
        <v>1811</v>
      </c>
      <c r="P487" s="6" t="n">
        <v>702</v>
      </c>
      <c r="Q487" s="1" t="n">
        <f aca="false">IF($A1105="","",IF(OR(F1105="",I1105=""),"",F1105-I1105))</f>
        <v>13785</v>
      </c>
      <c r="R487" s="1" t="str">
        <f aca="false">IF($A1105="","",IF(Q1105="","",Q1105+IF(O1105="",0,O1105)))</f>
        <v/>
      </c>
      <c r="T487" s="1" t="str">
        <f aca="false">IF($A1105="","",IF(R1105="","",R1105-IF(S1105="",0,S1105)))</f>
        <v/>
      </c>
      <c r="U487" s="1" t="n">
        <f aca="false">IF($A1105="","",IF(I1105="","",I1105-SUM(J1105:P1105)))</f>
        <v>2</v>
      </c>
      <c r="V487" s="6" t="s">
        <v>5093</v>
      </c>
      <c r="W487" s="49" t="s">
        <v>774</v>
      </c>
      <c r="X487" s="9" t="s">
        <v>5094</v>
      </c>
      <c r="Y487" s="9" t="s">
        <v>4897</v>
      </c>
      <c r="Z487" s="9" t="s">
        <v>4898</v>
      </c>
      <c r="AA487" s="9" t="s">
        <v>4899</v>
      </c>
    </row>
    <row r="488" customFormat="false" ht="15" hidden="false" customHeight="true" outlineLevel="0" collapsed="false">
      <c r="A488" s="6" t="s">
        <v>2253</v>
      </c>
      <c r="B488" s="6" t="s">
        <v>515</v>
      </c>
      <c r="C488" s="6" t="s">
        <v>521</v>
      </c>
      <c r="D488" s="6" t="n">
        <v>6</v>
      </c>
      <c r="E488" s="9" t="s">
        <v>5002</v>
      </c>
      <c r="F488" s="6" t="n">
        <v>146081</v>
      </c>
      <c r="G488" s="6" t="n">
        <v>130112</v>
      </c>
      <c r="H488" s="6" t="n">
        <v>15968</v>
      </c>
      <c r="I488" s="6" t="n">
        <v>73124</v>
      </c>
      <c r="J488" s="6" t="n">
        <v>11584</v>
      </c>
      <c r="K488" s="6" t="n">
        <v>15589</v>
      </c>
      <c r="L488" s="6" t="n">
        <v>10580</v>
      </c>
      <c r="M488" s="6" t="n">
        <v>227</v>
      </c>
      <c r="N488" s="6" t="n">
        <v>1040</v>
      </c>
      <c r="O488" s="6" t="n">
        <v>32967</v>
      </c>
      <c r="P488" s="6" t="n">
        <v>1133</v>
      </c>
      <c r="Q488" s="1" t="n">
        <f aca="false">IF($A1106="","",IF(OR(F1106="",I1106=""),"",F1106-I1106))</f>
        <v>-52124</v>
      </c>
      <c r="R488" s="1" t="str">
        <f aca="false">IF($A1106="","",IF(Q1106="","",Q1106+IF(O1106="",0,O1106)))</f>
        <v/>
      </c>
      <c r="T488" s="1" t="str">
        <f aca="false">IF($A1106="","",IF(R1106="","",R1106-IF(S1106="",0,S1106)))</f>
        <v/>
      </c>
      <c r="U488" s="1" t="n">
        <f aca="false">IF($A1106="","",IF(I1106="","",I1106-SUM(J1106:P1106)))</f>
        <v>4</v>
      </c>
      <c r="V488" s="6" t="s">
        <v>5093</v>
      </c>
      <c r="W488" s="49" t="s">
        <v>774</v>
      </c>
      <c r="X488" s="9" t="s">
        <v>5094</v>
      </c>
      <c r="Y488" s="9" t="s">
        <v>4897</v>
      </c>
      <c r="Z488" s="9" t="s">
        <v>4898</v>
      </c>
      <c r="AA488" s="9" t="s">
        <v>4899</v>
      </c>
    </row>
    <row r="489" customFormat="false" ht="15" hidden="false" customHeight="true" outlineLevel="0" collapsed="false">
      <c r="A489" s="6" t="s">
        <v>2256</v>
      </c>
      <c r="B489" s="6" t="s">
        <v>515</v>
      </c>
      <c r="C489" s="6" t="s">
        <v>521</v>
      </c>
      <c r="D489" s="6" t="n">
        <v>6</v>
      </c>
      <c r="E489" s="9" t="s">
        <v>5002</v>
      </c>
      <c r="F489" s="6" t="n">
        <v>146410</v>
      </c>
      <c r="G489" s="6" t="n">
        <v>135775</v>
      </c>
      <c r="H489" s="6" t="n">
        <v>10634</v>
      </c>
      <c r="I489" s="6" t="n">
        <v>57492</v>
      </c>
      <c r="J489" s="6" t="n">
        <v>9443</v>
      </c>
      <c r="K489" s="6" t="n">
        <v>8312</v>
      </c>
      <c r="L489" s="6" t="n">
        <v>8852</v>
      </c>
      <c r="M489" s="6" t="n">
        <v>200</v>
      </c>
      <c r="N489" s="6" t="n">
        <v>815</v>
      </c>
      <c r="O489" s="6" t="n">
        <v>28204</v>
      </c>
      <c r="P489" s="6" t="n">
        <v>1663</v>
      </c>
      <c r="Q489" s="1" t="n">
        <f aca="false">IF($A1107="","",IF(OR(F1107="",I1107=""),"",F1107-I1107))</f>
        <v>34508</v>
      </c>
      <c r="R489" s="1" t="str">
        <f aca="false">IF($A1107="","",IF(Q1107="","",Q1107+IF(O1107="",0,O1107)))</f>
        <v/>
      </c>
      <c r="T489" s="1" t="str">
        <f aca="false">IF($A1107="","",IF(R1107="","",R1107-IF(S1107="",0,S1107)))</f>
        <v/>
      </c>
      <c r="U489" s="1" t="n">
        <f aca="false">IF($A1107="","",IF(I1107="","",I1107-SUM(J1107:P1107)))</f>
        <v>3</v>
      </c>
      <c r="V489" s="6" t="s">
        <v>5093</v>
      </c>
      <c r="W489" s="49" t="s">
        <v>774</v>
      </c>
      <c r="X489" s="9" t="s">
        <v>5094</v>
      </c>
      <c r="Y489" s="9" t="s">
        <v>4897</v>
      </c>
      <c r="Z489" s="9" t="s">
        <v>4898</v>
      </c>
      <c r="AA489" s="9" t="s">
        <v>4899</v>
      </c>
    </row>
    <row r="490" customFormat="false" ht="15" hidden="false" customHeight="true" outlineLevel="0" collapsed="false">
      <c r="A490" s="6" t="s">
        <v>2259</v>
      </c>
      <c r="B490" s="6" t="s">
        <v>515</v>
      </c>
      <c r="C490" s="6" t="s">
        <v>521</v>
      </c>
      <c r="D490" s="6" t="n">
        <v>6</v>
      </c>
      <c r="E490" s="9" t="s">
        <v>5002</v>
      </c>
      <c r="F490" s="6" t="n">
        <v>96926</v>
      </c>
      <c r="G490" s="6" t="n">
        <v>85032</v>
      </c>
      <c r="H490" s="6" t="n">
        <v>11893</v>
      </c>
      <c r="I490" s="6" t="n">
        <v>36941</v>
      </c>
      <c r="J490" s="6" t="n">
        <v>9527</v>
      </c>
      <c r="K490" s="6" t="n">
        <v>7077</v>
      </c>
      <c r="L490" s="6" t="n">
        <v>7207</v>
      </c>
      <c r="M490" s="6" t="n">
        <v>147</v>
      </c>
      <c r="N490" s="6" t="n">
        <v>2939</v>
      </c>
      <c r="O490" s="6" t="n">
        <v>9234</v>
      </c>
      <c r="P490" s="6" t="n">
        <v>807</v>
      </c>
      <c r="Q490" s="1" t="n">
        <f aca="false">IF($A1108="","",IF(OR(F1108="",I1108=""),"",F1108-I1108))</f>
        <v>-3941</v>
      </c>
      <c r="R490" s="1" t="str">
        <f aca="false">IF($A1108="","",IF(Q1108="","",Q1108+IF(O1108="",0,O1108)))</f>
        <v/>
      </c>
      <c r="T490" s="1" t="str">
        <f aca="false">IF($A1108="","",IF(R1108="","",R1108-IF(S1108="",0,S1108)))</f>
        <v/>
      </c>
      <c r="U490" s="1" t="n">
        <f aca="false">IF($A1108="","",IF(I1108="","",I1108-SUM(J1108:P1108)))</f>
        <v>3</v>
      </c>
      <c r="V490" s="6" t="s">
        <v>5093</v>
      </c>
      <c r="W490" s="49" t="s">
        <v>774</v>
      </c>
      <c r="X490" s="9" t="s">
        <v>5094</v>
      </c>
      <c r="Y490" s="9" t="s">
        <v>4897</v>
      </c>
      <c r="Z490" s="9" t="s">
        <v>4898</v>
      </c>
      <c r="AA490" s="9" t="s">
        <v>4899</v>
      </c>
    </row>
    <row r="491" customFormat="false" ht="15" hidden="false" customHeight="true" outlineLevel="0" collapsed="false">
      <c r="A491" s="6" t="s">
        <v>2262</v>
      </c>
      <c r="B491" s="6" t="s">
        <v>515</v>
      </c>
      <c r="C491" s="6" t="s">
        <v>521</v>
      </c>
      <c r="D491" s="6" t="n">
        <v>6</v>
      </c>
      <c r="E491" s="9" t="s">
        <v>5002</v>
      </c>
      <c r="F491" s="6" t="n">
        <v>121475</v>
      </c>
      <c r="G491" s="6" t="n">
        <v>106604</v>
      </c>
      <c r="H491" s="6" t="n">
        <v>14870</v>
      </c>
      <c r="I491" s="6" t="n">
        <v>41801</v>
      </c>
      <c r="J491" s="6" t="n">
        <v>8734</v>
      </c>
      <c r="K491" s="6" t="n">
        <v>10756</v>
      </c>
      <c r="L491" s="6" t="n">
        <v>12045</v>
      </c>
      <c r="M491" s="6" t="n">
        <v>148</v>
      </c>
      <c r="N491" s="6" t="n">
        <v>1987</v>
      </c>
      <c r="O491" s="6" t="n">
        <v>5536</v>
      </c>
      <c r="P491" s="6" t="n">
        <v>2592</v>
      </c>
      <c r="Q491" s="1" t="n">
        <f aca="false">IF($A1109="","",IF(OR(F1109="",I1109=""),"",F1109-I1109))</f>
        <v>94199</v>
      </c>
      <c r="R491" s="1" t="str">
        <f aca="false">IF($A1109="","",IF(Q1109="","",Q1109+IF(O1109="",0,O1109)))</f>
        <v/>
      </c>
      <c r="T491" s="1" t="str">
        <f aca="false">IF($A1109="","",IF(R1109="","",R1109-IF(S1109="",0,S1109)))</f>
        <v/>
      </c>
      <c r="U491" s="1" t="n">
        <f aca="false">IF($A1109="","",IF(I1109="","",I1109-SUM(J1109:P1109)))</f>
        <v>3</v>
      </c>
      <c r="V491" s="6" t="s">
        <v>5093</v>
      </c>
      <c r="W491" s="49" t="s">
        <v>774</v>
      </c>
      <c r="X491" s="9" t="s">
        <v>5094</v>
      </c>
      <c r="Y491" s="9" t="s">
        <v>4897</v>
      </c>
      <c r="Z491" s="9" t="s">
        <v>4898</v>
      </c>
      <c r="AA491" s="9" t="s">
        <v>4899</v>
      </c>
    </row>
    <row r="492" customFormat="false" ht="15" hidden="false" customHeight="true" outlineLevel="0" collapsed="false">
      <c r="A492" s="6" t="s">
        <v>2265</v>
      </c>
      <c r="B492" s="6" t="s">
        <v>515</v>
      </c>
      <c r="C492" s="6" t="s">
        <v>521</v>
      </c>
      <c r="D492" s="6" t="n">
        <v>6</v>
      </c>
      <c r="E492" s="9" t="s">
        <v>5002</v>
      </c>
      <c r="F492" s="6" t="n">
        <v>279410</v>
      </c>
      <c r="G492" s="6" t="n">
        <v>263856</v>
      </c>
      <c r="H492" s="6" t="n">
        <v>15554</v>
      </c>
      <c r="I492" s="6" t="n">
        <v>95875</v>
      </c>
      <c r="J492" s="6" t="n">
        <v>22149</v>
      </c>
      <c r="K492" s="6" t="n">
        <v>13045</v>
      </c>
      <c r="L492" s="6" t="n">
        <v>28791</v>
      </c>
      <c r="M492" s="6" t="n">
        <v>284</v>
      </c>
      <c r="N492" s="6" t="n">
        <v>985</v>
      </c>
      <c r="O492" s="6" t="n">
        <v>28945</v>
      </c>
      <c r="P492" s="6" t="n">
        <v>1672</v>
      </c>
      <c r="Q492" s="1" t="n">
        <f aca="false">IF($A1110="","",IF(OR(F1110="",I1110=""),"",F1110-I1110))</f>
        <v>-25875</v>
      </c>
      <c r="R492" s="1" t="str">
        <f aca="false">IF($A1110="","",IF(Q1110="","",Q1110+IF(O1110="",0,O1110)))</f>
        <v/>
      </c>
      <c r="T492" s="1" t="str">
        <f aca="false">IF($A1110="","",IF(R1110="","",R1110-IF(S1110="",0,S1110)))</f>
        <v/>
      </c>
      <c r="U492" s="1" t="n">
        <f aca="false">IF($A1110="","",IF(I1110="","",I1110-SUM(J1110:P1110)))</f>
        <v>4</v>
      </c>
      <c r="V492" s="6" t="s">
        <v>5093</v>
      </c>
      <c r="W492" s="9" t="s">
        <v>774</v>
      </c>
      <c r="X492" s="9" t="s">
        <v>5094</v>
      </c>
      <c r="Y492" s="9" t="s">
        <v>4897</v>
      </c>
      <c r="Z492" s="9" t="s">
        <v>4898</v>
      </c>
      <c r="AA492" s="9" t="s">
        <v>4899</v>
      </c>
    </row>
    <row r="493" customFormat="false" ht="15" hidden="false" customHeight="true" outlineLevel="0" collapsed="false">
      <c r="A493" s="6" t="s">
        <v>2268</v>
      </c>
      <c r="B493" s="6" t="s">
        <v>515</v>
      </c>
      <c r="C493" s="6" t="s">
        <v>521</v>
      </c>
      <c r="D493" s="6" t="n">
        <v>6</v>
      </c>
      <c r="E493" s="9" t="s">
        <v>5095</v>
      </c>
      <c r="F493" s="1" t="n">
        <v>43000</v>
      </c>
      <c r="Q493" s="1" t="str">
        <f aca="false">IF($A1111="","",IF(OR(F1111="",I1111=""),"",F1111-I1111))</f>
        <v/>
      </c>
      <c r="R493" s="1" t="str">
        <f aca="false">IF($A1111="","",IF(Q1111="","",Q1111+IF(O1111="",0,O1111)))</f>
        <v/>
      </c>
      <c r="T493" s="1" t="str">
        <f aca="false">IF($A1111="","",IF(R1111="","",R1111-IF(S1111="",0,S1111)))</f>
        <v/>
      </c>
      <c r="U493" s="1" t="str">
        <f aca="false">IF($A1111="","",IF(I1111="","",I1111-SUM(J1111:P1111)))</f>
        <v/>
      </c>
      <c r="V493" s="6" t="s">
        <v>5093</v>
      </c>
      <c r="W493" s="49" t="s">
        <v>774</v>
      </c>
      <c r="X493" s="9" t="s">
        <v>5099</v>
      </c>
      <c r="Y493" s="9" t="s">
        <v>4897</v>
      </c>
      <c r="Z493" s="9" t="s">
        <v>4898</v>
      </c>
      <c r="AA493" s="9" t="s">
        <v>4899</v>
      </c>
    </row>
    <row r="494" customFormat="false" ht="15" hidden="false" customHeight="true" outlineLevel="0" collapsed="false">
      <c r="A494" s="6" t="s">
        <v>2271</v>
      </c>
      <c r="B494" s="6" t="s">
        <v>515</v>
      </c>
      <c r="C494" s="6" t="s">
        <v>521</v>
      </c>
      <c r="D494" s="6" t="n">
        <v>6</v>
      </c>
      <c r="E494" s="9" t="s">
        <v>5002</v>
      </c>
      <c r="F494" s="6" t="n">
        <v>156772</v>
      </c>
      <c r="G494" s="6" t="n">
        <v>142312</v>
      </c>
      <c r="H494" s="6" t="n">
        <v>14460</v>
      </c>
      <c r="I494" s="6" t="n">
        <v>42486</v>
      </c>
      <c r="J494" s="6" t="n">
        <v>8263</v>
      </c>
      <c r="K494" s="6" t="n">
        <v>11248</v>
      </c>
      <c r="L494" s="6" t="n">
        <v>6667</v>
      </c>
      <c r="M494" s="6" t="n">
        <v>169</v>
      </c>
      <c r="N494" s="6" t="n">
        <v>449</v>
      </c>
      <c r="O494" s="6" t="n">
        <v>14817</v>
      </c>
      <c r="P494" s="6" t="n">
        <v>872</v>
      </c>
      <c r="Q494" s="1" t="n">
        <f aca="false">IF($A1112="","",IF(OR(F1112="",I1112=""),"",F1112-I1112))</f>
        <v>-17486</v>
      </c>
      <c r="R494" s="1" t="str">
        <f aca="false">IF($A1112="","",IF(Q1112="","",Q1112+IF(O1112="",0,O1112)))</f>
        <v/>
      </c>
      <c r="T494" s="1" t="str">
        <f aca="false">IF($A1112="","",IF(R1112="","",R1112-IF(S1112="",0,S1112)))</f>
        <v/>
      </c>
      <c r="U494" s="1" t="n">
        <f aca="false">IF($A1112="","",IF(I1112="","",I1112-SUM(J1112:P1112)))</f>
        <v>1</v>
      </c>
      <c r="V494" s="6" t="s">
        <v>5093</v>
      </c>
      <c r="W494" s="49" t="s">
        <v>774</v>
      </c>
      <c r="X494" s="9" t="s">
        <v>5094</v>
      </c>
      <c r="Y494" s="9" t="s">
        <v>4897</v>
      </c>
      <c r="Z494" s="9" t="s">
        <v>4898</v>
      </c>
      <c r="AA494" s="9" t="s">
        <v>4899</v>
      </c>
    </row>
    <row r="495" customFormat="false" ht="15" hidden="false" customHeight="true" outlineLevel="0" collapsed="false">
      <c r="A495" s="6" t="s">
        <v>2274</v>
      </c>
      <c r="B495" s="6" t="s">
        <v>515</v>
      </c>
      <c r="C495" s="6" t="s">
        <v>521</v>
      </c>
      <c r="D495" s="6" t="n">
        <v>6</v>
      </c>
      <c r="E495" s="9" t="s">
        <v>5002</v>
      </c>
      <c r="F495" s="6" t="n">
        <v>216827</v>
      </c>
      <c r="G495" s="6" t="n">
        <v>198548</v>
      </c>
      <c r="H495" s="6" t="n">
        <v>18279</v>
      </c>
      <c r="I495" s="6" t="n">
        <v>67734</v>
      </c>
      <c r="J495" s="6" t="n">
        <v>21387</v>
      </c>
      <c r="K495" s="6" t="n">
        <v>12587</v>
      </c>
      <c r="L495" s="6" t="n">
        <v>18029</v>
      </c>
      <c r="M495" s="6" t="n">
        <v>224</v>
      </c>
      <c r="N495" s="6" t="n">
        <v>3381</v>
      </c>
      <c r="O495" s="6" t="n">
        <v>10904</v>
      </c>
      <c r="P495" s="6" t="n">
        <v>1219</v>
      </c>
      <c r="Q495" s="1" t="n">
        <f aca="false">IF($A1113="","",IF(OR(F1113="",I1113=""),"",F1113-I1113))</f>
        <v>-28734</v>
      </c>
      <c r="R495" s="1" t="str">
        <f aca="false">IF($A1113="","",IF(Q1113="","",Q1113+IF(O1113="",0,O1113)))</f>
        <v/>
      </c>
      <c r="T495" s="1" t="str">
        <f aca="false">IF($A1113="","",IF(R1113="","",R1113-IF(S1113="",0,S1113)))</f>
        <v/>
      </c>
      <c r="U495" s="1" t="n">
        <f aca="false">IF($A1113="","",IF(I1113="","",I1113-SUM(J1113:P1113)))</f>
        <v>3</v>
      </c>
      <c r="V495" s="6" t="s">
        <v>5093</v>
      </c>
      <c r="W495" s="49" t="s">
        <v>774</v>
      </c>
      <c r="X495" s="9" t="s">
        <v>5094</v>
      </c>
      <c r="Y495" s="9" t="s">
        <v>4897</v>
      </c>
      <c r="Z495" s="9" t="s">
        <v>4898</v>
      </c>
      <c r="AA495" s="9" t="s">
        <v>4899</v>
      </c>
    </row>
    <row r="496" customFormat="false" ht="15" hidden="false" customHeight="true" outlineLevel="0" collapsed="false">
      <c r="A496" s="6" t="s">
        <v>2277</v>
      </c>
      <c r="B496" s="6" t="s">
        <v>515</v>
      </c>
      <c r="C496" s="6" t="s">
        <v>521</v>
      </c>
      <c r="D496" s="6" t="n">
        <v>6</v>
      </c>
      <c r="E496" s="9" t="s">
        <v>5002</v>
      </c>
      <c r="F496" s="6" t="n">
        <v>161311</v>
      </c>
      <c r="G496" s="6" t="n">
        <v>148991</v>
      </c>
      <c r="H496" s="6" t="n">
        <v>12319</v>
      </c>
      <c r="I496" s="6" t="n">
        <v>45557</v>
      </c>
      <c r="J496" s="6" t="n">
        <v>8686</v>
      </c>
      <c r="K496" s="6" t="n">
        <v>10185</v>
      </c>
      <c r="L496" s="6" t="n">
        <v>14443</v>
      </c>
      <c r="M496" s="6" t="n">
        <v>193</v>
      </c>
      <c r="N496" s="6" t="n">
        <v>452</v>
      </c>
      <c r="O496" s="6" t="n">
        <v>10879</v>
      </c>
      <c r="P496" s="6" t="n">
        <v>715</v>
      </c>
      <c r="Q496" s="1" t="n">
        <f aca="false">IF($A1114="","",IF(OR(F1114="",I1114=""),"",F1114-I1114))</f>
        <v>26443</v>
      </c>
      <c r="R496" s="1" t="str">
        <f aca="false">IF($A1114="","",IF(Q1114="","",Q1114+IF(O1114="",0,O1114)))</f>
        <v/>
      </c>
      <c r="T496" s="1" t="str">
        <f aca="false">IF($A1114="","",IF(R1114="","",R1114-IF(S1114="",0,S1114)))</f>
        <v/>
      </c>
      <c r="U496" s="1" t="n">
        <f aca="false">IF($A1114="","",IF(I1114="","",I1114-SUM(J1114:P1114)))</f>
        <v>4</v>
      </c>
      <c r="V496" s="6" t="s">
        <v>5093</v>
      </c>
      <c r="W496" s="49" t="s">
        <v>774</v>
      </c>
      <c r="X496" s="9" t="s">
        <v>5094</v>
      </c>
      <c r="Y496" s="9" t="s">
        <v>4897</v>
      </c>
      <c r="Z496" s="9" t="s">
        <v>4898</v>
      </c>
      <c r="AA496" s="9" t="s">
        <v>4899</v>
      </c>
    </row>
    <row r="497" customFormat="false" ht="15" hidden="false" customHeight="true" outlineLevel="0" collapsed="false">
      <c r="A497" s="6" t="s">
        <v>2280</v>
      </c>
      <c r="B497" s="6" t="s">
        <v>515</v>
      </c>
      <c r="C497" s="6" t="s">
        <v>521</v>
      </c>
      <c r="D497" s="6" t="n">
        <v>6</v>
      </c>
      <c r="E497" s="9" t="s">
        <v>5002</v>
      </c>
      <c r="F497" s="6" t="n">
        <v>150696</v>
      </c>
      <c r="G497" s="6" t="n">
        <v>131678</v>
      </c>
      <c r="H497" s="6" t="n">
        <v>19017</v>
      </c>
      <c r="I497" s="6" t="n">
        <v>69584</v>
      </c>
      <c r="J497" s="6" t="n">
        <v>10481</v>
      </c>
      <c r="K497" s="6" t="n">
        <v>14617</v>
      </c>
      <c r="L497" s="6" t="n">
        <v>11111</v>
      </c>
      <c r="M497" s="6" t="n">
        <v>170</v>
      </c>
      <c r="N497" s="6" t="n">
        <v>10864</v>
      </c>
      <c r="O497" s="6" t="n">
        <v>21737</v>
      </c>
      <c r="P497" s="6" t="n">
        <v>600</v>
      </c>
      <c r="Q497" s="1" t="n">
        <f aca="false">IF($A1115="","",IF(OR(F1115="",I1115=""),"",F1115-I1115))</f>
        <v>-44584</v>
      </c>
      <c r="R497" s="1" t="str">
        <f aca="false">IF($A1115="","",IF(Q1115="","",Q1115+IF(O1115="",0,O1115)))</f>
        <v/>
      </c>
      <c r="T497" s="1" t="str">
        <f aca="false">IF($A1115="","",IF(R1115="","",R1115-IF(S1115="",0,S1115)))</f>
        <v/>
      </c>
      <c r="U497" s="1" t="n">
        <f aca="false">IF($A1115="","",IF(I1115="","",I1115-SUM(J1115:P1115)))</f>
        <v>4</v>
      </c>
      <c r="V497" s="6" t="s">
        <v>5093</v>
      </c>
      <c r="W497" s="49" t="s">
        <v>774</v>
      </c>
      <c r="X497" s="9" t="s">
        <v>5094</v>
      </c>
      <c r="Y497" s="9" t="s">
        <v>4897</v>
      </c>
      <c r="Z497" s="9" t="s">
        <v>4898</v>
      </c>
      <c r="AA497" s="9" t="s">
        <v>4899</v>
      </c>
    </row>
    <row r="498" customFormat="false" ht="15" hidden="false" customHeight="true" outlineLevel="0" collapsed="false">
      <c r="A498" s="6" t="s">
        <v>2284</v>
      </c>
      <c r="B498" s="6" t="s">
        <v>515</v>
      </c>
      <c r="C498" s="6" t="s">
        <v>521</v>
      </c>
      <c r="D498" s="6" t="n">
        <v>6</v>
      </c>
      <c r="E498" s="9" t="s">
        <v>5002</v>
      </c>
      <c r="F498" s="6" t="n">
        <v>320170</v>
      </c>
      <c r="G498" s="6" t="n">
        <v>292017</v>
      </c>
      <c r="H498" s="6" t="n">
        <v>28153</v>
      </c>
      <c r="I498" s="6" t="n">
        <v>123025</v>
      </c>
      <c r="J498" s="6" t="n">
        <v>32021</v>
      </c>
      <c r="K498" s="6" t="n">
        <v>21530</v>
      </c>
      <c r="L498" s="6" t="n">
        <v>35123</v>
      </c>
      <c r="M498" s="6" t="n">
        <v>578</v>
      </c>
      <c r="N498" s="6" t="n">
        <v>4779</v>
      </c>
      <c r="O498" s="6" t="n">
        <v>26884</v>
      </c>
      <c r="P498" s="6" t="n">
        <v>2108</v>
      </c>
      <c r="Q498" s="1" t="n">
        <f aca="false">IF($A1116="","",IF(OR(F1116="",I1116=""),"",F1116-I1116))</f>
        <v>106975</v>
      </c>
      <c r="R498" s="1" t="str">
        <f aca="false">IF($A1116="","",IF(Q1116="","",Q1116+IF(O1116="",0,O1116)))</f>
        <v/>
      </c>
      <c r="T498" s="1" t="str">
        <f aca="false">IF($A1116="","",IF(R1116="","",R1116-IF(S1116="",0,S1116)))</f>
        <v/>
      </c>
      <c r="U498" s="1" t="n">
        <f aca="false">IF($A1116="","",IF(I1116="","",I1116-SUM(J1116:P1116)))</f>
        <v>2</v>
      </c>
      <c r="V498" s="6" t="s">
        <v>5093</v>
      </c>
      <c r="W498" s="49" t="s">
        <v>774</v>
      </c>
      <c r="X498" s="9" t="s">
        <v>5094</v>
      </c>
      <c r="Y498" s="9" t="s">
        <v>4897</v>
      </c>
      <c r="Z498" s="9" t="s">
        <v>4898</v>
      </c>
      <c r="AA498" s="9" t="s">
        <v>4899</v>
      </c>
    </row>
    <row r="499" customFormat="false" ht="15" hidden="false" customHeight="true" outlineLevel="0" collapsed="false">
      <c r="A499" s="6" t="s">
        <v>2287</v>
      </c>
      <c r="B499" s="6" t="s">
        <v>515</v>
      </c>
      <c r="C499" s="6" t="s">
        <v>521</v>
      </c>
      <c r="D499" s="6" t="n">
        <v>6</v>
      </c>
      <c r="E499" s="9" t="s">
        <v>5095</v>
      </c>
      <c r="F499" s="1" t="n">
        <v>51000</v>
      </c>
      <c r="Q499" s="1" t="str">
        <f aca="false">IF($A1117="","",IF(OR(F1117="",I1117=""),"",F1117-I1117))</f>
        <v/>
      </c>
      <c r="R499" s="1" t="str">
        <f aca="false">IF($A1117="","",IF(Q1117="","",Q1117+IF(O1117="",0,O1117)))</f>
        <v/>
      </c>
      <c r="T499" s="1" t="str">
        <f aca="false">IF($A1117="","",IF(R1117="","",R1117-IF(S1117="",0,S1117)))</f>
        <v/>
      </c>
      <c r="U499" s="1" t="str">
        <f aca="false">IF($A1117="","",IF(I1117="","",I1117-SUM(J1117:P1117)))</f>
        <v/>
      </c>
      <c r="V499" s="6" t="s">
        <v>5093</v>
      </c>
      <c r="W499" s="49" t="s">
        <v>774</v>
      </c>
      <c r="X499" s="9" t="s">
        <v>5100</v>
      </c>
      <c r="Y499" s="9" t="s">
        <v>4897</v>
      </c>
      <c r="Z499" s="9" t="s">
        <v>4898</v>
      </c>
      <c r="AA499" s="9" t="s">
        <v>4899</v>
      </c>
    </row>
    <row r="500" customFormat="false" ht="15" hidden="false" customHeight="true" outlineLevel="0" collapsed="false">
      <c r="A500" s="6" t="s">
        <v>2290</v>
      </c>
      <c r="B500" s="6" t="s">
        <v>515</v>
      </c>
      <c r="C500" s="6" t="s">
        <v>521</v>
      </c>
      <c r="D500" s="6" t="n">
        <v>6</v>
      </c>
      <c r="E500" s="9" t="s">
        <v>5095</v>
      </c>
      <c r="F500" s="1" t="n">
        <v>26000</v>
      </c>
      <c r="Q500" s="1" t="str">
        <f aca="false">IF($A1118="","",IF(OR(F1118="",I1118=""),"",F1118-I1118))</f>
        <v/>
      </c>
      <c r="R500" s="1" t="n">
        <f aca="false">IF($A1118="","",IF(Q1118="","",Q1118+IF(O1118="",0,O1118)))</f>
        <v>23004035</v>
      </c>
      <c r="T500" s="1" t="n">
        <f aca="false">IF($A1118="","",IF(R1118="","",R1118-IF(S1118="",0,S1118)))</f>
        <v>-10574027</v>
      </c>
      <c r="U500" s="1" t="str">
        <f aca="false">IF($A1118="","",IF(I1118="","",I1118-SUM(J1118:P1118)))</f>
        <v/>
      </c>
      <c r="V500" s="6" t="s">
        <v>5093</v>
      </c>
      <c r="W500" s="49" t="s">
        <v>774</v>
      </c>
      <c r="X500" s="9" t="s">
        <v>5101</v>
      </c>
      <c r="Y500" s="9" t="s">
        <v>4897</v>
      </c>
      <c r="Z500" s="9" t="s">
        <v>4898</v>
      </c>
      <c r="AA500" s="9" t="s">
        <v>4899</v>
      </c>
    </row>
    <row r="501" customFormat="false" ht="15" hidden="false" customHeight="true" outlineLevel="0" collapsed="false">
      <c r="A501" s="6" t="s">
        <v>2293</v>
      </c>
      <c r="B501" s="6" t="s">
        <v>515</v>
      </c>
      <c r="C501" s="6" t="s">
        <v>521</v>
      </c>
      <c r="D501" s="6" t="n">
        <v>6</v>
      </c>
      <c r="E501" s="9" t="s">
        <v>5002</v>
      </c>
      <c r="F501" s="6" t="n">
        <v>447179</v>
      </c>
      <c r="G501" s="6" t="n">
        <v>430895</v>
      </c>
      <c r="H501" s="6" t="n">
        <v>16283</v>
      </c>
      <c r="I501" s="6" t="n">
        <v>46348</v>
      </c>
      <c r="J501" s="6" t="n">
        <v>16953</v>
      </c>
      <c r="K501" s="6" t="n">
        <v>11885</v>
      </c>
      <c r="L501" s="6" t="n">
        <v>0</v>
      </c>
      <c r="M501" s="6" t="n">
        <v>318</v>
      </c>
      <c r="N501" s="6" t="n">
        <v>1532</v>
      </c>
      <c r="O501" s="6" t="n">
        <v>14039</v>
      </c>
      <c r="P501" s="6" t="n">
        <v>1618</v>
      </c>
      <c r="Q501" s="1" t="n">
        <f aca="false">IF($A1119="","",IF(OR(F1119="",I1119=""),"",F1119-I1119))</f>
        <v>-17348</v>
      </c>
      <c r="R501" s="1" t="str">
        <f aca="false">IF($A1119="","",IF(Q1119="","",Q1119+IF(O1119="",0,O1119)))</f>
        <v/>
      </c>
      <c r="T501" s="1" t="n">
        <f aca="false">IF($A1119="","",IF(R1119="","",R1119-IF(S1119="",0,S1119)))</f>
        <v>7136801</v>
      </c>
      <c r="U501" s="1" t="n">
        <f aca="false">IF($A1119="","",IF(I1119="","",I1119-SUM(J1119:P1119)))</f>
        <v>3</v>
      </c>
      <c r="V501" s="6" t="s">
        <v>5093</v>
      </c>
      <c r="W501" s="49" t="s">
        <v>774</v>
      </c>
      <c r="X501" s="9" t="s">
        <v>5094</v>
      </c>
      <c r="Y501" s="9" t="s">
        <v>4897</v>
      </c>
      <c r="Z501" s="9" t="s">
        <v>4898</v>
      </c>
      <c r="AA501" s="9" t="s">
        <v>4899</v>
      </c>
    </row>
    <row r="502" customFormat="false" ht="15" hidden="false" customHeight="true" outlineLevel="0" collapsed="false">
      <c r="A502" s="6" t="s">
        <v>2296</v>
      </c>
      <c r="B502" s="6" t="s">
        <v>515</v>
      </c>
      <c r="C502" s="6" t="s">
        <v>521</v>
      </c>
      <c r="D502" s="6" t="n">
        <v>6</v>
      </c>
      <c r="E502" s="9" t="s">
        <v>5002</v>
      </c>
      <c r="F502" s="6" t="n">
        <v>312000</v>
      </c>
      <c r="G502" s="6" t="n">
        <v>312000</v>
      </c>
      <c r="H502" s="6" t="n">
        <v>0</v>
      </c>
      <c r="I502" s="6" t="n">
        <v>88682</v>
      </c>
      <c r="J502" s="6" t="n">
        <v>6240</v>
      </c>
      <c r="K502" s="6" t="n">
        <v>0</v>
      </c>
      <c r="L502" s="6" t="n">
        <v>37996</v>
      </c>
      <c r="M502" s="6" t="n">
        <v>425</v>
      </c>
      <c r="N502" s="6" t="n">
        <v>0</v>
      </c>
      <c r="O502" s="6" t="n">
        <v>43515</v>
      </c>
      <c r="P502" s="6" t="n">
        <v>505</v>
      </c>
      <c r="Q502" s="1" t="n">
        <f aca="false">IF($A1120="","",IF(OR(F1120="",I1120=""),"",F1120-I1120))</f>
        <v>-80682</v>
      </c>
      <c r="R502" s="1" t="str">
        <f aca="false">IF($A1120="","",IF(Q1120="","",Q1120+IF(O1120="",0,O1120)))</f>
        <v/>
      </c>
      <c r="T502" s="1" t="str">
        <f aca="false">IF($A1120="","",IF(R1120="","",R1120-IF(S1120="",0,S1120)))</f>
        <v/>
      </c>
      <c r="U502" s="1" t="n">
        <f aca="false">IF($A1120="","",IF(I1120="","",I1120-SUM(J1120:P1120)))</f>
        <v>1</v>
      </c>
      <c r="V502" s="6" t="s">
        <v>5093</v>
      </c>
      <c r="W502" s="49" t="s">
        <v>774</v>
      </c>
      <c r="X502" s="9" t="s">
        <v>5094</v>
      </c>
      <c r="Y502" s="9" t="s">
        <v>4897</v>
      </c>
      <c r="Z502" s="9" t="s">
        <v>4898</v>
      </c>
      <c r="AA502" s="9" t="s">
        <v>4899</v>
      </c>
    </row>
    <row r="503" customFormat="false" ht="15" hidden="false" customHeight="true" outlineLevel="0" collapsed="false">
      <c r="A503" s="6" t="s">
        <v>2300</v>
      </c>
      <c r="B503" s="6" t="s">
        <v>515</v>
      </c>
      <c r="C503" s="6" t="s">
        <v>521</v>
      </c>
      <c r="D503" s="6" t="n">
        <v>6</v>
      </c>
      <c r="E503" s="9" t="s">
        <v>5002</v>
      </c>
      <c r="F503" s="6" t="n">
        <v>218931</v>
      </c>
      <c r="G503" s="6" t="n">
        <v>218931</v>
      </c>
      <c r="H503" s="6" t="n">
        <v>0</v>
      </c>
      <c r="I503" s="6" t="n">
        <v>83597</v>
      </c>
      <c r="J503" s="6" t="n">
        <v>4378</v>
      </c>
      <c r="K503" s="6" t="n">
        <v>0</v>
      </c>
      <c r="L503" s="6" t="n">
        <v>41723</v>
      </c>
      <c r="M503" s="6" t="n">
        <v>1722</v>
      </c>
      <c r="N503" s="6" t="n">
        <v>824</v>
      </c>
      <c r="O503" s="6" t="n">
        <v>27022</v>
      </c>
      <c r="P503" s="6" t="n">
        <v>7925</v>
      </c>
      <c r="Q503" s="1" t="n">
        <f aca="false">IF($A1121="","",IF(OR(F1121="",I1121=""),"",F1121-I1121))</f>
        <v>35403</v>
      </c>
      <c r="R503" s="1" t="str">
        <f aca="false">IF($A1121="","",IF(Q1121="","",Q1121+IF(O1121="",0,O1121)))</f>
        <v/>
      </c>
      <c r="T503" s="1" t="str">
        <f aca="false">IF($A1121="","",IF(R1121="","",R1121-IF(S1121="",0,S1121)))</f>
        <v/>
      </c>
      <c r="U503" s="1" t="n">
        <f aca="false">IF($A1121="","",IF(I1121="","",I1121-SUM(J1121:P1121)))</f>
        <v>3</v>
      </c>
      <c r="V503" s="6" t="s">
        <v>5093</v>
      </c>
      <c r="W503" s="49" t="s">
        <v>774</v>
      </c>
      <c r="X503" s="9" t="s">
        <v>5094</v>
      </c>
      <c r="Y503" s="9" t="s">
        <v>4897</v>
      </c>
      <c r="Z503" s="9" t="s">
        <v>4898</v>
      </c>
      <c r="AA503" s="9" t="s">
        <v>4899</v>
      </c>
    </row>
    <row r="504" customFormat="false" ht="15" hidden="false" customHeight="true" outlineLevel="0" collapsed="false">
      <c r="A504" s="6" t="s">
        <v>2303</v>
      </c>
      <c r="B504" s="6" t="s">
        <v>515</v>
      </c>
      <c r="C504" s="6" t="s">
        <v>521</v>
      </c>
      <c r="D504" s="6" t="n">
        <v>6</v>
      </c>
      <c r="E504" s="9" t="s">
        <v>5002</v>
      </c>
      <c r="F504" s="6" t="n">
        <v>88945</v>
      </c>
      <c r="G504" s="6" t="n">
        <v>82246</v>
      </c>
      <c r="H504" s="6" t="n">
        <v>6698</v>
      </c>
      <c r="I504" s="6" t="n">
        <v>25053</v>
      </c>
      <c r="J504" s="6" t="n">
        <v>3237</v>
      </c>
      <c r="K504" s="6" t="n">
        <v>5144</v>
      </c>
      <c r="L504" s="6" t="n">
        <v>8297</v>
      </c>
      <c r="M504" s="6" t="n">
        <v>62</v>
      </c>
      <c r="N504" s="6" t="n">
        <v>1241</v>
      </c>
      <c r="O504" s="6" t="n">
        <v>5815</v>
      </c>
      <c r="P504" s="6" t="n">
        <v>1254</v>
      </c>
      <c r="Q504" s="1" t="n">
        <f aca="false">IF($A1122="","",IF(OR(F1122="",I1122=""),"",F1122-I1122))</f>
        <v>56947</v>
      </c>
      <c r="R504" s="1" t="str">
        <f aca="false">IF($A1122="","",IF(Q1122="","",Q1122+IF(O1122="",0,O1122)))</f>
        <v/>
      </c>
      <c r="T504" s="1" t="str">
        <f aca="false">IF($A1122="","",IF(R1122="","",R1122-IF(S1122="",0,S1122)))</f>
        <v/>
      </c>
      <c r="U504" s="1" t="n">
        <f aca="false">IF($A1122="","",IF(I1122="","",I1122-SUM(J1122:P1122)))</f>
        <v>3</v>
      </c>
      <c r="V504" s="6" t="s">
        <v>5093</v>
      </c>
      <c r="W504" s="49" t="s">
        <v>774</v>
      </c>
      <c r="X504" s="9" t="s">
        <v>5094</v>
      </c>
      <c r="Y504" s="9" t="s">
        <v>4897</v>
      </c>
      <c r="Z504" s="9" t="s">
        <v>4898</v>
      </c>
      <c r="AA504" s="9" t="s">
        <v>4899</v>
      </c>
    </row>
    <row r="505" customFormat="false" ht="15" hidden="false" customHeight="true" outlineLevel="0" collapsed="false">
      <c r="A505" s="6" t="s">
        <v>2306</v>
      </c>
      <c r="B505" s="6" t="s">
        <v>515</v>
      </c>
      <c r="C505" s="6" t="s">
        <v>521</v>
      </c>
      <c r="D505" s="6" t="n">
        <v>6</v>
      </c>
      <c r="E505" s="9" t="s">
        <v>5002</v>
      </c>
      <c r="F505" s="6" t="n">
        <v>55821</v>
      </c>
      <c r="G505" s="6" t="n">
        <v>47506</v>
      </c>
      <c r="H505" s="6" t="n">
        <v>8314</v>
      </c>
      <c r="I505" s="6" t="n">
        <v>25516</v>
      </c>
      <c r="J505" s="6" t="n">
        <v>4576</v>
      </c>
      <c r="K505" s="6" t="n">
        <v>6660</v>
      </c>
      <c r="L505" s="6" t="n">
        <v>4670</v>
      </c>
      <c r="M505" s="6" t="n">
        <v>74</v>
      </c>
      <c r="N505" s="6" t="n">
        <v>2652</v>
      </c>
      <c r="O505" s="6" t="n">
        <v>5707</v>
      </c>
      <c r="P505" s="6" t="n">
        <v>1175</v>
      </c>
      <c r="Q505" s="1" t="n">
        <f aca="false">IF($A1123="","",IF(OR(F1123="",I1123=""),"",F1123-I1123))</f>
        <v>35484</v>
      </c>
      <c r="R505" s="1" t="str">
        <f aca="false">IF($A1123="","",IF(Q1123="","",Q1123+IF(O1123="",0,O1123)))</f>
        <v/>
      </c>
      <c r="T505" s="1" t="str">
        <f aca="false">IF($A1123="","",IF(R1123="","",R1123-IF(S1123="",0,S1123)))</f>
        <v/>
      </c>
      <c r="U505" s="1" t="n">
        <f aca="false">IF($A1123="","",IF(I1123="","",I1123-SUM(J1123:P1123)))</f>
        <v>2</v>
      </c>
      <c r="V505" s="6" t="s">
        <v>5093</v>
      </c>
      <c r="W505" s="49" t="s">
        <v>774</v>
      </c>
      <c r="X505" s="9" t="s">
        <v>5094</v>
      </c>
      <c r="Y505" s="9" t="s">
        <v>4897</v>
      </c>
      <c r="Z505" s="9" t="s">
        <v>4898</v>
      </c>
      <c r="AA505" s="9" t="s">
        <v>4899</v>
      </c>
    </row>
    <row r="506" customFormat="false" ht="15" hidden="false" customHeight="true" outlineLevel="0" collapsed="false">
      <c r="A506" s="6" t="s">
        <v>2309</v>
      </c>
      <c r="B506" s="6" t="s">
        <v>515</v>
      </c>
      <c r="C506" s="6" t="s">
        <v>521</v>
      </c>
      <c r="D506" s="6" t="n">
        <v>6</v>
      </c>
      <c r="E506" s="9" t="s">
        <v>5002</v>
      </c>
      <c r="F506" s="6" t="n">
        <v>71038</v>
      </c>
      <c r="G506" s="6" t="n">
        <v>63599</v>
      </c>
      <c r="H506" s="6" t="n">
        <v>7438</v>
      </c>
      <c r="I506" s="6" t="n">
        <v>25229</v>
      </c>
      <c r="J506" s="6" t="n">
        <v>2989</v>
      </c>
      <c r="K506" s="6" t="n">
        <v>6247</v>
      </c>
      <c r="L506" s="6" t="n">
        <v>4852</v>
      </c>
      <c r="M506" s="6" t="n">
        <v>50</v>
      </c>
      <c r="N506" s="6" t="n">
        <v>1149</v>
      </c>
      <c r="O506" s="6" t="n">
        <v>8696</v>
      </c>
      <c r="P506" s="6" t="n">
        <v>1241</v>
      </c>
      <c r="Q506" s="1" t="n">
        <f aca="false">IF($A1124="","",IF(OR(F1124="",I1124=""),"",F1124-I1124))</f>
        <v>22771</v>
      </c>
      <c r="R506" s="1" t="str">
        <f aca="false">IF($A1124="","",IF(Q1124="","",Q1124+IF(O1124="",0,O1124)))</f>
        <v/>
      </c>
      <c r="T506" s="1" t="str">
        <f aca="false">IF($A1124="","",IF(R1124="","",R1124-IF(S1124="",0,S1124)))</f>
        <v/>
      </c>
      <c r="U506" s="1" t="n">
        <f aca="false">IF($A1124="","",IF(I1124="","",I1124-SUM(J1124:P1124)))</f>
        <v>5</v>
      </c>
      <c r="V506" s="6" t="s">
        <v>5093</v>
      </c>
      <c r="W506" s="49" t="s">
        <v>774</v>
      </c>
      <c r="X506" s="9" t="s">
        <v>5094</v>
      </c>
      <c r="Y506" s="9" t="s">
        <v>4897</v>
      </c>
      <c r="Z506" s="9" t="s">
        <v>4898</v>
      </c>
      <c r="AA506" s="9" t="s">
        <v>4899</v>
      </c>
    </row>
    <row r="507" customFormat="false" ht="15" hidden="false" customHeight="true" outlineLevel="0" collapsed="false">
      <c r="A507" s="6" t="s">
        <v>2312</v>
      </c>
      <c r="B507" s="6" t="s">
        <v>515</v>
      </c>
      <c r="C507" s="6" t="s">
        <v>521</v>
      </c>
      <c r="D507" s="6" t="n">
        <v>6</v>
      </c>
      <c r="E507" s="9" t="s">
        <v>5002</v>
      </c>
      <c r="F507" s="6" t="n">
        <v>84966</v>
      </c>
      <c r="G507" s="6" t="n">
        <v>77020</v>
      </c>
      <c r="H507" s="6" t="n">
        <v>7946</v>
      </c>
      <c r="I507" s="6" t="n">
        <v>33127</v>
      </c>
      <c r="J507" s="6" t="n">
        <v>5887</v>
      </c>
      <c r="K507" s="6" t="n">
        <v>6800</v>
      </c>
      <c r="L507" s="6" t="n">
        <v>5702</v>
      </c>
      <c r="M507" s="6" t="n">
        <v>92</v>
      </c>
      <c r="N507" s="6" t="n">
        <v>511</v>
      </c>
      <c r="O507" s="6" t="n">
        <v>13081</v>
      </c>
      <c r="P507" s="6" t="n">
        <v>1050</v>
      </c>
      <c r="Q507" s="1" t="n">
        <f aca="false">IF($A1125="","",IF(OR(F1125="",I1125=""),"",F1125-I1125))</f>
        <v>9873</v>
      </c>
      <c r="R507" s="1" t="str">
        <f aca="false">IF($A1125="","",IF(Q1125="","",Q1125+IF(O1125="",0,O1125)))</f>
        <v/>
      </c>
      <c r="T507" s="1" t="str">
        <f aca="false">IF($A1125="","",IF(R1125="","",R1125-IF(S1125="",0,S1125)))</f>
        <v/>
      </c>
      <c r="U507" s="1" t="n">
        <f aca="false">IF($A1125="","",IF(I1125="","",I1125-SUM(J1125:P1125)))</f>
        <v>4</v>
      </c>
      <c r="V507" s="6" t="s">
        <v>5093</v>
      </c>
      <c r="W507" s="49" t="s">
        <v>774</v>
      </c>
      <c r="X507" s="9" t="s">
        <v>5094</v>
      </c>
      <c r="Y507" s="9" t="s">
        <v>4897</v>
      </c>
      <c r="Z507" s="9" t="s">
        <v>4898</v>
      </c>
      <c r="AA507" s="9" t="s">
        <v>4899</v>
      </c>
    </row>
    <row r="508" customFormat="false" ht="15" hidden="false" customHeight="true" outlineLevel="0" collapsed="false">
      <c r="A508" s="6" t="s">
        <v>2315</v>
      </c>
      <c r="B508" s="6" t="s">
        <v>515</v>
      </c>
      <c r="C508" s="6" t="s">
        <v>521</v>
      </c>
      <c r="D508" s="6" t="n">
        <v>6</v>
      </c>
      <c r="E508" s="9" t="s">
        <v>5002</v>
      </c>
      <c r="F508" s="6" t="n">
        <v>246445</v>
      </c>
      <c r="G508" s="6" t="n">
        <v>219172</v>
      </c>
      <c r="H508" s="6" t="n">
        <v>27273</v>
      </c>
      <c r="I508" s="6" t="n">
        <v>135165</v>
      </c>
      <c r="J508" s="6" t="n">
        <v>27137</v>
      </c>
      <c r="K508" s="6" t="n">
        <v>24181</v>
      </c>
      <c r="L508" s="6" t="n">
        <v>22644</v>
      </c>
      <c r="M508" s="6" t="n">
        <v>369</v>
      </c>
      <c r="N508" s="6" t="n">
        <v>1177</v>
      </c>
      <c r="O508" s="6" t="n">
        <v>52938</v>
      </c>
      <c r="P508" s="6" t="n">
        <v>6717</v>
      </c>
      <c r="Q508" s="1" t="n">
        <f aca="false">IF($A1126="","",IF(OR(F1126="",I1126=""),"",F1126-I1126))</f>
        <v>-82165</v>
      </c>
      <c r="R508" s="1" t="str">
        <f aca="false">IF($A1126="","",IF(Q1126="","",Q1126+IF(O1126="",0,O1126)))</f>
        <v/>
      </c>
      <c r="T508" s="1" t="str">
        <f aca="false">IF($A1126="","",IF(R1126="","",R1126-IF(S1126="",0,S1126)))</f>
        <v/>
      </c>
      <c r="U508" s="1" t="n">
        <f aca="false">IF($A1126="","",IF(I1126="","",I1126-SUM(J1126:P1126)))</f>
        <v>2</v>
      </c>
      <c r="V508" s="6" t="s">
        <v>5093</v>
      </c>
      <c r="W508" s="49" t="s">
        <v>774</v>
      </c>
      <c r="X508" s="9" t="s">
        <v>5094</v>
      </c>
      <c r="Y508" s="9" t="s">
        <v>4897</v>
      </c>
      <c r="Z508" s="9" t="s">
        <v>4898</v>
      </c>
      <c r="AA508" s="9" t="s">
        <v>4899</v>
      </c>
    </row>
    <row r="509" customFormat="false" ht="15" hidden="false" customHeight="true" outlineLevel="0" collapsed="false">
      <c r="A509" s="6" t="s">
        <v>2319</v>
      </c>
      <c r="B509" s="6" t="s">
        <v>515</v>
      </c>
      <c r="C509" s="6" t="s">
        <v>521</v>
      </c>
      <c r="D509" s="6" t="n">
        <v>6</v>
      </c>
      <c r="E509" s="9" t="s">
        <v>5002</v>
      </c>
      <c r="F509" s="6" t="n">
        <v>152573</v>
      </c>
      <c r="G509" s="6" t="n">
        <v>140213</v>
      </c>
      <c r="H509" s="6" t="n">
        <v>12359</v>
      </c>
      <c r="I509" s="6" t="n">
        <v>56226</v>
      </c>
      <c r="J509" s="6" t="n">
        <v>10685</v>
      </c>
      <c r="K509" s="6" t="n">
        <v>8254</v>
      </c>
      <c r="L509" s="6" t="n">
        <v>10888</v>
      </c>
      <c r="M509" s="6" t="n">
        <v>184</v>
      </c>
      <c r="N509" s="6" t="n">
        <v>1517</v>
      </c>
      <c r="O509" s="6" t="n">
        <v>23701</v>
      </c>
      <c r="P509" s="6" t="n">
        <v>994</v>
      </c>
      <c r="Q509" s="1" t="n">
        <f aca="false">IF($A1127="","",IF(OR(F1127="",I1127=""),"",F1127-I1127))</f>
        <v>32774</v>
      </c>
      <c r="R509" s="1" t="str">
        <f aca="false">IF($A1127="","",IF(Q1127="","",Q1127+IF(O1127="",0,O1127)))</f>
        <v/>
      </c>
      <c r="T509" s="1" t="str">
        <f aca="false">IF($A1127="","",IF(R1127="","",R1127-IF(S1127="",0,S1127)))</f>
        <v/>
      </c>
      <c r="U509" s="1" t="n">
        <f aca="false">IF($A1127="","",IF(I1127="","",I1127-SUM(J1127:P1127)))</f>
        <v>3</v>
      </c>
      <c r="V509" s="6" t="s">
        <v>5093</v>
      </c>
      <c r="W509" s="49" t="s">
        <v>774</v>
      </c>
      <c r="X509" s="9" t="s">
        <v>5094</v>
      </c>
      <c r="Y509" s="9" t="s">
        <v>4897</v>
      </c>
      <c r="Z509" s="9" t="s">
        <v>4898</v>
      </c>
      <c r="AA509" s="9" t="s">
        <v>4899</v>
      </c>
    </row>
    <row r="510" customFormat="false" ht="15" hidden="false" customHeight="true" outlineLevel="0" collapsed="false">
      <c r="A510" s="6" t="s">
        <v>2322</v>
      </c>
      <c r="B510" s="6" t="s">
        <v>515</v>
      </c>
      <c r="C510" s="6" t="s">
        <v>521</v>
      </c>
      <c r="D510" s="6" t="n">
        <v>6</v>
      </c>
      <c r="E510" s="9" t="s">
        <v>5002</v>
      </c>
      <c r="F510" s="6" t="n">
        <v>388810</v>
      </c>
      <c r="G510" s="6" t="n">
        <v>388810</v>
      </c>
      <c r="H510" s="6" t="n">
        <v>0</v>
      </c>
      <c r="I510" s="6" t="n">
        <v>60577</v>
      </c>
      <c r="J510" s="6" t="n">
        <v>2400</v>
      </c>
      <c r="K510" s="6" t="n">
        <v>0</v>
      </c>
      <c r="L510" s="6" t="n">
        <v>28601</v>
      </c>
      <c r="M510" s="6" t="n">
        <v>267</v>
      </c>
      <c r="N510" s="6" t="n">
        <v>200</v>
      </c>
      <c r="O510" s="6" t="n">
        <v>28504</v>
      </c>
      <c r="P510" s="6" t="n">
        <v>605</v>
      </c>
      <c r="Q510" s="1" t="n">
        <f aca="false">IF($A1128="","",IF(OR(F1128="",I1128=""),"",F1128-I1128))</f>
        <v>12423</v>
      </c>
      <c r="R510" s="1" t="str">
        <f aca="false">IF($A1128="","",IF(Q1128="","",Q1128+IF(O1128="",0,O1128)))</f>
        <v/>
      </c>
      <c r="T510" s="1" t="str">
        <f aca="false">IF($A1128="","",IF(R1128="","",R1128-IF(S1128="",0,S1128)))</f>
        <v/>
      </c>
      <c r="U510" s="1" t="n">
        <f aca="false">IF($A1128="","",IF(I1128="","",I1128-SUM(J1128:P1128)))</f>
        <v>0</v>
      </c>
      <c r="V510" s="6" t="s">
        <v>5093</v>
      </c>
      <c r="W510" s="49" t="s">
        <v>774</v>
      </c>
      <c r="X510" s="9" t="s">
        <v>5094</v>
      </c>
      <c r="Y510" s="9" t="s">
        <v>4897</v>
      </c>
      <c r="Z510" s="9" t="s">
        <v>4898</v>
      </c>
      <c r="AA510" s="9" t="s">
        <v>4899</v>
      </c>
    </row>
    <row r="511" customFormat="false" ht="15" hidden="false" customHeight="true" outlineLevel="0" collapsed="false">
      <c r="A511" s="6" t="s">
        <v>2325</v>
      </c>
      <c r="B511" s="6" t="s">
        <v>515</v>
      </c>
      <c r="C511" s="6" t="s">
        <v>521</v>
      </c>
      <c r="D511" s="6" t="n">
        <v>6</v>
      </c>
      <c r="E511" s="9" t="s">
        <v>5002</v>
      </c>
      <c r="F511" s="6" t="n">
        <v>258593</v>
      </c>
      <c r="G511" s="6" t="n">
        <v>255875</v>
      </c>
      <c r="H511" s="6" t="n">
        <v>2718</v>
      </c>
      <c r="I511" s="6" t="n">
        <v>66512</v>
      </c>
      <c r="J511" s="6" t="n">
        <v>2160</v>
      </c>
      <c r="K511" s="6" t="n">
        <v>0</v>
      </c>
      <c r="L511" s="6" t="n">
        <v>25180</v>
      </c>
      <c r="M511" s="6" t="n">
        <v>233</v>
      </c>
      <c r="N511" s="6" t="n">
        <v>0</v>
      </c>
      <c r="O511" s="6" t="n">
        <v>38433</v>
      </c>
      <c r="P511" s="6" t="n">
        <v>505</v>
      </c>
      <c r="Q511" s="1" t="n">
        <f aca="false">IF($A1129="","",IF(OR(F1129="",I1129=""),"",F1129-I1129))</f>
        <v>-6512</v>
      </c>
      <c r="R511" s="1" t="str">
        <f aca="false">IF($A1129="","",IF(Q1129="","",Q1129+IF(O1129="",0,O1129)))</f>
        <v/>
      </c>
      <c r="T511" s="1" t="str">
        <f aca="false">IF($A1129="","",IF(R1129="","",R1129-IF(S1129="",0,S1129)))</f>
        <v/>
      </c>
      <c r="U511" s="1" t="n">
        <f aca="false">IF($A1129="","",IF(I1129="","",I1129-SUM(J1129:P1129)))</f>
        <v>1</v>
      </c>
      <c r="V511" s="6" t="s">
        <v>5093</v>
      </c>
      <c r="W511" s="49" t="s">
        <v>774</v>
      </c>
      <c r="X511" s="9" t="s">
        <v>5094</v>
      </c>
      <c r="Y511" s="9" t="s">
        <v>4897</v>
      </c>
      <c r="Z511" s="9" t="s">
        <v>4898</v>
      </c>
      <c r="AA511" s="9" t="s">
        <v>4899</v>
      </c>
    </row>
    <row r="512" customFormat="false" ht="15" hidden="false" customHeight="true" outlineLevel="0" collapsed="false">
      <c r="A512" s="6" t="s">
        <v>2328</v>
      </c>
      <c r="B512" s="6" t="s">
        <v>515</v>
      </c>
      <c r="C512" s="6" t="s">
        <v>521</v>
      </c>
      <c r="D512" s="6" t="n">
        <v>6</v>
      </c>
      <c r="E512" s="9" t="s">
        <v>5102</v>
      </c>
      <c r="F512" s="1" t="n">
        <v>56000</v>
      </c>
      <c r="Q512" s="1" t="str">
        <f aca="false">IF($A1130="","",IF(OR(F1130="",I1130=""),"",F1130-I1130))</f>
        <v/>
      </c>
      <c r="R512" s="1" t="str">
        <f aca="false">IF($A1130="","",IF(Q1130="","",Q1130+IF(O1130="",0,O1130)))</f>
        <v/>
      </c>
      <c r="T512" s="1" t="str">
        <f aca="false">IF($A1130="","",IF(R1130="","",R1130-IF(S1130="",0,S1130)))</f>
        <v/>
      </c>
      <c r="U512" s="1" t="str">
        <f aca="false">IF($A1130="","",IF(I1130="","",I1130-SUM(J1130:P1130)))</f>
        <v/>
      </c>
      <c r="V512" s="6" t="s">
        <v>5093</v>
      </c>
      <c r="W512" s="49" t="s">
        <v>774</v>
      </c>
      <c r="X512" s="9" t="s">
        <v>5103</v>
      </c>
      <c r="Y512" s="9" t="s">
        <v>4897</v>
      </c>
      <c r="Z512" s="9" t="s">
        <v>4898</v>
      </c>
      <c r="AA512" s="9" t="s">
        <v>4899</v>
      </c>
    </row>
    <row r="513" customFormat="false" ht="15" hidden="false" customHeight="true" outlineLevel="0" collapsed="false">
      <c r="A513" s="6" t="s">
        <v>2331</v>
      </c>
      <c r="B513" s="6" t="s">
        <v>515</v>
      </c>
      <c r="C513" s="6" t="s">
        <v>521</v>
      </c>
      <c r="D513" s="6" t="n">
        <v>6</v>
      </c>
      <c r="E513" s="9" t="s">
        <v>5095</v>
      </c>
      <c r="F513" s="1" t="n">
        <v>98000</v>
      </c>
      <c r="Q513" s="1" t="str">
        <f aca="false">IF($A1131="","",IF(OR(F1131="",I1131=""),"",F1131-I1131))</f>
        <v/>
      </c>
      <c r="R513" s="1" t="str">
        <f aca="false">IF($A1131="","",IF(Q1131="","",Q1131+IF(O1131="",0,O1131)))</f>
        <v/>
      </c>
      <c r="T513" s="1" t="str">
        <f aca="false">IF($A1131="","",IF(R1131="","",R1131-IF(S1131="",0,S1131)))</f>
        <v/>
      </c>
      <c r="U513" s="1" t="str">
        <f aca="false">IF($A1131="","",IF(I1131="","",I1131-SUM(J1131:P1131)))</f>
        <v/>
      </c>
      <c r="V513" s="6" t="s">
        <v>5093</v>
      </c>
      <c r="W513" s="49" t="s">
        <v>774</v>
      </c>
      <c r="X513" s="9" t="s">
        <v>5104</v>
      </c>
      <c r="Y513" s="9" t="s">
        <v>4897</v>
      </c>
      <c r="Z513" s="9" t="s">
        <v>4898</v>
      </c>
      <c r="AA513" s="9" t="s">
        <v>4899</v>
      </c>
    </row>
    <row r="514" customFormat="false" ht="15" hidden="false" customHeight="true" outlineLevel="0" collapsed="false">
      <c r="A514" s="6" t="s">
        <v>2334</v>
      </c>
      <c r="B514" s="6" t="s">
        <v>515</v>
      </c>
      <c r="C514" s="6" t="s">
        <v>521</v>
      </c>
      <c r="D514" s="6" t="n">
        <v>6</v>
      </c>
      <c r="E514" s="9" t="s">
        <v>5095</v>
      </c>
      <c r="F514" s="1" t="n">
        <v>18000</v>
      </c>
      <c r="Q514" s="1" t="str">
        <f aca="false">IF($A1132="","",IF(OR(F1132="",I1132=""),"",F1132-I1132))</f>
        <v/>
      </c>
      <c r="R514" s="1" t="str">
        <f aca="false">IF($A1132="","",IF(Q1132="","",Q1132+IF(O1132="",0,O1132)))</f>
        <v/>
      </c>
      <c r="T514" s="1" t="str">
        <f aca="false">IF($A1132="","",IF(R1132="","",R1132-IF(S1132="",0,S1132)))</f>
        <v/>
      </c>
      <c r="U514" s="1" t="str">
        <f aca="false">IF($A1132="","",IF(I1132="","",I1132-SUM(J1132:P1132)))</f>
        <v/>
      </c>
      <c r="V514" s="6" t="s">
        <v>5093</v>
      </c>
      <c r="W514" s="49" t="s">
        <v>774</v>
      </c>
      <c r="X514" s="9" t="s">
        <v>5105</v>
      </c>
      <c r="Y514" s="9" t="s">
        <v>4897</v>
      </c>
      <c r="Z514" s="9" t="s">
        <v>4898</v>
      </c>
      <c r="AA514" s="9" t="s">
        <v>4899</v>
      </c>
    </row>
    <row r="515" customFormat="false" ht="15" hidden="false" customHeight="true" outlineLevel="0" collapsed="false">
      <c r="A515" s="6" t="s">
        <v>2338</v>
      </c>
      <c r="B515" s="6" t="s">
        <v>515</v>
      </c>
      <c r="C515" s="6" t="s">
        <v>521</v>
      </c>
      <c r="D515" s="6" t="n">
        <v>6</v>
      </c>
      <c r="E515" s="9" t="s">
        <v>5095</v>
      </c>
      <c r="F515" s="1" t="n">
        <v>33000</v>
      </c>
      <c r="Q515" s="1" t="str">
        <f aca="false">IF($A1133="","",IF(OR(F1133="",I1133=""),"",F1133-I1133))</f>
        <v/>
      </c>
      <c r="R515" s="1" t="str">
        <f aca="false">IF($A1133="","",IF(Q1133="","",Q1133+IF(O1133="",0,O1133)))</f>
        <v/>
      </c>
      <c r="T515" s="1" t="str">
        <f aca="false">IF($A1133="","",IF(R1133="","",R1133-IF(S1133="",0,S1133)))</f>
        <v/>
      </c>
      <c r="U515" s="1" t="str">
        <f aca="false">IF($A1133="","",IF(I1133="","",I1133-SUM(J1133:P1133)))</f>
        <v/>
      </c>
      <c r="V515" s="6" t="s">
        <v>5093</v>
      </c>
      <c r="W515" s="9" t="s">
        <v>774</v>
      </c>
      <c r="X515" s="9" t="s">
        <v>5106</v>
      </c>
      <c r="Y515" s="9" t="s">
        <v>4897</v>
      </c>
      <c r="Z515" s="9" t="s">
        <v>4898</v>
      </c>
      <c r="AA515" s="9" t="s">
        <v>4899</v>
      </c>
    </row>
    <row r="516" customFormat="false" ht="15" hidden="false" customHeight="true" outlineLevel="0" collapsed="false">
      <c r="A516" s="6" t="s">
        <v>2341</v>
      </c>
      <c r="B516" s="6" t="s">
        <v>515</v>
      </c>
      <c r="C516" s="6" t="s">
        <v>521</v>
      </c>
      <c r="D516" s="6" t="n">
        <v>6</v>
      </c>
      <c r="E516" s="9" t="s">
        <v>5095</v>
      </c>
      <c r="F516" s="1" t="n">
        <v>83000</v>
      </c>
      <c r="Q516" s="1" t="str">
        <f aca="false">IF($A1134="","",IF(OR(F1134="",I1134=""),"",F1134-I1134))</f>
        <v/>
      </c>
      <c r="R516" s="1" t="str">
        <f aca="false">IF($A1134="","",IF(Q1134="","",Q1134+IF(O1134="",0,O1134)))</f>
        <v/>
      </c>
      <c r="T516" s="1" t="str">
        <f aca="false">IF($A1134="","",IF(R1134="","",R1134-IF(S1134="",0,S1134)))</f>
        <v/>
      </c>
      <c r="U516" s="1" t="str">
        <f aca="false">IF($A1134="","",IF(I1134="","",I1134-SUM(J1134:P1134)))</f>
        <v/>
      </c>
      <c r="V516" s="6" t="s">
        <v>5093</v>
      </c>
      <c r="W516" s="49" t="s">
        <v>774</v>
      </c>
      <c r="X516" s="9" t="s">
        <v>5107</v>
      </c>
      <c r="Y516" s="9" t="s">
        <v>4897</v>
      </c>
      <c r="Z516" s="9" t="s">
        <v>4898</v>
      </c>
      <c r="AA516" s="9" t="s">
        <v>4899</v>
      </c>
    </row>
    <row r="517" customFormat="false" ht="15" hidden="false" customHeight="true" outlineLevel="0" collapsed="false">
      <c r="A517" s="6" t="s">
        <v>2345</v>
      </c>
      <c r="B517" s="6" t="s">
        <v>515</v>
      </c>
      <c r="C517" s="6" t="s">
        <v>521</v>
      </c>
      <c r="D517" s="6" t="n">
        <v>6</v>
      </c>
      <c r="E517" s="9" t="s">
        <v>5095</v>
      </c>
      <c r="F517" s="1" t="n">
        <v>241000</v>
      </c>
      <c r="Q517" s="1" t="str">
        <f aca="false">IF($A1135="","",IF(OR(F1135="",I1135=""),"",F1135-I1135))</f>
        <v/>
      </c>
      <c r="R517" s="1" t="str">
        <f aca="false">IF($A1135="","",IF(Q1135="","",Q1135+IF(O1135="",0,O1135)))</f>
        <v/>
      </c>
      <c r="T517" s="1" t="str">
        <f aca="false">IF($A1135="","",IF(R1135="","",R1135-IF(S1135="",0,S1135)))</f>
        <v/>
      </c>
      <c r="U517" s="1" t="str">
        <f aca="false">IF($A1135="","",IF(I1135="","",I1135-SUM(J1135:P1135)))</f>
        <v/>
      </c>
      <c r="V517" s="6" t="s">
        <v>5093</v>
      </c>
      <c r="W517" s="49" t="s">
        <v>774</v>
      </c>
      <c r="X517" s="9" t="s">
        <v>5108</v>
      </c>
      <c r="Y517" s="9" t="s">
        <v>4897</v>
      </c>
      <c r="Z517" s="9" t="s">
        <v>4898</v>
      </c>
      <c r="AA517" s="9" t="s">
        <v>4899</v>
      </c>
    </row>
    <row r="518" customFormat="false" ht="15" hidden="false" customHeight="true" outlineLevel="0" collapsed="false">
      <c r="A518" s="6" t="s">
        <v>2348</v>
      </c>
      <c r="B518" s="6" t="s">
        <v>515</v>
      </c>
      <c r="C518" s="6" t="s">
        <v>521</v>
      </c>
      <c r="D518" s="6" t="n">
        <v>6</v>
      </c>
      <c r="E518" s="9" t="s">
        <v>5095</v>
      </c>
      <c r="F518" s="1" t="n">
        <v>277000</v>
      </c>
      <c r="Q518" s="1" t="str">
        <f aca="false">IF($A1136="","",IF(OR(F1136="",I1136=""),"",F1136-I1136))</f>
        <v/>
      </c>
      <c r="R518" s="1" t="str">
        <f aca="false">IF($A1136="","",IF(Q1136="","",Q1136+IF(O1136="",0,O1136)))</f>
        <v/>
      </c>
      <c r="T518" s="1" t="str">
        <f aca="false">IF($A1136="","",IF(R1136="","",R1136-IF(S1136="",0,S1136)))</f>
        <v/>
      </c>
      <c r="U518" s="1" t="str">
        <f aca="false">IF($A1136="","",IF(I1136="","",I1136-SUM(J1136:P1136)))</f>
        <v/>
      </c>
      <c r="V518" s="6" t="s">
        <v>5093</v>
      </c>
      <c r="W518" s="49" t="s">
        <v>774</v>
      </c>
      <c r="X518" s="9" t="s">
        <v>5109</v>
      </c>
      <c r="Y518" s="9" t="s">
        <v>4897</v>
      </c>
      <c r="Z518" s="9" t="s">
        <v>4898</v>
      </c>
      <c r="AA518" s="9" t="s">
        <v>4899</v>
      </c>
    </row>
    <row r="519" customFormat="false" ht="15" hidden="false" customHeight="true" outlineLevel="0" collapsed="false">
      <c r="A519" s="6" t="s">
        <v>2351</v>
      </c>
      <c r="B519" s="6" t="s">
        <v>515</v>
      </c>
      <c r="C519" s="6" t="s">
        <v>521</v>
      </c>
      <c r="D519" s="6" t="n">
        <v>6</v>
      </c>
      <c r="E519" s="9" t="s">
        <v>5095</v>
      </c>
      <c r="F519" s="1" t="n">
        <v>70000</v>
      </c>
      <c r="Q519" s="1" t="str">
        <f aca="false">IF($A1137="","",IF(OR(F1137="",I1137=""),"",F1137-I1137))</f>
        <v/>
      </c>
      <c r="R519" s="1" t="str">
        <f aca="false">IF($A1137="","",IF(Q1137="","",Q1137+IF(O1137="",0,O1137)))</f>
        <v/>
      </c>
      <c r="T519" s="1" t="str">
        <f aca="false">IF($A1137="","",IF(R1137="","",R1137-IF(S1137="",0,S1137)))</f>
        <v/>
      </c>
      <c r="U519" s="1" t="str">
        <f aca="false">IF($A1137="","",IF(I1137="","",I1137-SUM(J1137:P1137)))</f>
        <v/>
      </c>
      <c r="V519" s="6" t="s">
        <v>5093</v>
      </c>
      <c r="W519" s="49" t="s">
        <v>774</v>
      </c>
      <c r="X519" s="9" t="s">
        <v>5110</v>
      </c>
      <c r="Y519" s="9" t="s">
        <v>4897</v>
      </c>
      <c r="Z519" s="9" t="s">
        <v>4898</v>
      </c>
      <c r="AA519" s="9" t="s">
        <v>4899</v>
      </c>
    </row>
    <row r="520" customFormat="false" ht="15" hidden="false" customHeight="true" outlineLevel="0" collapsed="false">
      <c r="A520" s="6" t="s">
        <v>2354</v>
      </c>
      <c r="B520" s="6" t="s">
        <v>515</v>
      </c>
      <c r="C520" s="6" t="s">
        <v>521</v>
      </c>
      <c r="D520" s="6" t="n">
        <v>6</v>
      </c>
      <c r="E520" s="9" t="s">
        <v>5095</v>
      </c>
      <c r="F520" s="1" t="n">
        <v>155000</v>
      </c>
      <c r="Q520" s="1" t="str">
        <f aca="false">IF($A1138="","",IF(OR(F1138="",I1138=""),"",F1138-I1138))</f>
        <v/>
      </c>
      <c r="R520" s="1" t="str">
        <f aca="false">IF($A1138="","",IF(Q1138="","",Q1138+IF(O1138="",0,O1138)))</f>
        <v/>
      </c>
      <c r="T520" s="1" t="str">
        <f aca="false">IF($A1138="","",IF(R1138="","",R1138-IF(S1138="",0,S1138)))</f>
        <v/>
      </c>
      <c r="U520" s="1" t="str">
        <f aca="false">IF($A1138="","",IF(I1138="","",I1138-SUM(J1138:P1138)))</f>
        <v/>
      </c>
      <c r="V520" s="6" t="s">
        <v>5093</v>
      </c>
      <c r="W520" s="49" t="s">
        <v>774</v>
      </c>
      <c r="X520" s="9" t="s">
        <v>5111</v>
      </c>
      <c r="Y520" s="9" t="s">
        <v>4897</v>
      </c>
      <c r="Z520" s="9" t="s">
        <v>4898</v>
      </c>
      <c r="AA520" s="9" t="s">
        <v>4899</v>
      </c>
    </row>
    <row r="521" customFormat="false" ht="15" hidden="false" customHeight="true" outlineLevel="0" collapsed="false">
      <c r="A521" s="6" t="s">
        <v>2357</v>
      </c>
      <c r="B521" s="6" t="s">
        <v>515</v>
      </c>
      <c r="C521" s="6" t="s">
        <v>521</v>
      </c>
      <c r="D521" s="6" t="n">
        <v>6</v>
      </c>
      <c r="E521" s="9" t="s">
        <v>5095</v>
      </c>
      <c r="F521" s="1" t="n">
        <v>61000</v>
      </c>
      <c r="Q521" s="1" t="str">
        <f aca="false">IF($A1139="","",IF(OR(F1139="",I1139=""),"",F1139-I1139))</f>
        <v/>
      </c>
      <c r="R521" s="1" t="str">
        <f aca="false">IF($A1139="","",IF(Q1139="","",Q1139+IF(O1139="",0,O1139)))</f>
        <v/>
      </c>
      <c r="T521" s="1" t="str">
        <f aca="false">IF($A1139="","",IF(R1139="","",R1139-IF(S1139="",0,S1139)))</f>
        <v/>
      </c>
      <c r="U521" s="1" t="str">
        <f aca="false">IF($A1139="","",IF(I1139="","",I1139-SUM(J1139:P1139)))</f>
        <v/>
      </c>
      <c r="V521" s="6" t="s">
        <v>5093</v>
      </c>
      <c r="W521" s="49" t="s">
        <v>774</v>
      </c>
      <c r="X521" s="9" t="s">
        <v>5112</v>
      </c>
      <c r="Y521" s="9" t="s">
        <v>4897</v>
      </c>
      <c r="Z521" s="9" t="s">
        <v>4898</v>
      </c>
      <c r="AA521" s="9" t="s">
        <v>4899</v>
      </c>
    </row>
    <row r="522" customFormat="false" ht="15" hidden="false" customHeight="true" outlineLevel="0" collapsed="false">
      <c r="A522" s="6" t="s">
        <v>2361</v>
      </c>
      <c r="B522" s="6" t="s">
        <v>515</v>
      </c>
      <c r="C522" s="6" t="s">
        <v>521</v>
      </c>
      <c r="D522" s="6" t="n">
        <v>6</v>
      </c>
      <c r="E522" s="9" t="s">
        <v>5095</v>
      </c>
      <c r="F522" s="1" t="n">
        <v>61000</v>
      </c>
      <c r="Q522" s="1" t="str">
        <f aca="false">IF($A1140="","",IF(OR(F1140="",I1140=""),"",F1140-I1140))</f>
        <v/>
      </c>
      <c r="R522" s="1" t="str">
        <f aca="false">IF($A1140="","",IF(Q1140="","",Q1140+IF(O1140="",0,O1140)))</f>
        <v/>
      </c>
      <c r="T522" s="1" t="str">
        <f aca="false">IF($A1140="","",IF(R1140="","",R1140-IF(S1140="",0,S1140)))</f>
        <v/>
      </c>
      <c r="U522" s="1" t="str">
        <f aca="false">IF($A1140="","",IF(I1140="","",I1140-SUM(J1140:P1140)))</f>
        <v/>
      </c>
      <c r="V522" s="6" t="s">
        <v>5093</v>
      </c>
      <c r="W522" s="49" t="s">
        <v>774</v>
      </c>
      <c r="X522" s="9" t="s">
        <v>5113</v>
      </c>
      <c r="Y522" s="9" t="s">
        <v>4897</v>
      </c>
      <c r="Z522" s="9" t="s">
        <v>4898</v>
      </c>
      <c r="AA522" s="9" t="s">
        <v>4899</v>
      </c>
    </row>
    <row r="523" customFormat="false" ht="15" hidden="false" customHeight="true" outlineLevel="0" collapsed="false">
      <c r="A523" s="6" t="s">
        <v>2364</v>
      </c>
      <c r="B523" s="6" t="s">
        <v>515</v>
      </c>
      <c r="C523" s="6" t="s">
        <v>521</v>
      </c>
      <c r="D523" s="6" t="n">
        <v>6</v>
      </c>
      <c r="E523" s="9" t="s">
        <v>5095</v>
      </c>
      <c r="F523" s="1" t="n">
        <v>118000</v>
      </c>
      <c r="Q523" s="1" t="str">
        <f aca="false">IF($A1141="","",IF(OR(F1141="",I1141=""),"",F1141-I1141))</f>
        <v/>
      </c>
      <c r="R523" s="1" t="str">
        <f aca="false">IF($A1141="","",IF(Q1141="","",Q1141+IF(O1141="",0,O1141)))</f>
        <v/>
      </c>
      <c r="T523" s="1" t="str">
        <f aca="false">IF($A1141="","",IF(R1141="","",R1141-IF(S1141="",0,S1141)))</f>
        <v/>
      </c>
      <c r="U523" s="1" t="str">
        <f aca="false">IF($A1141="","",IF(I1141="","",I1141-SUM(J1141:P1141)))</f>
        <v/>
      </c>
      <c r="V523" s="6" t="s">
        <v>5093</v>
      </c>
      <c r="W523" s="49" t="s">
        <v>774</v>
      </c>
      <c r="X523" s="9" t="s">
        <v>5114</v>
      </c>
      <c r="Y523" s="9" t="s">
        <v>4897</v>
      </c>
      <c r="Z523" s="9" t="s">
        <v>4898</v>
      </c>
      <c r="AA523" s="9" t="s">
        <v>4899</v>
      </c>
    </row>
    <row r="524" customFormat="false" ht="15" hidden="false" customHeight="true" outlineLevel="0" collapsed="false">
      <c r="A524" s="6" t="s">
        <v>2368</v>
      </c>
      <c r="B524" s="6" t="s">
        <v>515</v>
      </c>
      <c r="C524" s="6" t="s">
        <v>521</v>
      </c>
      <c r="D524" s="6" t="n">
        <v>6</v>
      </c>
      <c r="E524" s="9" t="s">
        <v>5002</v>
      </c>
      <c r="F524" s="6" t="n">
        <v>94785</v>
      </c>
      <c r="G524" s="6" t="n">
        <v>86368</v>
      </c>
      <c r="H524" s="6" t="n">
        <v>8416</v>
      </c>
      <c r="I524" s="6" t="n">
        <v>37121</v>
      </c>
      <c r="J524" s="6" t="n">
        <v>2167</v>
      </c>
      <c r="K524" s="6" t="n">
        <v>7602</v>
      </c>
      <c r="L524" s="6" t="n">
        <v>6866</v>
      </c>
      <c r="M524" s="6" t="n">
        <v>119</v>
      </c>
      <c r="N524" s="6" t="n">
        <v>595</v>
      </c>
      <c r="O524" s="6" t="n">
        <v>19262</v>
      </c>
      <c r="P524" s="6" t="n">
        <v>508</v>
      </c>
      <c r="Q524" s="1" t="n">
        <f aca="false">IF($A1142="","",IF(OR(F1142="",I1142=""),"",F1142-I1142))</f>
        <v>71879</v>
      </c>
      <c r="R524" s="1" t="str">
        <f aca="false">IF($A1142="","",IF(Q1142="","",Q1142+IF(O1142="",0,O1142)))</f>
        <v/>
      </c>
      <c r="T524" s="1" t="str">
        <f aca="false">IF($A1142="","",IF(R1142="","",R1142-IF(S1142="",0,S1142)))</f>
        <v/>
      </c>
      <c r="U524" s="1" t="n">
        <f aca="false">IF($A1142="","",IF(I1142="","",I1142-SUM(J1142:P1142)))</f>
        <v>2</v>
      </c>
      <c r="V524" s="6" t="s">
        <v>5093</v>
      </c>
      <c r="W524" s="49" t="s">
        <v>774</v>
      </c>
      <c r="X524" s="9" t="s">
        <v>5094</v>
      </c>
      <c r="Y524" s="9" t="s">
        <v>4897</v>
      </c>
      <c r="Z524" s="9" t="s">
        <v>4898</v>
      </c>
      <c r="AA524" s="9" t="s">
        <v>4899</v>
      </c>
    </row>
    <row r="525" customFormat="false" ht="15" hidden="false" customHeight="true" outlineLevel="0" collapsed="false">
      <c r="A525" s="6" t="s">
        <v>2371</v>
      </c>
      <c r="B525" s="6" t="s">
        <v>515</v>
      </c>
      <c r="C525" s="6" t="s">
        <v>521</v>
      </c>
      <c r="D525" s="6" t="n">
        <v>6</v>
      </c>
      <c r="E525" s="9" t="s">
        <v>5095</v>
      </c>
      <c r="F525" s="1" t="n">
        <v>50000</v>
      </c>
      <c r="Q525" s="1" t="str">
        <f aca="false">IF($A1143="","",IF(OR(F1143="",I1143=""),"",F1143-I1143))</f>
        <v/>
      </c>
      <c r="R525" s="1" t="str">
        <f aca="false">IF($A1143="","",IF(Q1143="","",Q1143+IF(O1143="",0,O1143)))</f>
        <v/>
      </c>
      <c r="T525" s="1" t="str">
        <f aca="false">IF($A1143="","",IF(R1143="","",R1143-IF(S1143="",0,S1143)))</f>
        <v/>
      </c>
      <c r="U525" s="1" t="str">
        <f aca="false">IF($A1143="","",IF(I1143="","",I1143-SUM(J1143:P1143)))</f>
        <v/>
      </c>
      <c r="V525" s="6" t="s">
        <v>5093</v>
      </c>
      <c r="W525" s="49" t="s">
        <v>774</v>
      </c>
      <c r="X525" s="9" t="s">
        <v>5115</v>
      </c>
      <c r="Y525" s="9" t="s">
        <v>4897</v>
      </c>
      <c r="Z525" s="9" t="s">
        <v>4898</v>
      </c>
      <c r="AA525" s="9" t="s">
        <v>4899</v>
      </c>
    </row>
    <row r="526" customFormat="false" ht="15" hidden="false" customHeight="true" outlineLevel="0" collapsed="false">
      <c r="A526" s="6" t="s">
        <v>2374</v>
      </c>
      <c r="B526" s="6" t="s">
        <v>515</v>
      </c>
      <c r="C526" s="6" t="s">
        <v>521</v>
      </c>
      <c r="D526" s="6" t="n">
        <v>6</v>
      </c>
      <c r="E526" s="9" t="s">
        <v>5095</v>
      </c>
      <c r="F526" s="1" t="n">
        <v>90000</v>
      </c>
      <c r="Q526" s="1" t="str">
        <f aca="false">IF($A1144="","",IF(OR(F1144="",I1144=""),"",F1144-I1144))</f>
        <v/>
      </c>
      <c r="R526" s="1" t="str">
        <f aca="false">IF($A1144="","",IF(Q1144="","",Q1144+IF(O1144="",0,O1144)))</f>
        <v/>
      </c>
      <c r="T526" s="1" t="str">
        <f aca="false">IF($A1144="","",IF(R1144="","",R1144-IF(S1144="",0,S1144)))</f>
        <v/>
      </c>
      <c r="U526" s="1" t="str">
        <f aca="false">IF($A1144="","",IF(I1144="","",I1144-SUM(J1144:P1144)))</f>
        <v/>
      </c>
      <c r="V526" s="6" t="s">
        <v>5093</v>
      </c>
      <c r="W526" s="49" t="s">
        <v>774</v>
      </c>
      <c r="X526" s="9" t="s">
        <v>5116</v>
      </c>
      <c r="Y526" s="9" t="s">
        <v>4897</v>
      </c>
      <c r="Z526" s="9" t="s">
        <v>4898</v>
      </c>
      <c r="AA526" s="9" t="s">
        <v>4899</v>
      </c>
    </row>
    <row r="527" customFormat="false" ht="15" hidden="false" customHeight="true" outlineLevel="0" collapsed="false">
      <c r="A527" s="6" t="s">
        <v>2377</v>
      </c>
      <c r="B527" s="6" t="s">
        <v>515</v>
      </c>
      <c r="C527" s="6" t="s">
        <v>521</v>
      </c>
      <c r="D527" s="6" t="n">
        <v>6</v>
      </c>
      <c r="E527" s="9" t="s">
        <v>5095</v>
      </c>
      <c r="F527" s="1" t="n">
        <v>58000</v>
      </c>
      <c r="Q527" s="1" t="str">
        <f aca="false">IF($A1145="","",IF(OR(F1145="",I1145=""),"",F1145-I1145))</f>
        <v/>
      </c>
      <c r="R527" s="1" t="str">
        <f aca="false">IF($A1145="","",IF(Q1145="","",Q1145+IF(O1145="",0,O1145)))</f>
        <v/>
      </c>
      <c r="T527" s="1" t="str">
        <f aca="false">IF($A1145="","",IF(R1145="","",R1145-IF(S1145="",0,S1145)))</f>
        <v/>
      </c>
      <c r="U527" s="1" t="str">
        <f aca="false">IF($A1145="","",IF(I1145="","",I1145-SUM(J1145:P1145)))</f>
        <v/>
      </c>
      <c r="V527" s="6" t="s">
        <v>5093</v>
      </c>
      <c r="W527" s="49" t="s">
        <v>774</v>
      </c>
      <c r="X527" s="9" t="s">
        <v>5117</v>
      </c>
      <c r="Y527" s="9" t="s">
        <v>4897</v>
      </c>
      <c r="Z527" s="9" t="s">
        <v>4898</v>
      </c>
      <c r="AA527" s="9" t="s">
        <v>4899</v>
      </c>
    </row>
    <row r="528" customFormat="false" ht="15" hidden="false" customHeight="true" outlineLevel="0" collapsed="false">
      <c r="A528" s="6" t="s">
        <v>2380</v>
      </c>
      <c r="B528" s="6" t="s">
        <v>515</v>
      </c>
      <c r="C528" s="6" t="s">
        <v>521</v>
      </c>
      <c r="D528" s="6" t="n">
        <v>6</v>
      </c>
      <c r="E528" s="9" t="s">
        <v>5095</v>
      </c>
      <c r="F528" s="1" t="n">
        <v>115000</v>
      </c>
      <c r="Q528" s="1" t="str">
        <f aca="false">IF($A1146="","",IF(OR(F1146="",I1146=""),"",F1146-I1146))</f>
        <v/>
      </c>
      <c r="R528" s="1" t="str">
        <f aca="false">IF($A1146="","",IF(Q1146="","",Q1146+IF(O1146="",0,O1146)))</f>
        <v/>
      </c>
      <c r="T528" s="1" t="str">
        <f aca="false">IF($A1146="","",IF(R1146="","",R1146-IF(S1146="",0,S1146)))</f>
        <v/>
      </c>
      <c r="U528" s="1" t="str">
        <f aca="false">IF($A1146="","",IF(I1146="","",I1146-SUM(J1146:P1146)))</f>
        <v/>
      </c>
      <c r="V528" s="6" t="s">
        <v>5093</v>
      </c>
      <c r="W528" s="49" t="s">
        <v>774</v>
      </c>
      <c r="X528" s="9" t="s">
        <v>5118</v>
      </c>
      <c r="Y528" s="9" t="s">
        <v>4897</v>
      </c>
      <c r="Z528" s="9" t="s">
        <v>4898</v>
      </c>
      <c r="AA528" s="9" t="s">
        <v>4899</v>
      </c>
    </row>
    <row r="529" customFormat="false" ht="15" hidden="false" customHeight="true" outlineLevel="0" collapsed="false">
      <c r="A529" s="6" t="s">
        <v>2383</v>
      </c>
      <c r="B529" s="6" t="s">
        <v>515</v>
      </c>
      <c r="C529" s="6" t="s">
        <v>521</v>
      </c>
      <c r="D529" s="6" t="n">
        <v>6</v>
      </c>
      <c r="E529" s="9" t="s">
        <v>5095</v>
      </c>
      <c r="F529" s="1" t="n">
        <v>21000</v>
      </c>
      <c r="Q529" s="1" t="str">
        <f aca="false">IF($A1147="","",IF(OR(F1147="",I1147=""),"",F1147-I1147))</f>
        <v/>
      </c>
      <c r="R529" s="1" t="str">
        <f aca="false">IF($A1147="","",IF(Q1147="","",Q1147+IF(O1147="",0,O1147)))</f>
        <v/>
      </c>
      <c r="T529" s="1" t="str">
        <f aca="false">IF($A1147="","",IF(R1147="","",R1147-IF(S1147="",0,S1147)))</f>
        <v/>
      </c>
      <c r="U529" s="1" t="str">
        <f aca="false">IF($A1147="","",IF(I1147="","",I1147-SUM(J1147:P1147)))</f>
        <v/>
      </c>
      <c r="V529" s="6" t="s">
        <v>5093</v>
      </c>
      <c r="W529" s="9" t="s">
        <v>774</v>
      </c>
      <c r="X529" s="9" t="s">
        <v>5119</v>
      </c>
      <c r="Y529" s="9" t="s">
        <v>4897</v>
      </c>
      <c r="Z529" s="9" t="s">
        <v>4898</v>
      </c>
      <c r="AA529" s="9" t="s">
        <v>4899</v>
      </c>
    </row>
    <row r="530" customFormat="false" ht="15" hidden="false" customHeight="true" outlineLevel="0" collapsed="false">
      <c r="A530" s="6" t="s">
        <v>2386</v>
      </c>
      <c r="B530" s="6" t="s">
        <v>515</v>
      </c>
      <c r="C530" s="6" t="s">
        <v>521</v>
      </c>
      <c r="D530" s="6" t="n">
        <v>6</v>
      </c>
      <c r="E530" s="9" t="s">
        <v>5002</v>
      </c>
      <c r="F530" s="6" t="n">
        <v>5273</v>
      </c>
      <c r="G530" s="6" t="n">
        <v>5273</v>
      </c>
      <c r="H530" s="6" t="n">
        <v>0</v>
      </c>
      <c r="I530" s="6" t="n">
        <v>2098</v>
      </c>
      <c r="J530" s="6" t="n">
        <v>37</v>
      </c>
      <c r="K530" s="6" t="n">
        <v>0</v>
      </c>
      <c r="L530" s="6" t="n">
        <v>0</v>
      </c>
      <c r="M530" s="6" t="n">
        <v>35</v>
      </c>
      <c r="N530" s="6" t="n">
        <v>0</v>
      </c>
      <c r="O530" s="6" t="n">
        <v>2000</v>
      </c>
      <c r="P530" s="6" t="n">
        <v>25</v>
      </c>
      <c r="Q530" s="1" t="n">
        <f aca="false">IF($A1148="","",IF(OR(F1148="",I1148=""),"",F1148-I1148))</f>
        <v>59902</v>
      </c>
      <c r="R530" s="1" t="str">
        <f aca="false">IF($A1148="","",IF(Q1148="","",Q1148+IF(O1148="",0,O1148)))</f>
        <v/>
      </c>
      <c r="T530" s="1" t="str">
        <f aca="false">IF($A1148="","",IF(R1148="","",R1148-IF(S1148="",0,S1148)))</f>
        <v/>
      </c>
      <c r="U530" s="1" t="n">
        <f aca="false">IF($A1148="","",IF(I1148="","",I1148-SUM(J1148:P1148)))</f>
        <v>1</v>
      </c>
      <c r="V530" s="6" t="s">
        <v>5093</v>
      </c>
      <c r="W530" s="49" t="s">
        <v>774</v>
      </c>
      <c r="X530" s="9" t="s">
        <v>5120</v>
      </c>
      <c r="Y530" s="9" t="s">
        <v>4897</v>
      </c>
      <c r="Z530" s="9" t="s">
        <v>4898</v>
      </c>
      <c r="AA530" s="9" t="s">
        <v>4899</v>
      </c>
    </row>
    <row r="531" customFormat="false" ht="15" hidden="false" customHeight="true" outlineLevel="0" collapsed="false">
      <c r="A531" s="6" t="s">
        <v>2390</v>
      </c>
      <c r="B531" s="6" t="s">
        <v>515</v>
      </c>
      <c r="C531" s="6" t="s">
        <v>521</v>
      </c>
      <c r="D531" s="6" t="n">
        <v>6</v>
      </c>
      <c r="E531" s="9" t="s">
        <v>5002</v>
      </c>
      <c r="F531" s="6" t="n">
        <v>43285</v>
      </c>
      <c r="G531" s="6" t="n">
        <v>43285</v>
      </c>
      <c r="H531" s="6" t="n">
        <v>0</v>
      </c>
      <c r="I531" s="6" t="n">
        <v>10839</v>
      </c>
      <c r="J531" s="6" t="n">
        <v>720</v>
      </c>
      <c r="K531" s="6" t="n">
        <v>0</v>
      </c>
      <c r="L531" s="6" t="n">
        <v>5448</v>
      </c>
      <c r="M531" s="6" t="n">
        <v>63</v>
      </c>
      <c r="N531" s="6" t="n">
        <v>0</v>
      </c>
      <c r="O531" s="6" t="n">
        <v>4102</v>
      </c>
      <c r="P531" s="6" t="n">
        <v>504</v>
      </c>
      <c r="Q531" s="1" t="n">
        <f aca="false">IF($A1149="","",IF(OR(F1149="",I1149=""),"",F1149-I1149))</f>
        <v>217161</v>
      </c>
      <c r="R531" s="1" t="str">
        <f aca="false">IF($A1149="","",IF(Q1149="","",Q1149+IF(O1149="",0,O1149)))</f>
        <v/>
      </c>
      <c r="T531" s="1" t="str">
        <f aca="false">IF($A1149="","",IF(R1149="","",R1149-IF(S1149="",0,S1149)))</f>
        <v/>
      </c>
      <c r="U531" s="1" t="n">
        <f aca="false">IF($A1149="","",IF(I1149="","",I1149-SUM(J1149:P1149)))</f>
        <v>2</v>
      </c>
      <c r="V531" s="6" t="s">
        <v>5093</v>
      </c>
      <c r="W531" s="49" t="s">
        <v>774</v>
      </c>
      <c r="X531" s="9" t="s">
        <v>5094</v>
      </c>
      <c r="Y531" s="9" t="s">
        <v>4897</v>
      </c>
      <c r="Z531" s="9" t="s">
        <v>4898</v>
      </c>
      <c r="AA531" s="9" t="s">
        <v>4899</v>
      </c>
    </row>
    <row r="532" customFormat="false" ht="15" hidden="false" customHeight="true" outlineLevel="0" collapsed="false">
      <c r="A532" s="6" t="s">
        <v>2393</v>
      </c>
      <c r="B532" s="6" t="s">
        <v>515</v>
      </c>
      <c r="C532" s="6" t="s">
        <v>521</v>
      </c>
      <c r="D532" s="6" t="n">
        <v>6</v>
      </c>
      <c r="E532" s="9" t="s">
        <v>5002</v>
      </c>
      <c r="F532" s="6" t="n">
        <v>42091</v>
      </c>
      <c r="G532" s="6" t="n">
        <v>42091</v>
      </c>
      <c r="H532" s="6" t="n">
        <v>0</v>
      </c>
      <c r="I532" s="6" t="n">
        <v>22836</v>
      </c>
      <c r="J532" s="6" t="n">
        <v>1444</v>
      </c>
      <c r="K532" s="6" t="n">
        <v>0</v>
      </c>
      <c r="L532" s="6" t="n">
        <v>6121</v>
      </c>
      <c r="M532" s="6" t="n">
        <v>90</v>
      </c>
      <c r="N532" s="6" t="n">
        <v>8545</v>
      </c>
      <c r="O532" s="6" t="n">
        <v>6129</v>
      </c>
      <c r="P532" s="6" t="n">
        <v>504</v>
      </c>
      <c r="Q532" s="1" t="n">
        <f aca="false">IF($A1150="","",IF(OR(F1150="",I1150=""),"",F1150-I1150))</f>
        <v>56164</v>
      </c>
      <c r="R532" s="1" t="str">
        <f aca="false">IF($A1150="","",IF(Q1150="","",Q1150+IF(O1150="",0,O1150)))</f>
        <v/>
      </c>
      <c r="T532" s="1" t="str">
        <f aca="false">IF($A1150="","",IF(R1150="","",R1150-IF(S1150="",0,S1150)))</f>
        <v/>
      </c>
      <c r="U532" s="1" t="n">
        <f aca="false">IF($A1150="","",IF(I1150="","",I1150-SUM(J1150:P1150)))</f>
        <v>3</v>
      </c>
      <c r="V532" s="6" t="s">
        <v>5093</v>
      </c>
      <c r="W532" s="49" t="s">
        <v>774</v>
      </c>
      <c r="X532" s="9" t="s">
        <v>5094</v>
      </c>
      <c r="Y532" s="9" t="s">
        <v>4897</v>
      </c>
      <c r="Z532" s="9" t="s">
        <v>4898</v>
      </c>
      <c r="AA532" s="9" t="s">
        <v>4899</v>
      </c>
    </row>
    <row r="533" customFormat="false" ht="15" hidden="false" customHeight="true" outlineLevel="0" collapsed="false">
      <c r="A533" s="6" t="s">
        <v>2395</v>
      </c>
      <c r="B533" s="6" t="s">
        <v>515</v>
      </c>
      <c r="C533" s="6" t="s">
        <v>521</v>
      </c>
      <c r="D533" s="6" t="n">
        <v>6</v>
      </c>
      <c r="E533" s="9" t="s">
        <v>5002</v>
      </c>
      <c r="F533" s="6" t="n">
        <v>35273</v>
      </c>
      <c r="G533" s="6" t="n">
        <v>35273</v>
      </c>
      <c r="H533" s="6" t="n">
        <v>0</v>
      </c>
      <c r="I533" s="6" t="n">
        <v>11990</v>
      </c>
      <c r="J533" s="6" t="n">
        <v>963</v>
      </c>
      <c r="K533" s="6" t="n">
        <v>0</v>
      </c>
      <c r="L533" s="6" t="n">
        <v>4761</v>
      </c>
      <c r="M533" s="6" t="n">
        <v>76</v>
      </c>
      <c r="N533" s="6" t="n">
        <v>755</v>
      </c>
      <c r="O533" s="6" t="n">
        <v>4929</v>
      </c>
      <c r="P533" s="6" t="n">
        <v>504</v>
      </c>
      <c r="Q533" s="1" t="n">
        <f aca="false">IF($A1151="","",IF(OR(F1151="",I1151=""),"",F1151-I1151))</f>
        <v>28010</v>
      </c>
      <c r="R533" s="1" t="str">
        <f aca="false">IF($A1151="","",IF(Q1151="","",Q1151+IF(O1151="",0,O1151)))</f>
        <v/>
      </c>
      <c r="T533" s="1" t="str">
        <f aca="false">IF($A1151="","",IF(R1151="","",R1151-IF(S1151="",0,S1151)))</f>
        <v/>
      </c>
      <c r="U533" s="1" t="n">
        <f aca="false">IF($A1151="","",IF(I1151="","",I1151-SUM(J1151:P1151)))</f>
        <v>2</v>
      </c>
      <c r="V533" s="6" t="s">
        <v>5093</v>
      </c>
      <c r="W533" s="49" t="s">
        <v>774</v>
      </c>
      <c r="X533" s="9" t="s">
        <v>5094</v>
      </c>
      <c r="Y533" s="9" t="s">
        <v>4897</v>
      </c>
      <c r="Z533" s="9" t="s">
        <v>4898</v>
      </c>
      <c r="AA533" s="9" t="s">
        <v>4899</v>
      </c>
    </row>
    <row r="534" customFormat="false" ht="15" hidden="false" customHeight="true" outlineLevel="0" collapsed="false">
      <c r="A534" s="6" t="s">
        <v>2397</v>
      </c>
      <c r="B534" s="6" t="s">
        <v>515</v>
      </c>
      <c r="C534" s="6" t="s">
        <v>521</v>
      </c>
      <c r="D534" s="6" t="n">
        <v>6</v>
      </c>
      <c r="E534" s="9" t="s">
        <v>5002</v>
      </c>
      <c r="F534" s="6" t="n">
        <v>649</v>
      </c>
      <c r="G534" s="6" t="n">
        <v>649</v>
      </c>
      <c r="H534" s="6" t="n">
        <v>0</v>
      </c>
      <c r="I534" s="6" t="n">
        <v>624</v>
      </c>
      <c r="J534" s="6" t="n">
        <v>32</v>
      </c>
      <c r="K534" s="6" t="n">
        <v>0</v>
      </c>
      <c r="L534" s="6" t="n">
        <v>0</v>
      </c>
      <c r="M534" s="6" t="n">
        <v>8</v>
      </c>
      <c r="N534" s="6" t="n">
        <v>0</v>
      </c>
      <c r="O534" s="6" t="n">
        <v>558</v>
      </c>
      <c r="P534" s="6" t="n">
        <v>25</v>
      </c>
      <c r="Q534" s="1" t="n">
        <f aca="false">IF($A1152="","",IF(OR(F1152="",I1152=""),"",F1152-I1152))</f>
        <v>26376</v>
      </c>
      <c r="R534" s="1" t="str">
        <f aca="false">IF($A1152="","",IF(Q1152="","",Q1152+IF(O1152="",0,O1152)))</f>
        <v/>
      </c>
      <c r="T534" s="1" t="str">
        <f aca="false">IF($A1152="","",IF(R1152="","",R1152-IF(S1152="",0,S1152)))</f>
        <v/>
      </c>
      <c r="U534" s="1" t="n">
        <f aca="false">IF($A1152="","",IF(I1152="","",I1152-SUM(J1152:P1152)))</f>
        <v>1</v>
      </c>
      <c r="V534" s="6" t="s">
        <v>5093</v>
      </c>
      <c r="W534" s="49" t="s">
        <v>774</v>
      </c>
      <c r="X534" s="9" t="s">
        <v>5120</v>
      </c>
      <c r="Y534" s="9" t="s">
        <v>4897</v>
      </c>
      <c r="Z534" s="9" t="s">
        <v>4898</v>
      </c>
      <c r="AA534" s="9" t="s">
        <v>4899</v>
      </c>
    </row>
    <row r="535" customFormat="false" ht="15" hidden="false" customHeight="true" outlineLevel="0" collapsed="false">
      <c r="A535" s="6" t="s">
        <v>2399</v>
      </c>
      <c r="B535" s="6" t="s">
        <v>515</v>
      </c>
      <c r="C535" s="6" t="s">
        <v>521</v>
      </c>
      <c r="D535" s="6" t="n">
        <v>6</v>
      </c>
      <c r="E535" s="9" t="s">
        <v>5002</v>
      </c>
      <c r="F535" s="6" t="n">
        <v>80358</v>
      </c>
      <c r="G535" s="6" t="n">
        <v>80358</v>
      </c>
      <c r="H535" s="6" t="n">
        <v>0</v>
      </c>
      <c r="I535" s="6" t="n">
        <v>26244</v>
      </c>
      <c r="J535" s="6" t="n">
        <v>780</v>
      </c>
      <c r="K535" s="6" t="n">
        <v>0</v>
      </c>
      <c r="L535" s="6" t="n">
        <v>15065</v>
      </c>
      <c r="M535" s="6" t="n">
        <v>229</v>
      </c>
      <c r="N535" s="6" t="n">
        <v>400</v>
      </c>
      <c r="O535" s="6" t="n">
        <v>9264</v>
      </c>
      <c r="P535" s="6" t="n">
        <v>504</v>
      </c>
      <c r="Q535" s="1" t="n">
        <f aca="false">IF($A1153="","",IF(OR(F1153="",I1153=""),"",F1153-I1153))</f>
        <v>282756</v>
      </c>
      <c r="R535" s="1" t="str">
        <f aca="false">IF($A1153="","",IF(Q1153="","",Q1153+IF(O1153="",0,O1153)))</f>
        <v/>
      </c>
      <c r="T535" s="1" t="str">
        <f aca="false">IF($A1153="","",IF(R1153="","",R1153-IF(S1153="",0,S1153)))</f>
        <v/>
      </c>
      <c r="U535" s="1" t="n">
        <f aca="false">IF($A1153="","",IF(I1153="","",I1153-SUM(J1153:P1153)))</f>
        <v>2</v>
      </c>
      <c r="V535" s="6" t="s">
        <v>5093</v>
      </c>
      <c r="W535" s="49" t="s">
        <v>774</v>
      </c>
      <c r="X535" s="9" t="s">
        <v>5094</v>
      </c>
      <c r="Y535" s="9" t="s">
        <v>4897</v>
      </c>
      <c r="Z535" s="9" t="s">
        <v>4898</v>
      </c>
      <c r="AA535" s="9" t="s">
        <v>4899</v>
      </c>
    </row>
    <row r="536" customFormat="false" ht="15" hidden="false" customHeight="true" outlineLevel="0" collapsed="false">
      <c r="A536" s="6" t="s">
        <v>2401</v>
      </c>
      <c r="B536" s="6" t="s">
        <v>515</v>
      </c>
      <c r="C536" s="6" t="s">
        <v>521</v>
      </c>
      <c r="D536" s="6" t="n">
        <v>6</v>
      </c>
      <c r="E536" s="9" t="s">
        <v>5002</v>
      </c>
      <c r="F536" s="6" t="n">
        <v>45166</v>
      </c>
      <c r="G536" s="6" t="n">
        <v>45166</v>
      </c>
      <c r="H536" s="6" t="n">
        <v>0</v>
      </c>
      <c r="I536" s="6" t="n">
        <v>20330</v>
      </c>
      <c r="J536" s="6" t="n">
        <v>1212</v>
      </c>
      <c r="K536" s="6" t="n">
        <v>0</v>
      </c>
      <c r="L536" s="6" t="n">
        <v>8490</v>
      </c>
      <c r="M536" s="6" t="n">
        <v>131</v>
      </c>
      <c r="N536" s="6" t="n">
        <v>1400</v>
      </c>
      <c r="O536" s="6" t="n">
        <v>8593</v>
      </c>
      <c r="P536" s="6" t="n">
        <v>504</v>
      </c>
      <c r="Q536" s="1" t="n">
        <f aca="false">IF($A1154="","",IF(OR(F1154="",I1154=""),"",F1154-I1154))</f>
        <v>523670</v>
      </c>
      <c r="R536" s="1" t="str">
        <f aca="false">IF($A1154="","",IF(Q1154="","",Q1154+IF(O1154="",0,O1154)))</f>
        <v/>
      </c>
      <c r="T536" s="1" t="str">
        <f aca="false">IF($A1154="","",IF(R1154="","",R1154-IF(S1154="",0,S1154)))</f>
        <v/>
      </c>
      <c r="U536" s="1" t="n">
        <f aca="false">IF($A1154="","",IF(I1154="","",I1154-SUM(J1154:P1154)))</f>
        <v>0</v>
      </c>
      <c r="V536" s="6" t="s">
        <v>5093</v>
      </c>
      <c r="W536" s="49" t="s">
        <v>774</v>
      </c>
      <c r="X536" s="9" t="s">
        <v>5094</v>
      </c>
      <c r="Y536" s="9" t="s">
        <v>4897</v>
      </c>
      <c r="Z536" s="9" t="s">
        <v>4898</v>
      </c>
      <c r="AA536" s="9" t="s">
        <v>4899</v>
      </c>
    </row>
    <row r="537" customFormat="false" ht="15" hidden="false" customHeight="true" outlineLevel="0" collapsed="false">
      <c r="A537" s="6" t="s">
        <v>2404</v>
      </c>
      <c r="B537" s="6" t="s">
        <v>523</v>
      </c>
      <c r="C537" s="6" t="s">
        <v>529</v>
      </c>
      <c r="D537" s="6" t="n">
        <v>6</v>
      </c>
      <c r="E537" s="9" t="s">
        <v>4894</v>
      </c>
      <c r="F537" s="6" t="n">
        <v>11206538</v>
      </c>
      <c r="G537" s="6" t="n">
        <v>10100506</v>
      </c>
      <c r="H537" s="6" t="n">
        <v>1106031</v>
      </c>
      <c r="I537" s="6" t="n">
        <v>6416161</v>
      </c>
      <c r="J537" s="6" t="n">
        <v>1384712</v>
      </c>
      <c r="K537" s="6" t="n">
        <v>740597</v>
      </c>
      <c r="L537" s="6" t="n">
        <v>827948</v>
      </c>
      <c r="M537" s="6" t="n">
        <v>21745</v>
      </c>
      <c r="N537" s="6" t="n">
        <v>1011352</v>
      </c>
      <c r="O537" s="6" t="n">
        <v>1653117</v>
      </c>
      <c r="P537" s="6" t="n">
        <v>776685</v>
      </c>
      <c r="Q537" s="1" t="n">
        <f aca="false">IF($A449="","",IF(OR(F449="",I449=""),"",F449-I449))</f>
        <v>4790377</v>
      </c>
      <c r="R537" s="1" t="str">
        <f aca="false">IF($A449="","",IF(Q449="","",Q449+IF(O449="",0,O449)))</f>
        <v/>
      </c>
      <c r="S537" s="6" t="n">
        <v>1355308</v>
      </c>
      <c r="T537" s="1" t="str">
        <f aca="false">IF($A449="","",IF(R449="","",R449-IF(S449="",0,S449)))</f>
        <v/>
      </c>
      <c r="U537" s="1" t="n">
        <f aca="false">IF($A449="","",IF(I449="","",I449-SUM(J449:P449)))</f>
        <v>5</v>
      </c>
      <c r="V537" s="6" t="s">
        <v>5121</v>
      </c>
      <c r="W537" s="49" t="s">
        <v>767</v>
      </c>
      <c r="X537" s="9" t="s">
        <v>5122</v>
      </c>
      <c r="Y537" s="9" t="s">
        <v>4897</v>
      </c>
      <c r="Z537" s="9" t="s">
        <v>4898</v>
      </c>
      <c r="AA537" s="9" t="s">
        <v>4899</v>
      </c>
    </row>
    <row r="538" customFormat="false" ht="15" hidden="false" customHeight="true" outlineLevel="0" collapsed="false">
      <c r="A538" s="6" t="s">
        <v>2410</v>
      </c>
      <c r="B538" s="6" t="s">
        <v>523</v>
      </c>
      <c r="C538" s="6" t="s">
        <v>529</v>
      </c>
      <c r="D538" s="6" t="n">
        <v>6</v>
      </c>
      <c r="E538" s="9" t="s">
        <v>5123</v>
      </c>
      <c r="F538" s="6" t="n">
        <v>208000</v>
      </c>
      <c r="G538" s="6" t="n">
        <v>189000</v>
      </c>
      <c r="H538" s="6" t="n">
        <v>19000</v>
      </c>
      <c r="I538" s="6" t="n">
        <v>87000</v>
      </c>
      <c r="J538" s="6" t="n">
        <v>17000</v>
      </c>
      <c r="K538" s="6" t="n">
        <v>8000</v>
      </c>
      <c r="L538" s="6" t="n">
        <v>29000</v>
      </c>
      <c r="M538" s="6" t="n">
        <v>0</v>
      </c>
      <c r="N538" s="6" t="n">
        <v>2000</v>
      </c>
      <c r="O538" s="6" t="n">
        <v>25000</v>
      </c>
      <c r="P538" s="6" t="n">
        <v>4000</v>
      </c>
      <c r="Q538" s="1" t="n">
        <f aca="false">IF($A386="","",IF(OR(F386="",I386=""),"",F386-I386))</f>
        <v>39830</v>
      </c>
      <c r="R538" s="1" t="str">
        <f aca="false">IF($A386="","",IF(Q386="","",Q386+IF(O386="",0,O386)))</f>
        <v/>
      </c>
      <c r="T538" s="1" t="n">
        <f aca="false">IF($A386="","",IF(R386="","",R386-IF(S386="",0,S386)))</f>
        <v>155000</v>
      </c>
      <c r="U538" s="1" t="n">
        <f aca="false">IF($A386="","",IF(I386="","",I386-SUM(J386:P386)))</f>
        <v>2000</v>
      </c>
      <c r="V538" s="6" t="s">
        <v>5124</v>
      </c>
      <c r="W538" s="49" t="s">
        <v>767</v>
      </c>
      <c r="X538" s="9" t="s">
        <v>5125</v>
      </c>
      <c r="Y538" s="9" t="s">
        <v>4897</v>
      </c>
      <c r="Z538" s="9" t="s">
        <v>4898</v>
      </c>
      <c r="AA538" s="9" t="s">
        <v>4903</v>
      </c>
    </row>
    <row r="539" customFormat="false" ht="15" hidden="false" customHeight="true" outlineLevel="0" collapsed="false">
      <c r="A539" s="6" t="s">
        <v>2413</v>
      </c>
      <c r="B539" s="6" t="s">
        <v>523</v>
      </c>
      <c r="C539" s="6" t="s">
        <v>529</v>
      </c>
      <c r="D539" s="6" t="n">
        <v>6</v>
      </c>
      <c r="E539" s="9" t="s">
        <v>5126</v>
      </c>
      <c r="F539" s="6" t="n">
        <v>31000</v>
      </c>
      <c r="G539" s="6" t="n">
        <v>27000</v>
      </c>
      <c r="H539" s="6" t="n">
        <v>3000</v>
      </c>
      <c r="I539" s="6" t="n">
        <v>24000</v>
      </c>
      <c r="J539" s="6" t="n">
        <v>3000</v>
      </c>
      <c r="K539" s="6" t="n">
        <v>3000</v>
      </c>
      <c r="L539" s="6" t="n">
        <v>6000</v>
      </c>
      <c r="M539" s="6" t="n">
        <v>0</v>
      </c>
      <c r="N539" s="6" t="n">
        <v>0</v>
      </c>
      <c r="O539" s="6" t="n">
        <v>10000</v>
      </c>
      <c r="P539" s="6" t="n">
        <v>0</v>
      </c>
      <c r="Q539" s="1" t="n">
        <f aca="false">IF($A387="","",IF(OR(F387="",I387=""),"",F387-I387))</f>
        <v>1815000</v>
      </c>
      <c r="R539" s="1" t="str">
        <f aca="false">IF($A387="","",IF(Q387="","",Q387+IF(O387="",0,O387)))</f>
        <v/>
      </c>
      <c r="T539" s="1" t="n">
        <f aca="false">IF($A387="","",IF(R387="","",R387-IF(S387="",0,S387)))</f>
        <v>72000</v>
      </c>
      <c r="U539" s="1" t="n">
        <f aca="false">IF($A387="","",IF(I387="","",I387-SUM(J387:P387)))</f>
        <v>2000</v>
      </c>
      <c r="V539" s="6" t="s">
        <v>5124</v>
      </c>
      <c r="W539" s="49" t="s">
        <v>767</v>
      </c>
      <c r="X539" s="9" t="s">
        <v>5127</v>
      </c>
      <c r="Y539" s="6" t="s">
        <v>4920</v>
      </c>
      <c r="Z539" s="9" t="s">
        <v>4981</v>
      </c>
      <c r="AA539" s="9" t="s">
        <v>4943</v>
      </c>
    </row>
    <row r="540" customFormat="false" ht="15" hidden="false" customHeight="true" outlineLevel="0" collapsed="false">
      <c r="A540" s="6" t="s">
        <v>2416</v>
      </c>
      <c r="B540" s="6" t="s">
        <v>523</v>
      </c>
      <c r="C540" s="6" t="s">
        <v>529</v>
      </c>
      <c r="D540" s="6" t="n">
        <v>6</v>
      </c>
      <c r="E540" s="9" t="s">
        <v>5123</v>
      </c>
      <c r="F540" s="6" t="n">
        <v>98000</v>
      </c>
      <c r="G540" s="6" t="n">
        <v>87000</v>
      </c>
      <c r="H540" s="6" t="n">
        <v>11000</v>
      </c>
      <c r="I540" s="6" t="n">
        <v>30000</v>
      </c>
      <c r="J540" s="6" t="n">
        <v>7000</v>
      </c>
      <c r="K540" s="6" t="n">
        <v>3000</v>
      </c>
      <c r="L540" s="6" t="n">
        <v>6000</v>
      </c>
      <c r="M540" s="6" t="n">
        <v>0</v>
      </c>
      <c r="N540" s="6" t="n">
        <v>0</v>
      </c>
      <c r="O540" s="6" t="n">
        <v>12000</v>
      </c>
      <c r="P540" s="6" t="n">
        <v>0</v>
      </c>
      <c r="Q540" s="1" t="n">
        <f aca="false">IF($A388="","",IF(OR(F388="",I388=""),"",F388-I388))</f>
        <v>88679</v>
      </c>
      <c r="R540" s="1" t="str">
        <f aca="false">IF($A388="","",IF(Q388="","",Q388+IF(O388="",0,O388)))</f>
        <v/>
      </c>
      <c r="T540" s="1" t="n">
        <f aca="false">IF($A388="","",IF(R388="","",R388-IF(S388="",0,S388)))</f>
        <v>118000</v>
      </c>
      <c r="U540" s="1" t="n">
        <f aca="false">IF($A388="","",IF(I388="","",I388-SUM(J388:P388)))</f>
        <v>2000</v>
      </c>
      <c r="V540" s="6" t="s">
        <v>5124</v>
      </c>
      <c r="W540" s="49" t="s">
        <v>767</v>
      </c>
      <c r="X540" s="9" t="s">
        <v>5128</v>
      </c>
      <c r="Y540" s="9" t="s">
        <v>4897</v>
      </c>
      <c r="Z540" s="9" t="s">
        <v>4898</v>
      </c>
      <c r="AA540" s="9" t="s">
        <v>4903</v>
      </c>
    </row>
    <row r="541" customFormat="false" ht="15" hidden="false" customHeight="true" outlineLevel="0" collapsed="false">
      <c r="A541" s="6" t="s">
        <v>2419</v>
      </c>
      <c r="B541" s="6" t="s">
        <v>523</v>
      </c>
      <c r="C541" s="6" t="s">
        <v>529</v>
      </c>
      <c r="D541" s="6" t="n">
        <v>6</v>
      </c>
      <c r="E541" s="9" t="s">
        <v>5123</v>
      </c>
      <c r="F541" s="6" t="n">
        <v>296000</v>
      </c>
      <c r="G541" s="6" t="n">
        <v>254000</v>
      </c>
      <c r="H541" s="6" t="n">
        <v>42000</v>
      </c>
      <c r="I541" s="6" t="n">
        <v>105000</v>
      </c>
      <c r="J541" s="6" t="n">
        <v>20000</v>
      </c>
      <c r="K541" s="6" t="n">
        <v>28000</v>
      </c>
      <c r="L541" s="6" t="n">
        <v>17000</v>
      </c>
      <c r="M541" s="6" t="n">
        <v>0</v>
      </c>
      <c r="N541" s="6" t="n">
        <v>7000</v>
      </c>
      <c r="O541" s="6" t="n">
        <v>29000</v>
      </c>
      <c r="P541" s="6" t="n">
        <v>1000</v>
      </c>
      <c r="Q541" s="1" t="n">
        <f aca="false">IF($A389="","",IF(OR(F389="",I389=""),"",F389-I389))</f>
        <v>75356</v>
      </c>
      <c r="R541" s="1" t="str">
        <f aca="false">IF($A389="","",IF(Q389="","",Q389+IF(O389="",0,O389)))</f>
        <v/>
      </c>
      <c r="T541" s="1" t="n">
        <f aca="false">IF($A389="","",IF(R389="","",R389-IF(S389="",0,S389)))</f>
        <v>109000</v>
      </c>
      <c r="U541" s="1" t="n">
        <f aca="false">IF($A389="","",IF(I389="","",I389-SUM(J389:P389)))</f>
        <v>3000</v>
      </c>
      <c r="V541" s="6" t="s">
        <v>5124</v>
      </c>
      <c r="W541" s="49" t="s">
        <v>767</v>
      </c>
      <c r="X541" s="9" t="s">
        <v>5129</v>
      </c>
      <c r="Y541" s="9" t="s">
        <v>4897</v>
      </c>
      <c r="Z541" s="9" t="s">
        <v>4898</v>
      </c>
      <c r="AA541" s="9" t="s">
        <v>4903</v>
      </c>
    </row>
    <row r="542" customFormat="false" ht="15" hidden="false" customHeight="true" outlineLevel="0" collapsed="false">
      <c r="A542" s="6" t="s">
        <v>2422</v>
      </c>
      <c r="B542" s="6" t="s">
        <v>523</v>
      </c>
      <c r="C542" s="6" t="s">
        <v>529</v>
      </c>
      <c r="D542" s="6" t="n">
        <v>6</v>
      </c>
      <c r="E542" s="9" t="s">
        <v>5123</v>
      </c>
      <c r="F542" s="6" t="n">
        <v>258000</v>
      </c>
      <c r="G542" s="6" t="n">
        <v>221000</v>
      </c>
      <c r="H542" s="6" t="n">
        <v>36000</v>
      </c>
      <c r="I542" s="6" t="n">
        <v>112000</v>
      </c>
      <c r="J542" s="6" t="n">
        <v>25000</v>
      </c>
      <c r="K542" s="6" t="n">
        <v>14000</v>
      </c>
      <c r="L542" s="6" t="n">
        <v>22000</v>
      </c>
      <c r="M542" s="6" t="n">
        <v>0</v>
      </c>
      <c r="N542" s="6" t="n">
        <v>1000</v>
      </c>
      <c r="O542" s="6" t="n">
        <v>47000</v>
      </c>
      <c r="P542" s="6" t="n">
        <v>2000</v>
      </c>
      <c r="Q542" s="1" t="n">
        <f aca="false">IF($A390="","",IF(OR(F390="",I390=""),"",F390-I390))</f>
        <v>300034</v>
      </c>
      <c r="R542" s="1" t="str">
        <f aca="false">IF($A390="","",IF(Q390="","",Q390+IF(O390="",0,O390)))</f>
        <v/>
      </c>
      <c r="T542" s="1" t="n">
        <f aca="false">IF($A390="","",IF(R390="","",R390-IF(S390="",0,S390)))</f>
        <v>949000</v>
      </c>
      <c r="U542" s="1" t="n">
        <f aca="false">IF($A390="","",IF(I390="","",I390-SUM(J390:P390)))</f>
        <v>1000</v>
      </c>
      <c r="V542" s="6" t="s">
        <v>5124</v>
      </c>
      <c r="W542" s="49" t="s">
        <v>767</v>
      </c>
      <c r="X542" s="9" t="s">
        <v>5130</v>
      </c>
      <c r="Y542" s="9" t="s">
        <v>4897</v>
      </c>
      <c r="Z542" s="9" t="s">
        <v>4898</v>
      </c>
      <c r="AA542" s="9" t="s">
        <v>4903</v>
      </c>
    </row>
    <row r="543" customFormat="false" ht="15" hidden="false" customHeight="true" outlineLevel="0" collapsed="false">
      <c r="A543" s="6" t="s">
        <v>2425</v>
      </c>
      <c r="B543" s="6" t="s">
        <v>523</v>
      </c>
      <c r="C543" s="6" t="s">
        <v>529</v>
      </c>
      <c r="D543" s="6" t="n">
        <v>6</v>
      </c>
      <c r="E543" s="9" t="s">
        <v>5123</v>
      </c>
      <c r="F543" s="6" t="n">
        <v>327000</v>
      </c>
      <c r="G543" s="6" t="n">
        <v>305000</v>
      </c>
      <c r="H543" s="6" t="n">
        <v>21000</v>
      </c>
      <c r="I543" s="6" t="n">
        <v>158000</v>
      </c>
      <c r="J543" s="6" t="n">
        <v>31000</v>
      </c>
      <c r="K543" s="6" t="n">
        <v>19000</v>
      </c>
      <c r="L543" s="6" t="n">
        <v>44000</v>
      </c>
      <c r="M543" s="6" t="n">
        <v>0</v>
      </c>
      <c r="N543" s="6" t="n">
        <v>5000</v>
      </c>
      <c r="O543" s="6" t="n">
        <v>51000</v>
      </c>
      <c r="P543" s="6" t="n">
        <v>5000</v>
      </c>
      <c r="Q543" s="1" t="n">
        <f aca="false">IF($A391="","",IF(OR(F391="",I391=""),"",F391-I391))</f>
        <v>-34077</v>
      </c>
      <c r="R543" s="1" t="str">
        <f aca="false">IF($A391="","",IF(Q391="","",Q391+IF(O391="",0,O391)))</f>
        <v/>
      </c>
      <c r="T543" s="1" t="n">
        <f aca="false">IF($A391="","",IF(R391="","",R391-IF(S391="",0,S391)))</f>
        <v>432000</v>
      </c>
      <c r="U543" s="1" t="n">
        <f aca="false">IF($A391="","",IF(I391="","",I391-SUM(J391:P391)))</f>
        <v>3000</v>
      </c>
      <c r="V543" s="6" t="s">
        <v>5124</v>
      </c>
      <c r="W543" s="49" t="s">
        <v>767</v>
      </c>
      <c r="X543" s="9" t="s">
        <v>5131</v>
      </c>
      <c r="Y543" s="9" t="s">
        <v>4897</v>
      </c>
      <c r="Z543" s="9" t="s">
        <v>4898</v>
      </c>
      <c r="AA543" s="9" t="s">
        <v>4903</v>
      </c>
    </row>
    <row r="544" customFormat="false" ht="15" hidden="false" customHeight="true" outlineLevel="0" collapsed="false">
      <c r="A544" s="6" t="s">
        <v>2428</v>
      </c>
      <c r="B544" s="6" t="s">
        <v>523</v>
      </c>
      <c r="C544" s="6" t="s">
        <v>529</v>
      </c>
      <c r="D544" s="6" t="n">
        <v>6</v>
      </c>
      <c r="E544" s="9" t="s">
        <v>5132</v>
      </c>
      <c r="F544" s="1" t="n">
        <v>504000</v>
      </c>
      <c r="Q544" s="1" t="str">
        <f aca="false">IF($A392="","",IF(OR(F392="",I392=""),"",F392-I392))</f>
        <v/>
      </c>
      <c r="R544" s="1" t="str">
        <f aca="false">IF($A392="","",IF(Q392="","",Q392+IF(O392="",0,O392)))</f>
        <v/>
      </c>
      <c r="T544" s="1" t="n">
        <f aca="false">IF($A392="","",IF(R392="","",R392-IF(S392="",0,S392)))</f>
        <v>412000</v>
      </c>
      <c r="U544" s="1" t="str">
        <f aca="false">IF($A392="","",IF(I392="","",I392-SUM(J392:P392)))</f>
        <v/>
      </c>
      <c r="V544" s="6" t="s">
        <v>5133</v>
      </c>
      <c r="W544" s="49" t="s">
        <v>774</v>
      </c>
      <c r="X544" s="9" t="s">
        <v>5134</v>
      </c>
      <c r="Y544" s="9" t="s">
        <v>4897</v>
      </c>
      <c r="Z544" s="9" t="s">
        <v>4898</v>
      </c>
      <c r="AA544" s="9" t="s">
        <v>4899</v>
      </c>
    </row>
    <row r="545" customFormat="false" ht="15" hidden="false" customHeight="true" outlineLevel="0" collapsed="false">
      <c r="A545" s="6" t="s">
        <v>2431</v>
      </c>
      <c r="B545" s="6" t="s">
        <v>523</v>
      </c>
      <c r="C545" s="6" t="s">
        <v>529</v>
      </c>
      <c r="D545" s="6" t="n">
        <v>6</v>
      </c>
      <c r="E545" s="9" t="s">
        <v>5123</v>
      </c>
      <c r="F545" s="6" t="n">
        <v>1065000</v>
      </c>
      <c r="G545" s="6" t="n">
        <v>948000</v>
      </c>
      <c r="H545" s="6" t="n">
        <v>116000</v>
      </c>
      <c r="I545" s="6" t="n">
        <v>605000</v>
      </c>
      <c r="J545" s="6" t="n">
        <v>135000</v>
      </c>
      <c r="K545" s="6" t="n">
        <v>145000</v>
      </c>
      <c r="L545" s="6" t="n">
        <v>99000</v>
      </c>
      <c r="M545" s="6" t="n">
        <v>0</v>
      </c>
      <c r="N545" s="6" t="n">
        <v>105000</v>
      </c>
      <c r="O545" s="6" t="n">
        <v>107000</v>
      </c>
      <c r="P545" s="6" t="n">
        <v>11000</v>
      </c>
      <c r="Q545" s="1" t="n">
        <f aca="false">IF($A393="","",IF(OR(F393="",I393=""),"",F393-I393))</f>
        <v>-250746</v>
      </c>
      <c r="R545" s="1" t="str">
        <f aca="false">IF($A393="","",IF(Q393="","",Q393+IF(O393="",0,O393)))</f>
        <v/>
      </c>
      <c r="T545" s="1" t="n">
        <f aca="false">IF($A393="","",IF(R393="","",R393-IF(S393="",0,S393)))</f>
        <v>130000</v>
      </c>
      <c r="U545" s="1" t="n">
        <f aca="false">IF($A393="","",IF(I393="","",I393-SUM(J393:P393)))</f>
        <v>3000</v>
      </c>
      <c r="V545" s="6" t="s">
        <v>5124</v>
      </c>
      <c r="W545" s="49" t="s">
        <v>767</v>
      </c>
      <c r="X545" s="9" t="s">
        <v>5135</v>
      </c>
      <c r="Y545" s="6" t="s">
        <v>4920</v>
      </c>
      <c r="Z545" s="9" t="s">
        <v>4921</v>
      </c>
      <c r="AA545" s="9" t="s">
        <v>4903</v>
      </c>
    </row>
    <row r="546" customFormat="false" ht="15" hidden="false" customHeight="true" outlineLevel="0" collapsed="false">
      <c r="A546" s="6" t="s">
        <v>2434</v>
      </c>
      <c r="B546" s="6" t="s">
        <v>523</v>
      </c>
      <c r="C546" s="6" t="s">
        <v>529</v>
      </c>
      <c r="D546" s="6" t="n">
        <v>6</v>
      </c>
      <c r="E546" s="9" t="s">
        <v>5132</v>
      </c>
      <c r="F546" s="1" t="n">
        <v>63000</v>
      </c>
      <c r="Q546" s="1" t="str">
        <f aca="false">IF($A394="","",IF(OR(F394="",I394=""),"",F394-I394))</f>
        <v/>
      </c>
      <c r="R546" s="1" t="str">
        <f aca="false">IF($A394="","",IF(Q394="","",Q394+IF(O394="",0,O394)))</f>
        <v/>
      </c>
      <c r="T546" s="1" t="n">
        <f aca="false">IF($A394="","",IF(R394="","",R394-IF(S394="",0,S394)))</f>
        <v>207000</v>
      </c>
      <c r="U546" s="1" t="str">
        <f aca="false">IF($A394="","",IF(I394="","",I394-SUM(J394:P394)))</f>
        <v/>
      </c>
      <c r="V546" s="6" t="s">
        <v>5133</v>
      </c>
      <c r="W546" s="49" t="s">
        <v>774</v>
      </c>
      <c r="X546" s="9" t="s">
        <v>5136</v>
      </c>
      <c r="Y546" s="6" t="s">
        <v>4920</v>
      </c>
      <c r="Z546" s="9" t="s">
        <v>4921</v>
      </c>
      <c r="AA546" s="9" t="s">
        <v>4899</v>
      </c>
    </row>
    <row r="547" customFormat="false" ht="15" hidden="false" customHeight="true" outlineLevel="0" collapsed="false">
      <c r="A547" s="6" t="s">
        <v>2437</v>
      </c>
      <c r="B547" s="6" t="s">
        <v>523</v>
      </c>
      <c r="C547" s="6" t="s">
        <v>529</v>
      </c>
      <c r="D547" s="6" t="n">
        <v>6</v>
      </c>
      <c r="E547" s="9" t="s">
        <v>5132</v>
      </c>
      <c r="F547" s="1" t="n">
        <v>70000</v>
      </c>
      <c r="Q547" s="1" t="str">
        <f aca="false">IF($A395="","",IF(OR(F395="",I395=""),"",F395-I395))</f>
        <v/>
      </c>
      <c r="R547" s="1" t="str">
        <f aca="false">IF($A395="","",IF(Q395="","",Q395+IF(O395="",0,O395)))</f>
        <v/>
      </c>
      <c r="T547" s="1" t="n">
        <f aca="false">IF($A395="","",IF(R395="","",R395-IF(S395="",0,S395)))</f>
        <v>107000</v>
      </c>
      <c r="U547" s="1" t="str">
        <f aca="false">IF($A395="","",IF(I395="","",I395-SUM(J395:P395)))</f>
        <v/>
      </c>
      <c r="V547" s="6" t="s">
        <v>5133</v>
      </c>
      <c r="W547" s="49" t="s">
        <v>774</v>
      </c>
      <c r="X547" s="9" t="s">
        <v>5137</v>
      </c>
      <c r="Y547" s="6" t="s">
        <v>4920</v>
      </c>
      <c r="Z547" s="9" t="s">
        <v>4921</v>
      </c>
      <c r="AA547" s="9" t="s">
        <v>4899</v>
      </c>
    </row>
    <row r="548" customFormat="false" ht="15" hidden="false" customHeight="true" outlineLevel="0" collapsed="false">
      <c r="A548" s="6" t="s">
        <v>2440</v>
      </c>
      <c r="B548" s="6" t="s">
        <v>523</v>
      </c>
      <c r="C548" s="6" t="s">
        <v>529</v>
      </c>
      <c r="D548" s="6" t="n">
        <v>6</v>
      </c>
      <c r="E548" s="9" t="s">
        <v>5132</v>
      </c>
      <c r="F548" s="1" t="n">
        <v>64000</v>
      </c>
      <c r="Q548" s="1" t="str">
        <f aca="false">IF($A396="","",IF(OR(F396="",I396=""),"",F396-I396))</f>
        <v/>
      </c>
      <c r="R548" s="1" t="str">
        <f aca="false">IF($A396="","",IF(Q396="","",Q396+IF(O396="",0,O396)))</f>
        <v/>
      </c>
      <c r="T548" s="1" t="n">
        <f aca="false">IF($A396="","",IF(R396="","",R396-IF(S396="",0,S396)))</f>
        <v>328000</v>
      </c>
      <c r="U548" s="1" t="str">
        <f aca="false">IF($A396="","",IF(I396="","",I396-SUM(J396:P396)))</f>
        <v/>
      </c>
      <c r="V548" s="6" t="s">
        <v>5133</v>
      </c>
      <c r="W548" s="49" t="s">
        <v>774</v>
      </c>
      <c r="X548" s="9" t="s">
        <v>5138</v>
      </c>
      <c r="Y548" s="9" t="s">
        <v>4897</v>
      </c>
      <c r="Z548" s="9" t="s">
        <v>4898</v>
      </c>
      <c r="AA548" s="9" t="s">
        <v>4899</v>
      </c>
    </row>
    <row r="549" customFormat="false" ht="15" hidden="false" customHeight="true" outlineLevel="0" collapsed="false">
      <c r="A549" s="6" t="s">
        <v>2442</v>
      </c>
      <c r="B549" s="6" t="s">
        <v>523</v>
      </c>
      <c r="C549" s="6" t="s">
        <v>529</v>
      </c>
      <c r="D549" s="6" t="n">
        <v>6</v>
      </c>
      <c r="E549" s="9" t="s">
        <v>5132</v>
      </c>
      <c r="F549" s="1" t="n">
        <v>86000</v>
      </c>
      <c r="Q549" s="1" t="str">
        <f aca="false">IF($A397="","",IF(OR(F397="",I397=""),"",F397-I397))</f>
        <v/>
      </c>
      <c r="R549" s="1" t="str">
        <f aca="false">IF($A397="","",IF(Q397="","",Q397+IF(O397="",0,O397)))</f>
        <v/>
      </c>
      <c r="T549" s="1" t="n">
        <f aca="false">IF($A397="","",IF(R397="","",R397-IF(S397="",0,S397)))</f>
        <v>217000</v>
      </c>
      <c r="U549" s="1" t="str">
        <f aca="false">IF($A397="","",IF(I397="","",I397-SUM(J397:P397)))</f>
        <v/>
      </c>
      <c r="V549" s="6" t="s">
        <v>5133</v>
      </c>
      <c r="W549" s="49" t="s">
        <v>774</v>
      </c>
      <c r="X549" s="9" t="s">
        <v>5139</v>
      </c>
      <c r="Y549" s="9" t="s">
        <v>4897</v>
      </c>
      <c r="Z549" s="9" t="s">
        <v>4898</v>
      </c>
      <c r="AA549" s="9" t="s">
        <v>4899</v>
      </c>
    </row>
    <row r="550" customFormat="false" ht="15" hidden="false" customHeight="true" outlineLevel="0" collapsed="false">
      <c r="A550" s="6" t="s">
        <v>2445</v>
      </c>
      <c r="B550" s="6" t="s">
        <v>523</v>
      </c>
      <c r="C550" s="6" t="s">
        <v>529</v>
      </c>
      <c r="D550" s="6" t="n">
        <v>6</v>
      </c>
      <c r="E550" s="9" t="s">
        <v>5123</v>
      </c>
      <c r="F550" s="6" t="n">
        <v>98000</v>
      </c>
      <c r="G550" s="6" t="n">
        <v>85000</v>
      </c>
      <c r="H550" s="6" t="n">
        <v>12000</v>
      </c>
      <c r="I550" s="6" t="n">
        <v>45000</v>
      </c>
      <c r="J550" s="6" t="n">
        <v>10000</v>
      </c>
      <c r="K550" s="6" t="n">
        <v>9000</v>
      </c>
      <c r="L550" s="6" t="n">
        <v>8000</v>
      </c>
      <c r="M550" s="6" t="n">
        <v>0</v>
      </c>
      <c r="N550" s="6" t="n">
        <v>0</v>
      </c>
      <c r="O550" s="6" t="n">
        <v>15000</v>
      </c>
      <c r="P550" s="6" t="n">
        <v>1000</v>
      </c>
      <c r="Q550" s="1" t="n">
        <f aca="false">IF($A398="","",IF(OR(F398="",I398=""),"",F398-I398))</f>
        <v>53000</v>
      </c>
      <c r="R550" s="1" t="str">
        <f aca="false">IF($A398="","",IF(Q398="","",Q398+IF(O398="",0,O398)))</f>
        <v/>
      </c>
      <c r="T550" s="1" t="n">
        <f aca="false">IF($A398="","",IF(R398="","",R398-IF(S398="",0,S398)))</f>
        <v>122000</v>
      </c>
      <c r="U550" s="1" t="n">
        <f aca="false">IF($A398="","",IF(I398="","",I398-SUM(J398:P398)))</f>
        <v>2000</v>
      </c>
      <c r="V550" s="6" t="s">
        <v>5124</v>
      </c>
      <c r="W550" s="9" t="s">
        <v>767</v>
      </c>
      <c r="X550" s="9" t="s">
        <v>5140</v>
      </c>
      <c r="Y550" s="9" t="s">
        <v>4897</v>
      </c>
      <c r="Z550" s="9" t="s">
        <v>4898</v>
      </c>
      <c r="AA550" s="9" t="s">
        <v>4903</v>
      </c>
    </row>
    <row r="551" customFormat="false" ht="15" hidden="false" customHeight="true" outlineLevel="0" collapsed="false">
      <c r="A551" s="6" t="s">
        <v>2448</v>
      </c>
      <c r="B551" s="6" t="s">
        <v>523</v>
      </c>
      <c r="C551" s="6" t="s">
        <v>529</v>
      </c>
      <c r="D551" s="6" t="n">
        <v>6</v>
      </c>
      <c r="E551" s="9" t="s">
        <v>5123</v>
      </c>
      <c r="F551" s="6" t="n">
        <v>132000</v>
      </c>
      <c r="G551" s="6" t="n">
        <v>116000</v>
      </c>
      <c r="H551" s="6" t="n">
        <v>15000</v>
      </c>
      <c r="I551" s="6" t="n">
        <v>68000</v>
      </c>
      <c r="J551" s="6" t="n">
        <v>14000</v>
      </c>
      <c r="K551" s="6" t="n">
        <v>9000</v>
      </c>
      <c r="L551" s="6" t="n">
        <v>9000</v>
      </c>
      <c r="M551" s="6" t="n">
        <v>0</v>
      </c>
      <c r="N551" s="6" t="n">
        <v>0</v>
      </c>
      <c r="O551" s="6" t="n">
        <v>16000</v>
      </c>
      <c r="P551" s="6" t="n">
        <v>18000</v>
      </c>
      <c r="Q551" s="1" t="n">
        <f aca="false">IF($A399="","",IF(OR(F399="",I399=""),"",F399-I399))</f>
        <v>134859</v>
      </c>
      <c r="R551" s="1" t="str">
        <f aca="false">IF($A399="","",IF(Q399="","",Q399+IF(O399="",0,O399)))</f>
        <v/>
      </c>
      <c r="T551" s="1" t="n">
        <f aca="false">IF($A399="","",IF(R399="","",R399-IF(S399="",0,S399)))</f>
        <v>129000</v>
      </c>
      <c r="U551" s="1" t="n">
        <f aca="false">IF($A399="","",IF(I399="","",I399-SUM(J399:P399)))</f>
        <v>2000</v>
      </c>
      <c r="V551" s="6" t="s">
        <v>5124</v>
      </c>
      <c r="W551" s="49" t="s">
        <v>767</v>
      </c>
      <c r="X551" s="9" t="s">
        <v>5141</v>
      </c>
      <c r="Y551" s="9" t="s">
        <v>4897</v>
      </c>
      <c r="Z551" s="9" t="s">
        <v>4898</v>
      </c>
      <c r="AA551" s="9" t="s">
        <v>4903</v>
      </c>
    </row>
    <row r="552" customFormat="false" ht="15" hidden="false" customHeight="true" outlineLevel="0" collapsed="false">
      <c r="A552" s="6" t="s">
        <v>2451</v>
      </c>
      <c r="B552" s="6" t="s">
        <v>523</v>
      </c>
      <c r="C552" s="6" t="s">
        <v>529</v>
      </c>
      <c r="D552" s="6" t="n">
        <v>6</v>
      </c>
      <c r="E552" s="9" t="s">
        <v>5123</v>
      </c>
      <c r="F552" s="6" t="n">
        <v>107000</v>
      </c>
      <c r="G552" s="6" t="n">
        <v>94000</v>
      </c>
      <c r="H552" s="6" t="n">
        <v>12000</v>
      </c>
      <c r="I552" s="6" t="n">
        <v>51000</v>
      </c>
      <c r="J552" s="6" t="n">
        <v>10000</v>
      </c>
      <c r="K552" s="6" t="n">
        <v>7000</v>
      </c>
      <c r="L552" s="6" t="n">
        <v>10000</v>
      </c>
      <c r="M552" s="6" t="n">
        <v>0</v>
      </c>
      <c r="N552" s="6" t="n">
        <v>7000</v>
      </c>
      <c r="O552" s="6" t="n">
        <v>14000</v>
      </c>
      <c r="P552" s="6" t="n">
        <v>1000</v>
      </c>
      <c r="Q552" s="1" t="n">
        <f aca="false">IF($A400="","",IF(OR(F400="",I400=""),"",F400-I400))</f>
        <v>37804</v>
      </c>
      <c r="R552" s="1" t="str">
        <f aca="false">IF($A400="","",IF(Q400="","",Q400+IF(O400="",0,O400)))</f>
        <v/>
      </c>
      <c r="T552" s="1" t="n">
        <f aca="false">IF($A400="","",IF(R400="","",R400-IF(S400="",0,S400)))</f>
        <v>480000</v>
      </c>
      <c r="U552" s="1" t="n">
        <f aca="false">IF($A400="","",IF(I400="","",I400-SUM(J400:P400)))</f>
        <v>2000</v>
      </c>
      <c r="V552" s="6" t="s">
        <v>5124</v>
      </c>
      <c r="W552" s="9" t="s">
        <v>767</v>
      </c>
      <c r="X552" s="9" t="s">
        <v>5142</v>
      </c>
      <c r="Y552" s="9" t="s">
        <v>4897</v>
      </c>
      <c r="Z552" s="9" t="s">
        <v>4898</v>
      </c>
      <c r="AA552" s="9" t="s">
        <v>4903</v>
      </c>
    </row>
    <row r="553" customFormat="false" ht="15" hidden="false" customHeight="true" outlineLevel="0" collapsed="false">
      <c r="A553" s="6" t="s">
        <v>2454</v>
      </c>
      <c r="B553" s="6" t="s">
        <v>523</v>
      </c>
      <c r="C553" s="6" t="s">
        <v>529</v>
      </c>
      <c r="D553" s="6" t="n">
        <v>6</v>
      </c>
      <c r="E553" s="9" t="s">
        <v>5123</v>
      </c>
      <c r="F553" s="6" t="n">
        <v>216000</v>
      </c>
      <c r="G553" s="6" t="n">
        <v>192000</v>
      </c>
      <c r="H553" s="6" t="n">
        <v>23000</v>
      </c>
      <c r="I553" s="6" t="n">
        <v>67000</v>
      </c>
      <c r="J553" s="6" t="n">
        <v>13000</v>
      </c>
      <c r="K553" s="6" t="n">
        <v>12000</v>
      </c>
      <c r="L553" s="6" t="n">
        <v>14000</v>
      </c>
      <c r="M553" s="6" t="n">
        <v>0</v>
      </c>
      <c r="N553" s="6" t="n">
        <v>0</v>
      </c>
      <c r="O553" s="6" t="n">
        <v>22000</v>
      </c>
      <c r="P553" s="6" t="n">
        <v>4000</v>
      </c>
      <c r="Q553" s="1" t="n">
        <f aca="false">IF($A401="","",IF(OR(F401="",I401=""),"",F401-I401))</f>
        <v>206348</v>
      </c>
      <c r="R553" s="1" t="str">
        <f aca="false">IF($A401="","",IF(Q401="","",Q401+IF(O401="",0,O401)))</f>
        <v/>
      </c>
      <c r="T553" s="1" t="n">
        <f aca="false">IF($A401="","",IF(R401="","",R401-IF(S401="",0,S401)))</f>
        <v>240000</v>
      </c>
      <c r="U553" s="1" t="n">
        <f aca="false">IF($A401="","",IF(I401="","",I401-SUM(J401:P401)))</f>
        <v>2000</v>
      </c>
      <c r="V553" s="6" t="s">
        <v>5124</v>
      </c>
      <c r="W553" s="49" t="s">
        <v>767</v>
      </c>
      <c r="X553" s="9" t="s">
        <v>5143</v>
      </c>
      <c r="Y553" s="9" t="s">
        <v>4897</v>
      </c>
      <c r="Z553" s="9" t="s">
        <v>4898</v>
      </c>
      <c r="AA553" s="9" t="s">
        <v>4903</v>
      </c>
    </row>
    <row r="554" customFormat="false" ht="15" hidden="false" customHeight="true" outlineLevel="0" collapsed="false">
      <c r="A554" s="6" t="s">
        <v>2457</v>
      </c>
      <c r="B554" s="6" t="s">
        <v>523</v>
      </c>
      <c r="C554" s="6" t="s">
        <v>529</v>
      </c>
      <c r="D554" s="6" t="n">
        <v>6</v>
      </c>
      <c r="E554" s="9" t="s">
        <v>5123</v>
      </c>
      <c r="F554" s="6" t="n">
        <v>763000</v>
      </c>
      <c r="G554" s="6" t="n">
        <v>656000</v>
      </c>
      <c r="H554" s="6" t="n">
        <v>106000</v>
      </c>
      <c r="I554" s="6" t="n">
        <v>369000</v>
      </c>
      <c r="J554" s="6" t="n">
        <v>71000</v>
      </c>
      <c r="K554" s="6" t="n">
        <v>68000</v>
      </c>
      <c r="L554" s="6" t="n">
        <v>37000</v>
      </c>
      <c r="M554" s="6" t="n">
        <v>0</v>
      </c>
      <c r="N554" s="6" t="n">
        <v>14000</v>
      </c>
      <c r="O554" s="6" t="n">
        <v>170000</v>
      </c>
      <c r="P554" s="6" t="n">
        <v>5000</v>
      </c>
      <c r="Q554" s="1" t="n">
        <f aca="false">IF($A402="","",IF(OR(F402="",I402=""),"",F402-I402))</f>
        <v>-230653</v>
      </c>
      <c r="R554" s="1" t="str">
        <f aca="false">IF($A402="","",IF(Q402="","",Q402+IF(O402="",0,O402)))</f>
        <v/>
      </c>
      <c r="T554" s="1" t="n">
        <f aca="false">IF($A402="","",IF(R402="","",R402-IF(S402="",0,S402)))</f>
        <v>414000</v>
      </c>
      <c r="U554" s="1" t="n">
        <f aca="false">IF($A402="","",IF(I402="","",I402-SUM(J402:P402)))</f>
        <v>4000</v>
      </c>
      <c r="V554" s="6" t="s">
        <v>5124</v>
      </c>
      <c r="W554" s="49" t="s">
        <v>767</v>
      </c>
      <c r="X554" s="9" t="s">
        <v>5144</v>
      </c>
      <c r="Y554" s="9" t="s">
        <v>4897</v>
      </c>
      <c r="Z554" s="9" t="s">
        <v>4898</v>
      </c>
      <c r="AA554" s="9" t="s">
        <v>4903</v>
      </c>
    </row>
    <row r="555" customFormat="false" ht="15" hidden="false" customHeight="true" outlineLevel="0" collapsed="false">
      <c r="A555" s="6" t="s">
        <v>2460</v>
      </c>
      <c r="B555" s="6" t="s">
        <v>523</v>
      </c>
      <c r="C555" s="6" t="s">
        <v>529</v>
      </c>
      <c r="D555" s="6" t="n">
        <v>6</v>
      </c>
      <c r="E555" s="9" t="s">
        <v>5123</v>
      </c>
      <c r="F555" s="6" t="n">
        <v>250000</v>
      </c>
      <c r="G555" s="6" t="n">
        <v>238000</v>
      </c>
      <c r="H555" s="6" t="n">
        <v>11000</v>
      </c>
      <c r="I555" s="6" t="n">
        <v>121000</v>
      </c>
      <c r="J555" s="6" t="n">
        <v>29000</v>
      </c>
      <c r="K555" s="6" t="n">
        <v>14000</v>
      </c>
      <c r="L555" s="6" t="n">
        <v>19000</v>
      </c>
      <c r="M555" s="6" t="n">
        <v>0</v>
      </c>
      <c r="N555" s="6" t="n">
        <v>1000</v>
      </c>
      <c r="O555" s="6" t="n">
        <v>51000</v>
      </c>
      <c r="P555" s="6" t="n">
        <v>4000</v>
      </c>
      <c r="Q555" s="1" t="n">
        <f aca="false">IF($A403="","",IF(OR(F403="",I403=""),"",F403-I403))</f>
        <v>11043</v>
      </c>
      <c r="R555" s="1" t="str">
        <f aca="false">IF($A403="","",IF(Q403="","",Q403+IF(O403="",0,O403)))</f>
        <v/>
      </c>
      <c r="T555" s="1" t="n">
        <f aca="false">IF($A403="","",IF(R403="","",R403-IF(S403="",0,S403)))</f>
        <v>409000</v>
      </c>
      <c r="U555" s="1" t="n">
        <f aca="false">IF($A403="","",IF(I403="","",I403-SUM(J403:P403)))</f>
        <v>3000</v>
      </c>
      <c r="V555" s="6" t="s">
        <v>5124</v>
      </c>
      <c r="W555" s="49" t="s">
        <v>767</v>
      </c>
      <c r="X555" s="9" t="s">
        <v>5145</v>
      </c>
      <c r="Y555" s="9" t="s">
        <v>4897</v>
      </c>
      <c r="Z555" s="9" t="s">
        <v>4898</v>
      </c>
      <c r="AA555" s="9" t="s">
        <v>4903</v>
      </c>
    </row>
    <row r="556" customFormat="false" ht="15" hidden="false" customHeight="true" outlineLevel="0" collapsed="false">
      <c r="A556" s="6" t="s">
        <v>2463</v>
      </c>
      <c r="B556" s="6" t="s">
        <v>523</v>
      </c>
      <c r="C556" s="6" t="s">
        <v>529</v>
      </c>
      <c r="D556" s="6" t="n">
        <v>6</v>
      </c>
      <c r="E556" s="9" t="s">
        <v>5123</v>
      </c>
      <c r="F556" s="6" t="n">
        <v>208000</v>
      </c>
      <c r="G556" s="6" t="n">
        <v>192000</v>
      </c>
      <c r="H556" s="6" t="n">
        <v>15000</v>
      </c>
      <c r="I556" s="6" t="n">
        <v>106000</v>
      </c>
      <c r="J556" s="6" t="n">
        <v>18000</v>
      </c>
      <c r="K556" s="6" t="n">
        <v>15000</v>
      </c>
      <c r="L556" s="6" t="n">
        <v>21000</v>
      </c>
      <c r="M556" s="6" t="n">
        <v>0</v>
      </c>
      <c r="N556" s="6" t="n">
        <v>10000</v>
      </c>
      <c r="O556" s="6" t="n">
        <v>37000</v>
      </c>
      <c r="P556" s="6" t="n">
        <v>1000</v>
      </c>
      <c r="Q556" s="1" t="n">
        <f aca="false">IF($A404="","",IF(OR(F404="",I404=""),"",F404-I404))</f>
        <v>18848</v>
      </c>
      <c r="R556" s="1" t="n">
        <f aca="false">IF($A404="","",IF(Q404="","",Q404+IF(O404="",0,O404)))</f>
        <v>4976181</v>
      </c>
      <c r="T556" s="1" t="n">
        <f aca="false">IF($A404="","",IF(R404="","",R404-IF(S404="",0,S404)))</f>
        <v>-2051398</v>
      </c>
      <c r="U556" s="1" t="n">
        <f aca="false">IF($A404="","",IF(I404="","",I404-SUM(J404:P404)))</f>
        <v>4000</v>
      </c>
      <c r="V556" s="6" t="s">
        <v>5124</v>
      </c>
      <c r="W556" s="49" t="s">
        <v>767</v>
      </c>
      <c r="X556" s="9" t="s">
        <v>5146</v>
      </c>
      <c r="Y556" s="9" t="s">
        <v>4897</v>
      </c>
      <c r="Z556" s="9" t="s">
        <v>4898</v>
      </c>
      <c r="AA556" s="9" t="s">
        <v>4903</v>
      </c>
    </row>
    <row r="557" customFormat="false" ht="15" hidden="false" customHeight="true" outlineLevel="0" collapsed="false">
      <c r="A557" s="6" t="s">
        <v>2466</v>
      </c>
      <c r="B557" s="6" t="s">
        <v>523</v>
      </c>
      <c r="C557" s="6" t="s">
        <v>529</v>
      </c>
      <c r="D557" s="6" t="n">
        <v>6</v>
      </c>
      <c r="E557" s="9" t="s">
        <v>5132</v>
      </c>
      <c r="F557" s="1" t="n">
        <v>40000</v>
      </c>
      <c r="Q557" s="1" t="str">
        <f aca="false">IF($A405="","",IF(OR(F405="",I405=""),"",F405-I405))</f>
        <v/>
      </c>
      <c r="R557" s="1" t="str">
        <f aca="false">IF($A405="","",IF(Q405="","",Q405+IF(O405="",0,O405)))</f>
        <v/>
      </c>
      <c r="T557" s="1" t="str">
        <f aca="false">IF($A405="","",IF(R405="","",R405-IF(S405="",0,S405)))</f>
        <v/>
      </c>
      <c r="U557" s="1" t="str">
        <f aca="false">IF($A405="","",IF(I405="","",I405-SUM(J405:P405)))</f>
        <v/>
      </c>
      <c r="V557" s="6" t="s">
        <v>5133</v>
      </c>
      <c r="W557" s="49" t="s">
        <v>774</v>
      </c>
      <c r="X557" s="9" t="s">
        <v>5147</v>
      </c>
      <c r="Y557" s="9" t="s">
        <v>4897</v>
      </c>
      <c r="Z557" s="9" t="s">
        <v>4898</v>
      </c>
      <c r="AA557" s="9" t="s">
        <v>4899</v>
      </c>
    </row>
    <row r="558" customFormat="false" ht="15" hidden="false" customHeight="true" outlineLevel="0" collapsed="false">
      <c r="A558" s="6" t="s">
        <v>2469</v>
      </c>
      <c r="B558" s="6" t="s">
        <v>523</v>
      </c>
      <c r="C558" s="6" t="s">
        <v>529</v>
      </c>
      <c r="D558" s="6" t="n">
        <v>6</v>
      </c>
      <c r="E558" s="9" t="s">
        <v>5123</v>
      </c>
      <c r="F558" s="6" t="n">
        <v>159000</v>
      </c>
      <c r="G558" s="6" t="n">
        <v>137000</v>
      </c>
      <c r="H558" s="6" t="n">
        <v>22000</v>
      </c>
      <c r="I558" s="6" t="n">
        <v>76000</v>
      </c>
      <c r="J558" s="6" t="n">
        <v>14000</v>
      </c>
      <c r="K558" s="6" t="n">
        <v>9000</v>
      </c>
      <c r="L558" s="6" t="n">
        <v>13000</v>
      </c>
      <c r="M558" s="6" t="n">
        <v>0</v>
      </c>
      <c r="N558" s="6" t="n">
        <v>0</v>
      </c>
      <c r="O558" s="6" t="n">
        <v>36000</v>
      </c>
      <c r="P558" s="6" t="n">
        <v>1000</v>
      </c>
      <c r="Q558" s="1" t="n">
        <f aca="false">IF($A406="","",IF(OR(F406="",I406=""),"",F406-I406))</f>
        <v>77825</v>
      </c>
      <c r="R558" s="1" t="str">
        <f aca="false">IF($A406="","",IF(Q406="","",Q406+IF(O406="",0,O406)))</f>
        <v/>
      </c>
      <c r="T558" s="1" t="str">
        <f aca="false">IF($A406="","",IF(R406="","",R406-IF(S406="",0,S406)))</f>
        <v/>
      </c>
      <c r="U558" s="1" t="n">
        <f aca="false">IF($A406="","",IF(I406="","",I406-SUM(J406:P406)))</f>
        <v>3000</v>
      </c>
      <c r="V558" s="6" t="s">
        <v>5124</v>
      </c>
      <c r="W558" s="49" t="s">
        <v>767</v>
      </c>
      <c r="X558" s="9" t="s">
        <v>5148</v>
      </c>
      <c r="Y558" s="9" t="s">
        <v>4897</v>
      </c>
      <c r="Z558" s="9" t="s">
        <v>4898</v>
      </c>
      <c r="AA558" s="9" t="s">
        <v>4903</v>
      </c>
    </row>
    <row r="559" customFormat="false" ht="15" hidden="false" customHeight="true" outlineLevel="0" collapsed="false">
      <c r="A559" s="6" t="s">
        <v>2472</v>
      </c>
      <c r="B559" s="6" t="s">
        <v>523</v>
      </c>
      <c r="C559" s="6" t="s">
        <v>529</v>
      </c>
      <c r="D559" s="6" t="n">
        <v>6</v>
      </c>
      <c r="E559" s="9" t="s">
        <v>5123</v>
      </c>
      <c r="F559" s="6" t="n">
        <v>107000</v>
      </c>
      <c r="G559" s="6" t="n">
        <v>93000</v>
      </c>
      <c r="H559" s="6" t="n">
        <v>14000</v>
      </c>
      <c r="I559" s="6" t="n">
        <v>52000</v>
      </c>
      <c r="J559" s="6" t="n">
        <v>16000</v>
      </c>
      <c r="K559" s="6" t="n">
        <v>6000</v>
      </c>
      <c r="L559" s="6" t="n">
        <v>5000</v>
      </c>
      <c r="M559" s="6" t="n">
        <v>0</v>
      </c>
      <c r="N559" s="6" t="n">
        <v>3000</v>
      </c>
      <c r="O559" s="6" t="n">
        <v>19000</v>
      </c>
      <c r="P559" s="6" t="n">
        <v>1000</v>
      </c>
      <c r="Q559" s="1" t="n">
        <f aca="false">IF($A407="","",IF(OR(F407="",I407=""),"",F407-I407))</f>
        <v>464199</v>
      </c>
      <c r="R559" s="1" t="str">
        <f aca="false">IF($A407="","",IF(Q407="","",Q407+IF(O407="",0,O407)))</f>
        <v/>
      </c>
      <c r="T559" s="1" t="str">
        <f aca="false">IF($A407="","",IF(R407="","",R407-IF(S407="",0,S407)))</f>
        <v/>
      </c>
      <c r="U559" s="1" t="n">
        <f aca="false">IF($A407="","",IF(I407="","",I407-SUM(J407:P407)))</f>
        <v>2000</v>
      </c>
      <c r="V559" s="6" t="s">
        <v>5124</v>
      </c>
      <c r="W559" s="49" t="s">
        <v>767</v>
      </c>
      <c r="X559" s="9" t="s">
        <v>5149</v>
      </c>
      <c r="Y559" s="6" t="s">
        <v>4920</v>
      </c>
      <c r="Z559" s="9" t="s">
        <v>4921</v>
      </c>
      <c r="AA559" s="9" t="s">
        <v>4903</v>
      </c>
    </row>
    <row r="560" customFormat="false" ht="15" hidden="false" customHeight="true" outlineLevel="0" collapsed="false">
      <c r="A560" s="6" t="s">
        <v>2477</v>
      </c>
      <c r="B560" s="6" t="s">
        <v>523</v>
      </c>
      <c r="C560" s="6" t="s">
        <v>529</v>
      </c>
      <c r="D560" s="6" t="n">
        <v>6</v>
      </c>
      <c r="E560" s="9" t="s">
        <v>5123</v>
      </c>
      <c r="F560" s="6" t="n">
        <v>75000</v>
      </c>
      <c r="G560" s="6" t="n">
        <v>68000</v>
      </c>
      <c r="H560" s="6" t="n">
        <v>6000</v>
      </c>
      <c r="I560" s="6" t="n">
        <v>35000</v>
      </c>
      <c r="J560" s="6" t="n">
        <v>12000</v>
      </c>
      <c r="K560" s="6" t="n">
        <v>4000</v>
      </c>
      <c r="L560" s="6" t="n">
        <v>5000</v>
      </c>
      <c r="M560" s="6" t="n">
        <v>0</v>
      </c>
      <c r="N560" s="6" t="n">
        <v>1000</v>
      </c>
      <c r="O560" s="6" t="n">
        <v>10000</v>
      </c>
      <c r="P560" s="6" t="n">
        <v>0</v>
      </c>
      <c r="Q560" s="1" t="n">
        <f aca="false">IF($A408="","",IF(OR(F408="",I408=""),"",F408-I408))</f>
        <v>307713</v>
      </c>
      <c r="R560" s="1" t="str">
        <f aca="false">IF($A408="","",IF(Q408="","",Q408+IF(O408="",0,O408)))</f>
        <v/>
      </c>
      <c r="T560" s="1" t="str">
        <f aca="false">IF($A408="","",IF(R408="","",R408-IF(S408="",0,S408)))</f>
        <v/>
      </c>
      <c r="U560" s="1" t="n">
        <f aca="false">IF($A408="","",IF(I408="","",I408-SUM(J408:P408)))</f>
        <v>3000</v>
      </c>
      <c r="V560" s="6" t="s">
        <v>5124</v>
      </c>
      <c r="W560" s="49" t="s">
        <v>767</v>
      </c>
      <c r="X560" s="9" t="s">
        <v>5150</v>
      </c>
      <c r="Y560" s="6" t="s">
        <v>4920</v>
      </c>
      <c r="Z560" s="9" t="s">
        <v>4921</v>
      </c>
      <c r="AA560" s="9" t="s">
        <v>4903</v>
      </c>
    </row>
    <row r="561" customFormat="false" ht="15" hidden="false" customHeight="true" outlineLevel="0" collapsed="false">
      <c r="A561" s="6" t="s">
        <v>2480</v>
      </c>
      <c r="B561" s="6" t="s">
        <v>523</v>
      </c>
      <c r="C561" s="6" t="s">
        <v>529</v>
      </c>
      <c r="D561" s="6" t="n">
        <v>6</v>
      </c>
      <c r="E561" s="9" t="s">
        <v>5123</v>
      </c>
      <c r="F561" s="6" t="n">
        <v>245000</v>
      </c>
      <c r="G561" s="6" t="n">
        <v>217000</v>
      </c>
      <c r="H561" s="6" t="n">
        <v>27000</v>
      </c>
      <c r="I561" s="6" t="n">
        <v>137000</v>
      </c>
      <c r="J561" s="6" t="n">
        <v>36000</v>
      </c>
      <c r="K561" s="6" t="n">
        <v>20000</v>
      </c>
      <c r="L561" s="6" t="n">
        <v>23000</v>
      </c>
      <c r="M561" s="6" t="n">
        <v>0</v>
      </c>
      <c r="N561" s="6" t="n">
        <v>2000</v>
      </c>
      <c r="O561" s="6" t="n">
        <v>50000</v>
      </c>
      <c r="P561" s="6" t="n">
        <v>2000</v>
      </c>
      <c r="Q561" s="1" t="n">
        <f aca="false">IF($A409="","",IF(OR(F409="",I409=""),"",F409-I409))</f>
        <v>861074</v>
      </c>
      <c r="R561" s="1" t="str">
        <f aca="false">IF($A409="","",IF(Q409="","",Q409+IF(O409="",0,O409)))</f>
        <v/>
      </c>
      <c r="T561" s="1" t="str">
        <f aca="false">IF($A409="","",IF(R409="","",R409-IF(S409="",0,S409)))</f>
        <v/>
      </c>
      <c r="U561" s="1" t="n">
        <f aca="false">IF($A409="","",IF(I409="","",I409-SUM(J409:P409)))</f>
        <v>4000</v>
      </c>
      <c r="V561" s="6" t="s">
        <v>5124</v>
      </c>
      <c r="W561" s="49" t="s">
        <v>767</v>
      </c>
      <c r="X561" s="9" t="s">
        <v>5151</v>
      </c>
      <c r="Y561" s="9" t="s">
        <v>4897</v>
      </c>
      <c r="Z561" s="9" t="s">
        <v>4898</v>
      </c>
      <c r="AA561" s="9" t="s">
        <v>4903</v>
      </c>
    </row>
    <row r="562" customFormat="false" ht="15" hidden="false" customHeight="true" outlineLevel="0" collapsed="false">
      <c r="A562" s="6" t="s">
        <v>2483</v>
      </c>
      <c r="B562" s="6" t="s">
        <v>523</v>
      </c>
      <c r="C562" s="6" t="s">
        <v>529</v>
      </c>
      <c r="D562" s="6" t="n">
        <v>6</v>
      </c>
      <c r="E562" s="9" t="s">
        <v>5123</v>
      </c>
      <c r="F562" s="6" t="n">
        <v>458000</v>
      </c>
      <c r="G562" s="6" t="n">
        <v>399000</v>
      </c>
      <c r="H562" s="6" t="n">
        <v>59000</v>
      </c>
      <c r="I562" s="6" t="n">
        <v>276000</v>
      </c>
      <c r="J562" s="6" t="n">
        <v>83000</v>
      </c>
      <c r="K562" s="6" t="n">
        <v>32000</v>
      </c>
      <c r="L562" s="6" t="n">
        <v>69000</v>
      </c>
      <c r="M562" s="6" t="n">
        <v>0</v>
      </c>
      <c r="N562" s="6" t="n">
        <v>8000</v>
      </c>
      <c r="O562" s="6" t="n">
        <v>25000</v>
      </c>
      <c r="P562" s="6" t="n">
        <v>57000</v>
      </c>
      <c r="Q562" s="1" t="n">
        <f aca="false">IF($A410="","",IF(OR(F410="",I410=""),"",F410-I410))</f>
        <v>31314</v>
      </c>
      <c r="R562" s="1" t="str">
        <f aca="false">IF($A410="","",IF(Q410="","",Q410+IF(O410="",0,O410)))</f>
        <v/>
      </c>
      <c r="T562" s="1" t="str">
        <f aca="false">IF($A410="","",IF(R410="","",R410-IF(S410="",0,S410)))</f>
        <v/>
      </c>
      <c r="U562" s="1" t="n">
        <f aca="false">IF($A410="","",IF(I410="","",I410-SUM(J410:P410)))</f>
        <v>2000</v>
      </c>
      <c r="V562" s="6" t="s">
        <v>5124</v>
      </c>
      <c r="W562" s="49" t="s">
        <v>767</v>
      </c>
      <c r="X562" s="9" t="s">
        <v>5152</v>
      </c>
      <c r="Y562" s="9" t="s">
        <v>4897</v>
      </c>
      <c r="Z562" s="9" t="s">
        <v>4898</v>
      </c>
      <c r="AA562" s="9" t="s">
        <v>4903</v>
      </c>
    </row>
    <row r="563" customFormat="false" ht="15" hidden="false" customHeight="true" outlineLevel="0" collapsed="false">
      <c r="A563" s="6" t="s">
        <v>2486</v>
      </c>
      <c r="B563" s="6" t="s">
        <v>523</v>
      </c>
      <c r="C563" s="6" t="s">
        <v>529</v>
      </c>
      <c r="D563" s="6" t="n">
        <v>6</v>
      </c>
      <c r="E563" s="9" t="s">
        <v>5123</v>
      </c>
      <c r="F563" s="6" t="n">
        <v>317000</v>
      </c>
      <c r="G563" s="6" t="n">
        <v>283000</v>
      </c>
      <c r="H563" s="6" t="n">
        <v>33000</v>
      </c>
      <c r="I563" s="6" t="n">
        <v>169000</v>
      </c>
      <c r="J563" s="6" t="n">
        <v>36000</v>
      </c>
      <c r="K563" s="6" t="n">
        <v>25000</v>
      </c>
      <c r="L563" s="6" t="n">
        <v>29000</v>
      </c>
      <c r="M563" s="6" t="n">
        <v>0</v>
      </c>
      <c r="N563" s="6" t="n">
        <v>54000</v>
      </c>
      <c r="O563" s="6" t="n">
        <v>20000</v>
      </c>
      <c r="P563" s="6" t="n">
        <v>2000</v>
      </c>
      <c r="Q563" s="1" t="n">
        <f aca="false">IF($A411="","",IF(OR(F411="",I411=""),"",F411-I411))</f>
        <v>113546</v>
      </c>
      <c r="R563" s="1" t="str">
        <f aca="false">IF($A411="","",IF(Q411="","",Q411+IF(O411="",0,O411)))</f>
        <v/>
      </c>
      <c r="T563" s="1" t="str">
        <f aca="false">IF($A411="","",IF(R411="","",R411-IF(S411="",0,S411)))</f>
        <v/>
      </c>
      <c r="U563" s="1" t="n">
        <f aca="false">IF($A411="","",IF(I411="","",I411-SUM(J411:P411)))</f>
        <v>3000</v>
      </c>
      <c r="V563" s="6" t="s">
        <v>5124</v>
      </c>
      <c r="W563" s="49" t="s">
        <v>767</v>
      </c>
      <c r="X563" s="9" t="s">
        <v>5153</v>
      </c>
      <c r="Y563" s="9" t="s">
        <v>4897</v>
      </c>
      <c r="Z563" s="9" t="s">
        <v>4898</v>
      </c>
      <c r="AA563" s="9" t="s">
        <v>4903</v>
      </c>
    </row>
    <row r="564" customFormat="false" ht="15" hidden="false" customHeight="true" outlineLevel="0" collapsed="false">
      <c r="A564" s="6" t="s">
        <v>2489</v>
      </c>
      <c r="B564" s="6" t="s">
        <v>523</v>
      </c>
      <c r="C564" s="6" t="s">
        <v>529</v>
      </c>
      <c r="D564" s="6" t="n">
        <v>6</v>
      </c>
      <c r="E564" s="9" t="s">
        <v>5123</v>
      </c>
      <c r="F564" s="6" t="n">
        <v>173000</v>
      </c>
      <c r="G564" s="6" t="n">
        <v>159000</v>
      </c>
      <c r="H564" s="6" t="n">
        <v>13000</v>
      </c>
      <c r="I564" s="6" t="n">
        <v>68000</v>
      </c>
      <c r="J564" s="6" t="n">
        <v>23000</v>
      </c>
      <c r="K564" s="6" t="n">
        <v>1000</v>
      </c>
      <c r="L564" s="6" t="n">
        <v>8000</v>
      </c>
      <c r="M564" s="6" t="n">
        <v>0</v>
      </c>
      <c r="N564" s="6" t="n">
        <v>6000</v>
      </c>
      <c r="O564" s="6" t="n">
        <v>25000</v>
      </c>
      <c r="P564" s="6" t="n">
        <v>3000</v>
      </c>
      <c r="Q564" s="1" t="n">
        <f aca="false">IF($A412="","",IF(OR(F412="",I412=""),"",F412-I412))</f>
        <v>367066</v>
      </c>
      <c r="R564" s="1" t="str">
        <f aca="false">IF($A412="","",IF(Q412="","",Q412+IF(O412="",0,O412)))</f>
        <v/>
      </c>
      <c r="T564" s="1" t="str">
        <f aca="false">IF($A412="","",IF(R412="","",R412-IF(S412="",0,S412)))</f>
        <v/>
      </c>
      <c r="U564" s="1" t="n">
        <f aca="false">IF($A412="","",IF(I412="","",I412-SUM(J412:P412)))</f>
        <v>2000</v>
      </c>
      <c r="V564" s="6" t="s">
        <v>5124</v>
      </c>
      <c r="W564" s="49" t="s">
        <v>767</v>
      </c>
      <c r="X564" s="9" t="s">
        <v>5154</v>
      </c>
      <c r="Y564" s="9" t="s">
        <v>4897</v>
      </c>
      <c r="Z564" s="9" t="s">
        <v>4898</v>
      </c>
      <c r="AA564" s="9" t="s">
        <v>4903</v>
      </c>
    </row>
    <row r="565" customFormat="false" ht="15" hidden="false" customHeight="true" outlineLevel="0" collapsed="false">
      <c r="A565" s="6" t="s">
        <v>2492</v>
      </c>
      <c r="B565" s="6" t="s">
        <v>523</v>
      </c>
      <c r="C565" s="6" t="s">
        <v>529</v>
      </c>
      <c r="D565" s="6" t="n">
        <v>6</v>
      </c>
      <c r="E565" s="9" t="s">
        <v>5123</v>
      </c>
      <c r="F565" s="6" t="n">
        <v>62000</v>
      </c>
      <c r="G565" s="6" t="n">
        <v>56000</v>
      </c>
      <c r="H565" s="6" t="n">
        <v>6000</v>
      </c>
      <c r="I565" s="6" t="n">
        <v>19000</v>
      </c>
      <c r="J565" s="6" t="n">
        <v>6000</v>
      </c>
      <c r="K565" s="6" t="n">
        <v>1000</v>
      </c>
      <c r="L565" s="6" t="n">
        <v>3000</v>
      </c>
      <c r="M565" s="6" t="n">
        <v>0</v>
      </c>
      <c r="N565" s="6" t="n">
        <v>1000</v>
      </c>
      <c r="O565" s="6" t="n">
        <v>6000</v>
      </c>
      <c r="P565" s="6" t="n">
        <v>0</v>
      </c>
      <c r="Q565" s="1" t="n">
        <f aca="false">IF($A413="","",IF(OR(F413="",I413=""),"",F413-I413))</f>
        <v>1175667</v>
      </c>
      <c r="R565" s="1" t="str">
        <f aca="false">IF($A413="","",IF(Q413="","",Q413+IF(O413="",0,O413)))</f>
        <v/>
      </c>
      <c r="T565" s="1" t="str">
        <f aca="false">IF($A413="","",IF(R413="","",R413-IF(S413="",0,S413)))</f>
        <v/>
      </c>
      <c r="U565" s="1" t="n">
        <f aca="false">IF($A413="","",IF(I413="","",I413-SUM(J413:P413)))</f>
        <v>2000</v>
      </c>
      <c r="V565" s="6" t="s">
        <v>5124</v>
      </c>
      <c r="W565" s="49" t="s">
        <v>767</v>
      </c>
      <c r="X565" s="9" t="s">
        <v>5155</v>
      </c>
      <c r="Y565" s="9" t="s">
        <v>4897</v>
      </c>
      <c r="Z565" s="9" t="s">
        <v>4898</v>
      </c>
      <c r="AA565" s="9" t="s">
        <v>4903</v>
      </c>
    </row>
    <row r="566" customFormat="false" ht="15" hidden="false" customHeight="true" outlineLevel="0" collapsed="false">
      <c r="A566" s="6" t="s">
        <v>2495</v>
      </c>
      <c r="B566" s="6" t="s">
        <v>523</v>
      </c>
      <c r="C566" s="6" t="s">
        <v>529</v>
      </c>
      <c r="D566" s="6" t="n">
        <v>6</v>
      </c>
      <c r="E566" s="9" t="s">
        <v>5123</v>
      </c>
      <c r="F566" s="6" t="n">
        <v>40000</v>
      </c>
      <c r="G566" s="6" t="n">
        <v>37000</v>
      </c>
      <c r="H566" s="6" t="n">
        <v>3000</v>
      </c>
      <c r="I566" s="6" t="n">
        <v>44000</v>
      </c>
      <c r="J566" s="6" t="n">
        <v>5000</v>
      </c>
      <c r="K566" s="6" t="n">
        <v>0</v>
      </c>
      <c r="L566" s="6" t="n">
        <v>2000</v>
      </c>
      <c r="M566" s="6" t="n">
        <v>0</v>
      </c>
      <c r="N566" s="6" t="n">
        <v>30000</v>
      </c>
      <c r="O566" s="6" t="n">
        <v>5000</v>
      </c>
      <c r="P566" s="6" t="n">
        <v>0</v>
      </c>
      <c r="Q566" s="1" t="n">
        <f aca="false">IF($A414="","",IF(OR(F414="",I414=""),"",F414-I414))</f>
        <v>-4000</v>
      </c>
      <c r="R566" s="1" t="str">
        <f aca="false">IF($A414="","",IF(Q414="","",Q414+IF(O414="",0,O414)))</f>
        <v/>
      </c>
      <c r="T566" s="1" t="str">
        <f aca="false">IF($A414="","",IF(R414="","",R414-IF(S414="",0,S414)))</f>
        <v/>
      </c>
      <c r="U566" s="1" t="n">
        <f aca="false">IF($A414="","",IF(I414="","",I414-SUM(J414:P414)))</f>
        <v>2000</v>
      </c>
      <c r="V566" s="6" t="s">
        <v>5124</v>
      </c>
      <c r="W566" s="49" t="s">
        <v>767</v>
      </c>
      <c r="X566" s="9" t="s">
        <v>5156</v>
      </c>
      <c r="Y566" s="9" t="s">
        <v>4897</v>
      </c>
      <c r="Z566" s="9" t="s">
        <v>4898</v>
      </c>
      <c r="AA566" s="9" t="s">
        <v>4943</v>
      </c>
    </row>
    <row r="567" customFormat="false" ht="15" hidden="false" customHeight="true" outlineLevel="0" collapsed="false">
      <c r="A567" s="6" t="s">
        <v>2498</v>
      </c>
      <c r="B567" s="6" t="s">
        <v>523</v>
      </c>
      <c r="C567" s="6" t="s">
        <v>529</v>
      </c>
      <c r="D567" s="6" t="n">
        <v>6</v>
      </c>
      <c r="E567" s="9" t="s">
        <v>5123</v>
      </c>
      <c r="F567" s="6" t="n">
        <v>38000</v>
      </c>
      <c r="G567" s="6" t="n">
        <v>35000</v>
      </c>
      <c r="H567" s="6" t="n">
        <v>3000</v>
      </c>
      <c r="I567" s="6" t="n">
        <v>35000</v>
      </c>
      <c r="J567" s="6" t="n">
        <v>5000</v>
      </c>
      <c r="K567" s="6" t="n">
        <v>0</v>
      </c>
      <c r="L567" s="6" t="n">
        <v>2000</v>
      </c>
      <c r="M567" s="6" t="n">
        <v>0</v>
      </c>
      <c r="N567" s="6" t="n">
        <v>20000</v>
      </c>
      <c r="O567" s="6" t="n">
        <v>7000</v>
      </c>
      <c r="P567" s="6" t="n">
        <v>0</v>
      </c>
      <c r="Q567" s="1" t="n">
        <f aca="false">IF($A415="","",IF(OR(F415="",I415=""),"",F415-I415))</f>
        <v>3000</v>
      </c>
      <c r="R567" s="1" t="str">
        <f aca="false">IF($A415="","",IF(Q415="","",Q415+IF(O415="",0,O415)))</f>
        <v/>
      </c>
      <c r="T567" s="1" t="str">
        <f aca="false">IF($A415="","",IF(R415="","",R415-IF(S415="",0,S415)))</f>
        <v/>
      </c>
      <c r="U567" s="1" t="n">
        <f aca="false">IF($A415="","",IF(I415="","",I415-SUM(J415:P415)))</f>
        <v>1000</v>
      </c>
      <c r="V567" s="6" t="s">
        <v>5124</v>
      </c>
      <c r="W567" s="49" t="s">
        <v>767</v>
      </c>
      <c r="X567" s="9" t="s">
        <v>5157</v>
      </c>
      <c r="Y567" s="9" t="s">
        <v>4897</v>
      </c>
      <c r="Z567" s="9" t="s">
        <v>4898</v>
      </c>
      <c r="AA567" s="9" t="s">
        <v>4943</v>
      </c>
    </row>
    <row r="568" customFormat="false" ht="15" hidden="false" customHeight="true" outlineLevel="0" collapsed="false">
      <c r="A568" s="6" t="s">
        <v>2501</v>
      </c>
      <c r="B568" s="6" t="s">
        <v>523</v>
      </c>
      <c r="C568" s="6" t="s">
        <v>529</v>
      </c>
      <c r="D568" s="6" t="n">
        <v>6</v>
      </c>
      <c r="E568" s="9" t="s">
        <v>5123</v>
      </c>
      <c r="F568" s="6" t="n">
        <v>173000</v>
      </c>
      <c r="G568" s="6" t="n">
        <v>169000</v>
      </c>
      <c r="H568" s="6" t="n">
        <v>3000</v>
      </c>
      <c r="I568" s="6" t="n">
        <v>101000</v>
      </c>
      <c r="J568" s="6" t="n">
        <v>16000</v>
      </c>
      <c r="K568" s="6" t="n">
        <v>1000</v>
      </c>
      <c r="L568" s="6" t="n">
        <v>8000</v>
      </c>
      <c r="M568" s="6" t="n">
        <v>0</v>
      </c>
      <c r="N568" s="6" t="n">
        <v>45000</v>
      </c>
      <c r="O568" s="6" t="n">
        <v>26000</v>
      </c>
      <c r="P568" s="6" t="n">
        <v>1000</v>
      </c>
      <c r="Q568" s="1" t="n">
        <f aca="false">IF($A416="","",IF(OR(F416="",I416=""),"",F416-I416))</f>
        <v>72000</v>
      </c>
      <c r="R568" s="1" t="str">
        <f aca="false">IF($A416="","",IF(Q416="","",Q416+IF(O416="",0,O416)))</f>
        <v/>
      </c>
      <c r="T568" s="1" t="str">
        <f aca="false">IF($A416="","",IF(R416="","",R416-IF(S416="",0,S416)))</f>
        <v/>
      </c>
      <c r="U568" s="1" t="n">
        <f aca="false">IF($A416="","",IF(I416="","",I416-SUM(J416:P416)))</f>
        <v>4000</v>
      </c>
      <c r="V568" s="6" t="s">
        <v>5124</v>
      </c>
      <c r="W568" s="49" t="s">
        <v>767</v>
      </c>
      <c r="X568" s="9" t="s">
        <v>5158</v>
      </c>
      <c r="Y568" s="9" t="s">
        <v>4897</v>
      </c>
      <c r="Z568" s="9" t="s">
        <v>4898</v>
      </c>
      <c r="AA568" s="9" t="s">
        <v>4903</v>
      </c>
    </row>
    <row r="569" customFormat="false" ht="15" hidden="false" customHeight="true" outlineLevel="0" collapsed="false">
      <c r="A569" s="6" t="s">
        <v>2504</v>
      </c>
      <c r="B569" s="6" t="s">
        <v>523</v>
      </c>
      <c r="C569" s="6" t="s">
        <v>529</v>
      </c>
      <c r="D569" s="6" t="n">
        <v>6</v>
      </c>
      <c r="E569" s="9" t="s">
        <v>5123</v>
      </c>
      <c r="F569" s="6" t="n">
        <v>61000</v>
      </c>
      <c r="G569" s="6" t="n">
        <v>58000</v>
      </c>
      <c r="H569" s="6" t="n">
        <v>3000</v>
      </c>
      <c r="I569" s="6" t="n">
        <v>55000</v>
      </c>
      <c r="J569" s="6" t="n">
        <v>5000</v>
      </c>
      <c r="K569" s="6" t="n">
        <v>0</v>
      </c>
      <c r="L569" s="6" t="n">
        <v>3000</v>
      </c>
      <c r="M569" s="6" t="n">
        <v>0</v>
      </c>
      <c r="N569" s="6" t="n">
        <v>35000</v>
      </c>
      <c r="O569" s="6" t="n">
        <v>9000</v>
      </c>
      <c r="P569" s="6" t="n">
        <v>1000</v>
      </c>
      <c r="Q569" s="1" t="n">
        <f aca="false">IF($A417="","",IF(OR(F417="",I417=""),"",F417-I417))</f>
        <v>72071</v>
      </c>
      <c r="R569" s="1" t="str">
        <f aca="false">IF($A417="","",IF(Q417="","",Q417+IF(O417="",0,O417)))</f>
        <v/>
      </c>
      <c r="T569" s="1" t="str">
        <f aca="false">IF($A417="","",IF(R417="","",R417-IF(S417="",0,S417)))</f>
        <v/>
      </c>
      <c r="U569" s="1" t="n">
        <f aca="false">IF($A417="","",IF(I417="","",I417-SUM(J417:P417)))</f>
        <v>2000</v>
      </c>
      <c r="V569" s="6" t="s">
        <v>5124</v>
      </c>
      <c r="W569" s="49" t="s">
        <v>767</v>
      </c>
      <c r="X569" s="9" t="s">
        <v>5159</v>
      </c>
      <c r="Y569" s="9" t="s">
        <v>4897</v>
      </c>
      <c r="Z569" s="9" t="s">
        <v>4898</v>
      </c>
      <c r="AA569" s="9" t="s">
        <v>4903</v>
      </c>
    </row>
    <row r="570" customFormat="false" ht="15" hidden="false" customHeight="true" outlineLevel="0" collapsed="false">
      <c r="A570" s="6" t="s">
        <v>2507</v>
      </c>
      <c r="B570" s="6" t="s">
        <v>523</v>
      </c>
      <c r="C570" s="6" t="s">
        <v>529</v>
      </c>
      <c r="D570" s="6" t="n">
        <v>6</v>
      </c>
      <c r="E570" s="9" t="s">
        <v>5123</v>
      </c>
      <c r="F570" s="6" t="n">
        <v>69000</v>
      </c>
      <c r="G570" s="6" t="n">
        <v>36000</v>
      </c>
      <c r="H570" s="6" t="n">
        <v>33000</v>
      </c>
      <c r="I570" s="6" t="n">
        <v>48000</v>
      </c>
      <c r="J570" s="6" t="n">
        <v>4000</v>
      </c>
      <c r="K570" s="6" t="n">
        <v>0</v>
      </c>
      <c r="L570" s="6" t="n">
        <v>1000</v>
      </c>
      <c r="M570" s="6" t="n">
        <v>0</v>
      </c>
      <c r="N570" s="6" t="n">
        <v>2000</v>
      </c>
      <c r="O570" s="6" t="n">
        <v>6000</v>
      </c>
      <c r="P570" s="6" t="n">
        <v>31000</v>
      </c>
      <c r="Q570" s="1" t="n">
        <f aca="false">IF($A418="","",IF(OR(F418="",I418=""),"",F418-I418))</f>
        <v>414208</v>
      </c>
      <c r="R570" s="1" t="str">
        <f aca="false">IF($A418="","",IF(Q418="","",Q418+IF(O418="",0,O418)))</f>
        <v/>
      </c>
      <c r="T570" s="1" t="str">
        <f aca="false">IF($A418="","",IF(R418="","",R418-IF(S418="",0,S418)))</f>
        <v/>
      </c>
      <c r="U570" s="1" t="n">
        <f aca="false">IF($A418="","",IF(I418="","",I418-SUM(J418:P418)))</f>
        <v>4000</v>
      </c>
      <c r="V570" s="6" t="s">
        <v>5124</v>
      </c>
      <c r="W570" s="49" t="s">
        <v>767</v>
      </c>
      <c r="X570" s="9" t="s">
        <v>5160</v>
      </c>
      <c r="Y570" s="9" t="s">
        <v>4897</v>
      </c>
      <c r="Z570" s="9" t="s">
        <v>4898</v>
      </c>
      <c r="AA570" s="9" t="s">
        <v>4903</v>
      </c>
    </row>
    <row r="571" customFormat="false" ht="15" hidden="false" customHeight="true" outlineLevel="0" collapsed="false">
      <c r="A571" s="6" t="s">
        <v>2510</v>
      </c>
      <c r="B571" s="6" t="s">
        <v>523</v>
      </c>
      <c r="C571" s="6" t="s">
        <v>529</v>
      </c>
      <c r="D571" s="6" t="n">
        <v>6</v>
      </c>
      <c r="E571" s="9" t="s">
        <v>5123</v>
      </c>
      <c r="F571" s="6" t="n">
        <v>53000</v>
      </c>
      <c r="G571" s="6" t="n">
        <v>51000</v>
      </c>
      <c r="H571" s="6" t="n">
        <v>1000</v>
      </c>
      <c r="I571" s="6" t="n">
        <v>15000</v>
      </c>
      <c r="J571" s="6" t="n">
        <v>4000</v>
      </c>
      <c r="K571" s="6" t="n">
        <v>0</v>
      </c>
      <c r="L571" s="6" t="n">
        <v>2000</v>
      </c>
      <c r="M571" s="6" t="n">
        <v>0</v>
      </c>
      <c r="N571" s="6" t="n">
        <v>2000</v>
      </c>
      <c r="O571" s="6" t="n">
        <v>5000</v>
      </c>
      <c r="P571" s="6" t="n">
        <v>0</v>
      </c>
      <c r="Q571" s="1" t="n">
        <f aca="false">IF($A419="","",IF(OR(F419="",I419=""),"",F419-I419))</f>
        <v>126809</v>
      </c>
      <c r="R571" s="1" t="str">
        <f aca="false">IF($A419="","",IF(Q419="","",Q419+IF(O419="",0,O419)))</f>
        <v/>
      </c>
      <c r="T571" s="1" t="str">
        <f aca="false">IF($A419="","",IF(R419="","",R419-IF(S419="",0,S419)))</f>
        <v/>
      </c>
      <c r="U571" s="1" t="n">
        <f aca="false">IF($A419="","",IF(I419="","",I419-SUM(J419:P419)))</f>
        <v>2000</v>
      </c>
      <c r="V571" s="6" t="s">
        <v>5124</v>
      </c>
      <c r="W571" s="49" t="s">
        <v>767</v>
      </c>
      <c r="X571" s="9" t="s">
        <v>5161</v>
      </c>
      <c r="Y571" s="9" t="s">
        <v>4897</v>
      </c>
      <c r="Z571" s="9" t="s">
        <v>4898</v>
      </c>
      <c r="AA571" s="9" t="s">
        <v>4903</v>
      </c>
    </row>
    <row r="572" customFormat="false" ht="15" hidden="false" customHeight="true" outlineLevel="0" collapsed="false">
      <c r="A572" s="6" t="s">
        <v>2513</v>
      </c>
      <c r="B572" s="6" t="s">
        <v>523</v>
      </c>
      <c r="C572" s="6" t="s">
        <v>529</v>
      </c>
      <c r="D572" s="6" t="n">
        <v>6</v>
      </c>
      <c r="E572" s="9" t="s">
        <v>5123</v>
      </c>
      <c r="F572" s="6" t="n">
        <v>62000</v>
      </c>
      <c r="G572" s="6" t="n">
        <v>56000</v>
      </c>
      <c r="H572" s="6" t="n">
        <v>6000</v>
      </c>
      <c r="I572" s="6" t="n">
        <v>23000</v>
      </c>
      <c r="J572" s="6" t="n">
        <v>5000</v>
      </c>
      <c r="K572" s="6" t="n">
        <v>1000</v>
      </c>
      <c r="L572" s="6" t="n">
        <v>3000</v>
      </c>
      <c r="M572" s="6" t="n">
        <v>0</v>
      </c>
      <c r="N572" s="6" t="n">
        <v>2000</v>
      </c>
      <c r="O572" s="6" t="n">
        <v>10000</v>
      </c>
      <c r="P572" s="6" t="n">
        <v>0</v>
      </c>
      <c r="Q572" s="1" t="n">
        <f aca="false">IF($A420="","",IF(OR(F420="",I420=""),"",F420-I420))</f>
        <v>-8606</v>
      </c>
      <c r="R572" s="1" t="str">
        <f aca="false">IF($A420="","",IF(Q420="","",Q420+IF(O420="",0,O420)))</f>
        <v/>
      </c>
      <c r="T572" s="1" t="str">
        <f aca="false">IF($A420="","",IF(R420="","",R420-IF(S420="",0,S420)))</f>
        <v/>
      </c>
      <c r="U572" s="1" t="n">
        <f aca="false">IF($A420="","",IF(I420="","",I420-SUM(J420:P420)))</f>
        <v>2000</v>
      </c>
      <c r="V572" s="6" t="s">
        <v>5124</v>
      </c>
      <c r="W572" s="49" t="s">
        <v>767</v>
      </c>
      <c r="X572" s="9" t="s">
        <v>5162</v>
      </c>
      <c r="Y572" s="9" t="s">
        <v>4897</v>
      </c>
      <c r="Z572" s="9" t="s">
        <v>4898</v>
      </c>
      <c r="AA572" s="9" t="s">
        <v>4903</v>
      </c>
    </row>
    <row r="573" customFormat="false" ht="15" hidden="false" customHeight="true" outlineLevel="0" collapsed="false">
      <c r="A573" s="6" t="s">
        <v>2516</v>
      </c>
      <c r="B573" s="6" t="s">
        <v>523</v>
      </c>
      <c r="C573" s="6" t="s">
        <v>529</v>
      </c>
      <c r="D573" s="6" t="n">
        <v>6</v>
      </c>
      <c r="E573" s="9" t="s">
        <v>5123</v>
      </c>
      <c r="F573" s="6" t="n">
        <v>75000</v>
      </c>
      <c r="G573" s="6" t="n">
        <v>71000</v>
      </c>
      <c r="H573" s="6" t="n">
        <v>4000</v>
      </c>
      <c r="I573" s="6" t="n">
        <v>31000</v>
      </c>
      <c r="J573" s="6" t="n">
        <v>7000</v>
      </c>
      <c r="K573" s="6" t="n">
        <v>0</v>
      </c>
      <c r="L573" s="6" t="n">
        <v>3000</v>
      </c>
      <c r="M573" s="6" t="n">
        <v>0</v>
      </c>
      <c r="N573" s="6" t="n">
        <v>3000</v>
      </c>
      <c r="O573" s="6" t="n">
        <v>15000</v>
      </c>
      <c r="P573" s="6" t="n">
        <v>1000</v>
      </c>
      <c r="Q573" s="1" t="n">
        <f aca="false">IF($A421="","",IF(OR(F421="",I421=""),"",F421-I421))</f>
        <v>44000</v>
      </c>
      <c r="R573" s="1" t="str">
        <f aca="false">IF($A421="","",IF(Q421="","",Q421+IF(O421="",0,O421)))</f>
        <v/>
      </c>
      <c r="T573" s="1" t="str">
        <f aca="false">IF($A421="","",IF(R421="","",R421-IF(S421="",0,S421)))</f>
        <v/>
      </c>
      <c r="U573" s="1" t="n">
        <f aca="false">IF($A421="","",IF(I421="","",I421-SUM(J421:P421)))</f>
        <v>2000</v>
      </c>
      <c r="V573" s="6" t="s">
        <v>5124</v>
      </c>
      <c r="W573" s="49" t="s">
        <v>767</v>
      </c>
      <c r="X573" s="9" t="s">
        <v>5163</v>
      </c>
      <c r="Y573" s="9" t="s">
        <v>4897</v>
      </c>
      <c r="Z573" s="9" t="s">
        <v>4898</v>
      </c>
      <c r="AA573" s="9" t="s">
        <v>4903</v>
      </c>
    </row>
    <row r="574" customFormat="false" ht="15" hidden="false" customHeight="true" outlineLevel="0" collapsed="false">
      <c r="A574" s="6" t="s">
        <v>2519</v>
      </c>
      <c r="B574" s="6" t="s">
        <v>523</v>
      </c>
      <c r="C574" s="6" t="s">
        <v>529</v>
      </c>
      <c r="D574" s="6" t="n">
        <v>6</v>
      </c>
      <c r="E574" s="9" t="s">
        <v>5123</v>
      </c>
      <c r="F574" s="6" t="n">
        <v>63000</v>
      </c>
      <c r="G574" s="6" t="n">
        <v>59000</v>
      </c>
      <c r="H574" s="6" t="n">
        <v>4000</v>
      </c>
      <c r="I574" s="6" t="n">
        <v>19000</v>
      </c>
      <c r="J574" s="6" t="n">
        <v>5000</v>
      </c>
      <c r="K574" s="6" t="n">
        <v>1000</v>
      </c>
      <c r="L574" s="6" t="n">
        <v>2000</v>
      </c>
      <c r="M574" s="6" t="n">
        <v>0</v>
      </c>
      <c r="N574" s="6" t="n">
        <v>0</v>
      </c>
      <c r="O574" s="6" t="n">
        <v>9000</v>
      </c>
      <c r="P574" s="6" t="n">
        <v>0</v>
      </c>
      <c r="Q574" s="1" t="n">
        <f aca="false">IF($A422="","",IF(OR(F422="",I422=""),"",F422-I422))</f>
        <v>107555</v>
      </c>
      <c r="R574" s="1" t="str">
        <f aca="false">IF($A422="","",IF(Q422="","",Q422+IF(O422="",0,O422)))</f>
        <v/>
      </c>
      <c r="T574" s="1" t="str">
        <f aca="false">IF($A422="","",IF(R422="","",R422-IF(S422="",0,S422)))</f>
        <v/>
      </c>
      <c r="U574" s="1" t="n">
        <f aca="false">IF($A422="","",IF(I422="","",I422-SUM(J422:P422)))</f>
        <v>2000</v>
      </c>
      <c r="V574" s="6" t="s">
        <v>5124</v>
      </c>
      <c r="W574" s="49" t="s">
        <v>767</v>
      </c>
      <c r="X574" s="9" t="s">
        <v>5164</v>
      </c>
      <c r="Y574" s="9" t="s">
        <v>4897</v>
      </c>
      <c r="Z574" s="9" t="s">
        <v>4898</v>
      </c>
      <c r="AA574" s="9" t="s">
        <v>4903</v>
      </c>
    </row>
    <row r="575" customFormat="false" ht="15" hidden="false" customHeight="true" outlineLevel="0" collapsed="false">
      <c r="A575" s="6" t="s">
        <v>2522</v>
      </c>
      <c r="B575" s="6" t="s">
        <v>523</v>
      </c>
      <c r="C575" s="6" t="s">
        <v>529</v>
      </c>
      <c r="D575" s="6" t="n">
        <v>6</v>
      </c>
      <c r="E575" s="9" t="s">
        <v>5123</v>
      </c>
      <c r="F575" s="6" t="n">
        <v>48000</v>
      </c>
      <c r="G575" s="6" t="n">
        <v>46000</v>
      </c>
      <c r="H575" s="6" t="n">
        <v>1000</v>
      </c>
      <c r="I575" s="6" t="n">
        <v>68000</v>
      </c>
      <c r="J575" s="6" t="n">
        <v>6000</v>
      </c>
      <c r="K575" s="6" t="n">
        <v>0</v>
      </c>
      <c r="L575" s="6" t="n">
        <v>1000</v>
      </c>
      <c r="M575" s="6" t="n">
        <v>0</v>
      </c>
      <c r="N575" s="6" t="n">
        <v>51000</v>
      </c>
      <c r="O575" s="6" t="n">
        <v>7000</v>
      </c>
      <c r="P575" s="6" t="n">
        <v>0</v>
      </c>
      <c r="Q575" s="1" t="n">
        <f aca="false">IF($A423="","",IF(OR(F423="",I423=""),"",F423-I423))</f>
        <v>47117</v>
      </c>
      <c r="R575" s="1" t="str">
        <f aca="false">IF($A423="","",IF(Q423="","",Q423+IF(O423="",0,O423)))</f>
        <v/>
      </c>
      <c r="T575" s="1" t="str">
        <f aca="false">IF($A423="","",IF(R423="","",R423-IF(S423="",0,S423)))</f>
        <v/>
      </c>
      <c r="U575" s="1" t="n">
        <f aca="false">IF($A423="","",IF(I423="","",I423-SUM(J423:P423)))</f>
        <v>3000</v>
      </c>
      <c r="V575" s="6" t="s">
        <v>5124</v>
      </c>
      <c r="W575" s="49" t="s">
        <v>767</v>
      </c>
      <c r="X575" s="9" t="s">
        <v>5165</v>
      </c>
      <c r="Y575" s="9" t="s">
        <v>4897</v>
      </c>
      <c r="Z575" s="9" t="s">
        <v>4898</v>
      </c>
      <c r="AA575" s="9" t="s">
        <v>4943</v>
      </c>
    </row>
    <row r="576" customFormat="false" ht="15" hidden="false" customHeight="true" outlineLevel="0" collapsed="false">
      <c r="A576" s="6" t="s">
        <v>2525</v>
      </c>
      <c r="B576" s="6" t="s">
        <v>523</v>
      </c>
      <c r="C576" s="6" t="s">
        <v>529</v>
      </c>
      <c r="D576" s="6" t="n">
        <v>6</v>
      </c>
      <c r="E576" s="9" t="s">
        <v>5123</v>
      </c>
      <c r="F576" s="6" t="n">
        <v>53000</v>
      </c>
      <c r="G576" s="6" t="n">
        <v>47000</v>
      </c>
      <c r="H576" s="6" t="n">
        <v>5000</v>
      </c>
      <c r="I576" s="6" t="n">
        <v>32000</v>
      </c>
      <c r="J576" s="6" t="n">
        <v>6000</v>
      </c>
      <c r="K576" s="6" t="n">
        <v>0</v>
      </c>
      <c r="L576" s="6" t="n">
        <v>3000</v>
      </c>
      <c r="M576" s="6" t="n">
        <v>0</v>
      </c>
      <c r="N576" s="6" t="n">
        <v>8000</v>
      </c>
      <c r="O576" s="6" t="n">
        <v>11000</v>
      </c>
      <c r="P576" s="6" t="n">
        <v>1000</v>
      </c>
      <c r="Q576" s="1" t="n">
        <f aca="false">IF($A424="","",IF(OR(F424="",I424=""),"",F424-I424))</f>
        <v>160245</v>
      </c>
      <c r="R576" s="1" t="str">
        <f aca="false">IF($A424="","",IF(Q424="","",Q424+IF(O424="",0,O424)))</f>
        <v/>
      </c>
      <c r="T576" s="1" t="str">
        <f aca="false">IF($A424="","",IF(R424="","",R424-IF(S424="",0,S424)))</f>
        <v/>
      </c>
      <c r="U576" s="1" t="n">
        <f aca="false">IF($A424="","",IF(I424="","",I424-SUM(J424:P424)))</f>
        <v>3000</v>
      </c>
      <c r="V576" s="6" t="s">
        <v>5124</v>
      </c>
      <c r="W576" s="49" t="s">
        <v>767</v>
      </c>
      <c r="X576" s="9" t="s">
        <v>5166</v>
      </c>
      <c r="Y576" s="9" t="s">
        <v>4897</v>
      </c>
      <c r="Z576" s="9" t="s">
        <v>4898</v>
      </c>
      <c r="AA576" s="9" t="s">
        <v>4903</v>
      </c>
    </row>
    <row r="577" customFormat="false" ht="15" hidden="false" customHeight="true" outlineLevel="0" collapsed="false">
      <c r="A577" s="6" t="s">
        <v>2528</v>
      </c>
      <c r="B577" s="6" t="s">
        <v>523</v>
      </c>
      <c r="C577" s="6" t="s">
        <v>529</v>
      </c>
      <c r="D577" s="6" t="n">
        <v>6</v>
      </c>
      <c r="E577" s="9" t="s">
        <v>5123</v>
      </c>
      <c r="F577" s="6" t="n">
        <v>46000</v>
      </c>
      <c r="G577" s="6" t="n">
        <v>43000</v>
      </c>
      <c r="H577" s="6" t="n">
        <v>3000</v>
      </c>
      <c r="I577" s="6" t="n">
        <v>24000</v>
      </c>
      <c r="J577" s="6" t="n">
        <v>7000</v>
      </c>
      <c r="K577" s="6" t="n">
        <v>0</v>
      </c>
      <c r="L577" s="6" t="n">
        <v>2000</v>
      </c>
      <c r="M577" s="6" t="n">
        <v>0</v>
      </c>
      <c r="N577" s="6" t="n">
        <v>4000</v>
      </c>
      <c r="O577" s="6" t="n">
        <v>8000</v>
      </c>
      <c r="P577" s="6" t="n">
        <v>1000</v>
      </c>
      <c r="Q577" s="1" t="n">
        <f aca="false">IF($A425="","",IF(OR(F425="",I425=""),"",F425-I425))</f>
        <v>81755</v>
      </c>
      <c r="R577" s="1" t="str">
        <f aca="false">IF($A425="","",IF(Q425="","",Q425+IF(O425="",0,O425)))</f>
        <v/>
      </c>
      <c r="T577" s="1" t="str">
        <f aca="false">IF($A425="","",IF(R425="","",R425-IF(S425="",0,S425)))</f>
        <v/>
      </c>
      <c r="U577" s="1" t="n">
        <f aca="false">IF($A425="","",IF(I425="","",I425-SUM(J425:P425)))</f>
        <v>2000</v>
      </c>
      <c r="V577" s="6" t="s">
        <v>5124</v>
      </c>
      <c r="W577" s="49" t="s">
        <v>767</v>
      </c>
      <c r="X577" s="9" t="s">
        <v>5167</v>
      </c>
      <c r="Y577" s="9" t="s">
        <v>4897</v>
      </c>
      <c r="Z577" s="9" t="s">
        <v>4898</v>
      </c>
      <c r="AA577" s="9" t="s">
        <v>4943</v>
      </c>
    </row>
    <row r="578" customFormat="false" ht="15" hidden="false" customHeight="true" outlineLevel="0" collapsed="false">
      <c r="A578" s="6" t="s">
        <v>2531</v>
      </c>
      <c r="B578" s="6" t="s">
        <v>523</v>
      </c>
      <c r="C578" s="6" t="s">
        <v>529</v>
      </c>
      <c r="D578" s="6" t="n">
        <v>6</v>
      </c>
      <c r="E578" s="9" t="s">
        <v>5123</v>
      </c>
      <c r="F578" s="6" t="n">
        <v>38000</v>
      </c>
      <c r="G578" s="6" t="n">
        <v>32000</v>
      </c>
      <c r="H578" s="6" t="n">
        <v>5000</v>
      </c>
      <c r="I578" s="6" t="n">
        <v>126000</v>
      </c>
      <c r="J578" s="6" t="n">
        <v>8000</v>
      </c>
      <c r="K578" s="6" t="n">
        <v>0</v>
      </c>
      <c r="L578" s="6" t="n">
        <v>2000</v>
      </c>
      <c r="M578" s="6" t="n">
        <v>0</v>
      </c>
      <c r="N578" s="6" t="n">
        <v>103000</v>
      </c>
      <c r="O578" s="6" t="n">
        <v>9000</v>
      </c>
      <c r="P578" s="6" t="n">
        <v>0</v>
      </c>
      <c r="Q578" s="1" t="n">
        <f aca="false">IF($A426="","",IF(OR(F426="",I426=""),"",F426-I426))</f>
        <v>844</v>
      </c>
      <c r="R578" s="1" t="str">
        <f aca="false">IF($A426="","",IF(Q426="","",Q426+IF(O426="",0,O426)))</f>
        <v/>
      </c>
      <c r="T578" s="1" t="str">
        <f aca="false">IF($A426="","",IF(R426="","",R426-IF(S426="",0,S426)))</f>
        <v/>
      </c>
      <c r="U578" s="1" t="n">
        <f aca="false">IF($A426="","",IF(I426="","",I426-SUM(J426:P426)))</f>
        <v>4000</v>
      </c>
      <c r="V578" s="6" t="s">
        <v>5124</v>
      </c>
      <c r="W578" s="49" t="s">
        <v>767</v>
      </c>
      <c r="X578" s="9" t="s">
        <v>5168</v>
      </c>
      <c r="Y578" s="9" t="s">
        <v>4897</v>
      </c>
      <c r="Z578" s="9" t="s">
        <v>4898</v>
      </c>
      <c r="AA578" s="9" t="s">
        <v>4943</v>
      </c>
    </row>
    <row r="579" customFormat="false" ht="15" hidden="false" customHeight="true" outlineLevel="0" collapsed="false">
      <c r="A579" s="6" t="s">
        <v>2534</v>
      </c>
      <c r="B579" s="6" t="s">
        <v>523</v>
      </c>
      <c r="C579" s="6" t="s">
        <v>529</v>
      </c>
      <c r="D579" s="6" t="n">
        <v>6</v>
      </c>
      <c r="E579" s="9" t="s">
        <v>5123</v>
      </c>
      <c r="F579" s="6" t="n">
        <v>395000</v>
      </c>
      <c r="G579" s="6" t="n">
        <v>354000</v>
      </c>
      <c r="H579" s="6" t="n">
        <v>40000</v>
      </c>
      <c r="I579" s="6" t="n">
        <v>299000</v>
      </c>
      <c r="J579" s="6" t="n">
        <v>64000</v>
      </c>
      <c r="K579" s="6" t="n">
        <v>11000</v>
      </c>
      <c r="L579" s="6" t="n">
        <v>16000</v>
      </c>
      <c r="M579" s="6" t="n">
        <v>0</v>
      </c>
      <c r="N579" s="6" t="n">
        <v>60000</v>
      </c>
      <c r="O579" s="6" t="n">
        <v>80000</v>
      </c>
      <c r="P579" s="6" t="n">
        <v>65000</v>
      </c>
      <c r="Q579" s="1" t="n">
        <f aca="false">IF($A427="","",IF(OR(F427="",I427=""),"",F427-I427))</f>
        <v>-157107</v>
      </c>
      <c r="R579" s="1" t="str">
        <f aca="false">IF($A427="","",IF(Q427="","",Q427+IF(O427="",0,O427)))</f>
        <v/>
      </c>
      <c r="T579" s="1" t="str">
        <f aca="false">IF($A427="","",IF(R427="","",R427-IF(S427="",0,S427)))</f>
        <v/>
      </c>
      <c r="U579" s="1" t="n">
        <f aca="false">IF($A427="","",IF(I427="","",I427-SUM(J427:P427)))</f>
        <v>3000</v>
      </c>
      <c r="V579" s="6" t="s">
        <v>5124</v>
      </c>
      <c r="W579" s="49" t="s">
        <v>767</v>
      </c>
      <c r="X579" s="9" t="s">
        <v>5169</v>
      </c>
      <c r="Y579" s="9" t="s">
        <v>4897</v>
      </c>
      <c r="Z579" s="9" t="s">
        <v>4898</v>
      </c>
      <c r="AA579" s="9" t="s">
        <v>4903</v>
      </c>
    </row>
    <row r="580" customFormat="false" ht="15" hidden="false" customHeight="true" outlineLevel="0" collapsed="false">
      <c r="A580" s="6" t="s">
        <v>2537</v>
      </c>
      <c r="B580" s="6" t="s">
        <v>523</v>
      </c>
      <c r="C580" s="6" t="s">
        <v>529</v>
      </c>
      <c r="D580" s="6" t="n">
        <v>6</v>
      </c>
      <c r="E580" s="9" t="s">
        <v>5123</v>
      </c>
      <c r="F580" s="6" t="n">
        <v>102000</v>
      </c>
      <c r="G580" s="6" t="n">
        <v>95000</v>
      </c>
      <c r="H580" s="6" t="n">
        <v>7000</v>
      </c>
      <c r="I580" s="6" t="n">
        <v>50000</v>
      </c>
      <c r="J580" s="6" t="n">
        <v>11000</v>
      </c>
      <c r="K580" s="6" t="n">
        <v>2000</v>
      </c>
      <c r="L580" s="6" t="n">
        <v>7000</v>
      </c>
      <c r="M580" s="6" t="n">
        <v>0</v>
      </c>
      <c r="N580" s="6" t="n">
        <v>5000</v>
      </c>
      <c r="O580" s="6" t="n">
        <v>20000</v>
      </c>
      <c r="P580" s="6" t="n">
        <v>3000</v>
      </c>
      <c r="Q580" s="1" t="n">
        <f aca="false">IF($A428="","",IF(OR(F428="",I428=""),"",F428-I428))</f>
        <v>552639</v>
      </c>
      <c r="R580" s="1" t="str">
        <f aca="false">IF($A428="","",IF(Q428="","",Q428+IF(O428="",0,O428)))</f>
        <v/>
      </c>
      <c r="T580" s="1" t="str">
        <f aca="false">IF($A428="","",IF(R428="","",R428-IF(S428="",0,S428)))</f>
        <v/>
      </c>
      <c r="U580" s="1" t="n">
        <f aca="false">IF($A428="","",IF(I428="","",I428-SUM(J428:P428)))</f>
        <v>2000</v>
      </c>
      <c r="V580" s="6" t="s">
        <v>5124</v>
      </c>
      <c r="W580" s="49" t="s">
        <v>767</v>
      </c>
      <c r="X580" s="9" t="s">
        <v>5170</v>
      </c>
      <c r="Y580" s="9" t="s">
        <v>4897</v>
      </c>
      <c r="Z580" s="9" t="s">
        <v>4898</v>
      </c>
      <c r="AA580" s="9" t="s">
        <v>4903</v>
      </c>
    </row>
    <row r="581" customFormat="false" ht="15" hidden="false" customHeight="true" outlineLevel="0" collapsed="false">
      <c r="A581" s="6" t="s">
        <v>2540</v>
      </c>
      <c r="B581" s="6" t="s">
        <v>523</v>
      </c>
      <c r="C581" s="6" t="s">
        <v>529</v>
      </c>
      <c r="D581" s="6" t="n">
        <v>6</v>
      </c>
      <c r="E581" s="9" t="s">
        <v>5123</v>
      </c>
      <c r="F581" s="6" t="n">
        <v>198000</v>
      </c>
      <c r="G581" s="6" t="n">
        <v>176000</v>
      </c>
      <c r="H581" s="6" t="n">
        <v>22000</v>
      </c>
      <c r="I581" s="6" t="n">
        <v>143000</v>
      </c>
      <c r="J581" s="6" t="n">
        <v>35000</v>
      </c>
      <c r="K581" s="6" t="n">
        <v>5000</v>
      </c>
      <c r="L581" s="6" t="n">
        <v>11000</v>
      </c>
      <c r="M581" s="6" t="n">
        <v>0</v>
      </c>
      <c r="N581" s="6" t="n">
        <v>37000</v>
      </c>
      <c r="O581" s="6" t="n">
        <v>51000</v>
      </c>
      <c r="P581" s="6" t="n">
        <v>1000</v>
      </c>
      <c r="Q581" s="1" t="n">
        <f aca="false">IF($A429="","",IF(OR(F429="",I429=""),"",F429-I429))</f>
        <v>-9086</v>
      </c>
      <c r="R581" s="1" t="str">
        <f aca="false">IF($A429="","",IF(Q429="","",Q429+IF(O429="",0,O429)))</f>
        <v/>
      </c>
      <c r="T581" s="1" t="str">
        <f aca="false">IF($A429="","",IF(R429="","",R429-IF(S429="",0,S429)))</f>
        <v/>
      </c>
      <c r="U581" s="1" t="n">
        <f aca="false">IF($A429="","",IF(I429="","",I429-SUM(J429:P429)))</f>
        <v>3000</v>
      </c>
      <c r="V581" s="6" t="s">
        <v>5124</v>
      </c>
      <c r="W581" s="49" t="s">
        <v>767</v>
      </c>
      <c r="X581" s="9" t="s">
        <v>5171</v>
      </c>
      <c r="Y581" s="9" t="s">
        <v>4897</v>
      </c>
      <c r="Z581" s="9" t="s">
        <v>4898</v>
      </c>
      <c r="AA581" s="9" t="s">
        <v>4903</v>
      </c>
    </row>
    <row r="582" customFormat="false" ht="15" hidden="false" customHeight="true" outlineLevel="0" collapsed="false">
      <c r="A582" s="6" t="s">
        <v>2543</v>
      </c>
      <c r="B582" s="6" t="s">
        <v>523</v>
      </c>
      <c r="C582" s="6" t="s">
        <v>529</v>
      </c>
      <c r="D582" s="6" t="n">
        <v>6</v>
      </c>
      <c r="E582" s="9" t="s">
        <v>5123</v>
      </c>
      <c r="F582" s="6" t="n">
        <v>312000</v>
      </c>
      <c r="G582" s="6" t="n">
        <v>290000</v>
      </c>
      <c r="H582" s="6" t="n">
        <v>22000</v>
      </c>
      <c r="I582" s="6" t="n">
        <v>203000</v>
      </c>
      <c r="J582" s="6" t="n">
        <v>48000</v>
      </c>
      <c r="K582" s="6" t="n">
        <v>3000</v>
      </c>
      <c r="L582" s="6" t="n">
        <v>13000</v>
      </c>
      <c r="M582" s="6" t="n">
        <v>0</v>
      </c>
      <c r="N582" s="6" t="n">
        <v>42000</v>
      </c>
      <c r="O582" s="6" t="n">
        <v>58000</v>
      </c>
      <c r="P582" s="6" t="n">
        <v>36000</v>
      </c>
      <c r="Q582" s="1" t="n">
        <f aca="false">IF($A430="","",IF(OR(F430="",I430=""),"",F430-I430))</f>
        <v>-42254</v>
      </c>
      <c r="R582" s="1" t="str">
        <f aca="false">IF($A430="","",IF(Q430="","",Q430+IF(O430="",0,O430)))</f>
        <v/>
      </c>
      <c r="T582" s="1" t="n">
        <f aca="false">IF($A430="","",IF(R430="","",R430-IF(S430="",0,S430)))</f>
        <v>5315649</v>
      </c>
      <c r="U582" s="1" t="n">
        <f aca="false">IF($A430="","",IF(I430="","",I430-SUM(J430:P430)))</f>
        <v>3000</v>
      </c>
      <c r="V582" s="6" t="s">
        <v>5124</v>
      </c>
      <c r="W582" s="49" t="s">
        <v>767</v>
      </c>
      <c r="X582" s="9" t="s">
        <v>5172</v>
      </c>
      <c r="Y582" s="9" t="s">
        <v>4897</v>
      </c>
      <c r="Z582" s="9" t="s">
        <v>4898</v>
      </c>
      <c r="AA582" s="9" t="s">
        <v>4903</v>
      </c>
    </row>
    <row r="583" customFormat="false" ht="15" hidden="false" customHeight="true" outlineLevel="0" collapsed="false">
      <c r="A583" s="6" t="s">
        <v>2546</v>
      </c>
      <c r="B583" s="6" t="s">
        <v>523</v>
      </c>
      <c r="C583" s="6" t="s">
        <v>529</v>
      </c>
      <c r="D583" s="6" t="n">
        <v>6</v>
      </c>
      <c r="E583" s="9" t="s">
        <v>5123</v>
      </c>
      <c r="F583" s="6" t="n">
        <v>162000</v>
      </c>
      <c r="G583" s="6" t="n">
        <v>149000</v>
      </c>
      <c r="H583" s="6" t="n">
        <v>13000</v>
      </c>
      <c r="I583" s="6" t="n">
        <v>56000</v>
      </c>
      <c r="J583" s="6" t="n">
        <v>16000</v>
      </c>
      <c r="K583" s="6" t="n">
        <v>3000</v>
      </c>
      <c r="L583" s="6" t="n">
        <v>7000</v>
      </c>
      <c r="M583" s="6" t="n">
        <v>0</v>
      </c>
      <c r="N583" s="6" t="n">
        <v>4000</v>
      </c>
      <c r="O583" s="6" t="n">
        <v>22000</v>
      </c>
      <c r="P583" s="6" t="n">
        <v>1000</v>
      </c>
      <c r="Q583" s="1" t="n">
        <f aca="false">IF($A431="","",IF(OR(F431="",I431=""),"",F431-I431))</f>
        <v>106000</v>
      </c>
      <c r="R583" s="1" t="str">
        <f aca="false">IF($A431="","",IF(Q431="","",Q431+IF(O431="",0,O431)))</f>
        <v/>
      </c>
      <c r="T583" s="1" t="str">
        <f aca="false">IF($A431="","",IF(R431="","",R431-IF(S431="",0,S431)))</f>
        <v/>
      </c>
      <c r="U583" s="1" t="n">
        <f aca="false">IF($A431="","",IF(I431="","",I431-SUM(J431:P431)))</f>
        <v>3000</v>
      </c>
      <c r="V583" s="6" t="s">
        <v>5124</v>
      </c>
      <c r="W583" s="49" t="s">
        <v>767</v>
      </c>
      <c r="X583" s="9" t="s">
        <v>5173</v>
      </c>
      <c r="Y583" s="9" t="s">
        <v>4897</v>
      </c>
      <c r="Z583" s="9" t="s">
        <v>4898</v>
      </c>
      <c r="AA583" s="9" t="s">
        <v>4903</v>
      </c>
    </row>
    <row r="584" customFormat="false" ht="15" hidden="false" customHeight="true" outlineLevel="0" collapsed="false">
      <c r="A584" s="6" t="s">
        <v>2549</v>
      </c>
      <c r="B584" s="6" t="s">
        <v>523</v>
      </c>
      <c r="C584" s="6" t="s">
        <v>529</v>
      </c>
      <c r="D584" s="6" t="n">
        <v>6</v>
      </c>
      <c r="E584" s="9" t="s">
        <v>5123</v>
      </c>
      <c r="F584" s="6" t="n">
        <v>68000</v>
      </c>
      <c r="G584" s="6" t="n">
        <v>65000</v>
      </c>
      <c r="H584" s="6" t="n">
        <v>3000</v>
      </c>
      <c r="I584" s="6" t="n">
        <v>28000</v>
      </c>
      <c r="J584" s="6" t="n">
        <v>8000</v>
      </c>
      <c r="K584" s="6" t="n">
        <v>0</v>
      </c>
      <c r="L584" s="6" t="n">
        <v>3000</v>
      </c>
      <c r="M584" s="6" t="n">
        <v>0</v>
      </c>
      <c r="N584" s="6" t="n">
        <v>3000</v>
      </c>
      <c r="O584" s="6" t="n">
        <v>12000</v>
      </c>
      <c r="P584" s="6" t="n">
        <v>0</v>
      </c>
      <c r="Q584" s="1" t="n">
        <f aca="false">IF($A432="","",IF(OR(F432="",I432=""),"",F432-I432))</f>
        <v>40000</v>
      </c>
      <c r="R584" s="1" t="str">
        <f aca="false">IF($A432="","",IF(Q432="","",Q432+IF(O432="",0,O432)))</f>
        <v/>
      </c>
      <c r="T584" s="1" t="str">
        <f aca="false">IF($A432="","",IF(R432="","",R432-IF(S432="",0,S432)))</f>
        <v/>
      </c>
      <c r="U584" s="1" t="n">
        <f aca="false">IF($A432="","",IF(I432="","",I432-SUM(J432:P432)))</f>
        <v>2000</v>
      </c>
      <c r="V584" s="6" t="s">
        <v>5124</v>
      </c>
      <c r="W584" s="49" t="s">
        <v>767</v>
      </c>
      <c r="X584" s="9" t="s">
        <v>5174</v>
      </c>
      <c r="Y584" s="9" t="s">
        <v>4897</v>
      </c>
      <c r="Z584" s="9" t="s">
        <v>4898</v>
      </c>
      <c r="AA584" s="9" t="s">
        <v>4903</v>
      </c>
    </row>
    <row r="585" customFormat="false" ht="15" hidden="false" customHeight="true" outlineLevel="0" collapsed="false">
      <c r="A585" s="6" t="s">
        <v>2552</v>
      </c>
      <c r="B585" s="6" t="s">
        <v>523</v>
      </c>
      <c r="C585" s="6" t="s">
        <v>529</v>
      </c>
      <c r="D585" s="6" t="n">
        <v>6</v>
      </c>
      <c r="E585" s="9" t="s">
        <v>5123</v>
      </c>
      <c r="F585" s="6" t="n">
        <v>48000</v>
      </c>
      <c r="G585" s="6" t="n">
        <v>36000</v>
      </c>
      <c r="H585" s="6" t="n">
        <v>12000</v>
      </c>
      <c r="I585" s="6" t="n">
        <v>22000</v>
      </c>
      <c r="J585" s="6" t="n">
        <v>4000</v>
      </c>
      <c r="K585" s="6" t="n">
        <v>0</v>
      </c>
      <c r="L585" s="6" t="n">
        <v>1000</v>
      </c>
      <c r="M585" s="6" t="n">
        <v>0</v>
      </c>
      <c r="N585" s="6" t="n">
        <v>9000</v>
      </c>
      <c r="O585" s="6" t="n">
        <v>4000</v>
      </c>
      <c r="P585" s="6" t="n">
        <v>1000</v>
      </c>
      <c r="Q585" s="1" t="n">
        <f aca="false">IF($A433="","",IF(OR(F433="",I433=""),"",F433-I433))</f>
        <v>69074</v>
      </c>
      <c r="R585" s="1" t="str">
        <f aca="false">IF($A433="","",IF(Q433="","",Q433+IF(O433="",0,O433)))</f>
        <v/>
      </c>
      <c r="T585" s="1" t="str">
        <f aca="false">IF($A433="","",IF(R433="","",R433-IF(S433="",0,S433)))</f>
        <v/>
      </c>
      <c r="U585" s="1" t="n">
        <f aca="false">IF($A433="","",IF(I433="","",I433-SUM(J433:P433)))</f>
        <v>3000</v>
      </c>
      <c r="V585" s="6" t="s">
        <v>5124</v>
      </c>
      <c r="W585" s="49" t="s">
        <v>767</v>
      </c>
      <c r="X585" s="9" t="s">
        <v>5175</v>
      </c>
      <c r="Y585" s="9" t="s">
        <v>4897</v>
      </c>
      <c r="Z585" s="9" t="s">
        <v>4898</v>
      </c>
      <c r="AA585" s="9" t="s">
        <v>4943</v>
      </c>
    </row>
    <row r="586" customFormat="false" ht="15" hidden="false" customHeight="true" outlineLevel="0" collapsed="false">
      <c r="A586" s="6" t="s">
        <v>2555</v>
      </c>
      <c r="B586" s="6" t="s">
        <v>523</v>
      </c>
      <c r="C586" s="6" t="s">
        <v>529</v>
      </c>
      <c r="D586" s="6" t="n">
        <v>6</v>
      </c>
      <c r="E586" s="9" t="s">
        <v>5123</v>
      </c>
      <c r="F586" s="6" t="n">
        <v>33000</v>
      </c>
      <c r="G586" s="6" t="n">
        <v>31000</v>
      </c>
      <c r="H586" s="6" t="n">
        <v>2000</v>
      </c>
      <c r="I586" s="6" t="n">
        <v>12000</v>
      </c>
      <c r="J586" s="6" t="n">
        <v>2000</v>
      </c>
      <c r="K586" s="6" t="n">
        <v>0</v>
      </c>
      <c r="L586" s="6" t="n">
        <v>1000</v>
      </c>
      <c r="M586" s="6" t="n">
        <v>0</v>
      </c>
      <c r="N586" s="6" t="n">
        <v>2000</v>
      </c>
      <c r="O586" s="6" t="n">
        <v>5000</v>
      </c>
      <c r="P586" s="6" t="n">
        <v>0</v>
      </c>
      <c r="Q586" s="1" t="n">
        <f aca="false">IF($A434="","",IF(OR(F434="",I434=""),"",F434-I434))</f>
        <v>206454</v>
      </c>
      <c r="R586" s="1" t="str">
        <f aca="false">IF($A434="","",IF(Q434="","",Q434+IF(O434="",0,O434)))</f>
        <v/>
      </c>
      <c r="T586" s="1" t="str">
        <f aca="false">IF($A434="","",IF(R434="","",R434-IF(S434="",0,S434)))</f>
        <v/>
      </c>
      <c r="U586" s="1" t="n">
        <f aca="false">IF($A434="","",IF(I434="","",I434-SUM(J434:P434)))</f>
        <v>2000</v>
      </c>
      <c r="V586" s="6" t="s">
        <v>5124</v>
      </c>
      <c r="W586" s="49" t="s">
        <v>767</v>
      </c>
      <c r="X586" s="9" t="s">
        <v>5176</v>
      </c>
      <c r="Y586" s="9" t="s">
        <v>4897</v>
      </c>
      <c r="Z586" s="9" t="s">
        <v>4898</v>
      </c>
      <c r="AA586" s="9" t="s">
        <v>4943</v>
      </c>
    </row>
    <row r="587" customFormat="false" ht="15" hidden="false" customHeight="true" outlineLevel="0" collapsed="false">
      <c r="A587" s="6" t="s">
        <v>2558</v>
      </c>
      <c r="B587" s="6" t="s">
        <v>523</v>
      </c>
      <c r="C587" s="6" t="s">
        <v>529</v>
      </c>
      <c r="D587" s="6" t="n">
        <v>6</v>
      </c>
      <c r="E587" s="9" t="s">
        <v>5123</v>
      </c>
      <c r="F587" s="6" t="n">
        <v>39000</v>
      </c>
      <c r="G587" s="6" t="n">
        <v>35000</v>
      </c>
      <c r="H587" s="6" t="n">
        <v>4000</v>
      </c>
      <c r="I587" s="6" t="n">
        <v>16000</v>
      </c>
      <c r="J587" s="6" t="n">
        <v>4000</v>
      </c>
      <c r="K587" s="6" t="n">
        <v>0</v>
      </c>
      <c r="L587" s="6" t="n">
        <v>1000</v>
      </c>
      <c r="M587" s="6" t="n">
        <v>0</v>
      </c>
      <c r="N587" s="6" t="n">
        <v>3000</v>
      </c>
      <c r="O587" s="6" t="n">
        <v>5000</v>
      </c>
      <c r="P587" s="6" t="n">
        <v>0</v>
      </c>
      <c r="Q587" s="1" t="n">
        <f aca="false">IF($A435="","",IF(OR(F435="",I435=""),"",F435-I435))</f>
        <v>59759</v>
      </c>
      <c r="R587" s="1" t="str">
        <f aca="false">IF($A435="","",IF(Q435="","",Q435+IF(O435="",0,O435)))</f>
        <v/>
      </c>
      <c r="T587" s="1" t="str">
        <f aca="false">IF($A435="","",IF(R435="","",R435-IF(S435="",0,S435)))</f>
        <v/>
      </c>
      <c r="U587" s="1" t="n">
        <f aca="false">IF($A435="","",IF(I435="","",I435-SUM(J435:P435)))</f>
        <v>3000</v>
      </c>
      <c r="V587" s="6" t="s">
        <v>5124</v>
      </c>
      <c r="W587" s="49" t="s">
        <v>767</v>
      </c>
      <c r="X587" s="9" t="s">
        <v>5177</v>
      </c>
      <c r="Y587" s="9" t="s">
        <v>4897</v>
      </c>
      <c r="Z587" s="9" t="s">
        <v>4898</v>
      </c>
      <c r="AA587" s="9" t="s">
        <v>4943</v>
      </c>
    </row>
    <row r="588" customFormat="false" ht="15" hidden="false" customHeight="true" outlineLevel="0" collapsed="false">
      <c r="A588" s="6" t="s">
        <v>2561</v>
      </c>
      <c r="B588" s="6" t="s">
        <v>523</v>
      </c>
      <c r="C588" s="6" t="s">
        <v>529</v>
      </c>
      <c r="D588" s="6" t="n">
        <v>6</v>
      </c>
      <c r="E588" s="9" t="s">
        <v>5123</v>
      </c>
      <c r="F588" s="6" t="n">
        <v>34000</v>
      </c>
      <c r="G588" s="6" t="n">
        <v>32000</v>
      </c>
      <c r="H588" s="6" t="n">
        <v>2000</v>
      </c>
      <c r="I588" s="6" t="n">
        <v>47000</v>
      </c>
      <c r="J588" s="6" t="n">
        <v>5000</v>
      </c>
      <c r="K588" s="6" t="n">
        <v>0</v>
      </c>
      <c r="L588" s="6" t="n">
        <v>2000</v>
      </c>
      <c r="M588" s="6" t="n">
        <v>0</v>
      </c>
      <c r="N588" s="6" t="n">
        <v>32000</v>
      </c>
      <c r="O588" s="6" t="n">
        <v>4000</v>
      </c>
      <c r="P588" s="6" t="n">
        <v>1000</v>
      </c>
      <c r="Q588" s="1" t="n">
        <f aca="false">IF($A436="","",IF(OR(F436="",I436=""),"",F436-I436))</f>
        <v>-13000</v>
      </c>
      <c r="R588" s="1" t="str">
        <f aca="false">IF($A436="","",IF(Q436="","",Q436+IF(O436="",0,O436)))</f>
        <v/>
      </c>
      <c r="T588" s="1" t="str">
        <f aca="false">IF($A436="","",IF(R436="","",R436-IF(S436="",0,S436)))</f>
        <v/>
      </c>
      <c r="U588" s="1" t="n">
        <f aca="false">IF($A436="","",IF(I436="","",I436-SUM(J436:P436)))</f>
        <v>3000</v>
      </c>
      <c r="V588" s="6" t="s">
        <v>5124</v>
      </c>
      <c r="W588" s="49" t="s">
        <v>767</v>
      </c>
      <c r="X588" s="9" t="s">
        <v>5178</v>
      </c>
      <c r="Y588" s="9" t="s">
        <v>4897</v>
      </c>
      <c r="Z588" s="9" t="s">
        <v>4898</v>
      </c>
      <c r="AA588" s="9" t="s">
        <v>4943</v>
      </c>
    </row>
    <row r="589" customFormat="false" ht="15" hidden="false" customHeight="true" outlineLevel="0" collapsed="false">
      <c r="A589" s="6" t="s">
        <v>2564</v>
      </c>
      <c r="B589" s="6" t="s">
        <v>523</v>
      </c>
      <c r="C589" s="6" t="s">
        <v>529</v>
      </c>
      <c r="D589" s="6" t="n">
        <v>6</v>
      </c>
      <c r="E589" s="9" t="s">
        <v>5123</v>
      </c>
      <c r="F589" s="6" t="n">
        <v>46000</v>
      </c>
      <c r="G589" s="6" t="n">
        <v>43000</v>
      </c>
      <c r="H589" s="6" t="n">
        <v>3000</v>
      </c>
      <c r="I589" s="6" t="n">
        <v>18000</v>
      </c>
      <c r="J589" s="6" t="n">
        <v>3000</v>
      </c>
      <c r="K589" s="6" t="n">
        <v>0</v>
      </c>
      <c r="L589" s="6" t="n">
        <v>2000</v>
      </c>
      <c r="M589" s="6" t="n">
        <v>0</v>
      </c>
      <c r="N589" s="6" t="n">
        <v>2000</v>
      </c>
      <c r="O589" s="6" t="n">
        <v>8000</v>
      </c>
      <c r="P589" s="6" t="n">
        <v>1000</v>
      </c>
      <c r="Q589" s="1" t="n">
        <f aca="false">IF($A437="","",IF(OR(F437="",I437=""),"",F437-I437))</f>
        <v>28000</v>
      </c>
      <c r="R589" s="1" t="str">
        <f aca="false">IF($A437="","",IF(Q437="","",Q437+IF(O437="",0,O437)))</f>
        <v/>
      </c>
      <c r="T589" s="1" t="str">
        <f aca="false">IF($A437="","",IF(R437="","",R437-IF(S437="",0,S437)))</f>
        <v/>
      </c>
      <c r="U589" s="1" t="n">
        <f aca="false">IF($A437="","",IF(I437="","",I437-SUM(J437:P437)))</f>
        <v>2000</v>
      </c>
      <c r="V589" s="6" t="s">
        <v>5124</v>
      </c>
      <c r="W589" s="49" t="s">
        <v>767</v>
      </c>
      <c r="X589" s="9" t="s">
        <v>5179</v>
      </c>
      <c r="Y589" s="9" t="s">
        <v>4897</v>
      </c>
      <c r="Z589" s="9" t="s">
        <v>4898</v>
      </c>
      <c r="AA589" s="9" t="s">
        <v>4943</v>
      </c>
    </row>
    <row r="590" customFormat="false" ht="15" hidden="false" customHeight="true" outlineLevel="0" collapsed="false">
      <c r="A590" s="6" t="s">
        <v>2567</v>
      </c>
      <c r="B590" s="6" t="s">
        <v>523</v>
      </c>
      <c r="C590" s="6" t="s">
        <v>529</v>
      </c>
      <c r="D590" s="6" t="n">
        <v>6</v>
      </c>
      <c r="E590" s="9" t="s">
        <v>5123</v>
      </c>
      <c r="F590" s="6" t="n">
        <v>42000</v>
      </c>
      <c r="G590" s="6" t="n">
        <v>39000</v>
      </c>
      <c r="H590" s="6" t="n">
        <v>3000</v>
      </c>
      <c r="I590" s="6" t="n">
        <v>22000</v>
      </c>
      <c r="J590" s="6" t="n">
        <v>5000</v>
      </c>
      <c r="K590" s="6" t="n">
        <v>0</v>
      </c>
      <c r="L590" s="6" t="n">
        <v>2000</v>
      </c>
      <c r="M590" s="6" t="n">
        <v>0</v>
      </c>
      <c r="N590" s="6" t="n">
        <v>4000</v>
      </c>
      <c r="O590" s="6" t="n">
        <v>8000</v>
      </c>
      <c r="P590" s="6" t="n">
        <v>1000</v>
      </c>
      <c r="Q590" s="1" t="n">
        <f aca="false">IF($A438="","",IF(OR(F438="",I438=""),"",F438-I438))</f>
        <v>4084035</v>
      </c>
      <c r="R590" s="1" t="n">
        <f aca="false">IF($A438="","",IF(Q438="","",Q438+IF(O438="",0,O438)))</f>
        <v>-2691297</v>
      </c>
      <c r="T590" s="1" t="n">
        <f aca="false">IF($A438="","",IF(R438="","",R438-IF(S438="",0,S438)))</f>
        <v>590434</v>
      </c>
      <c r="U590" s="1" t="n">
        <f aca="false">IF($A438="","",IF(I438="","",I438-SUM(J438:P438)))</f>
        <v>4</v>
      </c>
      <c r="V590" s="6" t="s">
        <v>5124</v>
      </c>
      <c r="W590" s="49" t="s">
        <v>767</v>
      </c>
      <c r="X590" s="9" t="s">
        <v>5180</v>
      </c>
      <c r="Y590" s="9" t="s">
        <v>4897</v>
      </c>
      <c r="Z590" s="9" t="s">
        <v>4898</v>
      </c>
      <c r="AA590" s="9" t="s">
        <v>4943</v>
      </c>
    </row>
    <row r="591" customFormat="false" ht="15" hidden="false" customHeight="true" outlineLevel="0" collapsed="false">
      <c r="A591" s="6" t="s">
        <v>2570</v>
      </c>
      <c r="B591" s="6" t="s">
        <v>523</v>
      </c>
      <c r="C591" s="6" t="s">
        <v>529</v>
      </c>
      <c r="D591" s="6" t="n">
        <v>6</v>
      </c>
      <c r="E591" s="9" t="s">
        <v>5123</v>
      </c>
      <c r="F591" s="6" t="n">
        <v>55000</v>
      </c>
      <c r="G591" s="6" t="n">
        <v>52000</v>
      </c>
      <c r="H591" s="6" t="n">
        <v>2000</v>
      </c>
      <c r="I591" s="6" t="n">
        <v>25000</v>
      </c>
      <c r="J591" s="6" t="n">
        <v>5000</v>
      </c>
      <c r="K591" s="6" t="n">
        <v>0</v>
      </c>
      <c r="L591" s="6" t="n">
        <v>2000</v>
      </c>
      <c r="M591" s="6" t="n">
        <v>0</v>
      </c>
      <c r="N591" s="6" t="n">
        <v>2000</v>
      </c>
      <c r="O591" s="6" t="n">
        <v>12000</v>
      </c>
      <c r="P591" s="6" t="n">
        <v>1000</v>
      </c>
      <c r="Q591" s="1" t="n">
        <f aca="false">IF($A439="","",IF(OR(F439="",I439=""),"",F439-I439))</f>
        <v>30000</v>
      </c>
      <c r="R591" s="1" t="str">
        <f aca="false">IF($A439="","",IF(Q439="","",Q439+IF(O439="",0,O439)))</f>
        <v/>
      </c>
      <c r="T591" s="1" t="str">
        <f aca="false">IF($A439="","",IF(R439="","",R439-IF(S439="",0,S439)))</f>
        <v/>
      </c>
      <c r="U591" s="1" t="n">
        <f aca="false">IF($A439="","",IF(I439="","",I439-SUM(J439:P439)))</f>
        <v>3000</v>
      </c>
      <c r="V591" s="6" t="s">
        <v>5124</v>
      </c>
      <c r="W591" s="49" t="s">
        <v>767</v>
      </c>
      <c r="X591" s="9" t="s">
        <v>5181</v>
      </c>
      <c r="Y591" s="9" t="s">
        <v>4897</v>
      </c>
      <c r="Z591" s="9" t="s">
        <v>4898</v>
      </c>
      <c r="AA591" s="9" t="s">
        <v>4903</v>
      </c>
    </row>
    <row r="592" customFormat="false" ht="15" hidden="false" customHeight="true" outlineLevel="0" collapsed="false">
      <c r="A592" s="6" t="s">
        <v>2573</v>
      </c>
      <c r="B592" s="6" t="s">
        <v>523</v>
      </c>
      <c r="C592" s="6" t="s">
        <v>529</v>
      </c>
      <c r="D592" s="6" t="n">
        <v>6</v>
      </c>
      <c r="E592" s="9" t="s">
        <v>5123</v>
      </c>
      <c r="F592" s="6" t="n">
        <v>57000</v>
      </c>
      <c r="G592" s="6" t="n">
        <v>53000</v>
      </c>
      <c r="H592" s="6" t="n">
        <v>4000</v>
      </c>
      <c r="I592" s="6" t="n">
        <v>25000</v>
      </c>
      <c r="J592" s="6" t="n">
        <v>6000</v>
      </c>
      <c r="K592" s="6" t="n">
        <v>0</v>
      </c>
      <c r="L592" s="6" t="n">
        <v>2000</v>
      </c>
      <c r="M592" s="6" t="n">
        <v>0</v>
      </c>
      <c r="N592" s="6" t="n">
        <v>3000</v>
      </c>
      <c r="O592" s="6" t="n">
        <v>11000</v>
      </c>
      <c r="P592" s="6" t="n">
        <v>1000</v>
      </c>
      <c r="Q592" s="1" t="n">
        <f aca="false">IF($A440="","",IF(OR(F440="",I440=""),"",F440-I440))</f>
        <v>32000</v>
      </c>
      <c r="R592" s="1" t="str">
        <f aca="false">IF($A440="","",IF(Q440="","",Q440+IF(O440="",0,O440)))</f>
        <v/>
      </c>
      <c r="T592" s="1" t="str">
        <f aca="false">IF($A440="","",IF(R440="","",R440-IF(S440="",0,S440)))</f>
        <v/>
      </c>
      <c r="U592" s="1" t="n">
        <f aca="false">IF($A440="","",IF(I440="","",I440-SUM(J440:P440)))</f>
        <v>2000</v>
      </c>
      <c r="V592" s="6" t="s">
        <v>5124</v>
      </c>
      <c r="W592" s="49" t="s">
        <v>767</v>
      </c>
      <c r="X592" s="9" t="s">
        <v>5182</v>
      </c>
      <c r="Y592" s="9" t="s">
        <v>4897</v>
      </c>
      <c r="Z592" s="9" t="s">
        <v>4898</v>
      </c>
      <c r="AA592" s="9" t="s">
        <v>4903</v>
      </c>
    </row>
    <row r="593" customFormat="false" ht="15" hidden="false" customHeight="true" outlineLevel="0" collapsed="false">
      <c r="A593" s="6" t="s">
        <v>2576</v>
      </c>
      <c r="B593" s="6" t="s">
        <v>523</v>
      </c>
      <c r="C593" s="6" t="s">
        <v>529</v>
      </c>
      <c r="D593" s="6" t="n">
        <v>6</v>
      </c>
      <c r="E593" s="9" t="s">
        <v>5123</v>
      </c>
      <c r="F593" s="6" t="n">
        <v>45000</v>
      </c>
      <c r="G593" s="6" t="n">
        <v>42000</v>
      </c>
      <c r="H593" s="6" t="n">
        <v>2000</v>
      </c>
      <c r="I593" s="6" t="n">
        <v>17000</v>
      </c>
      <c r="J593" s="6" t="n">
        <v>4000</v>
      </c>
      <c r="K593" s="6" t="n">
        <v>0</v>
      </c>
      <c r="L593" s="6" t="n">
        <v>1000</v>
      </c>
      <c r="M593" s="6" t="n">
        <v>0</v>
      </c>
      <c r="N593" s="6" t="n">
        <v>2000</v>
      </c>
      <c r="O593" s="6" t="n">
        <v>7000</v>
      </c>
      <c r="P593" s="6" t="n">
        <v>1000</v>
      </c>
      <c r="Q593" s="1" t="n">
        <f aca="false">IF($A441="","",IF(OR(F441="",I441=""),"",F441-I441))</f>
        <v>28000</v>
      </c>
      <c r="R593" s="1" t="str">
        <f aca="false">IF($A441="","",IF(Q441="","",Q441+IF(O441="",0,O441)))</f>
        <v/>
      </c>
      <c r="T593" s="1" t="str">
        <f aca="false">IF($A441="","",IF(R441="","",R441-IF(S441="",0,S441)))</f>
        <v/>
      </c>
      <c r="U593" s="1" t="n">
        <f aca="false">IF($A441="","",IF(I441="","",I441-SUM(J441:P441)))</f>
        <v>2000</v>
      </c>
      <c r="V593" s="6" t="s">
        <v>5124</v>
      </c>
      <c r="W593" s="9" t="s">
        <v>767</v>
      </c>
      <c r="X593" s="9" t="s">
        <v>5183</v>
      </c>
      <c r="Y593" s="9" t="s">
        <v>4897</v>
      </c>
      <c r="Z593" s="9" t="s">
        <v>4898</v>
      </c>
      <c r="AA593" s="9" t="s">
        <v>4943</v>
      </c>
    </row>
    <row r="594" customFormat="false" ht="15" hidden="false" customHeight="true" outlineLevel="0" collapsed="false">
      <c r="A594" s="6" t="s">
        <v>2579</v>
      </c>
      <c r="B594" s="6" t="s">
        <v>523</v>
      </c>
      <c r="C594" s="6" t="s">
        <v>529</v>
      </c>
      <c r="D594" s="6" t="n">
        <v>6</v>
      </c>
      <c r="E594" s="9" t="s">
        <v>5123</v>
      </c>
      <c r="F594" s="6" t="n">
        <v>89000</v>
      </c>
      <c r="G594" s="6" t="n">
        <v>83000</v>
      </c>
      <c r="H594" s="6" t="n">
        <v>5000</v>
      </c>
      <c r="I594" s="6" t="n">
        <v>33000</v>
      </c>
      <c r="J594" s="6" t="n">
        <v>7000</v>
      </c>
      <c r="K594" s="6" t="n">
        <v>0</v>
      </c>
      <c r="L594" s="6" t="n">
        <v>4000</v>
      </c>
      <c r="M594" s="6" t="n">
        <v>0</v>
      </c>
      <c r="N594" s="6" t="n">
        <v>4000</v>
      </c>
      <c r="O594" s="6" t="n">
        <v>15000</v>
      </c>
      <c r="P594" s="6" t="n">
        <v>1000</v>
      </c>
      <c r="Q594" s="1" t="n">
        <f aca="false">IF($A442="","",IF(OR(F442="",I442=""),"",F442-I442))</f>
        <v>56000</v>
      </c>
      <c r="R594" s="1" t="str">
        <f aca="false">IF($A442="","",IF(Q442="","",Q442+IF(O442="",0,O442)))</f>
        <v/>
      </c>
      <c r="T594" s="1" t="str">
        <f aca="false">IF($A442="","",IF(R442="","",R442-IF(S442="",0,S442)))</f>
        <v/>
      </c>
      <c r="U594" s="1" t="n">
        <f aca="false">IF($A442="","",IF(I442="","",I442-SUM(J442:P442)))</f>
        <v>2000</v>
      </c>
      <c r="V594" s="6" t="s">
        <v>5124</v>
      </c>
      <c r="W594" s="9" t="s">
        <v>767</v>
      </c>
      <c r="X594" s="9" t="s">
        <v>5184</v>
      </c>
      <c r="Y594" s="9" t="s">
        <v>4897</v>
      </c>
      <c r="Z594" s="9" t="s">
        <v>4898</v>
      </c>
      <c r="AA594" s="9" t="s">
        <v>4903</v>
      </c>
    </row>
    <row r="595" customFormat="false" ht="15" hidden="false" customHeight="true" outlineLevel="0" collapsed="false">
      <c r="A595" s="6" t="s">
        <v>2583</v>
      </c>
      <c r="B595" s="6" t="s">
        <v>523</v>
      </c>
      <c r="C595" s="6" t="s">
        <v>529</v>
      </c>
      <c r="D595" s="6" t="n">
        <v>6</v>
      </c>
      <c r="E595" s="9" t="s">
        <v>5123</v>
      </c>
      <c r="F595" s="6" t="n">
        <v>52000</v>
      </c>
      <c r="G595" s="6" t="n">
        <v>48000</v>
      </c>
      <c r="H595" s="6" t="n">
        <v>4000</v>
      </c>
      <c r="I595" s="6" t="n">
        <v>20000</v>
      </c>
      <c r="J595" s="6" t="n">
        <v>5000</v>
      </c>
      <c r="K595" s="6" t="n">
        <v>0</v>
      </c>
      <c r="L595" s="6" t="n">
        <v>2000</v>
      </c>
      <c r="M595" s="6" t="n">
        <v>0</v>
      </c>
      <c r="N595" s="6" t="n">
        <v>2000</v>
      </c>
      <c r="O595" s="6" t="n">
        <v>9000</v>
      </c>
      <c r="P595" s="6" t="n">
        <v>0</v>
      </c>
      <c r="Q595" s="1" t="n">
        <f aca="false">IF($A443="","",IF(OR(F443="",I443=""),"",F443-I443))</f>
        <v>32000</v>
      </c>
      <c r="R595" s="1" t="str">
        <f aca="false">IF($A443="","",IF(Q443="","",Q443+IF(O443="",0,O443)))</f>
        <v/>
      </c>
      <c r="T595" s="1" t="str">
        <f aca="false">IF($A443="","",IF(R443="","",R443-IF(S443="",0,S443)))</f>
        <v/>
      </c>
      <c r="U595" s="1" t="n">
        <f aca="false">IF($A443="","",IF(I443="","",I443-SUM(J443:P443)))</f>
        <v>2000</v>
      </c>
      <c r="V595" s="6" t="s">
        <v>5124</v>
      </c>
      <c r="W595" s="49" t="s">
        <v>767</v>
      </c>
      <c r="X595" s="9" t="s">
        <v>5185</v>
      </c>
      <c r="Y595" s="9" t="s">
        <v>4897</v>
      </c>
      <c r="Z595" s="9" t="s">
        <v>4898</v>
      </c>
      <c r="AA595" s="9" t="s">
        <v>4903</v>
      </c>
    </row>
    <row r="596" customFormat="false" ht="15" hidden="false" customHeight="true" outlineLevel="0" collapsed="false">
      <c r="A596" s="6" t="s">
        <v>2587</v>
      </c>
      <c r="B596" s="6" t="s">
        <v>523</v>
      </c>
      <c r="C596" s="6" t="s">
        <v>529</v>
      </c>
      <c r="D596" s="6" t="n">
        <v>6</v>
      </c>
      <c r="E596" s="9" t="s">
        <v>5123</v>
      </c>
      <c r="F596" s="6" t="n">
        <v>86000</v>
      </c>
      <c r="G596" s="6" t="n">
        <v>79000</v>
      </c>
      <c r="H596" s="6" t="n">
        <v>6000</v>
      </c>
      <c r="I596" s="6" t="n">
        <v>35000</v>
      </c>
      <c r="J596" s="6" t="n">
        <v>8000</v>
      </c>
      <c r="K596" s="6" t="n">
        <v>0</v>
      </c>
      <c r="L596" s="6" t="n">
        <v>5000</v>
      </c>
      <c r="M596" s="6" t="n">
        <v>0</v>
      </c>
      <c r="N596" s="6" t="n">
        <v>6000</v>
      </c>
      <c r="O596" s="6" t="n">
        <v>13000</v>
      </c>
      <c r="P596" s="6" t="n">
        <v>0</v>
      </c>
      <c r="Q596" s="1" t="n">
        <f aca="false">IF($A444="","",IF(OR(F444="",I444=""),"",F444-I444))</f>
        <v>51000</v>
      </c>
      <c r="R596" s="1" t="str">
        <f aca="false">IF($A444="","",IF(Q444="","",Q444+IF(O444="",0,O444)))</f>
        <v/>
      </c>
      <c r="T596" s="1" t="str">
        <f aca="false">IF($A444="","",IF(R444="","",R444-IF(S444="",0,S444)))</f>
        <v/>
      </c>
      <c r="U596" s="1" t="n">
        <f aca="false">IF($A444="","",IF(I444="","",I444-SUM(J444:P444)))</f>
        <v>3000</v>
      </c>
      <c r="V596" s="6" t="s">
        <v>5124</v>
      </c>
      <c r="W596" s="49" t="s">
        <v>767</v>
      </c>
      <c r="X596" s="9" t="s">
        <v>5186</v>
      </c>
      <c r="Y596" s="9" t="s">
        <v>4897</v>
      </c>
      <c r="Z596" s="9" t="s">
        <v>4898</v>
      </c>
      <c r="AA596" s="9" t="s">
        <v>4903</v>
      </c>
    </row>
    <row r="597" customFormat="false" ht="15" hidden="false" customHeight="true" outlineLevel="0" collapsed="false">
      <c r="A597" s="6" t="s">
        <v>2590</v>
      </c>
      <c r="B597" s="6" t="s">
        <v>523</v>
      </c>
      <c r="C597" s="6" t="s">
        <v>529</v>
      </c>
      <c r="D597" s="6" t="n">
        <v>6</v>
      </c>
      <c r="E597" s="9" t="s">
        <v>5123</v>
      </c>
      <c r="F597" s="6" t="n">
        <v>59000</v>
      </c>
      <c r="G597" s="6" t="n">
        <v>58000</v>
      </c>
      <c r="H597" s="6" t="n">
        <v>1000</v>
      </c>
      <c r="I597" s="6" t="n">
        <v>21000</v>
      </c>
      <c r="J597" s="6" t="n">
        <v>1000</v>
      </c>
      <c r="K597" s="6" t="n">
        <v>0</v>
      </c>
      <c r="L597" s="6" t="n">
        <v>0</v>
      </c>
      <c r="M597" s="6" t="n">
        <v>0</v>
      </c>
      <c r="N597" s="6" t="n">
        <v>0</v>
      </c>
      <c r="O597" s="6" t="n">
        <v>17000</v>
      </c>
      <c r="P597" s="6" t="n">
        <v>2000</v>
      </c>
      <c r="Q597" s="1" t="n">
        <f aca="false">IF($A445="","",IF(OR(F445="",I445=""),"",F445-I445))</f>
        <v>38000</v>
      </c>
      <c r="R597" s="1" t="str">
        <f aca="false">IF($A445="","",IF(Q445="","",Q445+IF(O445="",0,O445)))</f>
        <v/>
      </c>
      <c r="T597" s="1" t="str">
        <f aca="false">IF($A445="","",IF(R445="","",R445-IF(S445="",0,S445)))</f>
        <v/>
      </c>
      <c r="U597" s="1" t="n">
        <f aca="false">IF($A445="","",IF(I445="","",I445-SUM(J445:P445)))</f>
        <v>1000</v>
      </c>
      <c r="V597" s="6" t="s">
        <v>5124</v>
      </c>
      <c r="W597" s="49" t="s">
        <v>767</v>
      </c>
      <c r="X597" s="9" t="s">
        <v>5187</v>
      </c>
      <c r="Y597" s="9" t="s">
        <v>4897</v>
      </c>
      <c r="Z597" s="9" t="s">
        <v>4898</v>
      </c>
      <c r="AA597" s="9" t="s">
        <v>4903</v>
      </c>
    </row>
    <row r="598" customFormat="false" ht="15" hidden="false" customHeight="true" outlineLevel="0" collapsed="false">
      <c r="A598" s="6" t="s">
        <v>2593</v>
      </c>
      <c r="B598" s="6" t="s">
        <v>523</v>
      </c>
      <c r="C598" s="6" t="s">
        <v>529</v>
      </c>
      <c r="D598" s="6" t="n">
        <v>6</v>
      </c>
      <c r="E598" s="9" t="s">
        <v>5123</v>
      </c>
      <c r="F598" s="6" t="n">
        <v>75000</v>
      </c>
      <c r="G598" s="6" t="n">
        <v>66000</v>
      </c>
      <c r="H598" s="6" t="n">
        <v>8000</v>
      </c>
      <c r="I598" s="6" t="n">
        <v>48000</v>
      </c>
      <c r="J598" s="6" t="n">
        <v>14000</v>
      </c>
      <c r="K598" s="6" t="n">
        <v>3000</v>
      </c>
      <c r="L598" s="6" t="n">
        <v>0</v>
      </c>
      <c r="M598" s="6" t="n">
        <v>0</v>
      </c>
      <c r="N598" s="6" t="n">
        <v>3000</v>
      </c>
      <c r="O598" s="6" t="n">
        <v>19000</v>
      </c>
      <c r="P598" s="6" t="n">
        <v>7000</v>
      </c>
      <c r="Q598" s="1" t="n">
        <f aca="false">IF($A446="","",IF(OR(F446="",I446=""),"",F446-I446))</f>
        <v>27000</v>
      </c>
      <c r="R598" s="1" t="str">
        <f aca="false">IF($A446="","",IF(Q446="","",Q446+IF(O446="",0,O446)))</f>
        <v/>
      </c>
      <c r="T598" s="1" t="str">
        <f aca="false">IF($A446="","",IF(R446="","",R446-IF(S446="",0,S446)))</f>
        <v/>
      </c>
      <c r="U598" s="1" t="n">
        <f aca="false">IF($A446="","",IF(I446="","",I446-SUM(J446:P446)))</f>
        <v>2000</v>
      </c>
      <c r="V598" s="6" t="s">
        <v>5124</v>
      </c>
      <c r="W598" s="49" t="s">
        <v>767</v>
      </c>
      <c r="X598" s="9" t="s">
        <v>5188</v>
      </c>
      <c r="Y598" s="9" t="s">
        <v>4897</v>
      </c>
      <c r="Z598" s="9" t="s">
        <v>4898</v>
      </c>
      <c r="AA598" s="9" t="s">
        <v>4903</v>
      </c>
    </row>
    <row r="599" customFormat="false" ht="15" hidden="false" customHeight="true" outlineLevel="0" collapsed="false">
      <c r="A599" s="6" t="s">
        <v>2597</v>
      </c>
      <c r="B599" s="6" t="s">
        <v>523</v>
      </c>
      <c r="C599" s="6" t="s">
        <v>529</v>
      </c>
      <c r="D599" s="6" t="n">
        <v>6</v>
      </c>
      <c r="E599" s="9" t="s">
        <v>5123</v>
      </c>
      <c r="F599" s="6" t="n">
        <v>11000</v>
      </c>
      <c r="G599" s="6" t="n">
        <v>10000</v>
      </c>
      <c r="H599" s="6" t="n">
        <v>0</v>
      </c>
      <c r="I599" s="6" t="n">
        <v>6000</v>
      </c>
      <c r="J599" s="6" t="n">
        <v>1000</v>
      </c>
      <c r="K599" s="6" t="n">
        <v>0</v>
      </c>
      <c r="L599" s="6" t="n">
        <v>0</v>
      </c>
      <c r="M599" s="6" t="n">
        <v>0</v>
      </c>
      <c r="N599" s="6" t="n">
        <v>0</v>
      </c>
      <c r="O599" s="6" t="n">
        <v>4000</v>
      </c>
      <c r="P599" s="6" t="n">
        <v>0</v>
      </c>
      <c r="Q599" s="1" t="n">
        <f aca="false">IF($A447="","",IF(OR(F447="",I447=""),"",F447-I447))</f>
        <v>5000</v>
      </c>
      <c r="R599" s="1" t="str">
        <f aca="false">IF($A447="","",IF(Q447="","",Q447+IF(O447="",0,O447)))</f>
        <v/>
      </c>
      <c r="T599" s="1" t="str">
        <f aca="false">IF($A447="","",IF(R447="","",R447-IF(S447="",0,S447)))</f>
        <v/>
      </c>
      <c r="U599" s="1" t="n">
        <f aca="false">IF($A447="","",IF(I447="","",I447-SUM(J447:P447)))</f>
        <v>1000</v>
      </c>
      <c r="V599" s="6" t="s">
        <v>5124</v>
      </c>
      <c r="W599" s="49" t="s">
        <v>767</v>
      </c>
      <c r="X599" s="9" t="s">
        <v>5189</v>
      </c>
      <c r="Y599" s="9" t="s">
        <v>4897</v>
      </c>
      <c r="Z599" s="9" t="s">
        <v>4898</v>
      </c>
      <c r="AA599" s="9" t="s">
        <v>4943</v>
      </c>
    </row>
    <row r="600" customFormat="false" ht="15" hidden="false" customHeight="true" outlineLevel="0" collapsed="false">
      <c r="A600" s="6" t="s">
        <v>2600</v>
      </c>
      <c r="B600" s="6" t="s">
        <v>523</v>
      </c>
      <c r="C600" s="6" t="s">
        <v>529</v>
      </c>
      <c r="D600" s="6" t="n">
        <v>6</v>
      </c>
      <c r="E600" s="9" t="s">
        <v>5190</v>
      </c>
      <c r="F600" s="1" t="n">
        <v>12864295</v>
      </c>
      <c r="G600" s="1" t="n">
        <v>12376825</v>
      </c>
      <c r="H600" s="1" t="n">
        <v>487470</v>
      </c>
      <c r="I600" s="1" t="n">
        <v>5727494</v>
      </c>
      <c r="J600" s="1" t="n">
        <v>1089958</v>
      </c>
      <c r="K600" s="1" t="n">
        <v>265748</v>
      </c>
      <c r="L600" s="1" t="n">
        <v>808680</v>
      </c>
      <c r="M600" s="1" t="n">
        <v>20084</v>
      </c>
      <c r="N600" s="1" t="n">
        <v>433713</v>
      </c>
      <c r="O600" s="1" t="n">
        <v>2314026</v>
      </c>
      <c r="P600" s="1" t="n">
        <v>795281</v>
      </c>
      <c r="Q600" s="1" t="str">
        <f aca="false">IF($A448="","",IF(OR(F448="",I448=""),"",F448-I448))</f>
        <v/>
      </c>
      <c r="R600" s="1" t="str">
        <f aca="false">IF($A448="","",IF(Q448="","",Q448+IF(O448="",0,O448)))</f>
        <v/>
      </c>
      <c r="T600" s="1" t="str">
        <f aca="false">IF($A448="","",IF(R448="","",R448-IF(S448="",0,S448)))</f>
        <v/>
      </c>
      <c r="U600" s="1" t="str">
        <f aca="false">IF($A448="","",IF(I448="","",I448-SUM(J448:P448)))</f>
        <v/>
      </c>
      <c r="V600" s="6" t="s">
        <v>5191</v>
      </c>
      <c r="W600" s="49" t="s">
        <v>774</v>
      </c>
      <c r="X600" s="9" t="s">
        <v>5192</v>
      </c>
      <c r="Y600" s="9" t="s">
        <v>4897</v>
      </c>
      <c r="Z600" s="9" t="s">
        <v>4898</v>
      </c>
      <c r="AA600" s="9" t="s">
        <v>4899</v>
      </c>
    </row>
    <row r="601" customFormat="false" ht="15" hidden="false" customHeight="true" outlineLevel="0" collapsed="false">
      <c r="A601" s="6" t="s">
        <v>2604</v>
      </c>
      <c r="B601" s="6" t="s">
        <v>531</v>
      </c>
      <c r="C601" s="6" t="s">
        <v>536</v>
      </c>
      <c r="D601" s="6" t="n">
        <v>6</v>
      </c>
      <c r="E601" s="9" t="s">
        <v>4894</v>
      </c>
      <c r="F601" s="6" t="n">
        <v>9025042</v>
      </c>
      <c r="G601" s="6" t="n">
        <v>8140845</v>
      </c>
      <c r="H601" s="6" t="n">
        <v>884196</v>
      </c>
      <c r="I601" s="6" t="n">
        <v>3782182</v>
      </c>
      <c r="J601" s="6" t="n">
        <v>960470</v>
      </c>
      <c r="K601" s="6" t="n">
        <v>375536</v>
      </c>
      <c r="L601" s="6" t="n">
        <v>597387</v>
      </c>
      <c r="M601" s="6" t="n">
        <v>8120</v>
      </c>
      <c r="N601" s="6" t="n">
        <v>446050</v>
      </c>
      <c r="O601" s="6" t="n">
        <v>1165766</v>
      </c>
      <c r="P601" s="6" t="n">
        <v>228850</v>
      </c>
      <c r="Q601" s="1" t="n">
        <f aca="false">IF($A739="","",IF(OR(F739="",I739=""),"",F739-I739))</f>
        <v>-3756509</v>
      </c>
      <c r="R601" s="1" t="str">
        <f aca="false">IF($A739="","",IF(Q739="","",Q739+IF(O739="",0,O739)))</f>
        <v/>
      </c>
      <c r="S601" s="6" t="n">
        <v>1275130</v>
      </c>
      <c r="T601" s="1" t="str">
        <f aca="false">IF($A739="","",IF(R739="","",R739-IF(S739="",0,S739)))</f>
        <v/>
      </c>
      <c r="U601" s="1" t="n">
        <f aca="false">IF($A739="","",IF(I739="","",I739-SUM(J739:P739)))</f>
        <v>3</v>
      </c>
      <c r="V601" s="6" t="s">
        <v>5193</v>
      </c>
      <c r="W601" s="9" t="s">
        <v>767</v>
      </c>
      <c r="X601" s="9" t="s">
        <v>5194</v>
      </c>
      <c r="Y601" s="9" t="s">
        <v>4897</v>
      </c>
      <c r="Z601" s="9" t="s">
        <v>4898</v>
      </c>
      <c r="AA601" s="9" t="s">
        <v>4899</v>
      </c>
    </row>
    <row r="602" customFormat="false" ht="15" hidden="false" customHeight="true" outlineLevel="0" collapsed="false">
      <c r="A602" s="6" t="s">
        <v>2609</v>
      </c>
      <c r="B602" s="6" t="s">
        <v>531</v>
      </c>
      <c r="C602" s="6" t="s">
        <v>536</v>
      </c>
      <c r="D602" s="6" t="n">
        <v>6</v>
      </c>
      <c r="E602" s="9" t="s">
        <v>4988</v>
      </c>
      <c r="F602" s="6" t="n">
        <v>62209</v>
      </c>
      <c r="Q602" s="1" t="n">
        <f aca="false">IF($A601="","",IF(OR(F601="",I601=""),"",F601-I601))</f>
        <v>5242860</v>
      </c>
      <c r="R602" s="1" t="n">
        <f aca="false">IF($A601="","",IF(Q601="","",Q601+IF(O601="",0,O601)))</f>
        <v>-2590743</v>
      </c>
      <c r="T602" s="1" t="str">
        <f aca="false">IF($A601="","",IF(R601="","",R601-IF(S601="",0,S601)))</f>
        <v/>
      </c>
      <c r="U602" s="1" t="n">
        <f aca="false">IF($A601="","",IF(I601="","",I601-SUM(J601:P601)))</f>
        <v>3</v>
      </c>
      <c r="V602" s="6" t="s">
        <v>5195</v>
      </c>
      <c r="W602" s="9" t="s">
        <v>774</v>
      </c>
      <c r="X602" s="9" t="s">
        <v>5196</v>
      </c>
      <c r="Y602" s="9" t="s">
        <v>4897</v>
      </c>
      <c r="Z602" s="9" t="s">
        <v>4898</v>
      </c>
      <c r="AA602" s="9" t="s">
        <v>4899</v>
      </c>
    </row>
    <row r="603" customFormat="false" ht="15" hidden="false" customHeight="true" outlineLevel="0" collapsed="false">
      <c r="A603" s="6" t="s">
        <v>2612</v>
      </c>
      <c r="B603" s="6" t="s">
        <v>531</v>
      </c>
      <c r="C603" s="6" t="s">
        <v>536</v>
      </c>
      <c r="D603" s="6" t="n">
        <v>6</v>
      </c>
      <c r="E603" s="9" t="s">
        <v>4988</v>
      </c>
      <c r="F603" s="6" t="n">
        <v>97392</v>
      </c>
      <c r="Q603" s="1" t="str">
        <f aca="false">IF($A602="","",IF(OR(F602="",I602=""),"",F602-I602))</f>
        <v/>
      </c>
      <c r="R603" s="1" t="n">
        <f aca="false">IF($A602="","",IF(Q602="","",Q602+IF(O602="",0,O602)))</f>
        <v>5242860</v>
      </c>
      <c r="T603" s="1" t="n">
        <f aca="false">IF($A602="","",IF(R602="","",R602-IF(S602="",0,S602)))</f>
        <v>-2590743</v>
      </c>
      <c r="U603" s="1" t="str">
        <f aca="false">IF($A602="","",IF(I602="","",I602-SUM(J602:P602)))</f>
        <v/>
      </c>
      <c r="V603" s="6" t="s">
        <v>5195</v>
      </c>
      <c r="W603" s="9" t="s">
        <v>774</v>
      </c>
      <c r="X603" s="9" t="s">
        <v>5196</v>
      </c>
      <c r="Y603" s="9" t="s">
        <v>4897</v>
      </c>
      <c r="Z603" s="9" t="s">
        <v>4898</v>
      </c>
      <c r="AA603" s="9" t="s">
        <v>4899</v>
      </c>
    </row>
    <row r="604" customFormat="false" ht="15" hidden="false" customHeight="true" outlineLevel="0" collapsed="false">
      <c r="A604" s="6" t="s">
        <v>2615</v>
      </c>
      <c r="B604" s="6" t="s">
        <v>531</v>
      </c>
      <c r="C604" s="6" t="s">
        <v>536</v>
      </c>
      <c r="D604" s="6" t="n">
        <v>6</v>
      </c>
      <c r="E604" s="9" t="s">
        <v>4988</v>
      </c>
      <c r="F604" s="6" t="n">
        <v>90406</v>
      </c>
      <c r="Q604" s="1" t="str">
        <f aca="false">IF($A603="","",IF(OR(F603="",I603=""),"",F603-I603))</f>
        <v/>
      </c>
      <c r="R604" s="1" t="str">
        <f aca="false">IF($A603="","",IF(Q603="","",Q603+IF(O603="",0,O603)))</f>
        <v/>
      </c>
      <c r="T604" s="1" t="n">
        <f aca="false">IF($A603="","",IF(R603="","",R603-IF(S603="",0,S603)))</f>
        <v>5242860</v>
      </c>
      <c r="U604" s="1" t="str">
        <f aca="false">IF($A603="","",IF(I603="","",I603-SUM(J603:P603)))</f>
        <v/>
      </c>
      <c r="V604" s="6" t="s">
        <v>5195</v>
      </c>
      <c r="W604" s="9" t="s">
        <v>774</v>
      </c>
      <c r="X604" s="9" t="s">
        <v>5196</v>
      </c>
      <c r="Y604" s="9" t="s">
        <v>4897</v>
      </c>
      <c r="Z604" s="9" t="s">
        <v>4898</v>
      </c>
      <c r="AA604" s="9" t="s">
        <v>4899</v>
      </c>
    </row>
    <row r="605" customFormat="false" ht="15" hidden="false" customHeight="true" outlineLevel="0" collapsed="false">
      <c r="A605" s="6" t="s">
        <v>2618</v>
      </c>
      <c r="B605" s="6" t="s">
        <v>531</v>
      </c>
      <c r="C605" s="6" t="s">
        <v>536</v>
      </c>
      <c r="D605" s="6" t="n">
        <v>6</v>
      </c>
      <c r="E605" s="9" t="s">
        <v>4988</v>
      </c>
      <c r="F605" s="6" t="n">
        <v>71811</v>
      </c>
      <c r="Q605" s="1" t="str">
        <f aca="false">IF($A604="","",IF(OR(F604="",I604=""),"",F604-I604))</f>
        <v/>
      </c>
      <c r="R605" s="1" t="str">
        <f aca="false">IF($A604="","",IF(Q604="","",Q604+IF(O604="",0,O604)))</f>
        <v/>
      </c>
      <c r="T605" s="1" t="str">
        <f aca="false">IF($A604="","",IF(R604="","",R604-IF(S604="",0,S604)))</f>
        <v/>
      </c>
      <c r="U605" s="1" t="str">
        <f aca="false">IF($A604="","",IF(I604="","",I604-SUM(J604:P604)))</f>
        <v/>
      </c>
      <c r="V605" s="6" t="s">
        <v>5195</v>
      </c>
      <c r="W605" s="9" t="s">
        <v>774</v>
      </c>
      <c r="X605" s="9" t="s">
        <v>5196</v>
      </c>
      <c r="Y605" s="9" t="s">
        <v>4897</v>
      </c>
      <c r="Z605" s="9" t="s">
        <v>4898</v>
      </c>
      <c r="AA605" s="9" t="s">
        <v>4899</v>
      </c>
    </row>
    <row r="606" customFormat="false" ht="15" hidden="false" customHeight="true" outlineLevel="0" collapsed="false">
      <c r="A606" s="6" t="s">
        <v>2621</v>
      </c>
      <c r="B606" s="6" t="s">
        <v>531</v>
      </c>
      <c r="C606" s="6" t="s">
        <v>536</v>
      </c>
      <c r="D606" s="6" t="n">
        <v>6</v>
      </c>
      <c r="E606" s="9" t="s">
        <v>4988</v>
      </c>
      <c r="F606" s="6" t="n">
        <v>79192</v>
      </c>
      <c r="Q606" s="1" t="str">
        <f aca="false">IF($A605="","",IF(OR(F605="",I605=""),"",F605-I605))</f>
        <v/>
      </c>
      <c r="R606" s="1" t="str">
        <f aca="false">IF($A605="","",IF(Q605="","",Q605+IF(O605="",0,O605)))</f>
        <v/>
      </c>
      <c r="T606" s="1" t="str">
        <f aca="false">IF($A605="","",IF(R605="","",R605-IF(S605="",0,S605)))</f>
        <v/>
      </c>
      <c r="U606" s="1" t="str">
        <f aca="false">IF($A605="","",IF(I605="","",I605-SUM(J605:P605)))</f>
        <v/>
      </c>
      <c r="V606" s="6" t="s">
        <v>5195</v>
      </c>
      <c r="W606" s="9" t="s">
        <v>774</v>
      </c>
      <c r="X606" s="9" t="s">
        <v>5196</v>
      </c>
      <c r="Y606" s="9" t="s">
        <v>4897</v>
      </c>
      <c r="Z606" s="9" t="s">
        <v>4898</v>
      </c>
      <c r="AA606" s="9" t="s">
        <v>4899</v>
      </c>
    </row>
    <row r="607" customFormat="false" ht="15" hidden="false" customHeight="true" outlineLevel="0" collapsed="false">
      <c r="A607" s="6" t="s">
        <v>2624</v>
      </c>
      <c r="B607" s="6" t="s">
        <v>531</v>
      </c>
      <c r="C607" s="6" t="s">
        <v>536</v>
      </c>
      <c r="D607" s="6" t="n">
        <v>6</v>
      </c>
      <c r="E607" s="9" t="s">
        <v>4988</v>
      </c>
      <c r="F607" s="6" t="n">
        <v>35672</v>
      </c>
      <c r="Q607" s="1" t="str">
        <f aca="false">IF($A606="","",IF(OR(F606="",I606=""),"",F606-I606))</f>
        <v/>
      </c>
      <c r="R607" s="1" t="str">
        <f aca="false">IF($A606="","",IF(Q606="","",Q606+IF(O606="",0,O606)))</f>
        <v/>
      </c>
      <c r="T607" s="1" t="str">
        <f aca="false">IF($A606="","",IF(R606="","",R606-IF(S606="",0,S606)))</f>
        <v/>
      </c>
      <c r="U607" s="1" t="str">
        <f aca="false">IF($A606="","",IF(I606="","",I606-SUM(J606:P606)))</f>
        <v/>
      </c>
      <c r="V607" s="6" t="s">
        <v>5195</v>
      </c>
      <c r="W607" s="9" t="s">
        <v>774</v>
      </c>
      <c r="X607" s="9" t="s">
        <v>5196</v>
      </c>
      <c r="Y607" s="9" t="s">
        <v>4897</v>
      </c>
      <c r="Z607" s="9" t="s">
        <v>4898</v>
      </c>
      <c r="AA607" s="9" t="s">
        <v>4899</v>
      </c>
    </row>
    <row r="608" customFormat="false" ht="15" hidden="false" customHeight="true" outlineLevel="0" collapsed="false">
      <c r="A608" s="6" t="s">
        <v>2627</v>
      </c>
      <c r="B608" s="6" t="s">
        <v>531</v>
      </c>
      <c r="C608" s="6" t="s">
        <v>536</v>
      </c>
      <c r="D608" s="6" t="n">
        <v>6</v>
      </c>
      <c r="E608" s="9" t="s">
        <v>4988</v>
      </c>
      <c r="F608" s="6" t="n">
        <v>108998</v>
      </c>
      <c r="Q608" s="1" t="str">
        <f aca="false">IF($A607="","",IF(OR(F607="",I607=""),"",F607-I607))</f>
        <v/>
      </c>
      <c r="R608" s="1" t="str">
        <f aca="false">IF($A607="","",IF(Q607="","",Q607+IF(O607="",0,O607)))</f>
        <v/>
      </c>
      <c r="T608" s="1" t="str">
        <f aca="false">IF($A607="","",IF(R607="","",R607-IF(S607="",0,S607)))</f>
        <v/>
      </c>
      <c r="U608" s="1" t="str">
        <f aca="false">IF($A607="","",IF(I607="","",I607-SUM(J607:P607)))</f>
        <v/>
      </c>
      <c r="V608" s="6" t="s">
        <v>5195</v>
      </c>
      <c r="W608" s="9" t="s">
        <v>774</v>
      </c>
      <c r="X608" s="9" t="s">
        <v>5196</v>
      </c>
      <c r="Y608" s="9" t="s">
        <v>4897</v>
      </c>
      <c r="Z608" s="9" t="s">
        <v>4898</v>
      </c>
      <c r="AA608" s="9" t="s">
        <v>4899</v>
      </c>
    </row>
    <row r="609" customFormat="false" ht="15" hidden="false" customHeight="true" outlineLevel="0" collapsed="false">
      <c r="A609" s="6" t="s">
        <v>2630</v>
      </c>
      <c r="B609" s="6" t="s">
        <v>531</v>
      </c>
      <c r="C609" s="6" t="s">
        <v>536</v>
      </c>
      <c r="D609" s="6" t="n">
        <v>6</v>
      </c>
      <c r="E609" s="9" t="s">
        <v>4988</v>
      </c>
      <c r="F609" s="6" t="n">
        <v>123842</v>
      </c>
      <c r="Q609" s="1" t="str">
        <f aca="false">IF($A608="","",IF(OR(F608="",I608=""),"",F608-I608))</f>
        <v/>
      </c>
      <c r="R609" s="1" t="str">
        <f aca="false">IF($A608="","",IF(Q608="","",Q608+IF(O608="",0,O608)))</f>
        <v/>
      </c>
      <c r="T609" s="1" t="str">
        <f aca="false">IF($A608="","",IF(R608="","",R608-IF(S608="",0,S608)))</f>
        <v/>
      </c>
      <c r="U609" s="1" t="str">
        <f aca="false">IF($A608="","",IF(I608="","",I608-SUM(J608:P608)))</f>
        <v/>
      </c>
      <c r="V609" s="6" t="s">
        <v>5195</v>
      </c>
      <c r="W609" s="9" t="s">
        <v>774</v>
      </c>
      <c r="X609" s="9" t="s">
        <v>5196</v>
      </c>
      <c r="Y609" s="9" t="s">
        <v>4897</v>
      </c>
      <c r="Z609" s="9" t="s">
        <v>4898</v>
      </c>
      <c r="AA609" s="9" t="s">
        <v>4899</v>
      </c>
    </row>
    <row r="610" customFormat="false" ht="15" hidden="false" customHeight="true" outlineLevel="0" collapsed="false">
      <c r="A610" s="6" t="s">
        <v>2633</v>
      </c>
      <c r="B610" s="6" t="s">
        <v>531</v>
      </c>
      <c r="C610" s="6" t="s">
        <v>536</v>
      </c>
      <c r="D610" s="6" t="n">
        <v>6</v>
      </c>
      <c r="E610" s="9" t="s">
        <v>4988</v>
      </c>
      <c r="F610" s="6" t="n">
        <v>15562</v>
      </c>
      <c r="Q610" s="1" t="str">
        <f aca="false">IF($A609="","",IF(OR(F609="",I609=""),"",F609-I609))</f>
        <v/>
      </c>
      <c r="R610" s="1" t="str">
        <f aca="false">IF($A609="","",IF(Q609="","",Q609+IF(O609="",0,O609)))</f>
        <v/>
      </c>
      <c r="T610" s="1" t="str">
        <f aca="false">IF($A609="","",IF(R609="","",R609-IF(S609="",0,S609)))</f>
        <v/>
      </c>
      <c r="U610" s="1" t="str">
        <f aca="false">IF($A609="","",IF(I609="","",I609-SUM(J609:P609)))</f>
        <v/>
      </c>
      <c r="V610" s="6" t="s">
        <v>5195</v>
      </c>
      <c r="W610" s="9" t="s">
        <v>774</v>
      </c>
      <c r="X610" s="9" t="s">
        <v>5196</v>
      </c>
      <c r="Y610" s="9" t="s">
        <v>4897</v>
      </c>
      <c r="Z610" s="9" t="s">
        <v>4898</v>
      </c>
      <c r="AA610" s="9" t="s">
        <v>4899</v>
      </c>
    </row>
    <row r="611" customFormat="false" ht="15" hidden="false" customHeight="true" outlineLevel="0" collapsed="false">
      <c r="A611" s="6" t="s">
        <v>2636</v>
      </c>
      <c r="B611" s="6" t="s">
        <v>531</v>
      </c>
      <c r="C611" s="6" t="s">
        <v>536</v>
      </c>
      <c r="D611" s="6" t="n">
        <v>6</v>
      </c>
      <c r="E611" s="9" t="s">
        <v>4988</v>
      </c>
      <c r="F611" s="6" t="n">
        <v>48389</v>
      </c>
      <c r="Q611" s="1" t="str">
        <f aca="false">IF($A610="","",IF(OR(F610="",I610=""),"",F610-I610))</f>
        <v/>
      </c>
      <c r="R611" s="1" t="str">
        <f aca="false">IF($A610="","",IF(Q610="","",Q610+IF(O610="",0,O610)))</f>
        <v/>
      </c>
      <c r="T611" s="1" t="str">
        <f aca="false">IF($A610="","",IF(R610="","",R610-IF(S610="",0,S610)))</f>
        <v/>
      </c>
      <c r="U611" s="1" t="str">
        <f aca="false">IF($A610="","",IF(I610="","",I610-SUM(J610:P610)))</f>
        <v/>
      </c>
      <c r="V611" s="6" t="s">
        <v>5195</v>
      </c>
      <c r="W611" s="9" t="s">
        <v>774</v>
      </c>
      <c r="X611" s="9" t="s">
        <v>5196</v>
      </c>
      <c r="Y611" s="9" t="s">
        <v>4897</v>
      </c>
      <c r="Z611" s="9" t="s">
        <v>4898</v>
      </c>
      <c r="AA611" s="9" t="s">
        <v>4899</v>
      </c>
    </row>
    <row r="612" customFormat="false" ht="15" hidden="false" customHeight="true" outlineLevel="0" collapsed="false">
      <c r="A612" s="6" t="s">
        <v>2639</v>
      </c>
      <c r="B612" s="6" t="s">
        <v>531</v>
      </c>
      <c r="C612" s="6" t="s">
        <v>536</v>
      </c>
      <c r="D612" s="6" t="n">
        <v>6</v>
      </c>
      <c r="E612" s="9" t="s">
        <v>4988</v>
      </c>
      <c r="F612" s="6" t="n">
        <v>51307</v>
      </c>
      <c r="Q612" s="1" t="str">
        <f aca="false">IF($A611="","",IF(OR(F611="",I611=""),"",F611-I611))</f>
        <v/>
      </c>
      <c r="R612" s="1" t="str">
        <f aca="false">IF($A611="","",IF(Q611="","",Q611+IF(O611="",0,O611)))</f>
        <v/>
      </c>
      <c r="T612" s="1" t="str">
        <f aca="false">IF($A611="","",IF(R611="","",R611-IF(S611="",0,S611)))</f>
        <v/>
      </c>
      <c r="U612" s="1" t="str">
        <f aca="false">IF($A611="","",IF(I611="","",I611-SUM(J611:P611)))</f>
        <v/>
      </c>
      <c r="V612" s="6" t="s">
        <v>5195</v>
      </c>
      <c r="W612" s="9" t="s">
        <v>774</v>
      </c>
      <c r="X612" s="9" t="s">
        <v>5196</v>
      </c>
      <c r="Y612" s="9" t="s">
        <v>4897</v>
      </c>
      <c r="Z612" s="9" t="s">
        <v>4898</v>
      </c>
      <c r="AA612" s="9" t="s">
        <v>4899</v>
      </c>
    </row>
    <row r="613" customFormat="false" ht="15" hidden="false" customHeight="true" outlineLevel="0" collapsed="false">
      <c r="A613" s="6" t="s">
        <v>2642</v>
      </c>
      <c r="B613" s="6" t="s">
        <v>531</v>
      </c>
      <c r="C613" s="6" t="s">
        <v>536</v>
      </c>
      <c r="D613" s="6" t="n">
        <v>6</v>
      </c>
      <c r="E613" s="9" t="s">
        <v>4988</v>
      </c>
      <c r="F613" s="6" t="n">
        <v>209916</v>
      </c>
      <c r="Q613" s="1" t="str">
        <f aca="false">IF($A612="","",IF(OR(F612="",I612=""),"",F612-I612))</f>
        <v/>
      </c>
      <c r="R613" s="1" t="str">
        <f aca="false">IF($A612="","",IF(Q612="","",Q612+IF(O612="",0,O612)))</f>
        <v/>
      </c>
      <c r="T613" s="1" t="str">
        <f aca="false">IF($A612="","",IF(R612="","",R612-IF(S612="",0,S612)))</f>
        <v/>
      </c>
      <c r="U613" s="1" t="str">
        <f aca="false">IF($A612="","",IF(I612="","",I612-SUM(J612:P612)))</f>
        <v/>
      </c>
      <c r="V613" s="6" t="s">
        <v>5195</v>
      </c>
      <c r="W613" s="9" t="s">
        <v>774</v>
      </c>
      <c r="X613" s="9" t="s">
        <v>5196</v>
      </c>
      <c r="Y613" s="9" t="s">
        <v>4897</v>
      </c>
      <c r="Z613" s="9" t="s">
        <v>4898</v>
      </c>
      <c r="AA613" s="9" t="s">
        <v>4899</v>
      </c>
    </row>
    <row r="614" customFormat="false" ht="15" hidden="false" customHeight="true" outlineLevel="0" collapsed="false">
      <c r="A614" s="6" t="s">
        <v>2645</v>
      </c>
      <c r="B614" s="6" t="s">
        <v>531</v>
      </c>
      <c r="C614" s="6" t="s">
        <v>536</v>
      </c>
      <c r="D614" s="6" t="n">
        <v>6</v>
      </c>
      <c r="E614" s="9" t="s">
        <v>4988</v>
      </c>
      <c r="F614" s="6" t="n">
        <v>178012</v>
      </c>
      <c r="Q614" s="1" t="str">
        <f aca="false">IF($A613="","",IF(OR(F613="",I613=""),"",F613-I613))</f>
        <v/>
      </c>
      <c r="R614" s="1" t="str">
        <f aca="false">IF($A613="","",IF(Q613="","",Q613+IF(O613="",0,O613)))</f>
        <v/>
      </c>
      <c r="T614" s="1" t="str">
        <f aca="false">IF($A613="","",IF(R613="","",R613-IF(S613="",0,S613)))</f>
        <v/>
      </c>
      <c r="U614" s="1" t="str">
        <f aca="false">IF($A613="","",IF(I613="","",I613-SUM(J613:P613)))</f>
        <v/>
      </c>
      <c r="V614" s="6" t="s">
        <v>5195</v>
      </c>
      <c r="W614" s="9" t="s">
        <v>774</v>
      </c>
      <c r="X614" s="9" t="s">
        <v>5196</v>
      </c>
      <c r="Y614" s="9" t="s">
        <v>4897</v>
      </c>
      <c r="Z614" s="9" t="s">
        <v>4898</v>
      </c>
      <c r="AA614" s="9" t="s">
        <v>4899</v>
      </c>
    </row>
    <row r="615" customFormat="false" ht="15" hidden="false" customHeight="true" outlineLevel="0" collapsed="false">
      <c r="A615" s="6" t="s">
        <v>2648</v>
      </c>
      <c r="B615" s="6" t="s">
        <v>531</v>
      </c>
      <c r="C615" s="6" t="s">
        <v>536</v>
      </c>
      <c r="D615" s="6" t="n">
        <v>6</v>
      </c>
      <c r="E615" s="9" t="s">
        <v>4988</v>
      </c>
      <c r="F615" s="6" t="n">
        <v>94953</v>
      </c>
      <c r="Q615" s="1" t="str">
        <f aca="false">IF($A614="","",IF(OR(F614="",I614=""),"",F614-I614))</f>
        <v/>
      </c>
      <c r="R615" s="1" t="str">
        <f aca="false">IF($A614="","",IF(Q614="","",Q614+IF(O614="",0,O614)))</f>
        <v/>
      </c>
      <c r="T615" s="1" t="str">
        <f aca="false">IF($A614="","",IF(R614="","",R614-IF(S614="",0,S614)))</f>
        <v/>
      </c>
      <c r="U615" s="1" t="str">
        <f aca="false">IF($A614="","",IF(I614="","",I614-SUM(J614:P614)))</f>
        <v/>
      </c>
      <c r="V615" s="6" t="s">
        <v>5195</v>
      </c>
      <c r="W615" s="9" t="s">
        <v>774</v>
      </c>
      <c r="X615" s="9" t="s">
        <v>5196</v>
      </c>
      <c r="Y615" s="9" t="s">
        <v>4897</v>
      </c>
      <c r="Z615" s="9" t="s">
        <v>4898</v>
      </c>
      <c r="AA615" s="9" t="s">
        <v>4899</v>
      </c>
    </row>
    <row r="616" customFormat="false" ht="15" hidden="false" customHeight="true" outlineLevel="0" collapsed="false">
      <c r="A616" s="6" t="s">
        <v>2651</v>
      </c>
      <c r="B616" s="6" t="s">
        <v>531</v>
      </c>
      <c r="C616" s="6" t="s">
        <v>536</v>
      </c>
      <c r="D616" s="6" t="n">
        <v>6</v>
      </c>
      <c r="E616" s="9" t="s">
        <v>4988</v>
      </c>
      <c r="F616" s="6" t="n">
        <v>331717</v>
      </c>
      <c r="Q616" s="1" t="str">
        <f aca="false">IF($A615="","",IF(OR(F615="",I615=""),"",F615-I615))</f>
        <v/>
      </c>
      <c r="R616" s="1" t="str">
        <f aca="false">IF($A615="","",IF(Q615="","",Q615+IF(O615="",0,O615)))</f>
        <v/>
      </c>
      <c r="T616" s="1" t="str">
        <f aca="false">IF($A615="","",IF(R615="","",R615-IF(S615="",0,S615)))</f>
        <v/>
      </c>
      <c r="U616" s="1" t="str">
        <f aca="false">IF($A615="","",IF(I615="","",I615-SUM(J615:P615)))</f>
        <v/>
      </c>
      <c r="V616" s="6" t="s">
        <v>5195</v>
      </c>
      <c r="W616" s="9" t="s">
        <v>774</v>
      </c>
      <c r="X616" s="9" t="s">
        <v>5196</v>
      </c>
      <c r="Y616" s="9" t="s">
        <v>4897</v>
      </c>
      <c r="Z616" s="9" t="s">
        <v>4898</v>
      </c>
      <c r="AA616" s="9" t="s">
        <v>4899</v>
      </c>
    </row>
    <row r="617" customFormat="false" ht="15" hidden="false" customHeight="true" outlineLevel="0" collapsed="false">
      <c r="A617" s="6" t="s">
        <v>2654</v>
      </c>
      <c r="B617" s="6" t="s">
        <v>531</v>
      </c>
      <c r="C617" s="6" t="s">
        <v>536</v>
      </c>
      <c r="D617" s="6" t="n">
        <v>6</v>
      </c>
      <c r="E617" s="9" t="s">
        <v>4988</v>
      </c>
      <c r="F617" s="6" t="n">
        <v>163593</v>
      </c>
      <c r="Q617" s="1" t="str">
        <f aca="false">IF($A616="","",IF(OR(F616="",I616=""),"",F616-I616))</f>
        <v/>
      </c>
      <c r="R617" s="1" t="str">
        <f aca="false">IF($A616="","",IF(Q616="","",Q616+IF(O616="",0,O616)))</f>
        <v/>
      </c>
      <c r="T617" s="1" t="str">
        <f aca="false">IF($A616="","",IF(R616="","",R616-IF(S616="",0,S616)))</f>
        <v/>
      </c>
      <c r="U617" s="1" t="str">
        <f aca="false">IF($A616="","",IF(I616="","",I616-SUM(J616:P616)))</f>
        <v/>
      </c>
      <c r="V617" s="6" t="s">
        <v>5195</v>
      </c>
      <c r="W617" s="9" t="s">
        <v>774</v>
      </c>
      <c r="X617" s="9" t="s">
        <v>5196</v>
      </c>
      <c r="Y617" s="9" t="s">
        <v>4897</v>
      </c>
      <c r="Z617" s="9" t="s">
        <v>4898</v>
      </c>
      <c r="AA617" s="9" t="s">
        <v>4899</v>
      </c>
    </row>
    <row r="618" customFormat="false" ht="15" hidden="false" customHeight="true" outlineLevel="0" collapsed="false">
      <c r="A618" s="6" t="s">
        <v>2657</v>
      </c>
      <c r="B618" s="6" t="s">
        <v>531</v>
      </c>
      <c r="C618" s="6" t="s">
        <v>536</v>
      </c>
      <c r="D618" s="6" t="n">
        <v>6</v>
      </c>
      <c r="E618" s="9" t="s">
        <v>4988</v>
      </c>
      <c r="F618" s="6" t="n">
        <v>142581</v>
      </c>
      <c r="Q618" s="1" t="str">
        <f aca="false">IF($A617="","",IF(OR(F617="",I617=""),"",F617-I617))</f>
        <v/>
      </c>
      <c r="R618" s="1" t="str">
        <f aca="false">IF($A617="","",IF(Q617="","",Q617+IF(O617="",0,O617)))</f>
        <v/>
      </c>
      <c r="T618" s="1" t="str">
        <f aca="false">IF($A617="","",IF(R617="","",R617-IF(S617="",0,S617)))</f>
        <v/>
      </c>
      <c r="U618" s="1" t="str">
        <f aca="false">IF($A617="","",IF(I617="","",I617-SUM(J617:P617)))</f>
        <v/>
      </c>
      <c r="V618" s="6" t="s">
        <v>5195</v>
      </c>
      <c r="W618" s="9" t="s">
        <v>774</v>
      </c>
      <c r="X618" s="9" t="s">
        <v>5196</v>
      </c>
      <c r="Y618" s="9" t="s">
        <v>4897</v>
      </c>
      <c r="Z618" s="9" t="s">
        <v>4898</v>
      </c>
      <c r="AA618" s="9" t="s">
        <v>4899</v>
      </c>
    </row>
    <row r="619" customFormat="false" ht="15" hidden="false" customHeight="true" outlineLevel="0" collapsed="false">
      <c r="A619" s="6" t="s">
        <v>2660</v>
      </c>
      <c r="B619" s="6" t="s">
        <v>531</v>
      </c>
      <c r="C619" s="6" t="s">
        <v>536</v>
      </c>
      <c r="D619" s="6" t="n">
        <v>6</v>
      </c>
      <c r="E619" s="9" t="s">
        <v>4988</v>
      </c>
      <c r="F619" s="6" t="n">
        <v>90357</v>
      </c>
      <c r="Q619" s="1" t="str">
        <f aca="false">IF($A618="","",IF(OR(F618="",I618=""),"",F618-I618))</f>
        <v/>
      </c>
      <c r="R619" s="1" t="str">
        <f aca="false">IF($A618="","",IF(Q618="","",Q618+IF(O618="",0,O618)))</f>
        <v/>
      </c>
      <c r="T619" s="1" t="str">
        <f aca="false">IF($A618="","",IF(R618="","",R618-IF(S618="",0,S618)))</f>
        <v/>
      </c>
      <c r="U619" s="1" t="str">
        <f aca="false">IF($A618="","",IF(I618="","",I618-SUM(J618:P618)))</f>
        <v/>
      </c>
      <c r="V619" s="6" t="s">
        <v>5195</v>
      </c>
      <c r="W619" s="9" t="s">
        <v>774</v>
      </c>
      <c r="X619" s="9" t="s">
        <v>5196</v>
      </c>
      <c r="Y619" s="9" t="s">
        <v>4897</v>
      </c>
      <c r="Z619" s="9" t="s">
        <v>4898</v>
      </c>
      <c r="AA619" s="9" t="s">
        <v>4899</v>
      </c>
    </row>
    <row r="620" customFormat="false" ht="15" hidden="false" customHeight="true" outlineLevel="0" collapsed="false">
      <c r="A620" s="6" t="s">
        <v>2663</v>
      </c>
      <c r="B620" s="6" t="s">
        <v>531</v>
      </c>
      <c r="C620" s="6" t="s">
        <v>536</v>
      </c>
      <c r="D620" s="6" t="n">
        <v>6</v>
      </c>
      <c r="E620" s="9" t="s">
        <v>4988</v>
      </c>
      <c r="F620" s="6" t="n">
        <v>104622</v>
      </c>
      <c r="Q620" s="1" t="str">
        <f aca="false">IF($A619="","",IF(OR(F619="",I619=""),"",F619-I619))</f>
        <v/>
      </c>
      <c r="R620" s="1" t="str">
        <f aca="false">IF($A619="","",IF(Q619="","",Q619+IF(O619="",0,O619)))</f>
        <v/>
      </c>
      <c r="T620" s="1" t="str">
        <f aca="false">IF($A619="","",IF(R619="","",R619-IF(S619="",0,S619)))</f>
        <v/>
      </c>
      <c r="U620" s="1" t="str">
        <f aca="false">IF($A619="","",IF(I619="","",I619-SUM(J619:P619)))</f>
        <v/>
      </c>
      <c r="V620" s="6" t="s">
        <v>5195</v>
      </c>
      <c r="W620" s="9" t="s">
        <v>774</v>
      </c>
      <c r="X620" s="9" t="s">
        <v>5196</v>
      </c>
      <c r="Y620" s="9" t="s">
        <v>4897</v>
      </c>
      <c r="Z620" s="9" t="s">
        <v>4898</v>
      </c>
      <c r="AA620" s="9" t="s">
        <v>4899</v>
      </c>
    </row>
    <row r="621" customFormat="false" ht="15" hidden="false" customHeight="true" outlineLevel="0" collapsed="false">
      <c r="A621" s="6" t="s">
        <v>2666</v>
      </c>
      <c r="B621" s="6" t="s">
        <v>531</v>
      </c>
      <c r="C621" s="6" t="s">
        <v>536</v>
      </c>
      <c r="D621" s="6" t="n">
        <v>6</v>
      </c>
      <c r="E621" s="9" t="s">
        <v>4988</v>
      </c>
      <c r="F621" s="6" t="n">
        <v>89308</v>
      </c>
      <c r="Q621" s="1" t="str">
        <f aca="false">IF($A620="","",IF(OR(F620="",I620=""),"",F620-I620))</f>
        <v/>
      </c>
      <c r="R621" s="1" t="str">
        <f aca="false">IF($A620="","",IF(Q620="","",Q620+IF(O620="",0,O620)))</f>
        <v/>
      </c>
      <c r="T621" s="1" t="str">
        <f aca="false">IF($A620="","",IF(R620="","",R620-IF(S620="",0,S620)))</f>
        <v/>
      </c>
      <c r="U621" s="1" t="str">
        <f aca="false">IF($A620="","",IF(I620="","",I620-SUM(J620:P620)))</f>
        <v/>
      </c>
      <c r="V621" s="6" t="s">
        <v>5195</v>
      </c>
      <c r="W621" s="9" t="s">
        <v>774</v>
      </c>
      <c r="X621" s="9" t="s">
        <v>5196</v>
      </c>
      <c r="Y621" s="9" t="s">
        <v>4897</v>
      </c>
      <c r="Z621" s="9" t="s">
        <v>4898</v>
      </c>
      <c r="AA621" s="9" t="s">
        <v>4899</v>
      </c>
    </row>
    <row r="622" customFormat="false" ht="15" hidden="false" customHeight="true" outlineLevel="0" collapsed="false">
      <c r="A622" s="6" t="s">
        <v>2669</v>
      </c>
      <c r="B622" s="6" t="s">
        <v>531</v>
      </c>
      <c r="C622" s="6" t="s">
        <v>536</v>
      </c>
      <c r="D622" s="6" t="n">
        <v>6</v>
      </c>
      <c r="E622" s="9" t="s">
        <v>4988</v>
      </c>
      <c r="F622" s="6" t="n">
        <v>145956</v>
      </c>
      <c r="Q622" s="1" t="str">
        <f aca="false">IF($A621="","",IF(OR(F621="",I621=""),"",F621-I621))</f>
        <v/>
      </c>
      <c r="R622" s="1" t="str">
        <f aca="false">IF($A621="","",IF(Q621="","",Q621+IF(O621="",0,O621)))</f>
        <v/>
      </c>
      <c r="T622" s="1" t="str">
        <f aca="false">IF($A621="","",IF(R621="","",R621-IF(S621="",0,S621)))</f>
        <v/>
      </c>
      <c r="U622" s="1" t="str">
        <f aca="false">IF($A621="","",IF(I621="","",I621-SUM(J621:P621)))</f>
        <v/>
      </c>
      <c r="V622" s="6" t="s">
        <v>5195</v>
      </c>
      <c r="W622" s="9" t="s">
        <v>774</v>
      </c>
      <c r="X622" s="9" t="s">
        <v>5196</v>
      </c>
      <c r="Y622" s="9" t="s">
        <v>4897</v>
      </c>
      <c r="Z622" s="9" t="s">
        <v>4898</v>
      </c>
      <c r="AA622" s="9" t="s">
        <v>4899</v>
      </c>
    </row>
    <row r="623" customFormat="false" ht="15" hidden="false" customHeight="true" outlineLevel="0" collapsed="false">
      <c r="A623" s="6" t="s">
        <v>2672</v>
      </c>
      <c r="B623" s="6" t="s">
        <v>531</v>
      </c>
      <c r="C623" s="6" t="s">
        <v>536</v>
      </c>
      <c r="D623" s="6" t="n">
        <v>6</v>
      </c>
      <c r="E623" s="9" t="s">
        <v>4988</v>
      </c>
      <c r="F623" s="6" t="n">
        <v>70957</v>
      </c>
      <c r="Q623" s="1" t="str">
        <f aca="false">IF($A622="","",IF(OR(F622="",I622=""),"",F622-I622))</f>
        <v/>
      </c>
      <c r="R623" s="1" t="str">
        <f aca="false">IF($A622="","",IF(Q622="","",Q622+IF(O622="",0,O622)))</f>
        <v/>
      </c>
      <c r="T623" s="1" t="str">
        <f aca="false">IF($A622="","",IF(R622="","",R622-IF(S622="",0,S622)))</f>
        <v/>
      </c>
      <c r="U623" s="1" t="str">
        <f aca="false">IF($A622="","",IF(I622="","",I622-SUM(J622:P622)))</f>
        <v/>
      </c>
      <c r="V623" s="6" t="s">
        <v>5195</v>
      </c>
      <c r="W623" s="9" t="s">
        <v>774</v>
      </c>
      <c r="X623" s="9" t="s">
        <v>5196</v>
      </c>
      <c r="Y623" s="9" t="s">
        <v>4897</v>
      </c>
      <c r="Z623" s="9" t="s">
        <v>4898</v>
      </c>
      <c r="AA623" s="9" t="s">
        <v>4899</v>
      </c>
    </row>
    <row r="624" customFormat="false" ht="15" hidden="false" customHeight="true" outlineLevel="0" collapsed="false">
      <c r="A624" s="6" t="s">
        <v>2676</v>
      </c>
      <c r="B624" s="6" t="s">
        <v>531</v>
      </c>
      <c r="C624" s="6" t="s">
        <v>536</v>
      </c>
      <c r="D624" s="6" t="n">
        <v>6</v>
      </c>
      <c r="E624" s="9" t="s">
        <v>5197</v>
      </c>
      <c r="F624" s="1" t="n">
        <v>65802</v>
      </c>
      <c r="Q624" s="1" t="str">
        <f aca="false">IF($A623="","",IF(OR(F623="",I623=""),"",F623-I623))</f>
        <v/>
      </c>
      <c r="R624" s="1" t="str">
        <f aca="false">IF($A623="","",IF(Q623="","",Q623+IF(O623="",0,O623)))</f>
        <v/>
      </c>
      <c r="T624" s="1" t="str">
        <f aca="false">IF($A623="","",IF(R623="","",R623-IF(S623="",0,S623)))</f>
        <v/>
      </c>
      <c r="U624" s="1" t="str">
        <f aca="false">IF($A623="","",IF(I623="","",I623-SUM(J623:P623)))</f>
        <v/>
      </c>
      <c r="V624" s="6" t="s">
        <v>5198</v>
      </c>
      <c r="W624" s="9" t="s">
        <v>774</v>
      </c>
      <c r="X624" s="9" t="s">
        <v>5199</v>
      </c>
      <c r="Y624" s="9" t="s">
        <v>4897</v>
      </c>
      <c r="Z624" s="9" t="s">
        <v>4898</v>
      </c>
      <c r="AA624" s="9" t="s">
        <v>4899</v>
      </c>
    </row>
    <row r="625" customFormat="false" ht="15" hidden="false" customHeight="true" outlineLevel="0" collapsed="false">
      <c r="A625" s="6" t="s">
        <v>2678</v>
      </c>
      <c r="B625" s="6" t="s">
        <v>531</v>
      </c>
      <c r="C625" s="6" t="s">
        <v>536</v>
      </c>
      <c r="D625" s="6" t="n">
        <v>6</v>
      </c>
      <c r="E625" s="9" t="s">
        <v>4988</v>
      </c>
      <c r="F625" s="6" t="n">
        <v>65802</v>
      </c>
      <c r="Q625" s="1" t="str">
        <f aca="false">IF($A624="","",IF(OR(F624="",I624=""),"",F624-I624))</f>
        <v/>
      </c>
      <c r="R625" s="1" t="str">
        <f aca="false">IF($A624="","",IF(Q624="","",Q624+IF(O624="",0,O624)))</f>
        <v/>
      </c>
      <c r="T625" s="1" t="str">
        <f aca="false">IF($A624="","",IF(R624="","",R624-IF(S624="",0,S624)))</f>
        <v/>
      </c>
      <c r="U625" s="1" t="str">
        <f aca="false">IF($A624="","",IF(I624="","",I624-SUM(J624:P624)))</f>
        <v/>
      </c>
      <c r="V625" s="6" t="s">
        <v>5195</v>
      </c>
      <c r="W625" s="9" t="s">
        <v>774</v>
      </c>
      <c r="X625" s="9" t="s">
        <v>5196</v>
      </c>
      <c r="Y625" s="9" t="s">
        <v>4897</v>
      </c>
      <c r="Z625" s="9" t="s">
        <v>4898</v>
      </c>
      <c r="AA625" s="9" t="s">
        <v>4899</v>
      </c>
    </row>
    <row r="626" customFormat="false" ht="15" hidden="false" customHeight="true" outlineLevel="0" collapsed="false">
      <c r="A626" s="6" t="s">
        <v>2681</v>
      </c>
      <c r="B626" s="6" t="s">
        <v>531</v>
      </c>
      <c r="C626" s="6" t="s">
        <v>536</v>
      </c>
      <c r="D626" s="6" t="n">
        <v>6</v>
      </c>
      <c r="E626" s="9" t="s">
        <v>4988</v>
      </c>
      <c r="F626" s="6" t="n">
        <v>71319</v>
      </c>
      <c r="Q626" s="1" t="str">
        <f aca="false">IF($A625="","",IF(OR(F625="",I625=""),"",F625-I625))</f>
        <v/>
      </c>
      <c r="R626" s="1" t="str">
        <f aca="false">IF($A625="","",IF(Q625="","",Q625+IF(O625="",0,O625)))</f>
        <v/>
      </c>
      <c r="T626" s="1" t="str">
        <f aca="false">IF($A625="","",IF(R625="","",R625-IF(S625="",0,S625)))</f>
        <v/>
      </c>
      <c r="U626" s="1" t="str">
        <f aca="false">IF($A625="","",IF(I625="","",I625-SUM(J625:P625)))</f>
        <v/>
      </c>
      <c r="V626" s="6" t="s">
        <v>5195</v>
      </c>
      <c r="W626" s="9" t="s">
        <v>774</v>
      </c>
      <c r="X626" s="9" t="s">
        <v>5196</v>
      </c>
      <c r="Y626" s="9" t="s">
        <v>4897</v>
      </c>
      <c r="Z626" s="9" t="s">
        <v>4898</v>
      </c>
      <c r="AA626" s="9" t="s">
        <v>4899</v>
      </c>
    </row>
    <row r="627" customFormat="false" ht="15" hidden="false" customHeight="true" outlineLevel="0" collapsed="false">
      <c r="A627" s="6" t="s">
        <v>2684</v>
      </c>
      <c r="B627" s="6" t="s">
        <v>531</v>
      </c>
      <c r="C627" s="6" t="s">
        <v>536</v>
      </c>
      <c r="D627" s="6" t="n">
        <v>6</v>
      </c>
      <c r="E627" s="9" t="s">
        <v>4988</v>
      </c>
      <c r="F627" s="6" t="n">
        <v>86262</v>
      </c>
      <c r="Q627" s="1" t="str">
        <f aca="false">IF($A626="","",IF(OR(F626="",I626=""),"",F626-I626))</f>
        <v/>
      </c>
      <c r="R627" s="1" t="str">
        <f aca="false">IF($A626="","",IF(Q626="","",Q626+IF(O626="",0,O626)))</f>
        <v/>
      </c>
      <c r="T627" s="1" t="str">
        <f aca="false">IF($A626="","",IF(R626="","",R626-IF(S626="",0,S626)))</f>
        <v/>
      </c>
      <c r="U627" s="1" t="str">
        <f aca="false">IF($A626="","",IF(I626="","",I626-SUM(J626:P626)))</f>
        <v/>
      </c>
      <c r="V627" s="6" t="s">
        <v>5195</v>
      </c>
      <c r="W627" s="9" t="s">
        <v>774</v>
      </c>
      <c r="X627" s="9" t="s">
        <v>5196</v>
      </c>
      <c r="Y627" s="9" t="s">
        <v>4897</v>
      </c>
      <c r="Z627" s="9" t="s">
        <v>4898</v>
      </c>
      <c r="AA627" s="9" t="s">
        <v>4899</v>
      </c>
    </row>
    <row r="628" customFormat="false" ht="15" hidden="false" customHeight="true" outlineLevel="0" collapsed="false">
      <c r="A628" s="6" t="s">
        <v>2687</v>
      </c>
      <c r="B628" s="6" t="s">
        <v>531</v>
      </c>
      <c r="C628" s="6" t="s">
        <v>536</v>
      </c>
      <c r="D628" s="6" t="n">
        <v>6</v>
      </c>
      <c r="E628" s="9" t="s">
        <v>4988</v>
      </c>
      <c r="F628" s="6" t="n">
        <v>79962</v>
      </c>
      <c r="Q628" s="1" t="str">
        <f aca="false">IF($A627="","",IF(OR(F627="",I627=""),"",F627-I627))</f>
        <v/>
      </c>
      <c r="R628" s="1" t="str">
        <f aca="false">IF($A627="","",IF(Q627="","",Q627+IF(O627="",0,O627)))</f>
        <v/>
      </c>
      <c r="T628" s="1" t="str">
        <f aca="false">IF($A627="","",IF(R627="","",R627-IF(S627="",0,S627)))</f>
        <v/>
      </c>
      <c r="U628" s="1" t="str">
        <f aca="false">IF($A627="","",IF(I627="","",I627-SUM(J627:P627)))</f>
        <v/>
      </c>
      <c r="V628" s="6" t="s">
        <v>5195</v>
      </c>
      <c r="W628" s="9" t="s">
        <v>774</v>
      </c>
      <c r="X628" s="9" t="s">
        <v>5196</v>
      </c>
      <c r="Y628" s="9" t="s">
        <v>4897</v>
      </c>
      <c r="Z628" s="9" t="s">
        <v>4898</v>
      </c>
      <c r="AA628" s="9" t="s">
        <v>4899</v>
      </c>
    </row>
    <row r="629" customFormat="false" ht="15" hidden="false" customHeight="true" outlineLevel="0" collapsed="false">
      <c r="A629" s="6" t="s">
        <v>2690</v>
      </c>
      <c r="B629" s="6" t="s">
        <v>531</v>
      </c>
      <c r="C629" s="6" t="s">
        <v>536</v>
      </c>
      <c r="D629" s="6" t="n">
        <v>6</v>
      </c>
      <c r="E629" s="9" t="s">
        <v>4988</v>
      </c>
      <c r="F629" s="6" t="n">
        <v>101161</v>
      </c>
      <c r="Q629" s="1" t="str">
        <f aca="false">IF($A628="","",IF(OR(F628="",I628=""),"",F628-I628))</f>
        <v/>
      </c>
      <c r="R629" s="1" t="str">
        <f aca="false">IF($A628="","",IF(Q628="","",Q628+IF(O628="",0,O628)))</f>
        <v/>
      </c>
      <c r="T629" s="1" t="str">
        <f aca="false">IF($A628="","",IF(R628="","",R628-IF(S628="",0,S628)))</f>
        <v/>
      </c>
      <c r="U629" s="1" t="str">
        <f aca="false">IF($A628="","",IF(I628="","",I628-SUM(J628:P628)))</f>
        <v/>
      </c>
      <c r="V629" s="6" t="s">
        <v>5195</v>
      </c>
      <c r="W629" s="9" t="s">
        <v>774</v>
      </c>
      <c r="X629" s="9" t="s">
        <v>5196</v>
      </c>
      <c r="Y629" s="9" t="s">
        <v>4897</v>
      </c>
      <c r="Z629" s="9" t="s">
        <v>4898</v>
      </c>
      <c r="AA629" s="9" t="s">
        <v>4899</v>
      </c>
    </row>
    <row r="630" customFormat="false" ht="15" hidden="false" customHeight="true" outlineLevel="0" collapsed="false">
      <c r="A630" s="6" t="s">
        <v>2693</v>
      </c>
      <c r="B630" s="6" t="s">
        <v>531</v>
      </c>
      <c r="C630" s="6" t="s">
        <v>536</v>
      </c>
      <c r="D630" s="6" t="n">
        <v>6</v>
      </c>
      <c r="E630" s="9" t="s">
        <v>4988</v>
      </c>
      <c r="F630" s="6" t="n">
        <v>92508</v>
      </c>
      <c r="Q630" s="1" t="str">
        <f aca="false">IF($A629="","",IF(OR(F629="",I629=""),"",F629-I629))</f>
        <v/>
      </c>
      <c r="R630" s="1" t="str">
        <f aca="false">IF($A629="","",IF(Q629="","",Q629+IF(O629="",0,O629)))</f>
        <v/>
      </c>
      <c r="T630" s="1" t="str">
        <f aca="false">IF($A629="","",IF(R629="","",R629-IF(S629="",0,S629)))</f>
        <v/>
      </c>
      <c r="U630" s="1" t="str">
        <f aca="false">IF($A629="","",IF(I629="","",I629-SUM(J629:P629)))</f>
        <v/>
      </c>
      <c r="V630" s="6" t="s">
        <v>5195</v>
      </c>
      <c r="W630" s="9" t="s">
        <v>774</v>
      </c>
      <c r="X630" s="9" t="s">
        <v>5196</v>
      </c>
      <c r="Y630" s="9" t="s">
        <v>4897</v>
      </c>
      <c r="Z630" s="9" t="s">
        <v>4898</v>
      </c>
      <c r="AA630" s="9" t="s">
        <v>4899</v>
      </c>
    </row>
    <row r="631" customFormat="false" ht="15" hidden="false" customHeight="true" outlineLevel="0" collapsed="false">
      <c r="A631" s="6" t="s">
        <v>2696</v>
      </c>
      <c r="B631" s="6" t="s">
        <v>531</v>
      </c>
      <c r="C631" s="6" t="s">
        <v>536</v>
      </c>
      <c r="D631" s="6" t="n">
        <v>6</v>
      </c>
      <c r="E631" s="9" t="s">
        <v>4988</v>
      </c>
      <c r="F631" s="6" t="n">
        <v>118042</v>
      </c>
      <c r="Q631" s="1" t="str">
        <f aca="false">IF($A630="","",IF(OR(F630="",I630=""),"",F630-I630))</f>
        <v/>
      </c>
      <c r="R631" s="1" t="str">
        <f aca="false">IF($A630="","",IF(Q630="","",Q630+IF(O630="",0,O630)))</f>
        <v/>
      </c>
      <c r="T631" s="1" t="str">
        <f aca="false">IF($A630="","",IF(R630="","",R630-IF(S630="",0,S630)))</f>
        <v/>
      </c>
      <c r="U631" s="1" t="str">
        <f aca="false">IF($A630="","",IF(I630="","",I630-SUM(J630:P630)))</f>
        <v/>
      </c>
      <c r="V631" s="6" t="s">
        <v>5195</v>
      </c>
      <c r="W631" s="9" t="s">
        <v>774</v>
      </c>
      <c r="X631" s="9" t="s">
        <v>5196</v>
      </c>
      <c r="Y631" s="9" t="s">
        <v>4897</v>
      </c>
      <c r="Z631" s="9" t="s">
        <v>4898</v>
      </c>
      <c r="AA631" s="9" t="s">
        <v>4899</v>
      </c>
    </row>
    <row r="632" customFormat="false" ht="15" hidden="false" customHeight="true" outlineLevel="0" collapsed="false">
      <c r="A632" s="6" t="s">
        <v>2699</v>
      </c>
      <c r="B632" s="6" t="s">
        <v>531</v>
      </c>
      <c r="C632" s="6" t="s">
        <v>536</v>
      </c>
      <c r="D632" s="6" t="n">
        <v>6</v>
      </c>
      <c r="E632" s="9" t="s">
        <v>4988</v>
      </c>
      <c r="F632" s="6" t="n">
        <v>69951</v>
      </c>
      <c r="Q632" s="1" t="str">
        <f aca="false">IF($A631="","",IF(OR(F631="",I631=""),"",F631-I631))</f>
        <v/>
      </c>
      <c r="R632" s="1" t="str">
        <f aca="false">IF($A631="","",IF(Q631="","",Q631+IF(O631="",0,O631)))</f>
        <v/>
      </c>
      <c r="T632" s="1" t="str">
        <f aca="false">IF($A631="","",IF(R631="","",R631-IF(S631="",0,S631)))</f>
        <v/>
      </c>
      <c r="U632" s="1" t="str">
        <f aca="false">IF($A631="","",IF(I631="","",I631-SUM(J631:P631)))</f>
        <v/>
      </c>
      <c r="V632" s="6" t="s">
        <v>5195</v>
      </c>
      <c r="W632" s="9" t="s">
        <v>774</v>
      </c>
      <c r="X632" s="9" t="s">
        <v>5196</v>
      </c>
      <c r="Y632" s="9" t="s">
        <v>4897</v>
      </c>
      <c r="Z632" s="9" t="s">
        <v>4898</v>
      </c>
      <c r="AA632" s="9" t="s">
        <v>4899</v>
      </c>
    </row>
    <row r="633" customFormat="false" ht="15" hidden="false" customHeight="true" outlineLevel="0" collapsed="false">
      <c r="A633" s="6" t="s">
        <v>2702</v>
      </c>
      <c r="B633" s="6" t="s">
        <v>531</v>
      </c>
      <c r="C633" s="6" t="s">
        <v>536</v>
      </c>
      <c r="D633" s="6" t="n">
        <v>6</v>
      </c>
      <c r="E633" s="9" t="s">
        <v>4988</v>
      </c>
      <c r="F633" s="6" t="n">
        <v>73647</v>
      </c>
      <c r="Q633" s="1" t="str">
        <f aca="false">IF($A632="","",IF(OR(F632="",I632=""),"",F632-I632))</f>
        <v/>
      </c>
      <c r="R633" s="1" t="str">
        <f aca="false">IF($A632="","",IF(Q632="","",Q632+IF(O632="",0,O632)))</f>
        <v/>
      </c>
      <c r="T633" s="1" t="str">
        <f aca="false">IF($A632="","",IF(R632="","",R632-IF(S632="",0,S632)))</f>
        <v/>
      </c>
      <c r="U633" s="1" t="str">
        <f aca="false">IF($A632="","",IF(I632="","",I632-SUM(J632:P632)))</f>
        <v/>
      </c>
      <c r="V633" s="6" t="s">
        <v>5195</v>
      </c>
      <c r="W633" s="9" t="s">
        <v>774</v>
      </c>
      <c r="X633" s="9" t="s">
        <v>5196</v>
      </c>
      <c r="Y633" s="9" t="s">
        <v>4897</v>
      </c>
      <c r="Z633" s="9" t="s">
        <v>4898</v>
      </c>
      <c r="AA633" s="9" t="s">
        <v>4899</v>
      </c>
    </row>
    <row r="634" customFormat="false" ht="15" hidden="false" customHeight="true" outlineLevel="0" collapsed="false">
      <c r="A634" s="6" t="s">
        <v>2706</v>
      </c>
      <c r="B634" s="6" t="s">
        <v>531</v>
      </c>
      <c r="C634" s="6" t="s">
        <v>536</v>
      </c>
      <c r="D634" s="6" t="n">
        <v>6</v>
      </c>
      <c r="E634" s="9" t="s">
        <v>4988</v>
      </c>
      <c r="F634" s="6" t="n">
        <v>215097</v>
      </c>
      <c r="Q634" s="1" t="str">
        <f aca="false">IF($A633="","",IF(OR(F633="",I633=""),"",F633-I633))</f>
        <v/>
      </c>
      <c r="R634" s="1" t="str">
        <f aca="false">IF($A633="","",IF(Q633="","",Q633+IF(O633="",0,O633)))</f>
        <v/>
      </c>
      <c r="T634" s="1" t="str">
        <f aca="false">IF($A633="","",IF(R633="","",R633-IF(S633="",0,S633)))</f>
        <v/>
      </c>
      <c r="U634" s="1" t="str">
        <f aca="false">IF($A633="","",IF(I633="","",I633-SUM(J633:P633)))</f>
        <v/>
      </c>
      <c r="V634" s="6" t="s">
        <v>5195</v>
      </c>
      <c r="W634" s="9" t="s">
        <v>774</v>
      </c>
      <c r="X634" s="9" t="s">
        <v>5196</v>
      </c>
      <c r="Y634" s="9" t="s">
        <v>4897</v>
      </c>
      <c r="Z634" s="9" t="s">
        <v>4898</v>
      </c>
      <c r="AA634" s="9" t="s">
        <v>4899</v>
      </c>
    </row>
    <row r="635" customFormat="false" ht="15" hidden="false" customHeight="true" outlineLevel="0" collapsed="false">
      <c r="A635" s="6" t="s">
        <v>2709</v>
      </c>
      <c r="B635" s="6" t="s">
        <v>531</v>
      </c>
      <c r="C635" s="6" t="s">
        <v>536</v>
      </c>
      <c r="D635" s="6" t="n">
        <v>6</v>
      </c>
      <c r="E635" s="9" t="s">
        <v>4988</v>
      </c>
      <c r="F635" s="6" t="n">
        <v>144645</v>
      </c>
      <c r="Q635" s="1" t="str">
        <f aca="false">IF($A634="","",IF(OR(F634="",I634=""),"",F634-I634))</f>
        <v/>
      </c>
      <c r="R635" s="1" t="str">
        <f aca="false">IF($A634="","",IF(Q634="","",Q634+IF(O634="",0,O634)))</f>
        <v/>
      </c>
      <c r="T635" s="1" t="str">
        <f aca="false">IF($A634="","",IF(R634="","",R634-IF(S634="",0,S634)))</f>
        <v/>
      </c>
      <c r="U635" s="1" t="str">
        <f aca="false">IF($A634="","",IF(I634="","",I634-SUM(J634:P634)))</f>
        <v/>
      </c>
      <c r="V635" s="6" t="s">
        <v>5195</v>
      </c>
      <c r="W635" s="9" t="s">
        <v>774</v>
      </c>
      <c r="X635" s="9" t="s">
        <v>5196</v>
      </c>
      <c r="Y635" s="9" t="s">
        <v>4897</v>
      </c>
      <c r="Z635" s="9" t="s">
        <v>4898</v>
      </c>
      <c r="AA635" s="9" t="s">
        <v>4899</v>
      </c>
    </row>
    <row r="636" customFormat="false" ht="15" hidden="false" customHeight="true" outlineLevel="0" collapsed="false">
      <c r="A636" s="6" t="s">
        <v>2712</v>
      </c>
      <c r="B636" s="6" t="s">
        <v>531</v>
      </c>
      <c r="C636" s="6" t="s">
        <v>536</v>
      </c>
      <c r="D636" s="6" t="n">
        <v>6</v>
      </c>
      <c r="E636" s="9" t="s">
        <v>4988</v>
      </c>
      <c r="F636" s="6" t="n">
        <v>86956</v>
      </c>
      <c r="Q636" s="1" t="str">
        <f aca="false">IF($A635="","",IF(OR(F635="",I635=""),"",F635-I635))</f>
        <v/>
      </c>
      <c r="R636" s="1" t="str">
        <f aca="false">IF($A635="","",IF(Q635="","",Q635+IF(O635="",0,O635)))</f>
        <v/>
      </c>
      <c r="T636" s="1" t="str">
        <f aca="false">IF($A635="","",IF(R635="","",R635-IF(S635="",0,S635)))</f>
        <v/>
      </c>
      <c r="U636" s="1" t="str">
        <f aca="false">IF($A635="","",IF(I635="","",I635-SUM(J635:P635)))</f>
        <v/>
      </c>
      <c r="V636" s="6" t="s">
        <v>5195</v>
      </c>
      <c r="W636" s="9" t="s">
        <v>774</v>
      </c>
      <c r="X636" s="9" t="s">
        <v>5196</v>
      </c>
      <c r="Y636" s="9" t="s">
        <v>4897</v>
      </c>
      <c r="Z636" s="9" t="s">
        <v>4898</v>
      </c>
      <c r="AA636" s="9" t="s">
        <v>4899</v>
      </c>
    </row>
    <row r="637" customFormat="false" ht="15" hidden="false" customHeight="true" outlineLevel="0" collapsed="false">
      <c r="A637" s="6" t="s">
        <v>2715</v>
      </c>
      <c r="B637" s="6" t="s">
        <v>531</v>
      </c>
      <c r="C637" s="6" t="s">
        <v>536</v>
      </c>
      <c r="D637" s="6" t="n">
        <v>6</v>
      </c>
      <c r="E637" s="9" t="s">
        <v>4988</v>
      </c>
      <c r="F637" s="6" t="n">
        <v>17045</v>
      </c>
      <c r="Q637" s="1" t="str">
        <f aca="false">IF($A636="","",IF(OR(F636="",I636=""),"",F636-I636))</f>
        <v/>
      </c>
      <c r="R637" s="1" t="str">
        <f aca="false">IF($A636="","",IF(Q636="","",Q636+IF(O636="",0,O636)))</f>
        <v/>
      </c>
      <c r="T637" s="1" t="str">
        <f aca="false">IF($A636="","",IF(R636="","",R636-IF(S636="",0,S636)))</f>
        <v/>
      </c>
      <c r="U637" s="1" t="str">
        <f aca="false">IF($A636="","",IF(I636="","",I636-SUM(J636:P636)))</f>
        <v/>
      </c>
      <c r="V637" s="6" t="s">
        <v>5195</v>
      </c>
      <c r="W637" s="9" t="s">
        <v>774</v>
      </c>
      <c r="X637" s="9" t="s">
        <v>5196</v>
      </c>
      <c r="Y637" s="9" t="s">
        <v>4897</v>
      </c>
      <c r="Z637" s="9" t="s">
        <v>4898</v>
      </c>
      <c r="AA637" s="9" t="s">
        <v>4899</v>
      </c>
    </row>
    <row r="638" customFormat="false" ht="15" hidden="false" customHeight="true" outlineLevel="0" collapsed="false">
      <c r="A638" s="6" t="s">
        <v>2718</v>
      </c>
      <c r="B638" s="6" t="s">
        <v>531</v>
      </c>
      <c r="C638" s="6" t="s">
        <v>536</v>
      </c>
      <c r="D638" s="6" t="n">
        <v>6</v>
      </c>
      <c r="E638" s="9" t="s">
        <v>4988</v>
      </c>
      <c r="F638" s="6" t="n">
        <v>78164</v>
      </c>
      <c r="Q638" s="1" t="str">
        <f aca="false">IF($A637="","",IF(OR(F637="",I637=""),"",F637-I637))</f>
        <v/>
      </c>
      <c r="R638" s="1" t="str">
        <f aca="false">IF($A637="","",IF(Q637="","",Q637+IF(O637="",0,O637)))</f>
        <v/>
      </c>
      <c r="T638" s="1" t="str">
        <f aca="false">IF($A637="","",IF(R637="","",R637-IF(S637="",0,S637)))</f>
        <v/>
      </c>
      <c r="U638" s="1" t="str">
        <f aca="false">IF($A637="","",IF(I637="","",I637-SUM(J637:P637)))</f>
        <v/>
      </c>
      <c r="V638" s="6" t="s">
        <v>5195</v>
      </c>
      <c r="W638" s="9" t="s">
        <v>774</v>
      </c>
      <c r="X638" s="9" t="s">
        <v>5196</v>
      </c>
      <c r="Y638" s="9" t="s">
        <v>4897</v>
      </c>
      <c r="Z638" s="9" t="s">
        <v>4898</v>
      </c>
      <c r="AA638" s="9" t="s">
        <v>4899</v>
      </c>
    </row>
    <row r="639" customFormat="false" ht="15" hidden="false" customHeight="true" outlineLevel="0" collapsed="false">
      <c r="A639" s="6" t="s">
        <v>2721</v>
      </c>
      <c r="B639" s="6" t="s">
        <v>531</v>
      </c>
      <c r="C639" s="6" t="s">
        <v>536</v>
      </c>
      <c r="D639" s="6" t="n">
        <v>6</v>
      </c>
      <c r="E639" s="9" t="s">
        <v>4988</v>
      </c>
      <c r="F639" s="6" t="n">
        <v>120306</v>
      </c>
      <c r="Q639" s="1" t="str">
        <f aca="false">IF($A638="","",IF(OR(F638="",I638=""),"",F638-I638))</f>
        <v/>
      </c>
      <c r="R639" s="1" t="str">
        <f aca="false">IF($A638="","",IF(Q638="","",Q638+IF(O638="",0,O638)))</f>
        <v/>
      </c>
      <c r="T639" s="1" t="str">
        <f aca="false">IF($A638="","",IF(R638="","",R638-IF(S638="",0,S638)))</f>
        <v/>
      </c>
      <c r="U639" s="1" t="str">
        <f aca="false">IF($A638="","",IF(I638="","",I638-SUM(J638:P638)))</f>
        <v/>
      </c>
      <c r="V639" s="6" t="s">
        <v>5195</v>
      </c>
      <c r="W639" s="9" t="s">
        <v>774</v>
      </c>
      <c r="X639" s="9" t="s">
        <v>5196</v>
      </c>
      <c r="Y639" s="9" t="s">
        <v>4897</v>
      </c>
      <c r="Z639" s="9" t="s">
        <v>4898</v>
      </c>
      <c r="AA639" s="9" t="s">
        <v>4899</v>
      </c>
    </row>
    <row r="640" customFormat="false" ht="15" hidden="false" customHeight="true" outlineLevel="0" collapsed="false">
      <c r="A640" s="6" t="s">
        <v>2724</v>
      </c>
      <c r="B640" s="6" t="s">
        <v>531</v>
      </c>
      <c r="C640" s="6" t="s">
        <v>536</v>
      </c>
      <c r="D640" s="6" t="n">
        <v>6</v>
      </c>
      <c r="E640" s="9" t="s">
        <v>4988</v>
      </c>
      <c r="F640" s="6" t="n">
        <v>51946</v>
      </c>
      <c r="Q640" s="1" t="str">
        <f aca="false">IF($A639="","",IF(OR(F639="",I639=""),"",F639-I639))</f>
        <v/>
      </c>
      <c r="R640" s="1" t="str">
        <f aca="false">IF($A639="","",IF(Q639="","",Q639+IF(O639="",0,O639)))</f>
        <v/>
      </c>
      <c r="T640" s="1" t="str">
        <f aca="false">IF($A639="","",IF(R639="","",R639-IF(S639="",0,S639)))</f>
        <v/>
      </c>
      <c r="U640" s="1" t="str">
        <f aca="false">IF($A639="","",IF(I639="","",I639-SUM(J639:P639)))</f>
        <v/>
      </c>
      <c r="V640" s="6" t="s">
        <v>5195</v>
      </c>
      <c r="W640" s="9" t="s">
        <v>774</v>
      </c>
      <c r="X640" s="9" t="s">
        <v>5196</v>
      </c>
      <c r="Y640" s="9" t="s">
        <v>4897</v>
      </c>
      <c r="Z640" s="9" t="s">
        <v>4898</v>
      </c>
      <c r="AA640" s="9" t="s">
        <v>4899</v>
      </c>
    </row>
    <row r="641" customFormat="false" ht="15" hidden="false" customHeight="true" outlineLevel="0" collapsed="false">
      <c r="A641" s="6" t="s">
        <v>2727</v>
      </c>
      <c r="B641" s="6" t="s">
        <v>531</v>
      </c>
      <c r="C641" s="6" t="s">
        <v>536</v>
      </c>
      <c r="D641" s="6" t="n">
        <v>6</v>
      </c>
      <c r="E641" s="9" t="s">
        <v>4988</v>
      </c>
      <c r="F641" s="6" t="n">
        <v>107356</v>
      </c>
      <c r="Q641" s="1" t="str">
        <f aca="false">IF($A640="","",IF(OR(F640="",I640=""),"",F640-I640))</f>
        <v/>
      </c>
      <c r="R641" s="1" t="str">
        <f aca="false">IF($A640="","",IF(Q640="","",Q640+IF(O640="",0,O640)))</f>
        <v/>
      </c>
      <c r="T641" s="1" t="str">
        <f aca="false">IF($A640="","",IF(R640="","",R640-IF(S640="",0,S640)))</f>
        <v/>
      </c>
      <c r="U641" s="1" t="str">
        <f aca="false">IF($A640="","",IF(I640="","",I640-SUM(J640:P640)))</f>
        <v/>
      </c>
      <c r="V641" s="6" t="s">
        <v>5195</v>
      </c>
      <c r="W641" s="9" t="s">
        <v>774</v>
      </c>
      <c r="X641" s="9" t="s">
        <v>5196</v>
      </c>
      <c r="Y641" s="9" t="s">
        <v>4897</v>
      </c>
      <c r="Z641" s="9" t="s">
        <v>4898</v>
      </c>
      <c r="AA641" s="9" t="s">
        <v>4899</v>
      </c>
    </row>
    <row r="642" customFormat="false" ht="15" hidden="false" customHeight="true" outlineLevel="0" collapsed="false">
      <c r="A642" s="6" t="s">
        <v>2730</v>
      </c>
      <c r="B642" s="6" t="s">
        <v>531</v>
      </c>
      <c r="C642" s="6" t="s">
        <v>536</v>
      </c>
      <c r="D642" s="6" t="n">
        <v>6</v>
      </c>
      <c r="E642" s="9" t="s">
        <v>4988</v>
      </c>
      <c r="F642" s="6" t="n">
        <v>158639</v>
      </c>
      <c r="Q642" s="1" t="str">
        <f aca="false">IF($A641="","",IF(OR(F641="",I641=""),"",F641-I641))</f>
        <v/>
      </c>
      <c r="R642" s="1" t="str">
        <f aca="false">IF($A641="","",IF(Q641="","",Q641+IF(O641="",0,O641)))</f>
        <v/>
      </c>
      <c r="T642" s="1" t="str">
        <f aca="false">IF($A641="","",IF(R641="","",R641-IF(S641="",0,S641)))</f>
        <v/>
      </c>
      <c r="U642" s="1" t="str">
        <f aca="false">IF($A641="","",IF(I641="","",I641-SUM(J641:P641)))</f>
        <v/>
      </c>
      <c r="V642" s="6" t="s">
        <v>5195</v>
      </c>
      <c r="W642" s="9" t="s">
        <v>774</v>
      </c>
      <c r="X642" s="9" t="s">
        <v>5196</v>
      </c>
      <c r="Y642" s="9" t="s">
        <v>4897</v>
      </c>
      <c r="Z642" s="9" t="s">
        <v>4898</v>
      </c>
      <c r="AA642" s="9" t="s">
        <v>4899</v>
      </c>
    </row>
    <row r="643" customFormat="false" ht="15" hidden="false" customHeight="true" outlineLevel="0" collapsed="false">
      <c r="A643" s="6" t="s">
        <v>2733</v>
      </c>
      <c r="B643" s="6" t="s">
        <v>531</v>
      </c>
      <c r="C643" s="6" t="s">
        <v>536</v>
      </c>
      <c r="D643" s="6" t="n">
        <v>6</v>
      </c>
      <c r="E643" s="9" t="s">
        <v>4988</v>
      </c>
      <c r="F643" s="6" t="n">
        <v>51789</v>
      </c>
      <c r="Q643" s="1" t="str">
        <f aca="false">IF($A642="","",IF(OR(F642="",I642=""),"",F642-I642))</f>
        <v/>
      </c>
      <c r="R643" s="1" t="str">
        <f aca="false">IF($A642="","",IF(Q642="","",Q642+IF(O642="",0,O642)))</f>
        <v/>
      </c>
      <c r="T643" s="1" t="str">
        <f aca="false">IF($A642="","",IF(R642="","",R642-IF(S642="",0,S642)))</f>
        <v/>
      </c>
      <c r="U643" s="1" t="str">
        <f aca="false">IF($A642="","",IF(I642="","",I642-SUM(J642:P642)))</f>
        <v/>
      </c>
      <c r="V643" s="6" t="s">
        <v>5195</v>
      </c>
      <c r="W643" s="9" t="s">
        <v>774</v>
      </c>
      <c r="X643" s="9" t="s">
        <v>5196</v>
      </c>
      <c r="Y643" s="9" t="s">
        <v>4897</v>
      </c>
      <c r="Z643" s="9" t="s">
        <v>4898</v>
      </c>
      <c r="AA643" s="9" t="s">
        <v>4899</v>
      </c>
    </row>
    <row r="644" customFormat="false" ht="15" hidden="false" customHeight="true" outlineLevel="0" collapsed="false">
      <c r="A644" s="6" t="s">
        <v>2736</v>
      </c>
      <c r="B644" s="6" t="s">
        <v>531</v>
      </c>
      <c r="C644" s="6" t="s">
        <v>536</v>
      </c>
      <c r="D644" s="6" t="n">
        <v>6</v>
      </c>
      <c r="E644" s="9" t="s">
        <v>4988</v>
      </c>
      <c r="F644" s="6" t="n">
        <v>137300</v>
      </c>
      <c r="Q644" s="1" t="str">
        <f aca="false">IF($A643="","",IF(OR(F643="",I643=""),"",F643-I643))</f>
        <v/>
      </c>
      <c r="R644" s="1" t="str">
        <f aca="false">IF($A643="","",IF(Q643="","",Q643+IF(O643="",0,O643)))</f>
        <v/>
      </c>
      <c r="T644" s="1" t="str">
        <f aca="false">IF($A643="","",IF(R643="","",R643-IF(S643="",0,S643)))</f>
        <v/>
      </c>
      <c r="U644" s="1" t="str">
        <f aca="false">IF($A643="","",IF(I643="","",I643-SUM(J643:P643)))</f>
        <v/>
      </c>
      <c r="V644" s="6" t="s">
        <v>5195</v>
      </c>
      <c r="W644" s="9" t="s">
        <v>774</v>
      </c>
      <c r="X644" s="9" t="s">
        <v>5196</v>
      </c>
      <c r="Y644" s="9" t="s">
        <v>4897</v>
      </c>
      <c r="Z644" s="9" t="s">
        <v>4898</v>
      </c>
      <c r="AA644" s="9" t="s">
        <v>4899</v>
      </c>
    </row>
    <row r="645" customFormat="false" ht="15" hidden="false" customHeight="true" outlineLevel="0" collapsed="false">
      <c r="A645" s="6" t="s">
        <v>2739</v>
      </c>
      <c r="B645" s="6" t="s">
        <v>531</v>
      </c>
      <c r="C645" s="6" t="s">
        <v>536</v>
      </c>
      <c r="D645" s="6" t="n">
        <v>6</v>
      </c>
      <c r="E645" s="9" t="s">
        <v>4988</v>
      </c>
      <c r="F645" s="6" t="n">
        <v>90178</v>
      </c>
      <c r="Q645" s="1" t="str">
        <f aca="false">IF($A644="","",IF(OR(F644="",I644=""),"",F644-I644))</f>
        <v/>
      </c>
      <c r="R645" s="1" t="str">
        <f aca="false">IF($A644="","",IF(Q644="","",Q644+IF(O644="",0,O644)))</f>
        <v/>
      </c>
      <c r="T645" s="1" t="str">
        <f aca="false">IF($A644="","",IF(R644="","",R644-IF(S644="",0,S644)))</f>
        <v/>
      </c>
      <c r="U645" s="1" t="str">
        <f aca="false">IF($A644="","",IF(I644="","",I644-SUM(J644:P644)))</f>
        <v/>
      </c>
      <c r="V645" s="6" t="s">
        <v>5195</v>
      </c>
      <c r="W645" s="9" t="s">
        <v>774</v>
      </c>
      <c r="X645" s="9" t="s">
        <v>5196</v>
      </c>
      <c r="Y645" s="9" t="s">
        <v>4897</v>
      </c>
      <c r="Z645" s="9" t="s">
        <v>4898</v>
      </c>
      <c r="AA645" s="9" t="s">
        <v>4899</v>
      </c>
    </row>
    <row r="646" customFormat="false" ht="15" hidden="false" customHeight="true" outlineLevel="0" collapsed="false">
      <c r="A646" s="6" t="s">
        <v>2742</v>
      </c>
      <c r="B646" s="6" t="s">
        <v>531</v>
      </c>
      <c r="C646" s="6" t="s">
        <v>536</v>
      </c>
      <c r="D646" s="6" t="n">
        <v>6</v>
      </c>
      <c r="E646" s="9" t="s">
        <v>4988</v>
      </c>
      <c r="F646" s="6" t="n">
        <v>124953</v>
      </c>
      <c r="Q646" s="1" t="str">
        <f aca="false">IF($A645="","",IF(OR(F645="",I645=""),"",F645-I645))</f>
        <v/>
      </c>
      <c r="R646" s="1" t="str">
        <f aca="false">IF($A645="","",IF(Q645="","",Q645+IF(O645="",0,O645)))</f>
        <v/>
      </c>
      <c r="T646" s="1" t="str">
        <f aca="false">IF($A645="","",IF(R645="","",R645-IF(S645="",0,S645)))</f>
        <v/>
      </c>
      <c r="U646" s="1" t="str">
        <f aca="false">IF($A645="","",IF(I645="","",I645-SUM(J645:P645)))</f>
        <v/>
      </c>
      <c r="V646" s="6" t="s">
        <v>5195</v>
      </c>
      <c r="W646" s="9" t="s">
        <v>774</v>
      </c>
      <c r="X646" s="9" t="s">
        <v>5196</v>
      </c>
      <c r="Y646" s="9" t="s">
        <v>4897</v>
      </c>
      <c r="Z646" s="9" t="s">
        <v>4898</v>
      </c>
      <c r="AA646" s="9" t="s">
        <v>4899</v>
      </c>
    </row>
    <row r="647" customFormat="false" ht="15" hidden="false" customHeight="true" outlineLevel="0" collapsed="false">
      <c r="A647" s="6" t="s">
        <v>2745</v>
      </c>
      <c r="B647" s="6" t="s">
        <v>531</v>
      </c>
      <c r="C647" s="6" t="s">
        <v>536</v>
      </c>
      <c r="D647" s="6" t="n">
        <v>6</v>
      </c>
      <c r="E647" s="9" t="s">
        <v>4988</v>
      </c>
      <c r="F647" s="6" t="n">
        <v>71620</v>
      </c>
      <c r="Q647" s="1" t="str">
        <f aca="false">IF($A646="","",IF(OR(F646="",I646=""),"",F646-I646))</f>
        <v/>
      </c>
      <c r="R647" s="1" t="str">
        <f aca="false">IF($A646="","",IF(Q646="","",Q646+IF(O646="",0,O646)))</f>
        <v/>
      </c>
      <c r="T647" s="1" t="str">
        <f aca="false">IF($A646="","",IF(R646="","",R646-IF(S646="",0,S646)))</f>
        <v/>
      </c>
      <c r="U647" s="1" t="str">
        <f aca="false">IF($A646="","",IF(I646="","",I646-SUM(J646:P646)))</f>
        <v/>
      </c>
      <c r="V647" s="6" t="s">
        <v>5195</v>
      </c>
      <c r="W647" s="9" t="s">
        <v>774</v>
      </c>
      <c r="X647" s="9" t="s">
        <v>5196</v>
      </c>
      <c r="Y647" s="9" t="s">
        <v>4897</v>
      </c>
      <c r="Z647" s="9" t="s">
        <v>4898</v>
      </c>
      <c r="AA647" s="9" t="s">
        <v>4899</v>
      </c>
    </row>
    <row r="648" customFormat="false" ht="15" hidden="false" customHeight="true" outlineLevel="0" collapsed="false">
      <c r="A648" s="6" t="s">
        <v>2748</v>
      </c>
      <c r="B648" s="6" t="s">
        <v>531</v>
      </c>
      <c r="C648" s="6" t="s">
        <v>536</v>
      </c>
      <c r="D648" s="6" t="n">
        <v>6</v>
      </c>
      <c r="E648" s="9" t="s">
        <v>4988</v>
      </c>
      <c r="F648" s="6" t="n">
        <v>20323</v>
      </c>
      <c r="Q648" s="1" t="str">
        <f aca="false">IF($A647="","",IF(OR(F647="",I647=""),"",F647-I647))</f>
        <v/>
      </c>
      <c r="R648" s="1" t="str">
        <f aca="false">IF($A647="","",IF(Q647="","",Q647+IF(O647="",0,O647)))</f>
        <v/>
      </c>
      <c r="T648" s="1" t="str">
        <f aca="false">IF($A647="","",IF(R647="","",R647-IF(S647="",0,S647)))</f>
        <v/>
      </c>
      <c r="U648" s="1" t="str">
        <f aca="false">IF($A647="","",IF(I647="","",I647-SUM(J647:P647)))</f>
        <v/>
      </c>
      <c r="V648" s="6" t="s">
        <v>5195</v>
      </c>
      <c r="W648" s="9" t="s">
        <v>774</v>
      </c>
      <c r="X648" s="9" t="s">
        <v>5196</v>
      </c>
      <c r="Y648" s="9" t="s">
        <v>4897</v>
      </c>
      <c r="Z648" s="9" t="s">
        <v>4898</v>
      </c>
      <c r="AA648" s="9" t="s">
        <v>4899</v>
      </c>
    </row>
    <row r="649" customFormat="false" ht="15" hidden="false" customHeight="true" outlineLevel="0" collapsed="false">
      <c r="A649" s="6" t="s">
        <v>2751</v>
      </c>
      <c r="B649" s="6" t="s">
        <v>531</v>
      </c>
      <c r="C649" s="6" t="s">
        <v>536</v>
      </c>
      <c r="D649" s="6" t="n">
        <v>6</v>
      </c>
      <c r="E649" s="9" t="s">
        <v>4988</v>
      </c>
      <c r="F649" s="6" t="n">
        <v>28670</v>
      </c>
      <c r="Q649" s="1" t="str">
        <f aca="false">IF($A648="","",IF(OR(F648="",I648=""),"",F648-I648))</f>
        <v/>
      </c>
      <c r="R649" s="1" t="str">
        <f aca="false">IF($A648="","",IF(Q648="","",Q648+IF(O648="",0,O648)))</f>
        <v/>
      </c>
      <c r="T649" s="1" t="str">
        <f aca="false">IF($A648="","",IF(R648="","",R648-IF(S648="",0,S648)))</f>
        <v/>
      </c>
      <c r="U649" s="1" t="str">
        <f aca="false">IF($A648="","",IF(I648="","",I648-SUM(J648:P648)))</f>
        <v/>
      </c>
      <c r="V649" s="6" t="s">
        <v>5195</v>
      </c>
      <c r="W649" s="9" t="s">
        <v>774</v>
      </c>
      <c r="X649" s="9" t="s">
        <v>5196</v>
      </c>
      <c r="Y649" s="9" t="s">
        <v>4897</v>
      </c>
      <c r="Z649" s="9" t="s">
        <v>4898</v>
      </c>
      <c r="AA649" s="9" t="s">
        <v>4899</v>
      </c>
    </row>
    <row r="650" customFormat="false" ht="15" hidden="false" customHeight="true" outlineLevel="0" collapsed="false">
      <c r="A650" s="6" t="s">
        <v>2755</v>
      </c>
      <c r="B650" s="6" t="s">
        <v>531</v>
      </c>
      <c r="C650" s="6" t="s">
        <v>536</v>
      </c>
      <c r="D650" s="6" t="n">
        <v>6</v>
      </c>
      <c r="E650" s="9" t="s">
        <v>4988</v>
      </c>
      <c r="F650" s="6" t="n">
        <v>132260</v>
      </c>
      <c r="Q650" s="1" t="str">
        <f aca="false">IF($A649="","",IF(OR(F649="",I649=""),"",F649-I649))</f>
        <v/>
      </c>
      <c r="R650" s="1" t="str">
        <f aca="false">IF($A649="","",IF(Q649="","",Q649+IF(O649="",0,O649)))</f>
        <v/>
      </c>
      <c r="T650" s="1" t="str">
        <f aca="false">IF($A649="","",IF(R649="","",R649-IF(S649="",0,S649)))</f>
        <v/>
      </c>
      <c r="U650" s="1" t="str">
        <f aca="false">IF($A649="","",IF(I649="","",I649-SUM(J649:P649)))</f>
        <v/>
      </c>
      <c r="V650" s="6" t="s">
        <v>5195</v>
      </c>
      <c r="W650" s="9" t="s">
        <v>774</v>
      </c>
      <c r="X650" s="9" t="s">
        <v>5196</v>
      </c>
      <c r="Y650" s="9" t="s">
        <v>4897</v>
      </c>
      <c r="Z650" s="9" t="s">
        <v>4898</v>
      </c>
      <c r="AA650" s="9" t="s">
        <v>4899</v>
      </c>
    </row>
    <row r="651" customFormat="false" ht="15" hidden="false" customHeight="true" outlineLevel="0" collapsed="false">
      <c r="A651" s="6" t="s">
        <v>2758</v>
      </c>
      <c r="B651" s="6" t="s">
        <v>531</v>
      </c>
      <c r="C651" s="6" t="s">
        <v>536</v>
      </c>
      <c r="D651" s="6" t="n">
        <v>6</v>
      </c>
      <c r="E651" s="9" t="s">
        <v>4988</v>
      </c>
      <c r="F651" s="6" t="n">
        <v>47879</v>
      </c>
      <c r="Q651" s="1" t="str">
        <f aca="false">IF($A650="","",IF(OR(F650="",I650=""),"",F650-I650))</f>
        <v/>
      </c>
      <c r="R651" s="1" t="str">
        <f aca="false">IF($A650="","",IF(Q650="","",Q650+IF(O650="",0,O650)))</f>
        <v/>
      </c>
      <c r="T651" s="1" t="str">
        <f aca="false">IF($A650="","",IF(R650="","",R650-IF(S650="",0,S650)))</f>
        <v/>
      </c>
      <c r="U651" s="1" t="str">
        <f aca="false">IF($A650="","",IF(I650="","",I650-SUM(J650:P650)))</f>
        <v/>
      </c>
      <c r="V651" s="6" t="s">
        <v>5195</v>
      </c>
      <c r="W651" s="9" t="s">
        <v>774</v>
      </c>
      <c r="X651" s="9" t="s">
        <v>5196</v>
      </c>
      <c r="Y651" s="9" t="s">
        <v>4897</v>
      </c>
      <c r="Z651" s="9" t="s">
        <v>4898</v>
      </c>
      <c r="AA651" s="9" t="s">
        <v>4899</v>
      </c>
    </row>
    <row r="652" customFormat="false" ht="15" hidden="false" customHeight="true" outlineLevel="0" collapsed="false">
      <c r="A652" s="6" t="s">
        <v>2761</v>
      </c>
      <c r="B652" s="6" t="s">
        <v>531</v>
      </c>
      <c r="C652" s="6" t="s">
        <v>536</v>
      </c>
      <c r="D652" s="6" t="n">
        <v>6</v>
      </c>
      <c r="E652" s="9" t="s">
        <v>4988</v>
      </c>
      <c r="F652" s="6" t="n">
        <v>38920</v>
      </c>
      <c r="Q652" s="1" t="str">
        <f aca="false">IF($A651="","",IF(OR(F651="",I651=""),"",F651-I651))</f>
        <v/>
      </c>
      <c r="R652" s="1" t="str">
        <f aca="false">IF($A651="","",IF(Q651="","",Q651+IF(O651="",0,O651)))</f>
        <v/>
      </c>
      <c r="T652" s="1" t="str">
        <f aca="false">IF($A651="","",IF(R651="","",R651-IF(S651="",0,S651)))</f>
        <v/>
      </c>
      <c r="U652" s="1" t="str">
        <f aca="false">IF($A651="","",IF(I651="","",I651-SUM(J651:P651)))</f>
        <v/>
      </c>
      <c r="V652" s="6" t="s">
        <v>5195</v>
      </c>
      <c r="W652" s="9" t="s">
        <v>774</v>
      </c>
      <c r="X652" s="9" t="s">
        <v>5196</v>
      </c>
      <c r="Y652" s="9" t="s">
        <v>4897</v>
      </c>
      <c r="Z652" s="9" t="s">
        <v>4898</v>
      </c>
      <c r="AA652" s="9" t="s">
        <v>4899</v>
      </c>
    </row>
    <row r="653" customFormat="false" ht="15" hidden="false" customHeight="true" outlineLevel="0" collapsed="false">
      <c r="A653" s="6" t="s">
        <v>2764</v>
      </c>
      <c r="B653" s="6" t="s">
        <v>531</v>
      </c>
      <c r="C653" s="6" t="s">
        <v>536</v>
      </c>
      <c r="D653" s="6" t="n">
        <v>6</v>
      </c>
      <c r="E653" s="9" t="s">
        <v>4988</v>
      </c>
      <c r="F653" s="6" t="n">
        <v>28795</v>
      </c>
      <c r="Q653" s="1" t="str">
        <f aca="false">IF($A652="","",IF(OR(F652="",I652=""),"",F652-I652))</f>
        <v/>
      </c>
      <c r="R653" s="1" t="str">
        <f aca="false">IF($A652="","",IF(Q652="","",Q652+IF(O652="",0,O652)))</f>
        <v/>
      </c>
      <c r="T653" s="1" t="str">
        <f aca="false">IF($A652="","",IF(R652="","",R652-IF(S652="",0,S652)))</f>
        <v/>
      </c>
      <c r="U653" s="1" t="str">
        <f aca="false">IF($A652="","",IF(I652="","",I652-SUM(J652:P652)))</f>
        <v/>
      </c>
      <c r="V653" s="6" t="s">
        <v>5195</v>
      </c>
      <c r="W653" s="9" t="s">
        <v>774</v>
      </c>
      <c r="X653" s="9" t="s">
        <v>5196</v>
      </c>
      <c r="Y653" s="9" t="s">
        <v>4897</v>
      </c>
      <c r="Z653" s="9" t="s">
        <v>4898</v>
      </c>
      <c r="AA653" s="9" t="s">
        <v>4899</v>
      </c>
    </row>
    <row r="654" customFormat="false" ht="15" hidden="false" customHeight="true" outlineLevel="0" collapsed="false">
      <c r="A654" s="6" t="s">
        <v>2767</v>
      </c>
      <c r="B654" s="6" t="s">
        <v>531</v>
      </c>
      <c r="C654" s="6" t="s">
        <v>536</v>
      </c>
      <c r="D654" s="6" t="n">
        <v>6</v>
      </c>
      <c r="E654" s="9" t="s">
        <v>4988</v>
      </c>
      <c r="F654" s="6" t="n">
        <v>39143</v>
      </c>
      <c r="Q654" s="1" t="str">
        <f aca="false">IF($A653="","",IF(OR(F653="",I653=""),"",F653-I653))</f>
        <v/>
      </c>
      <c r="R654" s="1" t="str">
        <f aca="false">IF($A653="","",IF(Q653="","",Q653+IF(O653="",0,O653)))</f>
        <v/>
      </c>
      <c r="T654" s="1" t="str">
        <f aca="false">IF($A653="","",IF(R653="","",R653-IF(S653="",0,S653)))</f>
        <v/>
      </c>
      <c r="U654" s="1" t="str">
        <f aca="false">IF($A653="","",IF(I653="","",I653-SUM(J653:P653)))</f>
        <v/>
      </c>
      <c r="V654" s="6" t="s">
        <v>5195</v>
      </c>
      <c r="W654" s="9" t="s">
        <v>774</v>
      </c>
      <c r="X654" s="9" t="s">
        <v>5196</v>
      </c>
      <c r="Y654" s="9" t="s">
        <v>4897</v>
      </c>
      <c r="Z654" s="9" t="s">
        <v>4898</v>
      </c>
      <c r="AA654" s="9" t="s">
        <v>4899</v>
      </c>
    </row>
    <row r="655" customFormat="false" ht="15" hidden="false" customHeight="true" outlineLevel="0" collapsed="false">
      <c r="A655" s="6" t="s">
        <v>2770</v>
      </c>
      <c r="B655" s="6" t="s">
        <v>531</v>
      </c>
      <c r="C655" s="6" t="s">
        <v>536</v>
      </c>
      <c r="D655" s="6" t="n">
        <v>6</v>
      </c>
      <c r="E655" s="9" t="s">
        <v>4988</v>
      </c>
      <c r="F655" s="6" t="n">
        <v>47848</v>
      </c>
      <c r="Q655" s="1" t="str">
        <f aca="false">IF($A654="","",IF(OR(F654="",I654=""),"",F654-I654))</f>
        <v/>
      </c>
      <c r="R655" s="1" t="str">
        <f aca="false">IF($A654="","",IF(Q654="","",Q654+IF(O654="",0,O654)))</f>
        <v/>
      </c>
      <c r="T655" s="1" t="str">
        <f aca="false">IF($A654="","",IF(R654="","",R654-IF(S654="",0,S654)))</f>
        <v/>
      </c>
      <c r="U655" s="1" t="str">
        <f aca="false">IF($A654="","",IF(I654="","",I654-SUM(J654:P654)))</f>
        <v/>
      </c>
      <c r="V655" s="6" t="s">
        <v>5195</v>
      </c>
      <c r="W655" s="9" t="s">
        <v>774</v>
      </c>
      <c r="X655" s="9" t="s">
        <v>5196</v>
      </c>
      <c r="Y655" s="9" t="s">
        <v>4897</v>
      </c>
      <c r="Z655" s="9" t="s">
        <v>4898</v>
      </c>
      <c r="AA655" s="9" t="s">
        <v>4899</v>
      </c>
    </row>
    <row r="656" customFormat="false" ht="15" hidden="false" customHeight="true" outlineLevel="0" collapsed="false">
      <c r="A656" s="6" t="s">
        <v>2773</v>
      </c>
      <c r="B656" s="6" t="s">
        <v>531</v>
      </c>
      <c r="C656" s="6" t="s">
        <v>536</v>
      </c>
      <c r="D656" s="6" t="n">
        <v>6</v>
      </c>
      <c r="E656" s="9" t="s">
        <v>4988</v>
      </c>
      <c r="F656" s="6" t="n">
        <v>27612</v>
      </c>
      <c r="Q656" s="1" t="str">
        <f aca="false">IF($A655="","",IF(OR(F655="",I655=""),"",F655-I655))</f>
        <v/>
      </c>
      <c r="R656" s="1" t="str">
        <f aca="false">IF($A655="","",IF(Q655="","",Q655+IF(O655="",0,O655)))</f>
        <v/>
      </c>
      <c r="T656" s="1" t="str">
        <f aca="false">IF($A655="","",IF(R655="","",R655-IF(S655="",0,S655)))</f>
        <v/>
      </c>
      <c r="U656" s="1" t="str">
        <f aca="false">IF($A655="","",IF(I655="","",I655-SUM(J655:P655)))</f>
        <v/>
      </c>
      <c r="V656" s="6" t="s">
        <v>5195</v>
      </c>
      <c r="W656" s="9" t="s">
        <v>774</v>
      </c>
      <c r="X656" s="9" t="s">
        <v>5196</v>
      </c>
      <c r="Y656" s="9" t="s">
        <v>4897</v>
      </c>
      <c r="Z656" s="9" t="s">
        <v>4898</v>
      </c>
      <c r="AA656" s="9" t="s">
        <v>4899</v>
      </c>
    </row>
    <row r="657" customFormat="false" ht="15" hidden="false" customHeight="true" outlineLevel="0" collapsed="false">
      <c r="A657" s="6" t="s">
        <v>2776</v>
      </c>
      <c r="B657" s="6" t="s">
        <v>531</v>
      </c>
      <c r="C657" s="6" t="s">
        <v>536</v>
      </c>
      <c r="D657" s="6" t="n">
        <v>6</v>
      </c>
      <c r="E657" s="9" t="s">
        <v>4988</v>
      </c>
      <c r="F657" s="6" t="n">
        <v>143505</v>
      </c>
      <c r="Q657" s="1" t="str">
        <f aca="false">IF($A656="","",IF(OR(F656="",I656=""),"",F656-I656))</f>
        <v/>
      </c>
      <c r="R657" s="1" t="str">
        <f aca="false">IF($A656="","",IF(Q656="","",Q656+IF(O656="",0,O656)))</f>
        <v/>
      </c>
      <c r="T657" s="1" t="str">
        <f aca="false">IF($A656="","",IF(R656="","",R656-IF(S656="",0,S656)))</f>
        <v/>
      </c>
      <c r="U657" s="1" t="str">
        <f aca="false">IF($A656="","",IF(I656="","",I656-SUM(J656:P656)))</f>
        <v/>
      </c>
      <c r="V657" s="6" t="s">
        <v>5195</v>
      </c>
      <c r="W657" s="9" t="s">
        <v>774</v>
      </c>
      <c r="X657" s="9" t="s">
        <v>5196</v>
      </c>
      <c r="Y657" s="9" t="s">
        <v>4897</v>
      </c>
      <c r="Z657" s="9" t="s">
        <v>4898</v>
      </c>
      <c r="AA657" s="9" t="s">
        <v>4899</v>
      </c>
    </row>
    <row r="658" customFormat="false" ht="15" hidden="false" customHeight="true" outlineLevel="0" collapsed="false">
      <c r="A658" s="6" t="s">
        <v>2779</v>
      </c>
      <c r="B658" s="6" t="s">
        <v>531</v>
      </c>
      <c r="C658" s="6" t="s">
        <v>536</v>
      </c>
      <c r="D658" s="6" t="n">
        <v>6</v>
      </c>
      <c r="E658" s="9" t="s">
        <v>4988</v>
      </c>
      <c r="F658" s="6" t="n">
        <v>30853</v>
      </c>
      <c r="Q658" s="1" t="str">
        <f aca="false">IF($A657="","",IF(OR(F657="",I657=""),"",F657-I657))</f>
        <v/>
      </c>
      <c r="R658" s="1" t="str">
        <f aca="false">IF($A657="","",IF(Q657="","",Q657+IF(O657="",0,O657)))</f>
        <v/>
      </c>
      <c r="T658" s="1" t="str">
        <f aca="false">IF($A657="","",IF(R657="","",R657-IF(S657="",0,S657)))</f>
        <v/>
      </c>
      <c r="U658" s="1" t="str">
        <f aca="false">IF($A657="","",IF(I657="","",I657-SUM(J657:P657)))</f>
        <v/>
      </c>
      <c r="V658" s="6" t="s">
        <v>5195</v>
      </c>
      <c r="W658" s="9" t="s">
        <v>774</v>
      </c>
      <c r="X658" s="9" t="s">
        <v>5196</v>
      </c>
      <c r="Y658" s="9" t="s">
        <v>4897</v>
      </c>
      <c r="Z658" s="9" t="s">
        <v>4898</v>
      </c>
      <c r="AA658" s="9" t="s">
        <v>4899</v>
      </c>
    </row>
    <row r="659" customFormat="false" ht="15" hidden="false" customHeight="true" outlineLevel="0" collapsed="false">
      <c r="A659" s="6" t="s">
        <v>2782</v>
      </c>
      <c r="B659" s="6" t="s">
        <v>531</v>
      </c>
      <c r="C659" s="6" t="s">
        <v>536</v>
      </c>
      <c r="D659" s="6" t="n">
        <v>6</v>
      </c>
      <c r="E659" s="9" t="s">
        <v>4988</v>
      </c>
      <c r="F659" s="6" t="n">
        <v>37415</v>
      </c>
      <c r="Q659" s="1" t="str">
        <f aca="false">IF($A658="","",IF(OR(F658="",I658=""),"",F658-I658))</f>
        <v/>
      </c>
      <c r="R659" s="1" t="str">
        <f aca="false">IF($A658="","",IF(Q658="","",Q658+IF(O658="",0,O658)))</f>
        <v/>
      </c>
      <c r="T659" s="1" t="str">
        <f aca="false">IF($A658="","",IF(R658="","",R658-IF(S658="",0,S658)))</f>
        <v/>
      </c>
      <c r="U659" s="1" t="str">
        <f aca="false">IF($A658="","",IF(I658="","",I658-SUM(J658:P658)))</f>
        <v/>
      </c>
      <c r="V659" s="6" t="s">
        <v>5195</v>
      </c>
      <c r="W659" s="9" t="s">
        <v>774</v>
      </c>
      <c r="X659" s="9" t="s">
        <v>5196</v>
      </c>
      <c r="Y659" s="9" t="s">
        <v>4897</v>
      </c>
      <c r="Z659" s="9" t="s">
        <v>4898</v>
      </c>
      <c r="AA659" s="9" t="s">
        <v>4899</v>
      </c>
    </row>
    <row r="660" customFormat="false" ht="15" hidden="false" customHeight="true" outlineLevel="0" collapsed="false">
      <c r="A660" s="6" t="s">
        <v>2785</v>
      </c>
      <c r="B660" s="6" t="s">
        <v>531</v>
      </c>
      <c r="C660" s="6" t="s">
        <v>536</v>
      </c>
      <c r="D660" s="6" t="n">
        <v>6</v>
      </c>
      <c r="E660" s="9" t="s">
        <v>4988</v>
      </c>
      <c r="F660" s="6" t="n">
        <v>35052</v>
      </c>
      <c r="Q660" s="1" t="str">
        <f aca="false">IF($A659="","",IF(OR(F659="",I659=""),"",F659-I659))</f>
        <v/>
      </c>
      <c r="R660" s="1" t="str">
        <f aca="false">IF($A659="","",IF(Q659="","",Q659+IF(O659="",0,O659)))</f>
        <v/>
      </c>
      <c r="T660" s="1" t="str">
        <f aca="false">IF($A659="","",IF(R659="","",R659-IF(S659="",0,S659)))</f>
        <v/>
      </c>
      <c r="U660" s="1" t="str">
        <f aca="false">IF($A659="","",IF(I659="","",I659-SUM(J659:P659)))</f>
        <v/>
      </c>
      <c r="V660" s="6" t="s">
        <v>5195</v>
      </c>
      <c r="W660" s="9" t="s">
        <v>774</v>
      </c>
      <c r="X660" s="9" t="s">
        <v>5196</v>
      </c>
      <c r="Y660" s="9" t="s">
        <v>4897</v>
      </c>
      <c r="Z660" s="9" t="s">
        <v>4898</v>
      </c>
      <c r="AA660" s="9" t="s">
        <v>4899</v>
      </c>
    </row>
    <row r="661" customFormat="false" ht="15" hidden="false" customHeight="true" outlineLevel="0" collapsed="false">
      <c r="A661" s="6" t="s">
        <v>2788</v>
      </c>
      <c r="B661" s="6" t="s">
        <v>531</v>
      </c>
      <c r="C661" s="6" t="s">
        <v>536</v>
      </c>
      <c r="D661" s="6" t="n">
        <v>6</v>
      </c>
      <c r="E661" s="9" t="s">
        <v>4988</v>
      </c>
      <c r="F661" s="6" t="n">
        <v>35193</v>
      </c>
      <c r="Q661" s="1" t="str">
        <f aca="false">IF($A660="","",IF(OR(F660="",I660=""),"",F660-I660))</f>
        <v/>
      </c>
      <c r="R661" s="1" t="str">
        <f aca="false">IF($A660="","",IF(Q660="","",Q660+IF(O660="",0,O660)))</f>
        <v/>
      </c>
      <c r="T661" s="1" t="str">
        <f aca="false">IF($A660="","",IF(R660="","",R660-IF(S660="",0,S660)))</f>
        <v/>
      </c>
      <c r="U661" s="1" t="str">
        <f aca="false">IF($A660="","",IF(I660="","",I660-SUM(J660:P660)))</f>
        <v/>
      </c>
      <c r="V661" s="6" t="s">
        <v>5195</v>
      </c>
      <c r="W661" s="9" t="s">
        <v>774</v>
      </c>
      <c r="X661" s="9" t="s">
        <v>5196</v>
      </c>
      <c r="Y661" s="9" t="s">
        <v>4897</v>
      </c>
      <c r="Z661" s="9" t="s">
        <v>4898</v>
      </c>
      <c r="AA661" s="9" t="s">
        <v>4899</v>
      </c>
    </row>
    <row r="662" customFormat="false" ht="15" hidden="false" customHeight="true" outlineLevel="0" collapsed="false">
      <c r="A662" s="6" t="s">
        <v>2791</v>
      </c>
      <c r="B662" s="6" t="s">
        <v>531</v>
      </c>
      <c r="C662" s="6" t="s">
        <v>536</v>
      </c>
      <c r="D662" s="6" t="n">
        <v>6</v>
      </c>
      <c r="E662" s="9" t="s">
        <v>4988</v>
      </c>
      <c r="F662" s="6" t="n">
        <v>148400</v>
      </c>
      <c r="Q662" s="1" t="str">
        <f aca="false">IF($A661="","",IF(OR(F661="",I661=""),"",F661-I661))</f>
        <v/>
      </c>
      <c r="R662" s="1" t="str">
        <f aca="false">IF($A661="","",IF(Q661="","",Q661+IF(O661="",0,O661)))</f>
        <v/>
      </c>
      <c r="T662" s="1" t="str">
        <f aca="false">IF($A661="","",IF(R661="","",R661-IF(S661="",0,S661)))</f>
        <v/>
      </c>
      <c r="U662" s="1" t="str">
        <f aca="false">IF($A661="","",IF(I661="","",I661-SUM(J661:P661)))</f>
        <v/>
      </c>
      <c r="V662" s="6" t="s">
        <v>5195</v>
      </c>
      <c r="W662" s="9" t="s">
        <v>774</v>
      </c>
      <c r="X662" s="9" t="s">
        <v>5196</v>
      </c>
      <c r="Y662" s="9" t="s">
        <v>4897</v>
      </c>
      <c r="Z662" s="9" t="s">
        <v>4898</v>
      </c>
      <c r="AA662" s="9" t="s">
        <v>4899</v>
      </c>
    </row>
    <row r="663" customFormat="false" ht="15" hidden="false" customHeight="true" outlineLevel="0" collapsed="false">
      <c r="A663" s="6" t="s">
        <v>2794</v>
      </c>
      <c r="B663" s="6" t="s">
        <v>531</v>
      </c>
      <c r="C663" s="6" t="s">
        <v>536</v>
      </c>
      <c r="D663" s="6" t="n">
        <v>6</v>
      </c>
      <c r="E663" s="9" t="s">
        <v>4988</v>
      </c>
      <c r="F663" s="6" t="n">
        <v>90894</v>
      </c>
      <c r="Q663" s="1" t="str">
        <f aca="false">IF($A662="","",IF(OR(F662="",I662=""),"",F662-I662))</f>
        <v/>
      </c>
      <c r="R663" s="1" t="str">
        <f aca="false">IF($A662="","",IF(Q662="","",Q662+IF(O662="",0,O662)))</f>
        <v/>
      </c>
      <c r="T663" s="1" t="str">
        <f aca="false">IF($A662="","",IF(R662="","",R662-IF(S662="",0,S662)))</f>
        <v/>
      </c>
      <c r="U663" s="1" t="str">
        <f aca="false">IF($A662="","",IF(I662="","",I662-SUM(J662:P662)))</f>
        <v/>
      </c>
      <c r="V663" s="6" t="s">
        <v>5195</v>
      </c>
      <c r="W663" s="9" t="s">
        <v>774</v>
      </c>
      <c r="X663" s="9" t="s">
        <v>5196</v>
      </c>
      <c r="Y663" s="9" t="s">
        <v>4897</v>
      </c>
      <c r="Z663" s="9" t="s">
        <v>4898</v>
      </c>
      <c r="AA663" s="9" t="s">
        <v>4899</v>
      </c>
    </row>
    <row r="664" customFormat="false" ht="15" hidden="false" customHeight="true" outlineLevel="0" collapsed="false">
      <c r="A664" s="6" t="s">
        <v>2797</v>
      </c>
      <c r="B664" s="6" t="s">
        <v>531</v>
      </c>
      <c r="C664" s="6" t="s">
        <v>536</v>
      </c>
      <c r="D664" s="6" t="n">
        <v>6</v>
      </c>
      <c r="E664" s="9" t="s">
        <v>4988</v>
      </c>
      <c r="F664" s="6" t="n">
        <v>51869</v>
      </c>
      <c r="Q664" s="1" t="str">
        <f aca="false">IF($A663="","",IF(OR(F663="",I663=""),"",F663-I663))</f>
        <v/>
      </c>
      <c r="R664" s="1" t="str">
        <f aca="false">IF($A663="","",IF(Q663="","",Q663+IF(O663="",0,O663)))</f>
        <v/>
      </c>
      <c r="T664" s="1" t="str">
        <f aca="false">IF($A663="","",IF(R663="","",R663-IF(S663="",0,S663)))</f>
        <v/>
      </c>
      <c r="U664" s="1" t="str">
        <f aca="false">IF($A663="","",IF(I663="","",I663-SUM(J663:P663)))</f>
        <v/>
      </c>
      <c r="V664" s="6" t="s">
        <v>5195</v>
      </c>
      <c r="W664" s="9" t="s">
        <v>774</v>
      </c>
      <c r="X664" s="9" t="s">
        <v>5196</v>
      </c>
      <c r="Y664" s="9" t="s">
        <v>4897</v>
      </c>
      <c r="Z664" s="9" t="s">
        <v>4898</v>
      </c>
      <c r="AA664" s="9" t="s">
        <v>4899</v>
      </c>
    </row>
    <row r="665" customFormat="false" ht="15" hidden="false" customHeight="true" outlineLevel="0" collapsed="false">
      <c r="A665" s="6" t="s">
        <v>2800</v>
      </c>
      <c r="B665" s="6" t="s">
        <v>531</v>
      </c>
      <c r="C665" s="6" t="s">
        <v>536</v>
      </c>
      <c r="D665" s="6" t="n">
        <v>6</v>
      </c>
      <c r="E665" s="9" t="s">
        <v>4988</v>
      </c>
      <c r="F665" s="6" t="n">
        <v>40488</v>
      </c>
      <c r="Q665" s="1" t="str">
        <f aca="false">IF($A664="","",IF(OR(F664="",I664=""),"",F664-I664))</f>
        <v/>
      </c>
      <c r="R665" s="1" t="str">
        <f aca="false">IF($A664="","",IF(Q664="","",Q664+IF(O664="",0,O664)))</f>
        <v/>
      </c>
      <c r="T665" s="1" t="str">
        <f aca="false">IF($A664="","",IF(R664="","",R664-IF(S664="",0,S664)))</f>
        <v/>
      </c>
      <c r="U665" s="1" t="str">
        <f aca="false">IF($A664="","",IF(I664="","",I664-SUM(J664:P664)))</f>
        <v/>
      </c>
      <c r="V665" s="6" t="s">
        <v>5195</v>
      </c>
      <c r="W665" s="9" t="s">
        <v>774</v>
      </c>
      <c r="X665" s="9" t="s">
        <v>5196</v>
      </c>
      <c r="Y665" s="9" t="s">
        <v>4897</v>
      </c>
      <c r="Z665" s="9" t="s">
        <v>4898</v>
      </c>
      <c r="AA665" s="9" t="s">
        <v>4899</v>
      </c>
    </row>
    <row r="666" customFormat="false" ht="15" hidden="false" customHeight="true" outlineLevel="0" collapsed="false">
      <c r="A666" s="6" t="s">
        <v>2803</v>
      </c>
      <c r="B666" s="6" t="s">
        <v>531</v>
      </c>
      <c r="C666" s="6" t="s">
        <v>536</v>
      </c>
      <c r="D666" s="6" t="n">
        <v>6</v>
      </c>
      <c r="E666" s="9" t="s">
        <v>4988</v>
      </c>
      <c r="F666" s="6" t="n">
        <v>34473</v>
      </c>
      <c r="Q666" s="1" t="str">
        <f aca="false">IF($A665="","",IF(OR(F665="",I665=""),"",F665-I665))</f>
        <v/>
      </c>
      <c r="R666" s="1" t="str">
        <f aca="false">IF($A665="","",IF(Q665="","",Q665+IF(O665="",0,O665)))</f>
        <v/>
      </c>
      <c r="T666" s="1" t="str">
        <f aca="false">IF($A665="","",IF(R665="","",R665-IF(S665="",0,S665)))</f>
        <v/>
      </c>
      <c r="U666" s="1" t="str">
        <f aca="false">IF($A665="","",IF(I665="","",I665-SUM(J665:P665)))</f>
        <v/>
      </c>
      <c r="V666" s="6" t="s">
        <v>5195</v>
      </c>
      <c r="W666" s="9" t="s">
        <v>774</v>
      </c>
      <c r="X666" s="9" t="s">
        <v>5196</v>
      </c>
      <c r="Y666" s="9" t="s">
        <v>4897</v>
      </c>
      <c r="Z666" s="9" t="s">
        <v>4898</v>
      </c>
      <c r="AA666" s="9" t="s">
        <v>4899</v>
      </c>
    </row>
    <row r="667" customFormat="false" ht="15" hidden="false" customHeight="true" outlineLevel="0" collapsed="false">
      <c r="A667" s="6" t="s">
        <v>2806</v>
      </c>
      <c r="B667" s="6" t="s">
        <v>531</v>
      </c>
      <c r="C667" s="6" t="s">
        <v>536</v>
      </c>
      <c r="D667" s="6" t="n">
        <v>6</v>
      </c>
      <c r="E667" s="9" t="s">
        <v>4988</v>
      </c>
      <c r="F667" s="6" t="n">
        <v>34760</v>
      </c>
      <c r="Q667" s="1" t="str">
        <f aca="false">IF($A666="","",IF(OR(F666="",I666=""),"",F666-I666))</f>
        <v/>
      </c>
      <c r="R667" s="1" t="str">
        <f aca="false">IF($A666="","",IF(Q666="","",Q666+IF(O666="",0,O666)))</f>
        <v/>
      </c>
      <c r="T667" s="1" t="str">
        <f aca="false">IF($A666="","",IF(R666="","",R666-IF(S666="",0,S666)))</f>
        <v/>
      </c>
      <c r="U667" s="1" t="str">
        <f aca="false">IF($A666="","",IF(I666="","",I666-SUM(J666:P666)))</f>
        <v/>
      </c>
      <c r="V667" s="6" t="s">
        <v>5195</v>
      </c>
      <c r="W667" s="9" t="s">
        <v>774</v>
      </c>
      <c r="X667" s="9" t="s">
        <v>5196</v>
      </c>
      <c r="Y667" s="9" t="s">
        <v>4897</v>
      </c>
      <c r="Z667" s="9" t="s">
        <v>4898</v>
      </c>
      <c r="AA667" s="9" t="s">
        <v>4899</v>
      </c>
    </row>
    <row r="668" customFormat="false" ht="15" hidden="false" customHeight="true" outlineLevel="0" collapsed="false">
      <c r="A668" s="6" t="s">
        <v>2809</v>
      </c>
      <c r="B668" s="6" t="s">
        <v>531</v>
      </c>
      <c r="C668" s="6" t="s">
        <v>536</v>
      </c>
      <c r="D668" s="6" t="n">
        <v>6</v>
      </c>
      <c r="E668" s="9" t="s">
        <v>4988</v>
      </c>
      <c r="F668" s="6" t="n">
        <v>30038</v>
      </c>
      <c r="Q668" s="1" t="str">
        <f aca="false">IF($A667="","",IF(OR(F667="",I667=""),"",F667-I667))</f>
        <v/>
      </c>
      <c r="R668" s="1" t="str">
        <f aca="false">IF($A667="","",IF(Q667="","",Q667+IF(O667="",0,O667)))</f>
        <v/>
      </c>
      <c r="T668" s="1" t="str">
        <f aca="false">IF($A667="","",IF(R667="","",R667-IF(S667="",0,S667)))</f>
        <v/>
      </c>
      <c r="U668" s="1" t="str">
        <f aca="false">IF($A667="","",IF(I667="","",I667-SUM(J667:P667)))</f>
        <v/>
      </c>
      <c r="V668" s="6" t="s">
        <v>5195</v>
      </c>
      <c r="W668" s="9" t="s">
        <v>774</v>
      </c>
      <c r="X668" s="9" t="s">
        <v>5196</v>
      </c>
      <c r="Y668" s="9" t="s">
        <v>4897</v>
      </c>
      <c r="Z668" s="9" t="s">
        <v>4898</v>
      </c>
      <c r="AA668" s="9" t="s">
        <v>4899</v>
      </c>
    </row>
    <row r="669" customFormat="false" ht="15" hidden="false" customHeight="true" outlineLevel="0" collapsed="false">
      <c r="A669" s="6" t="s">
        <v>2812</v>
      </c>
      <c r="B669" s="6" t="s">
        <v>531</v>
      </c>
      <c r="C669" s="6" t="s">
        <v>536</v>
      </c>
      <c r="D669" s="6" t="n">
        <v>6</v>
      </c>
      <c r="E669" s="9" t="s">
        <v>4988</v>
      </c>
      <c r="F669" s="6" t="n">
        <v>57026</v>
      </c>
      <c r="Q669" s="1" t="str">
        <f aca="false">IF($A668="","",IF(OR(F668="",I668=""),"",F668-I668))</f>
        <v/>
      </c>
      <c r="R669" s="1" t="str">
        <f aca="false">IF($A668="","",IF(Q668="","",Q668+IF(O668="",0,O668)))</f>
        <v/>
      </c>
      <c r="T669" s="1" t="str">
        <f aca="false">IF($A668="","",IF(R668="","",R668-IF(S668="",0,S668)))</f>
        <v/>
      </c>
      <c r="U669" s="1" t="str">
        <f aca="false">IF($A668="","",IF(I668="","",I668-SUM(J668:P668)))</f>
        <v/>
      </c>
      <c r="V669" s="6" t="s">
        <v>5195</v>
      </c>
      <c r="W669" s="9" t="s">
        <v>774</v>
      </c>
      <c r="X669" s="9" t="s">
        <v>5196</v>
      </c>
      <c r="Y669" s="9" t="s">
        <v>4897</v>
      </c>
      <c r="Z669" s="9" t="s">
        <v>4898</v>
      </c>
      <c r="AA669" s="9" t="s">
        <v>4899</v>
      </c>
    </row>
    <row r="670" customFormat="false" ht="15" hidden="false" customHeight="true" outlineLevel="0" collapsed="false">
      <c r="A670" s="6" t="s">
        <v>2815</v>
      </c>
      <c r="B670" s="6" t="s">
        <v>531</v>
      </c>
      <c r="C670" s="6" t="s">
        <v>536</v>
      </c>
      <c r="D670" s="6" t="n">
        <v>6</v>
      </c>
      <c r="E670" s="9" t="s">
        <v>4988</v>
      </c>
      <c r="F670" s="6" t="n">
        <v>65060</v>
      </c>
      <c r="Q670" s="1" t="str">
        <f aca="false">IF($A669="","",IF(OR(F669="",I669=""),"",F669-I669))</f>
        <v/>
      </c>
      <c r="R670" s="1" t="str">
        <f aca="false">IF($A669="","",IF(Q669="","",Q669+IF(O669="",0,O669)))</f>
        <v/>
      </c>
      <c r="T670" s="1" t="str">
        <f aca="false">IF($A669="","",IF(R669="","",R669-IF(S669="",0,S669)))</f>
        <v/>
      </c>
      <c r="U670" s="1" t="str">
        <f aca="false">IF($A669="","",IF(I669="","",I669-SUM(J669:P669)))</f>
        <v/>
      </c>
      <c r="V670" s="6" t="s">
        <v>5195</v>
      </c>
      <c r="W670" s="9" t="s">
        <v>774</v>
      </c>
      <c r="X670" s="9" t="s">
        <v>5196</v>
      </c>
      <c r="Y670" s="9" t="s">
        <v>4897</v>
      </c>
      <c r="Z670" s="9" t="s">
        <v>4898</v>
      </c>
      <c r="AA670" s="9" t="s">
        <v>4899</v>
      </c>
    </row>
    <row r="671" customFormat="false" ht="15" hidden="false" customHeight="true" outlineLevel="0" collapsed="false">
      <c r="A671" s="6" t="s">
        <v>2818</v>
      </c>
      <c r="B671" s="6" t="s">
        <v>531</v>
      </c>
      <c r="C671" s="6" t="s">
        <v>536</v>
      </c>
      <c r="D671" s="6" t="n">
        <v>6</v>
      </c>
      <c r="E671" s="9" t="s">
        <v>4988</v>
      </c>
      <c r="F671" s="6" t="n">
        <v>33938</v>
      </c>
      <c r="Q671" s="1" t="str">
        <f aca="false">IF($A670="","",IF(OR(F670="",I670=""),"",F670-I670))</f>
        <v/>
      </c>
      <c r="R671" s="1" t="str">
        <f aca="false">IF($A670="","",IF(Q670="","",Q670+IF(O670="",0,O670)))</f>
        <v/>
      </c>
      <c r="T671" s="1" t="str">
        <f aca="false">IF($A670="","",IF(R670="","",R670-IF(S670="",0,S670)))</f>
        <v/>
      </c>
      <c r="U671" s="1" t="str">
        <f aca="false">IF($A670="","",IF(I670="","",I670-SUM(J670:P670)))</f>
        <v/>
      </c>
      <c r="V671" s="6" t="s">
        <v>5195</v>
      </c>
      <c r="W671" s="9" t="s">
        <v>774</v>
      </c>
      <c r="X671" s="9" t="s">
        <v>5196</v>
      </c>
      <c r="Y671" s="9" t="s">
        <v>4897</v>
      </c>
      <c r="Z671" s="9" t="s">
        <v>4898</v>
      </c>
      <c r="AA671" s="9" t="s">
        <v>4899</v>
      </c>
    </row>
    <row r="672" customFormat="false" ht="15" hidden="false" customHeight="true" outlineLevel="0" collapsed="false">
      <c r="A672" s="6" t="s">
        <v>2821</v>
      </c>
      <c r="B672" s="6" t="s">
        <v>531</v>
      </c>
      <c r="C672" s="6" t="s">
        <v>536</v>
      </c>
      <c r="D672" s="6" t="n">
        <v>6</v>
      </c>
      <c r="E672" s="9" t="s">
        <v>4988</v>
      </c>
      <c r="F672" s="6" t="n">
        <v>226634</v>
      </c>
      <c r="Q672" s="1" t="str">
        <f aca="false">IF($A671="","",IF(OR(F671="",I671=""),"",F671-I671))</f>
        <v/>
      </c>
      <c r="R672" s="1" t="str">
        <f aca="false">IF($A671="","",IF(Q671="","",Q671+IF(O671="",0,O671)))</f>
        <v/>
      </c>
      <c r="T672" s="1" t="str">
        <f aca="false">IF($A671="","",IF(R671="","",R671-IF(S671="",0,S671)))</f>
        <v/>
      </c>
      <c r="U672" s="1" t="str">
        <f aca="false">IF($A671="","",IF(I671="","",I671-SUM(J671:P671)))</f>
        <v/>
      </c>
      <c r="V672" s="6" t="s">
        <v>5195</v>
      </c>
      <c r="W672" s="9" t="s">
        <v>774</v>
      </c>
      <c r="X672" s="9" t="s">
        <v>5196</v>
      </c>
      <c r="Y672" s="9" t="s">
        <v>4897</v>
      </c>
      <c r="Z672" s="9" t="s">
        <v>4898</v>
      </c>
      <c r="AA672" s="9" t="s">
        <v>4899</v>
      </c>
    </row>
    <row r="673" customFormat="false" ht="15" hidden="false" customHeight="true" outlineLevel="0" collapsed="false">
      <c r="A673" s="6" t="s">
        <v>2824</v>
      </c>
      <c r="B673" s="6" t="s">
        <v>531</v>
      </c>
      <c r="C673" s="6" t="s">
        <v>536</v>
      </c>
      <c r="D673" s="6" t="n">
        <v>6</v>
      </c>
      <c r="E673" s="9" t="s">
        <v>4988</v>
      </c>
      <c r="F673" s="6" t="n">
        <v>25459</v>
      </c>
      <c r="Q673" s="1" t="str">
        <f aca="false">IF($A672="","",IF(OR(F672="",I672=""),"",F672-I672))</f>
        <v/>
      </c>
      <c r="R673" s="1" t="str">
        <f aca="false">IF($A672="","",IF(Q672="","",Q672+IF(O672="",0,O672)))</f>
        <v/>
      </c>
      <c r="T673" s="1" t="str">
        <f aca="false">IF($A672="","",IF(R672="","",R672-IF(S672="",0,S672)))</f>
        <v/>
      </c>
      <c r="U673" s="1" t="str">
        <f aca="false">IF($A672="","",IF(I672="","",I672-SUM(J672:P672)))</f>
        <v/>
      </c>
      <c r="V673" s="6" t="s">
        <v>5195</v>
      </c>
      <c r="W673" s="9" t="s">
        <v>774</v>
      </c>
      <c r="X673" s="9" t="s">
        <v>5196</v>
      </c>
      <c r="Y673" s="9" t="s">
        <v>4897</v>
      </c>
      <c r="Z673" s="9" t="s">
        <v>4898</v>
      </c>
      <c r="AA673" s="9" t="s">
        <v>4899</v>
      </c>
    </row>
    <row r="674" customFormat="false" ht="15" hidden="false" customHeight="true" outlineLevel="0" collapsed="false">
      <c r="A674" s="6" t="s">
        <v>2827</v>
      </c>
      <c r="B674" s="6" t="s">
        <v>531</v>
      </c>
      <c r="C674" s="6" t="s">
        <v>536</v>
      </c>
      <c r="D674" s="6" t="n">
        <v>6</v>
      </c>
      <c r="E674" s="9" t="s">
        <v>4988</v>
      </c>
      <c r="F674" s="6" t="n">
        <v>87405</v>
      </c>
      <c r="Q674" s="1" t="str">
        <f aca="false">IF($A673="","",IF(OR(F673="",I673=""),"",F673-I673))</f>
        <v/>
      </c>
      <c r="R674" s="1" t="str">
        <f aca="false">IF($A673="","",IF(Q673="","",Q673+IF(O673="",0,O673)))</f>
        <v/>
      </c>
      <c r="T674" s="1" t="str">
        <f aca="false">IF($A673="","",IF(R673="","",R673-IF(S673="",0,S673)))</f>
        <v/>
      </c>
      <c r="U674" s="1" t="str">
        <f aca="false">IF($A673="","",IF(I673="","",I673-SUM(J673:P673)))</f>
        <v/>
      </c>
      <c r="V674" s="6" t="s">
        <v>5195</v>
      </c>
      <c r="W674" s="9" t="s">
        <v>774</v>
      </c>
      <c r="X674" s="9" t="s">
        <v>5196</v>
      </c>
      <c r="Y674" s="9" t="s">
        <v>4897</v>
      </c>
      <c r="Z674" s="9" t="s">
        <v>4898</v>
      </c>
      <c r="AA674" s="9" t="s">
        <v>4899</v>
      </c>
    </row>
    <row r="675" customFormat="false" ht="15" hidden="false" customHeight="true" outlineLevel="0" collapsed="false">
      <c r="A675" s="6" t="s">
        <v>2830</v>
      </c>
      <c r="B675" s="6" t="s">
        <v>531</v>
      </c>
      <c r="C675" s="6" t="s">
        <v>536</v>
      </c>
      <c r="D675" s="6" t="n">
        <v>6</v>
      </c>
      <c r="E675" s="9" t="s">
        <v>4988</v>
      </c>
      <c r="F675" s="6" t="n">
        <v>20547</v>
      </c>
      <c r="Q675" s="1" t="str">
        <f aca="false">IF($A674="","",IF(OR(F674="",I674=""),"",F674-I674))</f>
        <v/>
      </c>
      <c r="R675" s="1" t="str">
        <f aca="false">IF($A674="","",IF(Q674="","",Q674+IF(O674="",0,O674)))</f>
        <v/>
      </c>
      <c r="T675" s="1" t="str">
        <f aca="false">IF($A674="","",IF(R674="","",R674-IF(S674="",0,S674)))</f>
        <v/>
      </c>
      <c r="U675" s="1" t="str">
        <f aca="false">IF($A674="","",IF(I674="","",I674-SUM(J674:P674)))</f>
        <v/>
      </c>
      <c r="V675" s="6" t="s">
        <v>5195</v>
      </c>
      <c r="W675" s="9" t="s">
        <v>774</v>
      </c>
      <c r="X675" s="9" t="s">
        <v>5196</v>
      </c>
      <c r="Y675" s="9" t="s">
        <v>4897</v>
      </c>
      <c r="Z675" s="9" t="s">
        <v>4898</v>
      </c>
      <c r="AA675" s="9" t="s">
        <v>4899</v>
      </c>
    </row>
    <row r="676" customFormat="false" ht="15" hidden="false" customHeight="true" outlineLevel="0" collapsed="false">
      <c r="A676" s="6" t="s">
        <v>2833</v>
      </c>
      <c r="B676" s="6" t="s">
        <v>531</v>
      </c>
      <c r="C676" s="6" t="s">
        <v>536</v>
      </c>
      <c r="D676" s="6" t="n">
        <v>6</v>
      </c>
      <c r="E676" s="9" t="s">
        <v>4988</v>
      </c>
      <c r="F676" s="6" t="n">
        <v>76771</v>
      </c>
      <c r="Q676" s="1" t="str">
        <f aca="false">IF($A675="","",IF(OR(F675="",I675=""),"",F675-I675))</f>
        <v/>
      </c>
      <c r="R676" s="1" t="str">
        <f aca="false">IF($A675="","",IF(Q675="","",Q675+IF(O675="",0,O675)))</f>
        <v/>
      </c>
      <c r="T676" s="1" t="str">
        <f aca="false">IF($A675="","",IF(R675="","",R675-IF(S675="",0,S675)))</f>
        <v/>
      </c>
      <c r="U676" s="1" t="str">
        <f aca="false">IF($A675="","",IF(I675="","",I675-SUM(J675:P675)))</f>
        <v/>
      </c>
      <c r="V676" s="6" t="s">
        <v>5195</v>
      </c>
      <c r="W676" s="9" t="s">
        <v>774</v>
      </c>
      <c r="X676" s="9" t="s">
        <v>5196</v>
      </c>
      <c r="Y676" s="9" t="s">
        <v>4897</v>
      </c>
      <c r="Z676" s="9" t="s">
        <v>4898</v>
      </c>
      <c r="AA676" s="9" t="s">
        <v>4899</v>
      </c>
    </row>
    <row r="677" customFormat="false" ht="15" hidden="false" customHeight="true" outlineLevel="0" collapsed="false">
      <c r="A677" s="6" t="s">
        <v>2836</v>
      </c>
      <c r="B677" s="6" t="s">
        <v>531</v>
      </c>
      <c r="C677" s="6" t="s">
        <v>536</v>
      </c>
      <c r="D677" s="6" t="n">
        <v>6</v>
      </c>
      <c r="E677" s="9" t="s">
        <v>4988</v>
      </c>
      <c r="F677" s="6" t="n">
        <v>32476</v>
      </c>
      <c r="Q677" s="1" t="str">
        <f aca="false">IF($A676="","",IF(OR(F676="",I676=""),"",F676-I676))</f>
        <v/>
      </c>
      <c r="R677" s="1" t="str">
        <f aca="false">IF($A676="","",IF(Q676="","",Q676+IF(O676="",0,O676)))</f>
        <v/>
      </c>
      <c r="T677" s="1" t="str">
        <f aca="false">IF($A676="","",IF(R676="","",R676-IF(S676="",0,S676)))</f>
        <v/>
      </c>
      <c r="U677" s="1" t="str">
        <f aca="false">IF($A676="","",IF(I676="","",I676-SUM(J676:P676)))</f>
        <v/>
      </c>
      <c r="V677" s="6" t="s">
        <v>5195</v>
      </c>
      <c r="W677" s="9" t="s">
        <v>774</v>
      </c>
      <c r="X677" s="9" t="s">
        <v>5196</v>
      </c>
      <c r="Y677" s="9" t="s">
        <v>4897</v>
      </c>
      <c r="Z677" s="9" t="s">
        <v>4898</v>
      </c>
      <c r="AA677" s="9" t="s">
        <v>4899</v>
      </c>
    </row>
    <row r="678" customFormat="false" ht="15" hidden="false" customHeight="true" outlineLevel="0" collapsed="false">
      <c r="A678" s="6" t="s">
        <v>2839</v>
      </c>
      <c r="B678" s="6" t="s">
        <v>531</v>
      </c>
      <c r="C678" s="6" t="s">
        <v>536</v>
      </c>
      <c r="D678" s="6" t="n">
        <v>6</v>
      </c>
      <c r="E678" s="9" t="s">
        <v>4988</v>
      </c>
      <c r="F678" s="6" t="n">
        <v>37346</v>
      </c>
      <c r="Q678" s="1" t="str">
        <f aca="false">IF($A677="","",IF(OR(F677="",I677=""),"",F677-I677))</f>
        <v/>
      </c>
      <c r="R678" s="1" t="str">
        <f aca="false">IF($A677="","",IF(Q677="","",Q677+IF(O677="",0,O677)))</f>
        <v/>
      </c>
      <c r="T678" s="1" t="str">
        <f aca="false">IF($A677="","",IF(R677="","",R677-IF(S677="",0,S677)))</f>
        <v/>
      </c>
      <c r="U678" s="1" t="str">
        <f aca="false">IF($A677="","",IF(I677="","",I677-SUM(J677:P677)))</f>
        <v/>
      </c>
      <c r="V678" s="6" t="s">
        <v>5195</v>
      </c>
      <c r="W678" s="9" t="s">
        <v>774</v>
      </c>
      <c r="X678" s="9" t="s">
        <v>5196</v>
      </c>
      <c r="Y678" s="9" t="s">
        <v>4897</v>
      </c>
      <c r="Z678" s="9" t="s">
        <v>4898</v>
      </c>
      <c r="AA678" s="9" t="s">
        <v>4899</v>
      </c>
    </row>
    <row r="679" customFormat="false" ht="15" hidden="false" customHeight="true" outlineLevel="0" collapsed="false">
      <c r="A679" s="6" t="s">
        <v>2842</v>
      </c>
      <c r="B679" s="6" t="s">
        <v>531</v>
      </c>
      <c r="C679" s="6" t="s">
        <v>536</v>
      </c>
      <c r="D679" s="6" t="n">
        <v>6</v>
      </c>
      <c r="E679" s="9" t="s">
        <v>4988</v>
      </c>
      <c r="F679" s="6" t="n">
        <v>21732</v>
      </c>
      <c r="Q679" s="1" t="str">
        <f aca="false">IF($A678="","",IF(OR(F678="",I678=""),"",F678-I678))</f>
        <v/>
      </c>
      <c r="R679" s="1" t="str">
        <f aca="false">IF($A678="","",IF(Q678="","",Q678+IF(O678="",0,O678)))</f>
        <v/>
      </c>
      <c r="T679" s="1" t="str">
        <f aca="false">IF($A678="","",IF(R678="","",R678-IF(S678="",0,S678)))</f>
        <v/>
      </c>
      <c r="U679" s="1" t="str">
        <f aca="false">IF($A678="","",IF(I678="","",I678-SUM(J678:P678)))</f>
        <v/>
      </c>
      <c r="V679" s="6" t="s">
        <v>5195</v>
      </c>
      <c r="W679" s="9" t="s">
        <v>774</v>
      </c>
      <c r="X679" s="9" t="s">
        <v>5196</v>
      </c>
      <c r="Y679" s="9" t="s">
        <v>4897</v>
      </c>
      <c r="Z679" s="9" t="s">
        <v>4898</v>
      </c>
      <c r="AA679" s="9" t="s">
        <v>4899</v>
      </c>
    </row>
    <row r="680" customFormat="false" ht="15" hidden="false" customHeight="true" outlineLevel="0" collapsed="false">
      <c r="A680" s="6" t="s">
        <v>2845</v>
      </c>
      <c r="B680" s="6" t="s">
        <v>531</v>
      </c>
      <c r="C680" s="6" t="s">
        <v>536</v>
      </c>
      <c r="D680" s="6" t="n">
        <v>6</v>
      </c>
      <c r="E680" s="9" t="s">
        <v>4988</v>
      </c>
      <c r="F680" s="6" t="n">
        <v>33947</v>
      </c>
      <c r="Q680" s="1" t="str">
        <f aca="false">IF($A679="","",IF(OR(F679="",I679=""),"",F679-I679))</f>
        <v/>
      </c>
      <c r="R680" s="1" t="str">
        <f aca="false">IF($A679="","",IF(Q679="","",Q679+IF(O679="",0,O679)))</f>
        <v/>
      </c>
      <c r="T680" s="1" t="str">
        <f aca="false">IF($A679="","",IF(R679="","",R679-IF(S679="",0,S679)))</f>
        <v/>
      </c>
      <c r="U680" s="1" t="str">
        <f aca="false">IF($A679="","",IF(I679="","",I679-SUM(J679:P679)))</f>
        <v/>
      </c>
      <c r="V680" s="6" t="s">
        <v>5195</v>
      </c>
      <c r="W680" s="9" t="s">
        <v>774</v>
      </c>
      <c r="X680" s="9" t="s">
        <v>5196</v>
      </c>
      <c r="Y680" s="9" t="s">
        <v>4897</v>
      </c>
      <c r="Z680" s="9" t="s">
        <v>4898</v>
      </c>
      <c r="AA680" s="9" t="s">
        <v>4899</v>
      </c>
    </row>
    <row r="681" customFormat="false" ht="15" hidden="false" customHeight="true" outlineLevel="0" collapsed="false">
      <c r="A681" s="6" t="s">
        <v>2848</v>
      </c>
      <c r="B681" s="6" t="s">
        <v>531</v>
      </c>
      <c r="C681" s="6" t="s">
        <v>536</v>
      </c>
      <c r="D681" s="6" t="n">
        <v>6</v>
      </c>
      <c r="E681" s="9" t="s">
        <v>4988</v>
      </c>
      <c r="F681" s="6" t="n">
        <v>33079</v>
      </c>
      <c r="Q681" s="1" t="str">
        <f aca="false">IF($A680="","",IF(OR(F680="",I680=""),"",F680-I680))</f>
        <v/>
      </c>
      <c r="R681" s="1" t="str">
        <f aca="false">IF($A680="","",IF(Q680="","",Q680+IF(O680="",0,O680)))</f>
        <v/>
      </c>
      <c r="T681" s="1" t="str">
        <f aca="false">IF($A680="","",IF(R680="","",R680-IF(S680="",0,S680)))</f>
        <v/>
      </c>
      <c r="U681" s="1" t="str">
        <f aca="false">IF($A680="","",IF(I680="","",I680-SUM(J680:P680)))</f>
        <v/>
      </c>
      <c r="V681" s="6" t="s">
        <v>5195</v>
      </c>
      <c r="W681" s="9" t="s">
        <v>774</v>
      </c>
      <c r="X681" s="9" t="s">
        <v>5196</v>
      </c>
      <c r="Y681" s="9" t="s">
        <v>4897</v>
      </c>
      <c r="Z681" s="9" t="s">
        <v>4898</v>
      </c>
      <c r="AA681" s="9" t="s">
        <v>4899</v>
      </c>
    </row>
    <row r="682" customFormat="false" ht="15" hidden="false" customHeight="true" outlineLevel="0" collapsed="false">
      <c r="A682" s="6" t="s">
        <v>2852</v>
      </c>
      <c r="B682" s="6" t="s">
        <v>531</v>
      </c>
      <c r="C682" s="6" t="s">
        <v>536</v>
      </c>
      <c r="D682" s="6" t="n">
        <v>6</v>
      </c>
      <c r="E682" s="9" t="s">
        <v>4988</v>
      </c>
      <c r="F682" s="6" t="n">
        <v>41426</v>
      </c>
      <c r="Q682" s="1" t="str">
        <f aca="false">IF($A681="","",IF(OR(F681="",I681=""),"",F681-I681))</f>
        <v/>
      </c>
      <c r="R682" s="1" t="str">
        <f aca="false">IF($A681="","",IF(Q681="","",Q681+IF(O681="",0,O681)))</f>
        <v/>
      </c>
      <c r="T682" s="1" t="str">
        <f aca="false">IF($A681="","",IF(R681="","",R681-IF(S681="",0,S681)))</f>
        <v/>
      </c>
      <c r="U682" s="1" t="str">
        <f aca="false">IF($A681="","",IF(I681="","",I681-SUM(J681:P681)))</f>
        <v/>
      </c>
      <c r="V682" s="6" t="s">
        <v>5195</v>
      </c>
      <c r="W682" s="9" t="s">
        <v>774</v>
      </c>
      <c r="X682" s="9" t="s">
        <v>5196</v>
      </c>
      <c r="Y682" s="9" t="s">
        <v>4897</v>
      </c>
      <c r="Z682" s="9" t="s">
        <v>4898</v>
      </c>
      <c r="AA682" s="9" t="s">
        <v>4899</v>
      </c>
    </row>
    <row r="683" customFormat="false" ht="15" hidden="false" customHeight="true" outlineLevel="0" collapsed="false">
      <c r="A683" s="6" t="s">
        <v>2855</v>
      </c>
      <c r="B683" s="6" t="s">
        <v>531</v>
      </c>
      <c r="C683" s="6" t="s">
        <v>536</v>
      </c>
      <c r="D683" s="6" t="n">
        <v>6</v>
      </c>
      <c r="E683" s="9" t="s">
        <v>4988</v>
      </c>
      <c r="F683" s="6" t="n">
        <v>22979</v>
      </c>
      <c r="Q683" s="1" t="str">
        <f aca="false">IF($A682="","",IF(OR(F682="",I682=""),"",F682-I682))</f>
        <v/>
      </c>
      <c r="R683" s="1" t="str">
        <f aca="false">IF($A682="","",IF(Q682="","",Q682+IF(O682="",0,O682)))</f>
        <v/>
      </c>
      <c r="T683" s="1" t="str">
        <f aca="false">IF($A682="","",IF(R682="","",R682-IF(S682="",0,S682)))</f>
        <v/>
      </c>
      <c r="U683" s="1" t="str">
        <f aca="false">IF($A682="","",IF(I682="","",I682-SUM(J682:P682)))</f>
        <v/>
      </c>
      <c r="V683" s="6" t="s">
        <v>5195</v>
      </c>
      <c r="W683" s="9" t="s">
        <v>774</v>
      </c>
      <c r="X683" s="9" t="s">
        <v>5196</v>
      </c>
      <c r="Y683" s="9" t="s">
        <v>4897</v>
      </c>
      <c r="Z683" s="9" t="s">
        <v>4898</v>
      </c>
      <c r="AA683" s="9" t="s">
        <v>4899</v>
      </c>
    </row>
    <row r="684" customFormat="false" ht="15" hidden="false" customHeight="true" outlineLevel="0" collapsed="false">
      <c r="A684" s="6" t="s">
        <v>2858</v>
      </c>
      <c r="B684" s="6" t="s">
        <v>531</v>
      </c>
      <c r="C684" s="6" t="s">
        <v>536</v>
      </c>
      <c r="D684" s="6" t="n">
        <v>6</v>
      </c>
      <c r="E684" s="9" t="s">
        <v>5200</v>
      </c>
      <c r="Q684" s="1" t="str">
        <f aca="false">IF($A683="","",IF(OR(F683="",I683=""),"",F683-I683))</f>
        <v/>
      </c>
      <c r="R684" s="1" t="str">
        <f aca="false">IF($A683="","",IF(Q683="","",Q683+IF(O683="",0,O683)))</f>
        <v/>
      </c>
      <c r="T684" s="1" t="str">
        <f aca="false">IF($A683="","",IF(R683="","",R683-IF(S683="",0,S683)))</f>
        <v/>
      </c>
      <c r="U684" s="1" t="str">
        <f aca="false">IF($A683="","",IF(I683="","",I683-SUM(J683:P683)))</f>
        <v/>
      </c>
      <c r="V684" s="6" t="s">
        <v>5201</v>
      </c>
      <c r="W684" s="9" t="s">
        <v>774</v>
      </c>
      <c r="X684" s="6" t="s">
        <v>5202</v>
      </c>
      <c r="Y684" s="6" t="s">
        <v>4920</v>
      </c>
      <c r="Z684" s="9" t="s">
        <v>4981</v>
      </c>
      <c r="AA684" s="9" t="s">
        <v>4899</v>
      </c>
    </row>
    <row r="685" customFormat="false" ht="15" hidden="false" customHeight="true" outlineLevel="0" collapsed="false">
      <c r="A685" s="6" t="s">
        <v>2861</v>
      </c>
      <c r="B685" s="6" t="s">
        <v>531</v>
      </c>
      <c r="C685" s="6" t="s">
        <v>536</v>
      </c>
      <c r="D685" s="6" t="n">
        <v>6</v>
      </c>
      <c r="E685" s="9" t="s">
        <v>5200</v>
      </c>
      <c r="F685" s="1" t="n">
        <v>40533</v>
      </c>
      <c r="Q685" s="1" t="str">
        <f aca="false">IF($A684="","",IF(OR(F684="",I684=""),"",F684-I684))</f>
        <v/>
      </c>
      <c r="R685" s="1" t="str">
        <f aca="false">IF($A684="","",IF(Q684="","",Q684+IF(O684="",0,O684)))</f>
        <v/>
      </c>
      <c r="T685" s="1" t="str">
        <f aca="false">IF($A684="","",IF(R684="","",R684-IF(S684="",0,S684)))</f>
        <v/>
      </c>
      <c r="U685" s="1" t="str">
        <f aca="false">IF($A684="","",IF(I684="","",I684-SUM(J684:P684)))</f>
        <v/>
      </c>
      <c r="V685" s="6" t="s">
        <v>5201</v>
      </c>
      <c r="W685" s="9" t="s">
        <v>774</v>
      </c>
      <c r="X685" s="6" t="s">
        <v>5203</v>
      </c>
      <c r="Y685" s="6" t="s">
        <v>4920</v>
      </c>
      <c r="Z685" s="9" t="s">
        <v>4981</v>
      </c>
      <c r="AA685" s="9" t="s">
        <v>4899</v>
      </c>
    </row>
    <row r="686" customFormat="false" ht="15" hidden="false" customHeight="true" outlineLevel="0" collapsed="false">
      <c r="A686" s="6" t="s">
        <v>2864</v>
      </c>
      <c r="B686" s="6" t="s">
        <v>531</v>
      </c>
      <c r="C686" s="6" t="s">
        <v>536</v>
      </c>
      <c r="D686" s="6" t="n">
        <v>6</v>
      </c>
      <c r="E686" s="9" t="s">
        <v>4988</v>
      </c>
      <c r="F686" s="6" t="n">
        <v>40533</v>
      </c>
      <c r="Q686" s="1" t="str">
        <f aca="false">IF($A685="","",IF(OR(F685="",I685=""),"",F685-I685))</f>
        <v/>
      </c>
      <c r="R686" s="1" t="str">
        <f aca="false">IF($A685="","",IF(Q685="","",Q685+IF(O685="",0,O685)))</f>
        <v/>
      </c>
      <c r="T686" s="1" t="str">
        <f aca="false">IF($A685="","",IF(R685="","",R685-IF(S685="",0,S685)))</f>
        <v/>
      </c>
      <c r="U686" s="1" t="str">
        <f aca="false">IF($A685="","",IF(I685="","",I685-SUM(J685:P685)))</f>
        <v/>
      </c>
      <c r="V686" s="6" t="s">
        <v>5195</v>
      </c>
      <c r="W686" s="9" t="s">
        <v>774</v>
      </c>
      <c r="X686" s="9" t="s">
        <v>5196</v>
      </c>
      <c r="Y686" s="9" t="s">
        <v>4897</v>
      </c>
      <c r="Z686" s="9" t="s">
        <v>4898</v>
      </c>
      <c r="AA686" s="9" t="s">
        <v>4899</v>
      </c>
    </row>
    <row r="687" customFormat="false" ht="15" hidden="false" customHeight="true" outlineLevel="0" collapsed="false">
      <c r="A687" s="6" t="s">
        <v>2867</v>
      </c>
      <c r="B687" s="6" t="s">
        <v>531</v>
      </c>
      <c r="C687" s="6" t="s">
        <v>536</v>
      </c>
      <c r="D687" s="6" t="n">
        <v>6</v>
      </c>
      <c r="E687" s="9" t="s">
        <v>4988</v>
      </c>
      <c r="F687" s="6" t="n">
        <v>31693</v>
      </c>
      <c r="Q687" s="1" t="str">
        <f aca="false">IF($A686="","",IF(OR(F686="",I686=""),"",F686-I686))</f>
        <v/>
      </c>
      <c r="R687" s="1" t="str">
        <f aca="false">IF($A686="","",IF(Q686="","",Q686+IF(O686="",0,O686)))</f>
        <v/>
      </c>
      <c r="T687" s="1" t="str">
        <f aca="false">IF($A686="","",IF(R686="","",R686-IF(S686="",0,S686)))</f>
        <v/>
      </c>
      <c r="U687" s="1" t="str">
        <f aca="false">IF($A686="","",IF(I686="","",I686-SUM(J686:P686)))</f>
        <v/>
      </c>
      <c r="V687" s="6" t="s">
        <v>5195</v>
      </c>
      <c r="W687" s="9" t="s">
        <v>774</v>
      </c>
      <c r="X687" s="9" t="s">
        <v>5196</v>
      </c>
      <c r="Y687" s="9" t="s">
        <v>4897</v>
      </c>
      <c r="Z687" s="9" t="s">
        <v>4898</v>
      </c>
      <c r="AA687" s="9" t="s">
        <v>4899</v>
      </c>
    </row>
    <row r="688" customFormat="false" ht="15" hidden="false" customHeight="true" outlineLevel="0" collapsed="false">
      <c r="A688" s="6" t="s">
        <v>2870</v>
      </c>
      <c r="B688" s="6" t="s">
        <v>531</v>
      </c>
      <c r="C688" s="6" t="s">
        <v>536</v>
      </c>
      <c r="D688" s="6" t="n">
        <v>6</v>
      </c>
      <c r="E688" s="9" t="s">
        <v>4988</v>
      </c>
      <c r="F688" s="6" t="n">
        <v>29737</v>
      </c>
      <c r="Q688" s="1" t="str">
        <f aca="false">IF($A687="","",IF(OR(F687="",I687=""),"",F687-I687))</f>
        <v/>
      </c>
      <c r="R688" s="1" t="str">
        <f aca="false">IF($A687="","",IF(Q687="","",Q687+IF(O687="",0,O687)))</f>
        <v/>
      </c>
      <c r="T688" s="1" t="str">
        <f aca="false">IF($A687="","",IF(R687="","",R687-IF(S687="",0,S687)))</f>
        <v/>
      </c>
      <c r="U688" s="1" t="str">
        <f aca="false">IF($A687="","",IF(I687="","",I687-SUM(J687:P687)))</f>
        <v/>
      </c>
      <c r="V688" s="6" t="s">
        <v>5195</v>
      </c>
      <c r="W688" s="9" t="s">
        <v>774</v>
      </c>
      <c r="X688" s="9" t="s">
        <v>5196</v>
      </c>
      <c r="Y688" s="9" t="s">
        <v>4897</v>
      </c>
      <c r="Z688" s="9" t="s">
        <v>4898</v>
      </c>
      <c r="AA688" s="9" t="s">
        <v>4899</v>
      </c>
    </row>
    <row r="689" customFormat="false" ht="15" hidden="false" customHeight="true" outlineLevel="0" collapsed="false">
      <c r="A689" s="6" t="s">
        <v>2873</v>
      </c>
      <c r="B689" s="6" t="s">
        <v>531</v>
      </c>
      <c r="C689" s="6" t="s">
        <v>536</v>
      </c>
      <c r="D689" s="6" t="n">
        <v>6</v>
      </c>
      <c r="E689" s="9" t="s">
        <v>4988</v>
      </c>
      <c r="F689" s="6" t="n">
        <v>40364</v>
      </c>
      <c r="Q689" s="1" t="str">
        <f aca="false">IF($A688="","",IF(OR(F688="",I688=""),"",F688-I688))</f>
        <v/>
      </c>
      <c r="R689" s="1" t="str">
        <f aca="false">IF($A688="","",IF(Q688="","",Q688+IF(O688="",0,O688)))</f>
        <v/>
      </c>
      <c r="T689" s="1" t="str">
        <f aca="false">IF($A688="","",IF(R688="","",R688-IF(S688="",0,S688)))</f>
        <v/>
      </c>
      <c r="U689" s="1" t="str">
        <f aca="false">IF($A688="","",IF(I688="","",I688-SUM(J688:P688)))</f>
        <v/>
      </c>
      <c r="V689" s="6" t="s">
        <v>5195</v>
      </c>
      <c r="W689" s="9" t="s">
        <v>774</v>
      </c>
      <c r="X689" s="9" t="s">
        <v>5196</v>
      </c>
      <c r="Y689" s="9" t="s">
        <v>4897</v>
      </c>
      <c r="Z689" s="9" t="s">
        <v>4898</v>
      </c>
      <c r="AA689" s="9" t="s">
        <v>4899</v>
      </c>
    </row>
    <row r="690" customFormat="false" ht="15" hidden="false" customHeight="true" outlineLevel="0" collapsed="false">
      <c r="A690" s="6" t="s">
        <v>2876</v>
      </c>
      <c r="B690" s="6" t="s">
        <v>531</v>
      </c>
      <c r="C690" s="6" t="s">
        <v>536</v>
      </c>
      <c r="D690" s="6" t="n">
        <v>6</v>
      </c>
      <c r="E690" s="9" t="s">
        <v>4988</v>
      </c>
      <c r="F690" s="6" t="n">
        <v>33435</v>
      </c>
      <c r="Q690" s="1" t="str">
        <f aca="false">IF($A689="","",IF(OR(F689="",I689=""),"",F689-I689))</f>
        <v/>
      </c>
      <c r="R690" s="1" t="str">
        <f aca="false">IF($A689="","",IF(Q689="","",Q689+IF(O689="",0,O689)))</f>
        <v/>
      </c>
      <c r="T690" s="1" t="str">
        <f aca="false">IF($A689="","",IF(R689="","",R689-IF(S689="",0,S689)))</f>
        <v/>
      </c>
      <c r="U690" s="1" t="str">
        <f aca="false">IF($A689="","",IF(I689="","",I689-SUM(J689:P689)))</f>
        <v/>
      </c>
      <c r="V690" s="6" t="s">
        <v>5195</v>
      </c>
      <c r="W690" s="9" t="s">
        <v>774</v>
      </c>
      <c r="X690" s="9" t="s">
        <v>5196</v>
      </c>
      <c r="Y690" s="9" t="s">
        <v>4897</v>
      </c>
      <c r="Z690" s="9" t="s">
        <v>4898</v>
      </c>
      <c r="AA690" s="9" t="s">
        <v>4899</v>
      </c>
    </row>
    <row r="691" customFormat="false" ht="15" hidden="false" customHeight="true" outlineLevel="0" collapsed="false">
      <c r="A691" s="6" t="s">
        <v>2879</v>
      </c>
      <c r="B691" s="6" t="s">
        <v>531</v>
      </c>
      <c r="C691" s="6" t="s">
        <v>536</v>
      </c>
      <c r="D691" s="6" t="n">
        <v>6</v>
      </c>
      <c r="E691" s="9" t="s">
        <v>4988</v>
      </c>
      <c r="F691" s="6" t="n">
        <v>83998</v>
      </c>
      <c r="Q691" s="1" t="str">
        <f aca="false">IF($A690="","",IF(OR(F690="",I690=""),"",F690-I690))</f>
        <v/>
      </c>
      <c r="R691" s="1" t="str">
        <f aca="false">IF($A690="","",IF(Q690="","",Q690+IF(O690="",0,O690)))</f>
        <v/>
      </c>
      <c r="T691" s="1" t="str">
        <f aca="false">IF($A690="","",IF(R690="","",R690-IF(S690="",0,S690)))</f>
        <v/>
      </c>
      <c r="U691" s="1" t="str">
        <f aca="false">IF($A690="","",IF(I690="","",I690-SUM(J690:P690)))</f>
        <v/>
      </c>
      <c r="V691" s="6" t="s">
        <v>5195</v>
      </c>
      <c r="W691" s="9" t="s">
        <v>774</v>
      </c>
      <c r="X691" s="9" t="s">
        <v>5196</v>
      </c>
      <c r="Y691" s="9" t="s">
        <v>4897</v>
      </c>
      <c r="Z691" s="9" t="s">
        <v>4898</v>
      </c>
      <c r="AA691" s="9" t="s">
        <v>4899</v>
      </c>
    </row>
    <row r="692" customFormat="false" ht="15" hidden="false" customHeight="true" outlineLevel="0" collapsed="false">
      <c r="A692" s="6" t="s">
        <v>2882</v>
      </c>
      <c r="B692" s="6" t="s">
        <v>531</v>
      </c>
      <c r="C692" s="6" t="s">
        <v>536</v>
      </c>
      <c r="D692" s="6" t="n">
        <v>6</v>
      </c>
      <c r="E692" s="9" t="s">
        <v>4988</v>
      </c>
      <c r="F692" s="6" t="n">
        <v>33617</v>
      </c>
      <c r="Q692" s="1" t="str">
        <f aca="false">IF($A691="","",IF(OR(F691="",I691=""),"",F691-I691))</f>
        <v/>
      </c>
      <c r="R692" s="1" t="str">
        <f aca="false">IF($A691="","",IF(Q691="","",Q691+IF(O691="",0,O691)))</f>
        <v/>
      </c>
      <c r="T692" s="1" t="str">
        <f aca="false">IF($A691="","",IF(R691="","",R691-IF(S691="",0,S691)))</f>
        <v/>
      </c>
      <c r="U692" s="1" t="str">
        <f aca="false">IF($A691="","",IF(I691="","",I691-SUM(J691:P691)))</f>
        <v/>
      </c>
      <c r="V692" s="6" t="s">
        <v>5195</v>
      </c>
      <c r="W692" s="9" t="s">
        <v>774</v>
      </c>
      <c r="X692" s="9" t="s">
        <v>5196</v>
      </c>
      <c r="Y692" s="9" t="s">
        <v>4897</v>
      </c>
      <c r="Z692" s="9" t="s">
        <v>4898</v>
      </c>
      <c r="AA692" s="9" t="s">
        <v>4899</v>
      </c>
    </row>
    <row r="693" customFormat="false" ht="15" hidden="false" customHeight="true" outlineLevel="0" collapsed="false">
      <c r="A693" s="6" t="s">
        <v>2885</v>
      </c>
      <c r="B693" s="6" t="s">
        <v>531</v>
      </c>
      <c r="C693" s="6" t="s">
        <v>536</v>
      </c>
      <c r="D693" s="6" t="n">
        <v>6</v>
      </c>
      <c r="E693" s="9" t="s">
        <v>4988</v>
      </c>
      <c r="F693" s="6" t="n">
        <v>44442</v>
      </c>
      <c r="Q693" s="1" t="str">
        <f aca="false">IF($A692="","",IF(OR(F692="",I692=""),"",F692-I692))</f>
        <v/>
      </c>
      <c r="R693" s="1" t="str">
        <f aca="false">IF($A692="","",IF(Q692="","",Q692+IF(O692="",0,O692)))</f>
        <v/>
      </c>
      <c r="T693" s="1" t="str">
        <f aca="false">IF($A692="","",IF(R692="","",R692-IF(S692="",0,S692)))</f>
        <v/>
      </c>
      <c r="U693" s="1" t="str">
        <f aca="false">IF($A692="","",IF(I692="","",I692-SUM(J692:P692)))</f>
        <v/>
      </c>
      <c r="V693" s="6" t="s">
        <v>5195</v>
      </c>
      <c r="W693" s="9" t="s">
        <v>774</v>
      </c>
      <c r="X693" s="9" t="s">
        <v>5196</v>
      </c>
      <c r="Y693" s="9" t="s">
        <v>4897</v>
      </c>
      <c r="Z693" s="9" t="s">
        <v>4898</v>
      </c>
      <c r="AA693" s="9" t="s">
        <v>4899</v>
      </c>
    </row>
    <row r="694" customFormat="false" ht="15" hidden="false" customHeight="true" outlineLevel="0" collapsed="false">
      <c r="A694" s="6" t="s">
        <v>2888</v>
      </c>
      <c r="B694" s="6" t="s">
        <v>531</v>
      </c>
      <c r="C694" s="6" t="s">
        <v>536</v>
      </c>
      <c r="D694" s="6" t="n">
        <v>6</v>
      </c>
      <c r="E694" s="9" t="s">
        <v>4988</v>
      </c>
      <c r="F694" s="6" t="n">
        <v>68254</v>
      </c>
      <c r="Q694" s="1" t="str">
        <f aca="false">IF($A693="","",IF(OR(F693="",I693=""),"",F693-I693))</f>
        <v/>
      </c>
      <c r="R694" s="1" t="str">
        <f aca="false">IF($A693="","",IF(Q693="","",Q693+IF(O693="",0,O693)))</f>
        <v/>
      </c>
      <c r="T694" s="1" t="str">
        <f aca="false">IF($A693="","",IF(R693="","",R693-IF(S693="",0,S693)))</f>
        <v/>
      </c>
      <c r="U694" s="1" t="str">
        <f aca="false">IF($A693="","",IF(I693="","",I693-SUM(J693:P693)))</f>
        <v/>
      </c>
      <c r="V694" s="6" t="s">
        <v>5195</v>
      </c>
      <c r="W694" s="9" t="s">
        <v>774</v>
      </c>
      <c r="X694" s="9" t="s">
        <v>5196</v>
      </c>
      <c r="Y694" s="9" t="s">
        <v>4897</v>
      </c>
      <c r="Z694" s="9" t="s">
        <v>4898</v>
      </c>
      <c r="AA694" s="9" t="s">
        <v>4899</v>
      </c>
    </row>
    <row r="695" customFormat="false" ht="15" hidden="false" customHeight="true" outlineLevel="0" collapsed="false">
      <c r="A695" s="6" t="s">
        <v>2891</v>
      </c>
      <c r="B695" s="6" t="s">
        <v>531</v>
      </c>
      <c r="C695" s="6" t="s">
        <v>536</v>
      </c>
      <c r="D695" s="6" t="n">
        <v>6</v>
      </c>
      <c r="E695" s="9" t="s">
        <v>4988</v>
      </c>
      <c r="F695" s="6" t="n">
        <v>44434</v>
      </c>
      <c r="Q695" s="1" t="str">
        <f aca="false">IF($A694="","",IF(OR(F694="",I694=""),"",F694-I694))</f>
        <v/>
      </c>
      <c r="R695" s="1" t="str">
        <f aca="false">IF($A694="","",IF(Q694="","",Q694+IF(O694="",0,O694)))</f>
        <v/>
      </c>
      <c r="T695" s="1" t="str">
        <f aca="false">IF($A694="","",IF(R694="","",R694-IF(S694="",0,S694)))</f>
        <v/>
      </c>
      <c r="U695" s="1" t="str">
        <f aca="false">IF($A694="","",IF(I694="","",I694-SUM(J694:P694)))</f>
        <v/>
      </c>
      <c r="V695" s="6" t="s">
        <v>5195</v>
      </c>
      <c r="W695" s="9" t="s">
        <v>774</v>
      </c>
      <c r="X695" s="9" t="s">
        <v>5196</v>
      </c>
      <c r="Y695" s="9" t="s">
        <v>4897</v>
      </c>
      <c r="Z695" s="9" t="s">
        <v>4898</v>
      </c>
      <c r="AA695" s="9" t="s">
        <v>4899</v>
      </c>
    </row>
    <row r="696" customFormat="false" ht="15" hidden="false" customHeight="true" outlineLevel="0" collapsed="false">
      <c r="A696" s="6" t="s">
        <v>2894</v>
      </c>
      <c r="B696" s="6" t="s">
        <v>531</v>
      </c>
      <c r="C696" s="6" t="s">
        <v>536</v>
      </c>
      <c r="D696" s="6" t="n">
        <v>6</v>
      </c>
      <c r="E696" s="9" t="s">
        <v>4988</v>
      </c>
      <c r="F696" s="6" t="n">
        <v>28750</v>
      </c>
      <c r="Q696" s="1" t="str">
        <f aca="false">IF($A695="","",IF(OR(F695="",I695=""),"",F695-I695))</f>
        <v/>
      </c>
      <c r="R696" s="1" t="str">
        <f aca="false">IF($A695="","",IF(Q695="","",Q695+IF(O695="",0,O695)))</f>
        <v/>
      </c>
      <c r="T696" s="1" t="str">
        <f aca="false">IF($A695="","",IF(R695="","",R695-IF(S695="",0,S695)))</f>
        <v/>
      </c>
      <c r="U696" s="1" t="str">
        <f aca="false">IF($A695="","",IF(I695="","",I695-SUM(J695:P695)))</f>
        <v/>
      </c>
      <c r="V696" s="6" t="s">
        <v>5195</v>
      </c>
      <c r="W696" s="9" t="s">
        <v>774</v>
      </c>
      <c r="X696" s="9" t="s">
        <v>5196</v>
      </c>
      <c r="Y696" s="9" t="s">
        <v>4897</v>
      </c>
      <c r="Z696" s="9" t="s">
        <v>4898</v>
      </c>
      <c r="AA696" s="9" t="s">
        <v>4899</v>
      </c>
    </row>
    <row r="697" customFormat="false" ht="15" hidden="false" customHeight="true" outlineLevel="0" collapsed="false">
      <c r="A697" s="6" t="s">
        <v>2897</v>
      </c>
      <c r="B697" s="6" t="s">
        <v>531</v>
      </c>
      <c r="C697" s="6" t="s">
        <v>536</v>
      </c>
      <c r="D697" s="6" t="n">
        <v>6</v>
      </c>
      <c r="E697" s="9" t="s">
        <v>4988</v>
      </c>
      <c r="F697" s="6" t="n">
        <v>65532</v>
      </c>
      <c r="Q697" s="1" t="str">
        <f aca="false">IF($A696="","",IF(OR(F696="",I696=""),"",F696-I696))</f>
        <v/>
      </c>
      <c r="R697" s="1" t="str">
        <f aca="false">IF($A696="","",IF(Q696="","",Q696+IF(O696="",0,O696)))</f>
        <v/>
      </c>
      <c r="T697" s="1" t="str">
        <f aca="false">IF($A696="","",IF(R696="","",R696-IF(S696="",0,S696)))</f>
        <v/>
      </c>
      <c r="U697" s="1" t="str">
        <f aca="false">IF($A696="","",IF(I696="","",I696-SUM(J696:P696)))</f>
        <v/>
      </c>
      <c r="V697" s="6" t="s">
        <v>5195</v>
      </c>
      <c r="W697" s="9" t="s">
        <v>774</v>
      </c>
      <c r="X697" s="9" t="s">
        <v>5196</v>
      </c>
      <c r="Y697" s="9" t="s">
        <v>4897</v>
      </c>
      <c r="Z697" s="9" t="s">
        <v>4898</v>
      </c>
      <c r="AA697" s="9" t="s">
        <v>4899</v>
      </c>
    </row>
    <row r="698" customFormat="false" ht="15" hidden="false" customHeight="true" outlineLevel="0" collapsed="false">
      <c r="A698" s="6" t="s">
        <v>2900</v>
      </c>
      <c r="B698" s="6" t="s">
        <v>531</v>
      </c>
      <c r="C698" s="6" t="s">
        <v>536</v>
      </c>
      <c r="D698" s="6" t="n">
        <v>6</v>
      </c>
      <c r="E698" s="9" t="s">
        <v>4988</v>
      </c>
      <c r="F698" s="6" t="n">
        <v>64059</v>
      </c>
      <c r="Q698" s="1" t="str">
        <f aca="false">IF($A697="","",IF(OR(F697="",I697=""),"",F697-I697))</f>
        <v/>
      </c>
      <c r="R698" s="1" t="str">
        <f aca="false">IF($A697="","",IF(Q697="","",Q697+IF(O697="",0,O697)))</f>
        <v/>
      </c>
      <c r="T698" s="1" t="str">
        <f aca="false">IF($A697="","",IF(R697="","",R697-IF(S697="",0,S697)))</f>
        <v/>
      </c>
      <c r="U698" s="1" t="str">
        <f aca="false">IF($A697="","",IF(I697="","",I697-SUM(J697:P697)))</f>
        <v/>
      </c>
      <c r="V698" s="6" t="s">
        <v>5195</v>
      </c>
      <c r="W698" s="9" t="s">
        <v>774</v>
      </c>
      <c r="X698" s="9" t="s">
        <v>5196</v>
      </c>
      <c r="Y698" s="9" t="s">
        <v>4897</v>
      </c>
      <c r="Z698" s="9" t="s">
        <v>4898</v>
      </c>
      <c r="AA698" s="9" t="s">
        <v>4899</v>
      </c>
    </row>
    <row r="699" customFormat="false" ht="15" hidden="false" customHeight="true" outlineLevel="0" collapsed="false">
      <c r="A699" s="6" t="s">
        <v>2903</v>
      </c>
      <c r="B699" s="6" t="s">
        <v>531</v>
      </c>
      <c r="C699" s="6" t="s">
        <v>536</v>
      </c>
      <c r="D699" s="6" t="n">
        <v>6</v>
      </c>
      <c r="E699" s="9" t="s">
        <v>4988</v>
      </c>
      <c r="F699" s="6" t="n">
        <v>61008</v>
      </c>
      <c r="Q699" s="1" t="str">
        <f aca="false">IF($A698="","",IF(OR(F698="",I698=""),"",F698-I698))</f>
        <v/>
      </c>
      <c r="R699" s="1" t="str">
        <f aca="false">IF($A698="","",IF(Q698="","",Q698+IF(O698="",0,O698)))</f>
        <v/>
      </c>
      <c r="T699" s="1" t="str">
        <f aca="false">IF($A698="","",IF(R698="","",R698-IF(S698="",0,S698)))</f>
        <v/>
      </c>
      <c r="U699" s="1" t="str">
        <f aca="false">IF($A698="","",IF(I698="","",I698-SUM(J698:P698)))</f>
        <v/>
      </c>
      <c r="V699" s="6" t="s">
        <v>5195</v>
      </c>
      <c r="W699" s="9" t="s">
        <v>774</v>
      </c>
      <c r="X699" s="9" t="s">
        <v>5196</v>
      </c>
      <c r="Y699" s="9" t="s">
        <v>4897</v>
      </c>
      <c r="Z699" s="9" t="s">
        <v>4898</v>
      </c>
      <c r="AA699" s="9" t="s">
        <v>4899</v>
      </c>
    </row>
    <row r="700" customFormat="false" ht="15" hidden="false" customHeight="true" outlineLevel="0" collapsed="false">
      <c r="A700" s="6" t="s">
        <v>2906</v>
      </c>
      <c r="B700" s="6" t="s">
        <v>531</v>
      </c>
      <c r="C700" s="6" t="s">
        <v>536</v>
      </c>
      <c r="D700" s="6" t="n">
        <v>6</v>
      </c>
      <c r="E700" s="9" t="s">
        <v>4988</v>
      </c>
      <c r="F700" s="6" t="n">
        <v>32270</v>
      </c>
      <c r="Q700" s="1" t="str">
        <f aca="false">IF($A699="","",IF(OR(F699="",I699=""),"",F699-I699))</f>
        <v/>
      </c>
      <c r="R700" s="1" t="str">
        <f aca="false">IF($A699="","",IF(Q699="","",Q699+IF(O699="",0,O699)))</f>
        <v/>
      </c>
      <c r="T700" s="1" t="str">
        <f aca="false">IF($A699="","",IF(R699="","",R699-IF(S699="",0,S699)))</f>
        <v/>
      </c>
      <c r="U700" s="1" t="str">
        <f aca="false">IF($A699="","",IF(I699="","",I699-SUM(J699:P699)))</f>
        <v/>
      </c>
      <c r="V700" s="6" t="s">
        <v>5195</v>
      </c>
      <c r="W700" s="9" t="s">
        <v>774</v>
      </c>
      <c r="X700" s="9" t="s">
        <v>5196</v>
      </c>
      <c r="Y700" s="9" t="s">
        <v>4897</v>
      </c>
      <c r="Z700" s="9" t="s">
        <v>4898</v>
      </c>
      <c r="AA700" s="9" t="s">
        <v>4899</v>
      </c>
    </row>
    <row r="701" customFormat="false" ht="15" hidden="false" customHeight="true" outlineLevel="0" collapsed="false">
      <c r="A701" s="6" t="s">
        <v>2909</v>
      </c>
      <c r="B701" s="6" t="s">
        <v>531</v>
      </c>
      <c r="C701" s="6" t="s">
        <v>536</v>
      </c>
      <c r="D701" s="6" t="n">
        <v>6</v>
      </c>
      <c r="E701" s="9" t="s">
        <v>4988</v>
      </c>
      <c r="F701" s="6" t="n">
        <v>27131</v>
      </c>
      <c r="Q701" s="1" t="str">
        <f aca="false">IF($A700="","",IF(OR(F700="",I700=""),"",F700-I700))</f>
        <v/>
      </c>
      <c r="R701" s="1" t="str">
        <f aca="false">IF($A700="","",IF(Q700="","",Q700+IF(O700="",0,O700)))</f>
        <v/>
      </c>
      <c r="T701" s="1" t="str">
        <f aca="false">IF($A700="","",IF(R700="","",R700-IF(S700="",0,S700)))</f>
        <v/>
      </c>
      <c r="U701" s="1" t="str">
        <f aca="false">IF($A700="","",IF(I700="","",I700-SUM(J700:P700)))</f>
        <v/>
      </c>
      <c r="V701" s="6" t="s">
        <v>5195</v>
      </c>
      <c r="W701" s="9" t="s">
        <v>774</v>
      </c>
      <c r="X701" s="9" t="s">
        <v>5196</v>
      </c>
      <c r="Y701" s="9" t="s">
        <v>4897</v>
      </c>
      <c r="Z701" s="9" t="s">
        <v>4898</v>
      </c>
      <c r="AA701" s="9" t="s">
        <v>4899</v>
      </c>
    </row>
    <row r="702" customFormat="false" ht="15" hidden="false" customHeight="true" outlineLevel="0" collapsed="false">
      <c r="A702" s="6" t="s">
        <v>2912</v>
      </c>
      <c r="B702" s="6" t="s">
        <v>531</v>
      </c>
      <c r="C702" s="6" t="s">
        <v>536</v>
      </c>
      <c r="D702" s="6" t="n">
        <v>6</v>
      </c>
      <c r="E702" s="9" t="s">
        <v>4988</v>
      </c>
      <c r="F702" s="6" t="n">
        <v>51041</v>
      </c>
      <c r="Q702" s="1" t="str">
        <f aca="false">IF($A701="","",IF(OR(F701="",I701=""),"",F701-I701))</f>
        <v/>
      </c>
      <c r="R702" s="1" t="str">
        <f aca="false">IF($A701="","",IF(Q701="","",Q701+IF(O701="",0,O701)))</f>
        <v/>
      </c>
      <c r="T702" s="1" t="str">
        <f aca="false">IF($A701="","",IF(R701="","",R701-IF(S701="",0,S701)))</f>
        <v/>
      </c>
      <c r="U702" s="1" t="str">
        <f aca="false">IF($A701="","",IF(I701="","",I701-SUM(J701:P701)))</f>
        <v/>
      </c>
      <c r="V702" s="6" t="s">
        <v>5195</v>
      </c>
      <c r="W702" s="9" t="s">
        <v>774</v>
      </c>
      <c r="X702" s="9" t="s">
        <v>5196</v>
      </c>
      <c r="Y702" s="9" t="s">
        <v>4897</v>
      </c>
      <c r="Z702" s="9" t="s">
        <v>4898</v>
      </c>
      <c r="AA702" s="9" t="s">
        <v>4899</v>
      </c>
    </row>
    <row r="703" customFormat="false" ht="15" hidden="false" customHeight="true" outlineLevel="0" collapsed="false">
      <c r="A703" s="6" t="s">
        <v>2915</v>
      </c>
      <c r="B703" s="6" t="s">
        <v>531</v>
      </c>
      <c r="C703" s="6" t="s">
        <v>536</v>
      </c>
      <c r="D703" s="6" t="n">
        <v>6</v>
      </c>
      <c r="E703" s="9" t="s">
        <v>4988</v>
      </c>
      <c r="F703" s="6" t="n">
        <v>53691</v>
      </c>
      <c r="Q703" s="1" t="str">
        <f aca="false">IF($A702="","",IF(OR(F702="",I702=""),"",F702-I702))</f>
        <v/>
      </c>
      <c r="R703" s="1" t="str">
        <f aca="false">IF($A702="","",IF(Q702="","",Q702+IF(O702="",0,O702)))</f>
        <v/>
      </c>
      <c r="T703" s="1" t="str">
        <f aca="false">IF($A702="","",IF(R702="","",R702-IF(S702="",0,S702)))</f>
        <v/>
      </c>
      <c r="U703" s="1" t="str">
        <f aca="false">IF($A702="","",IF(I702="","",I702-SUM(J702:P702)))</f>
        <v/>
      </c>
      <c r="V703" s="6" t="s">
        <v>5195</v>
      </c>
      <c r="W703" s="9" t="s">
        <v>774</v>
      </c>
      <c r="X703" s="9" t="s">
        <v>5196</v>
      </c>
      <c r="Y703" s="9" t="s">
        <v>4897</v>
      </c>
      <c r="Z703" s="9" t="s">
        <v>4898</v>
      </c>
      <c r="AA703" s="9" t="s">
        <v>4899</v>
      </c>
    </row>
    <row r="704" customFormat="false" ht="15" hidden="false" customHeight="true" outlineLevel="0" collapsed="false">
      <c r="A704" s="6" t="s">
        <v>2918</v>
      </c>
      <c r="B704" s="6" t="s">
        <v>531</v>
      </c>
      <c r="C704" s="6" t="s">
        <v>536</v>
      </c>
      <c r="D704" s="6" t="n">
        <v>6</v>
      </c>
      <c r="E704" s="9" t="s">
        <v>4988</v>
      </c>
      <c r="F704" s="6" t="n">
        <v>32347</v>
      </c>
      <c r="Q704" s="1" t="str">
        <f aca="false">IF($A703="","",IF(OR(F703="",I703=""),"",F703-I703))</f>
        <v/>
      </c>
      <c r="R704" s="1" t="str">
        <f aca="false">IF($A703="","",IF(Q703="","",Q703+IF(O703="",0,O703)))</f>
        <v/>
      </c>
      <c r="T704" s="1" t="str">
        <f aca="false">IF($A703="","",IF(R703="","",R703-IF(S703="",0,S703)))</f>
        <v/>
      </c>
      <c r="U704" s="1" t="str">
        <f aca="false">IF($A703="","",IF(I703="","",I703-SUM(J703:P703)))</f>
        <v/>
      </c>
      <c r="V704" s="6" t="s">
        <v>5195</v>
      </c>
      <c r="W704" s="9" t="s">
        <v>774</v>
      </c>
      <c r="X704" s="9" t="s">
        <v>5196</v>
      </c>
      <c r="Y704" s="9" t="s">
        <v>4897</v>
      </c>
      <c r="Z704" s="9" t="s">
        <v>4898</v>
      </c>
      <c r="AA704" s="9" t="s">
        <v>4899</v>
      </c>
    </row>
    <row r="705" customFormat="false" ht="15" hidden="false" customHeight="true" outlineLevel="0" collapsed="false">
      <c r="A705" s="6" t="s">
        <v>2921</v>
      </c>
      <c r="B705" s="6" t="s">
        <v>531</v>
      </c>
      <c r="C705" s="6" t="s">
        <v>536</v>
      </c>
      <c r="D705" s="6" t="n">
        <v>6</v>
      </c>
      <c r="E705" s="9" t="s">
        <v>4988</v>
      </c>
      <c r="F705" s="6" t="n">
        <v>34884</v>
      </c>
      <c r="Q705" s="1" t="str">
        <f aca="false">IF($A704="","",IF(OR(F704="",I704=""),"",F704-I704))</f>
        <v/>
      </c>
      <c r="R705" s="1" t="str">
        <f aca="false">IF($A704="","",IF(Q704="","",Q704+IF(O704="",0,O704)))</f>
        <v/>
      </c>
      <c r="T705" s="1" t="str">
        <f aca="false">IF($A704="","",IF(R704="","",R704-IF(S704="",0,S704)))</f>
        <v/>
      </c>
      <c r="U705" s="1" t="str">
        <f aca="false">IF($A704="","",IF(I704="","",I704-SUM(J704:P704)))</f>
        <v/>
      </c>
      <c r="V705" s="6" t="s">
        <v>5195</v>
      </c>
      <c r="W705" s="9" t="s">
        <v>774</v>
      </c>
      <c r="X705" s="9" t="s">
        <v>5196</v>
      </c>
      <c r="Y705" s="9" t="s">
        <v>4897</v>
      </c>
      <c r="Z705" s="9" t="s">
        <v>4898</v>
      </c>
      <c r="AA705" s="9" t="s">
        <v>4899</v>
      </c>
    </row>
    <row r="706" customFormat="false" ht="15" hidden="false" customHeight="true" outlineLevel="0" collapsed="false">
      <c r="A706" s="6" t="s">
        <v>2924</v>
      </c>
      <c r="B706" s="6" t="s">
        <v>531</v>
      </c>
      <c r="C706" s="6" t="s">
        <v>536</v>
      </c>
      <c r="D706" s="6" t="n">
        <v>6</v>
      </c>
      <c r="E706" s="9" t="s">
        <v>4988</v>
      </c>
      <c r="F706" s="6" t="n">
        <v>31368</v>
      </c>
      <c r="Q706" s="1" t="str">
        <f aca="false">IF($A705="","",IF(OR(F705="",I705=""),"",F705-I705))</f>
        <v/>
      </c>
      <c r="R706" s="1" t="str">
        <f aca="false">IF($A705="","",IF(Q705="","",Q705+IF(O705="",0,O705)))</f>
        <v/>
      </c>
      <c r="T706" s="1" t="str">
        <f aca="false">IF($A705="","",IF(R705="","",R705-IF(S705="",0,S705)))</f>
        <v/>
      </c>
      <c r="U706" s="1" t="str">
        <f aca="false">IF($A705="","",IF(I705="","",I705-SUM(J705:P705)))</f>
        <v/>
      </c>
      <c r="V706" s="6" t="s">
        <v>5195</v>
      </c>
      <c r="W706" s="9" t="s">
        <v>774</v>
      </c>
      <c r="X706" s="9" t="s">
        <v>5196</v>
      </c>
      <c r="Y706" s="9" t="s">
        <v>4897</v>
      </c>
      <c r="Z706" s="9" t="s">
        <v>4898</v>
      </c>
      <c r="AA706" s="9" t="s">
        <v>4899</v>
      </c>
    </row>
    <row r="707" customFormat="false" ht="15" hidden="false" customHeight="true" outlineLevel="0" collapsed="false">
      <c r="A707" s="6" t="s">
        <v>2927</v>
      </c>
      <c r="B707" s="6" t="s">
        <v>531</v>
      </c>
      <c r="C707" s="6" t="s">
        <v>536</v>
      </c>
      <c r="D707" s="6" t="n">
        <v>6</v>
      </c>
      <c r="E707" s="9" t="s">
        <v>4988</v>
      </c>
      <c r="F707" s="6" t="n">
        <v>28883</v>
      </c>
      <c r="Q707" s="1" t="str">
        <f aca="false">IF($A706="","",IF(OR(F706="",I706=""),"",F706-I706))</f>
        <v/>
      </c>
      <c r="R707" s="1" t="str">
        <f aca="false">IF($A706="","",IF(Q706="","",Q706+IF(O706="",0,O706)))</f>
        <v/>
      </c>
      <c r="T707" s="1" t="str">
        <f aca="false">IF($A706="","",IF(R706="","",R706-IF(S706="",0,S706)))</f>
        <v/>
      </c>
      <c r="U707" s="1" t="str">
        <f aca="false">IF($A706="","",IF(I706="","",I706-SUM(J706:P706)))</f>
        <v/>
      </c>
      <c r="V707" s="6" t="s">
        <v>5195</v>
      </c>
      <c r="W707" s="9" t="s">
        <v>774</v>
      </c>
      <c r="X707" s="9" t="s">
        <v>5196</v>
      </c>
      <c r="Y707" s="9" t="s">
        <v>4897</v>
      </c>
      <c r="Z707" s="9" t="s">
        <v>4898</v>
      </c>
      <c r="AA707" s="9" t="s">
        <v>4899</v>
      </c>
    </row>
    <row r="708" customFormat="false" ht="15" hidden="false" customHeight="true" outlineLevel="0" collapsed="false">
      <c r="A708" s="6" t="s">
        <v>2930</v>
      </c>
      <c r="B708" s="6" t="s">
        <v>531</v>
      </c>
      <c r="C708" s="6" t="s">
        <v>536</v>
      </c>
      <c r="D708" s="6" t="n">
        <v>6</v>
      </c>
      <c r="E708" s="9" t="s">
        <v>4988</v>
      </c>
      <c r="F708" s="6" t="n">
        <v>35518</v>
      </c>
      <c r="Q708" s="1" t="str">
        <f aca="false">IF($A707="","",IF(OR(F707="",I707=""),"",F707-I707))</f>
        <v/>
      </c>
      <c r="R708" s="1" t="str">
        <f aca="false">IF($A707="","",IF(Q707="","",Q707+IF(O707="",0,O707)))</f>
        <v/>
      </c>
      <c r="T708" s="1" t="str">
        <f aca="false">IF($A707="","",IF(R707="","",R707-IF(S707="",0,S707)))</f>
        <v/>
      </c>
      <c r="U708" s="1" t="str">
        <f aca="false">IF($A707="","",IF(I707="","",I707-SUM(J707:P707)))</f>
        <v/>
      </c>
      <c r="V708" s="6" t="s">
        <v>5195</v>
      </c>
      <c r="W708" s="9" t="s">
        <v>774</v>
      </c>
      <c r="X708" s="9" t="s">
        <v>5196</v>
      </c>
      <c r="Y708" s="9" t="s">
        <v>4897</v>
      </c>
      <c r="Z708" s="9" t="s">
        <v>4898</v>
      </c>
      <c r="AA708" s="9" t="s">
        <v>4899</v>
      </c>
    </row>
    <row r="709" customFormat="false" ht="15" hidden="false" customHeight="true" outlineLevel="0" collapsed="false">
      <c r="A709" s="6" t="s">
        <v>2933</v>
      </c>
      <c r="B709" s="6" t="s">
        <v>531</v>
      </c>
      <c r="C709" s="6" t="s">
        <v>536</v>
      </c>
      <c r="D709" s="6" t="n">
        <v>6</v>
      </c>
      <c r="E709" s="9" t="s">
        <v>4988</v>
      </c>
      <c r="F709" s="6" t="n">
        <v>40674</v>
      </c>
      <c r="Q709" s="1" t="str">
        <f aca="false">IF($A708="","",IF(OR(F708="",I708=""),"",F708-I708))</f>
        <v/>
      </c>
      <c r="R709" s="1" t="str">
        <f aca="false">IF($A708="","",IF(Q708="","",Q708+IF(O708="",0,O708)))</f>
        <v/>
      </c>
      <c r="T709" s="1" t="str">
        <f aca="false">IF($A708="","",IF(R708="","",R708-IF(S708="",0,S708)))</f>
        <v/>
      </c>
      <c r="U709" s="1" t="str">
        <f aca="false">IF($A708="","",IF(I708="","",I708-SUM(J708:P708)))</f>
        <v/>
      </c>
      <c r="V709" s="6" t="s">
        <v>5195</v>
      </c>
      <c r="W709" s="9" t="s">
        <v>774</v>
      </c>
      <c r="X709" s="9" t="s">
        <v>5196</v>
      </c>
      <c r="Y709" s="9" t="s">
        <v>4897</v>
      </c>
      <c r="Z709" s="9" t="s">
        <v>4898</v>
      </c>
      <c r="AA709" s="9" t="s">
        <v>4899</v>
      </c>
    </row>
    <row r="710" customFormat="false" ht="15" hidden="false" customHeight="true" outlineLevel="0" collapsed="false">
      <c r="A710" s="6" t="s">
        <v>2936</v>
      </c>
      <c r="B710" s="6" t="s">
        <v>531</v>
      </c>
      <c r="C710" s="6" t="s">
        <v>536</v>
      </c>
      <c r="D710" s="6" t="n">
        <v>6</v>
      </c>
      <c r="E710" s="9" t="s">
        <v>4988</v>
      </c>
      <c r="F710" s="6" t="n">
        <v>34668</v>
      </c>
      <c r="Q710" s="1" t="str">
        <f aca="false">IF($A709="","",IF(OR(F709="",I709=""),"",F709-I709))</f>
        <v/>
      </c>
      <c r="R710" s="1" t="str">
        <f aca="false">IF($A709="","",IF(Q709="","",Q709+IF(O709="",0,O709)))</f>
        <v/>
      </c>
      <c r="T710" s="1" t="str">
        <f aca="false">IF($A709="","",IF(R709="","",R709-IF(S709="",0,S709)))</f>
        <v/>
      </c>
      <c r="U710" s="1" t="str">
        <f aca="false">IF($A709="","",IF(I709="","",I709-SUM(J709:P709)))</f>
        <v/>
      </c>
      <c r="V710" s="6" t="s">
        <v>5195</v>
      </c>
      <c r="W710" s="9" t="s">
        <v>774</v>
      </c>
      <c r="X710" s="9" t="s">
        <v>5196</v>
      </c>
      <c r="Y710" s="9" t="s">
        <v>4897</v>
      </c>
      <c r="Z710" s="9" t="s">
        <v>4898</v>
      </c>
      <c r="AA710" s="9" t="s">
        <v>4899</v>
      </c>
    </row>
    <row r="711" customFormat="false" ht="15" hidden="false" customHeight="true" outlineLevel="0" collapsed="false">
      <c r="A711" s="6" t="s">
        <v>2939</v>
      </c>
      <c r="B711" s="6" t="s">
        <v>531</v>
      </c>
      <c r="C711" s="6" t="s">
        <v>536</v>
      </c>
      <c r="D711" s="6" t="n">
        <v>6</v>
      </c>
      <c r="E711" s="9" t="s">
        <v>4988</v>
      </c>
      <c r="F711" s="6" t="n">
        <v>38260</v>
      </c>
      <c r="Q711" s="1" t="str">
        <f aca="false">IF($A710="","",IF(OR(F710="",I710=""),"",F710-I710))</f>
        <v/>
      </c>
      <c r="R711" s="1" t="str">
        <f aca="false">IF($A710="","",IF(Q710="","",Q710+IF(O710="",0,O710)))</f>
        <v/>
      </c>
      <c r="T711" s="1" t="str">
        <f aca="false">IF($A710="","",IF(R710="","",R710-IF(S710="",0,S710)))</f>
        <v/>
      </c>
      <c r="U711" s="1" t="str">
        <f aca="false">IF($A710="","",IF(I710="","",I710-SUM(J710:P710)))</f>
        <v/>
      </c>
      <c r="V711" s="6" t="s">
        <v>5195</v>
      </c>
      <c r="W711" s="9" t="s">
        <v>774</v>
      </c>
      <c r="X711" s="9" t="s">
        <v>5196</v>
      </c>
      <c r="Y711" s="9" t="s">
        <v>4897</v>
      </c>
      <c r="Z711" s="9" t="s">
        <v>4898</v>
      </c>
      <c r="AA711" s="9" t="s">
        <v>4899</v>
      </c>
    </row>
    <row r="712" customFormat="false" ht="15" hidden="false" customHeight="true" outlineLevel="0" collapsed="false">
      <c r="A712" s="6" t="s">
        <v>2942</v>
      </c>
      <c r="B712" s="6" t="s">
        <v>531</v>
      </c>
      <c r="C712" s="6" t="s">
        <v>536</v>
      </c>
      <c r="D712" s="6" t="n">
        <v>6</v>
      </c>
      <c r="E712" s="9" t="s">
        <v>4988</v>
      </c>
      <c r="F712" s="6" t="n">
        <v>44999</v>
      </c>
      <c r="Q712" s="1" t="str">
        <f aca="false">IF($A711="","",IF(OR(F711="",I711=""),"",F711-I711))</f>
        <v/>
      </c>
      <c r="R712" s="1" t="str">
        <f aca="false">IF($A711="","",IF(Q711="","",Q711+IF(O711="",0,O711)))</f>
        <v/>
      </c>
      <c r="T712" s="1" t="str">
        <f aca="false">IF($A711="","",IF(R711="","",R711-IF(S711="",0,S711)))</f>
        <v/>
      </c>
      <c r="U712" s="1" t="str">
        <f aca="false">IF($A711="","",IF(I711="","",I711-SUM(J711:P711)))</f>
        <v/>
      </c>
      <c r="V712" s="6" t="s">
        <v>5195</v>
      </c>
      <c r="W712" s="9" t="s">
        <v>774</v>
      </c>
      <c r="X712" s="9" t="s">
        <v>5196</v>
      </c>
      <c r="Y712" s="9" t="s">
        <v>4897</v>
      </c>
      <c r="Z712" s="9" t="s">
        <v>4898</v>
      </c>
      <c r="AA712" s="9" t="s">
        <v>4899</v>
      </c>
    </row>
    <row r="713" customFormat="false" ht="15" hidden="false" customHeight="true" outlineLevel="0" collapsed="false">
      <c r="A713" s="6" t="s">
        <v>2945</v>
      </c>
      <c r="B713" s="6" t="s">
        <v>531</v>
      </c>
      <c r="C713" s="6" t="s">
        <v>536</v>
      </c>
      <c r="D713" s="6" t="n">
        <v>6</v>
      </c>
      <c r="E713" s="9" t="s">
        <v>4988</v>
      </c>
      <c r="F713" s="6" t="n">
        <v>48122</v>
      </c>
      <c r="Q713" s="1" t="str">
        <f aca="false">IF($A712="","",IF(OR(F712="",I712=""),"",F712-I712))</f>
        <v/>
      </c>
      <c r="R713" s="1" t="str">
        <f aca="false">IF($A712="","",IF(Q712="","",Q712+IF(O712="",0,O712)))</f>
        <v/>
      </c>
      <c r="T713" s="1" t="str">
        <f aca="false">IF($A712="","",IF(R712="","",R712-IF(S712="",0,S712)))</f>
        <v/>
      </c>
      <c r="U713" s="1" t="str">
        <f aca="false">IF($A712="","",IF(I712="","",I712-SUM(J712:P712)))</f>
        <v/>
      </c>
      <c r="V713" s="6" t="s">
        <v>5195</v>
      </c>
      <c r="W713" s="9" t="s">
        <v>774</v>
      </c>
      <c r="X713" s="9" t="s">
        <v>5196</v>
      </c>
      <c r="Y713" s="9" t="s">
        <v>4897</v>
      </c>
      <c r="Z713" s="9" t="s">
        <v>4898</v>
      </c>
      <c r="AA713" s="9" t="s">
        <v>4899</v>
      </c>
    </row>
    <row r="714" customFormat="false" ht="15" hidden="false" customHeight="true" outlineLevel="0" collapsed="false">
      <c r="A714" s="6" t="s">
        <v>2948</v>
      </c>
      <c r="B714" s="6" t="s">
        <v>531</v>
      </c>
      <c r="C714" s="6" t="s">
        <v>536</v>
      </c>
      <c r="D714" s="6" t="n">
        <v>6</v>
      </c>
      <c r="E714" s="9" t="s">
        <v>4988</v>
      </c>
      <c r="F714" s="6" t="n">
        <v>61208</v>
      </c>
      <c r="Q714" s="1" t="str">
        <f aca="false">IF($A713="","",IF(OR(F713="",I713=""),"",F713-I713))</f>
        <v/>
      </c>
      <c r="R714" s="1" t="str">
        <f aca="false">IF($A713="","",IF(Q713="","",Q713+IF(O713="",0,O713)))</f>
        <v/>
      </c>
      <c r="T714" s="1" t="str">
        <f aca="false">IF($A713="","",IF(R713="","",R713-IF(S713="",0,S713)))</f>
        <v/>
      </c>
      <c r="U714" s="1" t="str">
        <f aca="false">IF($A713="","",IF(I713="","",I713-SUM(J713:P713)))</f>
        <v/>
      </c>
      <c r="V714" s="6" t="s">
        <v>5195</v>
      </c>
      <c r="W714" s="9" t="s">
        <v>774</v>
      </c>
      <c r="X714" s="9" t="s">
        <v>5196</v>
      </c>
      <c r="Y714" s="9" t="s">
        <v>4897</v>
      </c>
      <c r="Z714" s="9" t="s">
        <v>4898</v>
      </c>
      <c r="AA714" s="9" t="s">
        <v>4899</v>
      </c>
    </row>
    <row r="715" customFormat="false" ht="15" hidden="false" customHeight="true" outlineLevel="0" collapsed="false">
      <c r="A715" s="6" t="s">
        <v>2951</v>
      </c>
      <c r="B715" s="6" t="s">
        <v>531</v>
      </c>
      <c r="C715" s="6" t="s">
        <v>536</v>
      </c>
      <c r="D715" s="6" t="n">
        <v>6</v>
      </c>
      <c r="E715" s="9" t="s">
        <v>4988</v>
      </c>
      <c r="F715" s="6" t="n">
        <v>45760</v>
      </c>
      <c r="Q715" s="1" t="str">
        <f aca="false">IF($A714="","",IF(OR(F714="",I714=""),"",F714-I714))</f>
        <v/>
      </c>
      <c r="R715" s="1" t="str">
        <f aca="false">IF($A714="","",IF(Q714="","",Q714+IF(O714="",0,O714)))</f>
        <v/>
      </c>
      <c r="T715" s="1" t="str">
        <f aca="false">IF($A714="","",IF(R714="","",R714-IF(S714="",0,S714)))</f>
        <v/>
      </c>
      <c r="U715" s="1" t="str">
        <f aca="false">IF($A714="","",IF(I714="","",I714-SUM(J714:P714)))</f>
        <v/>
      </c>
      <c r="V715" s="6" t="s">
        <v>5195</v>
      </c>
      <c r="W715" s="9" t="s">
        <v>774</v>
      </c>
      <c r="X715" s="9" t="s">
        <v>5196</v>
      </c>
      <c r="Y715" s="9" t="s">
        <v>4897</v>
      </c>
      <c r="Z715" s="9" t="s">
        <v>4898</v>
      </c>
      <c r="AA715" s="9" t="s">
        <v>4899</v>
      </c>
    </row>
    <row r="716" customFormat="false" ht="15" hidden="false" customHeight="true" outlineLevel="0" collapsed="false">
      <c r="A716" s="6" t="s">
        <v>2954</v>
      </c>
      <c r="B716" s="6" t="s">
        <v>531</v>
      </c>
      <c r="C716" s="6" t="s">
        <v>536</v>
      </c>
      <c r="D716" s="6" t="n">
        <v>6</v>
      </c>
      <c r="E716" s="9" t="s">
        <v>4988</v>
      </c>
      <c r="F716" s="6" t="n">
        <v>21178</v>
      </c>
      <c r="Q716" s="1" t="str">
        <f aca="false">IF($A715="","",IF(OR(F715="",I715=""),"",F715-I715))</f>
        <v/>
      </c>
      <c r="R716" s="1" t="str">
        <f aca="false">IF($A715="","",IF(Q715="","",Q715+IF(O715="",0,O715)))</f>
        <v/>
      </c>
      <c r="T716" s="1" t="str">
        <f aca="false">IF($A715="","",IF(R715="","",R715-IF(S715="",0,S715)))</f>
        <v/>
      </c>
      <c r="U716" s="1" t="str">
        <f aca="false">IF($A715="","",IF(I715="","",I715-SUM(J715:P715)))</f>
        <v/>
      </c>
      <c r="V716" s="6" t="s">
        <v>5195</v>
      </c>
      <c r="W716" s="9" t="s">
        <v>774</v>
      </c>
      <c r="X716" s="9" t="s">
        <v>5196</v>
      </c>
      <c r="Y716" s="9" t="s">
        <v>4897</v>
      </c>
      <c r="Z716" s="9" t="s">
        <v>4898</v>
      </c>
      <c r="AA716" s="9" t="s">
        <v>4899</v>
      </c>
    </row>
    <row r="717" customFormat="false" ht="15" hidden="false" customHeight="true" outlineLevel="0" collapsed="false">
      <c r="A717" s="6" t="s">
        <v>2957</v>
      </c>
      <c r="B717" s="6" t="s">
        <v>531</v>
      </c>
      <c r="C717" s="6" t="s">
        <v>536</v>
      </c>
      <c r="D717" s="6" t="n">
        <v>6</v>
      </c>
      <c r="E717" s="9" t="s">
        <v>4988</v>
      </c>
      <c r="F717" s="6" t="n">
        <v>46589</v>
      </c>
      <c r="Q717" s="1" t="str">
        <f aca="false">IF($A716="","",IF(OR(F716="",I716=""),"",F716-I716))</f>
        <v/>
      </c>
      <c r="R717" s="1" t="str">
        <f aca="false">IF($A716="","",IF(Q716="","",Q716+IF(O716="",0,O716)))</f>
        <v/>
      </c>
      <c r="T717" s="1" t="str">
        <f aca="false">IF($A716="","",IF(R716="","",R716-IF(S716="",0,S716)))</f>
        <v/>
      </c>
      <c r="U717" s="1" t="str">
        <f aca="false">IF($A716="","",IF(I716="","",I716-SUM(J716:P716)))</f>
        <v/>
      </c>
      <c r="V717" s="6" t="s">
        <v>5195</v>
      </c>
      <c r="W717" s="9" t="s">
        <v>774</v>
      </c>
      <c r="X717" s="9" t="s">
        <v>5196</v>
      </c>
      <c r="Y717" s="9" t="s">
        <v>4897</v>
      </c>
      <c r="Z717" s="9" t="s">
        <v>4898</v>
      </c>
      <c r="AA717" s="9" t="s">
        <v>4899</v>
      </c>
    </row>
    <row r="718" customFormat="false" ht="15" hidden="false" customHeight="true" outlineLevel="0" collapsed="false">
      <c r="A718" s="6" t="s">
        <v>2961</v>
      </c>
      <c r="B718" s="6" t="s">
        <v>531</v>
      </c>
      <c r="C718" s="6" t="s">
        <v>536</v>
      </c>
      <c r="D718" s="6" t="n">
        <v>6</v>
      </c>
      <c r="E718" s="9" t="s">
        <v>4988</v>
      </c>
      <c r="F718" s="6" t="n">
        <v>26418</v>
      </c>
      <c r="Q718" s="1" t="str">
        <f aca="false">IF($A717="","",IF(OR(F717="",I717=""),"",F717-I717))</f>
        <v/>
      </c>
      <c r="R718" s="1" t="str">
        <f aca="false">IF($A717="","",IF(Q717="","",Q717+IF(O717="",0,O717)))</f>
        <v/>
      </c>
      <c r="T718" s="1" t="str">
        <f aca="false">IF($A717="","",IF(R717="","",R717-IF(S717="",0,S717)))</f>
        <v/>
      </c>
      <c r="U718" s="1" t="str">
        <f aca="false">IF($A717="","",IF(I717="","",I717-SUM(J717:P717)))</f>
        <v/>
      </c>
      <c r="V718" s="6" t="s">
        <v>5195</v>
      </c>
      <c r="W718" s="9" t="s">
        <v>774</v>
      </c>
      <c r="X718" s="9" t="s">
        <v>5196</v>
      </c>
      <c r="Y718" s="9" t="s">
        <v>4897</v>
      </c>
      <c r="Z718" s="9" t="s">
        <v>4898</v>
      </c>
      <c r="AA718" s="9" t="s">
        <v>4899</v>
      </c>
    </row>
    <row r="719" customFormat="false" ht="15" hidden="false" customHeight="true" outlineLevel="0" collapsed="false">
      <c r="A719" s="6" t="s">
        <v>2964</v>
      </c>
      <c r="B719" s="6" t="s">
        <v>531</v>
      </c>
      <c r="C719" s="6" t="s">
        <v>536</v>
      </c>
      <c r="D719" s="6" t="n">
        <v>6</v>
      </c>
      <c r="E719" s="9" t="s">
        <v>4988</v>
      </c>
      <c r="F719" s="6" t="n">
        <v>54911</v>
      </c>
      <c r="Q719" s="1" t="str">
        <f aca="false">IF($A718="","",IF(OR(F718="",I718=""),"",F718-I718))</f>
        <v/>
      </c>
      <c r="R719" s="1" t="str">
        <f aca="false">IF($A718="","",IF(Q718="","",Q718+IF(O718="",0,O718)))</f>
        <v/>
      </c>
      <c r="T719" s="1" t="str">
        <f aca="false">IF($A718="","",IF(R718="","",R718-IF(S718="",0,S718)))</f>
        <v/>
      </c>
      <c r="U719" s="1" t="str">
        <f aca="false">IF($A718="","",IF(I718="","",I718-SUM(J718:P718)))</f>
        <v/>
      </c>
      <c r="V719" s="6" t="s">
        <v>5195</v>
      </c>
      <c r="W719" s="9" t="s">
        <v>774</v>
      </c>
      <c r="X719" s="9" t="s">
        <v>5196</v>
      </c>
      <c r="Y719" s="9" t="s">
        <v>4897</v>
      </c>
      <c r="Z719" s="9" t="s">
        <v>4898</v>
      </c>
      <c r="AA719" s="9" t="s">
        <v>4899</v>
      </c>
    </row>
    <row r="720" customFormat="false" ht="15" hidden="false" customHeight="true" outlineLevel="0" collapsed="false">
      <c r="A720" s="6" t="s">
        <v>2968</v>
      </c>
      <c r="B720" s="6" t="s">
        <v>531</v>
      </c>
      <c r="C720" s="6" t="s">
        <v>536</v>
      </c>
      <c r="D720" s="6" t="n">
        <v>6</v>
      </c>
      <c r="E720" s="9" t="s">
        <v>4988</v>
      </c>
      <c r="F720" s="6" t="n">
        <v>62921</v>
      </c>
      <c r="Q720" s="1" t="str">
        <f aca="false">IF($A719="","",IF(OR(F719="",I719=""),"",F719-I719))</f>
        <v/>
      </c>
      <c r="R720" s="1" t="str">
        <f aca="false">IF($A719="","",IF(Q719="","",Q719+IF(O719="",0,O719)))</f>
        <v/>
      </c>
      <c r="T720" s="1" t="str">
        <f aca="false">IF($A719="","",IF(R719="","",R719-IF(S719="",0,S719)))</f>
        <v/>
      </c>
      <c r="U720" s="1" t="str">
        <f aca="false">IF($A719="","",IF(I719="","",I719-SUM(J719:P719)))</f>
        <v/>
      </c>
      <c r="V720" s="6" t="s">
        <v>5195</v>
      </c>
      <c r="W720" s="9" t="s">
        <v>774</v>
      </c>
      <c r="X720" s="9" t="s">
        <v>5196</v>
      </c>
      <c r="Y720" s="9" t="s">
        <v>4897</v>
      </c>
      <c r="Z720" s="9" t="s">
        <v>4898</v>
      </c>
      <c r="AA720" s="9" t="s">
        <v>4899</v>
      </c>
    </row>
    <row r="721" customFormat="false" ht="15" hidden="false" customHeight="true" outlineLevel="0" collapsed="false">
      <c r="A721" s="6" t="s">
        <v>2971</v>
      </c>
      <c r="B721" s="6" t="s">
        <v>531</v>
      </c>
      <c r="C721" s="6" t="s">
        <v>536</v>
      </c>
      <c r="D721" s="6" t="n">
        <v>6</v>
      </c>
      <c r="E721" s="9" t="s">
        <v>4988</v>
      </c>
      <c r="F721" s="6" t="n">
        <v>44211</v>
      </c>
      <c r="Q721" s="1" t="str">
        <f aca="false">IF($A720="","",IF(OR(F720="",I720=""),"",F720-I720))</f>
        <v/>
      </c>
      <c r="R721" s="1" t="str">
        <f aca="false">IF($A720="","",IF(Q720="","",Q720+IF(O720="",0,O720)))</f>
        <v/>
      </c>
      <c r="T721" s="1" t="str">
        <f aca="false">IF($A720="","",IF(R720="","",R720-IF(S720="",0,S720)))</f>
        <v/>
      </c>
      <c r="U721" s="1" t="str">
        <f aca="false">IF($A720="","",IF(I720="","",I720-SUM(J720:P720)))</f>
        <v/>
      </c>
      <c r="V721" s="6" t="s">
        <v>5195</v>
      </c>
      <c r="W721" s="9" t="s">
        <v>774</v>
      </c>
      <c r="X721" s="9" t="s">
        <v>5196</v>
      </c>
      <c r="Y721" s="9" t="s">
        <v>4897</v>
      </c>
      <c r="Z721" s="9" t="s">
        <v>4898</v>
      </c>
      <c r="AA721" s="9" t="s">
        <v>4899</v>
      </c>
    </row>
    <row r="722" customFormat="false" ht="15" hidden="false" customHeight="true" outlineLevel="0" collapsed="false">
      <c r="A722" s="6" t="s">
        <v>2975</v>
      </c>
      <c r="B722" s="6" t="s">
        <v>531</v>
      </c>
      <c r="C722" s="6" t="s">
        <v>536</v>
      </c>
      <c r="D722" s="6" t="n">
        <v>6</v>
      </c>
      <c r="E722" s="9" t="s">
        <v>4988</v>
      </c>
      <c r="F722" s="6" t="n">
        <v>27048</v>
      </c>
      <c r="Q722" s="1" t="str">
        <f aca="false">IF($A721="","",IF(OR(F721="",I721=""),"",F721-I721))</f>
        <v/>
      </c>
      <c r="R722" s="1" t="str">
        <f aca="false">IF($A721="","",IF(Q721="","",Q721+IF(O721="",0,O721)))</f>
        <v/>
      </c>
      <c r="T722" s="1" t="str">
        <f aca="false">IF($A721="","",IF(R721="","",R721-IF(S721="",0,S721)))</f>
        <v/>
      </c>
      <c r="U722" s="1" t="str">
        <f aca="false">IF($A721="","",IF(I721="","",I721-SUM(J721:P721)))</f>
        <v/>
      </c>
      <c r="V722" s="6" t="s">
        <v>5195</v>
      </c>
      <c r="W722" s="9" t="s">
        <v>774</v>
      </c>
      <c r="X722" s="9" t="s">
        <v>5196</v>
      </c>
      <c r="Y722" s="9" t="s">
        <v>4897</v>
      </c>
      <c r="Z722" s="9" t="s">
        <v>4898</v>
      </c>
      <c r="AA722" s="9" t="s">
        <v>4899</v>
      </c>
    </row>
    <row r="723" customFormat="false" ht="15" hidden="false" customHeight="true" outlineLevel="0" collapsed="false">
      <c r="A723" s="6" t="s">
        <v>2978</v>
      </c>
      <c r="B723" s="6" t="s">
        <v>531</v>
      </c>
      <c r="C723" s="6" t="s">
        <v>536</v>
      </c>
      <c r="D723" s="6" t="n">
        <v>6</v>
      </c>
      <c r="E723" s="9" t="s">
        <v>4988</v>
      </c>
      <c r="F723" s="6" t="n">
        <v>19187</v>
      </c>
      <c r="Q723" s="1" t="str">
        <f aca="false">IF($A722="","",IF(OR(F722="",I722=""),"",F722-I722))</f>
        <v/>
      </c>
      <c r="R723" s="1" t="str">
        <f aca="false">IF($A722="","",IF(Q722="","",Q722+IF(O722="",0,O722)))</f>
        <v/>
      </c>
      <c r="T723" s="1" t="str">
        <f aca="false">IF($A722="","",IF(R722="","",R722-IF(S722="",0,S722)))</f>
        <v/>
      </c>
      <c r="U723" s="1" t="str">
        <f aca="false">IF($A722="","",IF(I722="","",I722-SUM(J722:P722)))</f>
        <v/>
      </c>
      <c r="V723" s="6" t="s">
        <v>5195</v>
      </c>
      <c r="W723" s="9" t="s">
        <v>774</v>
      </c>
      <c r="X723" s="9" t="s">
        <v>5196</v>
      </c>
      <c r="Y723" s="9" t="s">
        <v>4897</v>
      </c>
      <c r="Z723" s="9" t="s">
        <v>4898</v>
      </c>
      <c r="AA723" s="9" t="s">
        <v>4899</v>
      </c>
    </row>
    <row r="724" customFormat="false" ht="15" hidden="false" customHeight="true" outlineLevel="0" collapsed="false">
      <c r="A724" s="6" t="s">
        <v>2981</v>
      </c>
      <c r="B724" s="6" t="s">
        <v>531</v>
      </c>
      <c r="C724" s="6" t="s">
        <v>536</v>
      </c>
      <c r="D724" s="6" t="n">
        <v>6</v>
      </c>
      <c r="E724" s="9" t="s">
        <v>4988</v>
      </c>
      <c r="F724" s="6" t="n">
        <v>31264</v>
      </c>
      <c r="Q724" s="1" t="str">
        <f aca="false">IF($A723="","",IF(OR(F723="",I723=""),"",F723-I723))</f>
        <v/>
      </c>
      <c r="R724" s="1" t="str">
        <f aca="false">IF($A723="","",IF(Q723="","",Q723+IF(O723="",0,O723)))</f>
        <v/>
      </c>
      <c r="T724" s="1" t="str">
        <f aca="false">IF($A723="","",IF(R723="","",R723-IF(S723="",0,S723)))</f>
        <v/>
      </c>
      <c r="U724" s="1" t="str">
        <f aca="false">IF($A723="","",IF(I723="","",I723-SUM(J723:P723)))</f>
        <v/>
      </c>
      <c r="V724" s="6" t="s">
        <v>5195</v>
      </c>
      <c r="W724" s="9" t="s">
        <v>774</v>
      </c>
      <c r="X724" s="9" t="s">
        <v>5196</v>
      </c>
      <c r="Y724" s="9" t="s">
        <v>4897</v>
      </c>
      <c r="Z724" s="9" t="s">
        <v>4898</v>
      </c>
      <c r="AA724" s="9" t="s">
        <v>4899</v>
      </c>
    </row>
    <row r="725" customFormat="false" ht="15" hidden="false" customHeight="true" outlineLevel="0" collapsed="false">
      <c r="A725" s="6" t="s">
        <v>2984</v>
      </c>
      <c r="B725" s="6" t="s">
        <v>531</v>
      </c>
      <c r="C725" s="6" t="s">
        <v>536</v>
      </c>
      <c r="D725" s="6" t="n">
        <v>6</v>
      </c>
      <c r="E725" s="9" t="s">
        <v>4988</v>
      </c>
      <c r="F725" s="6" t="n">
        <v>66426</v>
      </c>
      <c r="Q725" s="1" t="str">
        <f aca="false">IF($A724="","",IF(OR(F724="",I724=""),"",F724-I724))</f>
        <v/>
      </c>
      <c r="R725" s="1" t="str">
        <f aca="false">IF($A724="","",IF(Q724="","",Q724+IF(O724="",0,O724)))</f>
        <v/>
      </c>
      <c r="T725" s="1" t="str">
        <f aca="false">IF($A724="","",IF(R724="","",R724-IF(S724="",0,S724)))</f>
        <v/>
      </c>
      <c r="U725" s="1" t="str">
        <f aca="false">IF($A724="","",IF(I724="","",I724-SUM(J724:P724)))</f>
        <v/>
      </c>
      <c r="V725" s="6" t="s">
        <v>5195</v>
      </c>
      <c r="W725" s="9" t="s">
        <v>774</v>
      </c>
      <c r="X725" s="9" t="s">
        <v>5196</v>
      </c>
      <c r="Y725" s="9" t="s">
        <v>4897</v>
      </c>
      <c r="Z725" s="9" t="s">
        <v>4898</v>
      </c>
      <c r="AA725" s="9" t="s">
        <v>4899</v>
      </c>
    </row>
    <row r="726" customFormat="false" ht="15" hidden="false" customHeight="true" outlineLevel="0" collapsed="false">
      <c r="A726" s="6" t="s">
        <v>2987</v>
      </c>
      <c r="B726" s="6" t="s">
        <v>531</v>
      </c>
      <c r="C726" s="6" t="s">
        <v>536</v>
      </c>
      <c r="D726" s="6" t="n">
        <v>6</v>
      </c>
      <c r="E726" s="9" t="s">
        <v>4988</v>
      </c>
      <c r="F726" s="6" t="n">
        <v>29729</v>
      </c>
      <c r="Q726" s="1" t="str">
        <f aca="false">IF($A725="","",IF(OR(F725="",I725=""),"",F725-I725))</f>
        <v/>
      </c>
      <c r="R726" s="1" t="str">
        <f aca="false">IF($A725="","",IF(Q725="","",Q725+IF(O725="",0,O725)))</f>
        <v/>
      </c>
      <c r="T726" s="1" t="str">
        <f aca="false">IF($A725="","",IF(R725="","",R725-IF(S725="",0,S725)))</f>
        <v/>
      </c>
      <c r="U726" s="1" t="str">
        <f aca="false">IF($A725="","",IF(I725="","",I725-SUM(J725:P725)))</f>
        <v/>
      </c>
      <c r="V726" s="6" t="s">
        <v>5195</v>
      </c>
      <c r="W726" s="9" t="s">
        <v>774</v>
      </c>
      <c r="X726" s="9" t="s">
        <v>5196</v>
      </c>
      <c r="Y726" s="9" t="s">
        <v>4897</v>
      </c>
      <c r="Z726" s="9" t="s">
        <v>4898</v>
      </c>
      <c r="AA726" s="9" t="s">
        <v>4899</v>
      </c>
    </row>
    <row r="727" customFormat="false" ht="15" hidden="false" customHeight="true" outlineLevel="0" collapsed="false">
      <c r="A727" s="6" t="s">
        <v>2990</v>
      </c>
      <c r="B727" s="6" t="s">
        <v>531</v>
      </c>
      <c r="C727" s="6" t="s">
        <v>536</v>
      </c>
      <c r="D727" s="6" t="n">
        <v>6</v>
      </c>
      <c r="E727" s="9" t="s">
        <v>4988</v>
      </c>
      <c r="F727" s="6" t="n">
        <v>81336</v>
      </c>
      <c r="Q727" s="1" t="str">
        <f aca="false">IF($A726="","",IF(OR(F726="",I726=""),"",F726-I726))</f>
        <v/>
      </c>
      <c r="R727" s="1" t="str">
        <f aca="false">IF($A726="","",IF(Q726="","",Q726+IF(O726="",0,O726)))</f>
        <v/>
      </c>
      <c r="T727" s="1" t="str">
        <f aca="false">IF($A726="","",IF(R726="","",R726-IF(S726="",0,S726)))</f>
        <v/>
      </c>
      <c r="U727" s="1" t="str">
        <f aca="false">IF($A726="","",IF(I726="","",I726-SUM(J726:P726)))</f>
        <v/>
      </c>
      <c r="V727" s="6" t="s">
        <v>5195</v>
      </c>
      <c r="W727" s="9" t="s">
        <v>774</v>
      </c>
      <c r="X727" s="9" t="s">
        <v>5196</v>
      </c>
      <c r="Y727" s="9" t="s">
        <v>4897</v>
      </c>
      <c r="Z727" s="9" t="s">
        <v>4898</v>
      </c>
      <c r="AA727" s="9" t="s">
        <v>4899</v>
      </c>
    </row>
    <row r="728" customFormat="false" ht="15" hidden="false" customHeight="true" outlineLevel="0" collapsed="false">
      <c r="A728" s="6" t="s">
        <v>2993</v>
      </c>
      <c r="B728" s="6" t="s">
        <v>531</v>
      </c>
      <c r="C728" s="6" t="s">
        <v>536</v>
      </c>
      <c r="D728" s="6" t="n">
        <v>6</v>
      </c>
      <c r="E728" s="9" t="s">
        <v>4988</v>
      </c>
      <c r="F728" s="6" t="n">
        <v>34962</v>
      </c>
      <c r="Q728" s="1" t="str">
        <f aca="false">IF($A727="","",IF(OR(F727="",I727=""),"",F727-I727))</f>
        <v/>
      </c>
      <c r="R728" s="1" t="str">
        <f aca="false">IF($A727="","",IF(Q727="","",Q727+IF(O727="",0,O727)))</f>
        <v/>
      </c>
      <c r="T728" s="1" t="str">
        <f aca="false">IF($A727="","",IF(R727="","",R727-IF(S727="",0,S727)))</f>
        <v/>
      </c>
      <c r="U728" s="1" t="str">
        <f aca="false">IF($A727="","",IF(I727="","",I727-SUM(J727:P727)))</f>
        <v/>
      </c>
      <c r="V728" s="6" t="s">
        <v>5195</v>
      </c>
      <c r="W728" s="9" t="s">
        <v>774</v>
      </c>
      <c r="X728" s="9" t="s">
        <v>5196</v>
      </c>
      <c r="Y728" s="9" t="s">
        <v>4897</v>
      </c>
      <c r="Z728" s="9" t="s">
        <v>4898</v>
      </c>
      <c r="AA728" s="9" t="s">
        <v>4899</v>
      </c>
    </row>
    <row r="729" customFormat="false" ht="15" hidden="false" customHeight="true" outlineLevel="0" collapsed="false">
      <c r="A729" s="6" t="s">
        <v>2996</v>
      </c>
      <c r="B729" s="6" t="s">
        <v>531</v>
      </c>
      <c r="C729" s="6" t="s">
        <v>536</v>
      </c>
      <c r="D729" s="6" t="n">
        <v>6</v>
      </c>
      <c r="E729" s="9" t="s">
        <v>4988</v>
      </c>
      <c r="F729" s="6" t="n">
        <v>93301</v>
      </c>
      <c r="Q729" s="1" t="str">
        <f aca="false">IF($A728="","",IF(OR(F728="",I728=""),"",F728-I728))</f>
        <v/>
      </c>
      <c r="R729" s="1" t="str">
        <f aca="false">IF($A728="","",IF(Q728="","",Q728+IF(O728="",0,O728)))</f>
        <v/>
      </c>
      <c r="T729" s="1" t="str">
        <f aca="false">IF($A728="","",IF(R728="","",R728-IF(S728="",0,S728)))</f>
        <v/>
      </c>
      <c r="U729" s="1" t="str">
        <f aca="false">IF($A728="","",IF(I728="","",I728-SUM(J728:P728)))</f>
        <v/>
      </c>
      <c r="V729" s="6" t="s">
        <v>5195</v>
      </c>
      <c r="W729" s="9" t="s">
        <v>774</v>
      </c>
      <c r="X729" s="9" t="s">
        <v>5196</v>
      </c>
      <c r="Y729" s="9" t="s">
        <v>4897</v>
      </c>
      <c r="Z729" s="9" t="s">
        <v>4898</v>
      </c>
      <c r="AA729" s="9" t="s">
        <v>4899</v>
      </c>
    </row>
    <row r="730" customFormat="false" ht="15" hidden="false" customHeight="true" outlineLevel="0" collapsed="false">
      <c r="A730" s="6" t="s">
        <v>2999</v>
      </c>
      <c r="B730" s="6" t="s">
        <v>531</v>
      </c>
      <c r="C730" s="6" t="s">
        <v>536</v>
      </c>
      <c r="D730" s="6" t="n">
        <v>6</v>
      </c>
      <c r="E730" s="9" t="s">
        <v>4988</v>
      </c>
      <c r="F730" s="6" t="n">
        <v>24364</v>
      </c>
      <c r="Q730" s="1" t="str">
        <f aca="false">IF($A729="","",IF(OR(F729="",I729=""),"",F729-I729))</f>
        <v/>
      </c>
      <c r="R730" s="1" t="str">
        <f aca="false">IF($A729="","",IF(Q729="","",Q729+IF(O729="",0,O729)))</f>
        <v/>
      </c>
      <c r="T730" s="1" t="str">
        <f aca="false">IF($A729="","",IF(R729="","",R729-IF(S729="",0,S729)))</f>
        <v/>
      </c>
      <c r="U730" s="1" t="str">
        <f aca="false">IF($A729="","",IF(I729="","",I729-SUM(J729:P729)))</f>
        <v/>
      </c>
      <c r="V730" s="6" t="s">
        <v>5195</v>
      </c>
      <c r="W730" s="9" t="s">
        <v>774</v>
      </c>
      <c r="X730" s="9" t="s">
        <v>5196</v>
      </c>
      <c r="Y730" s="9" t="s">
        <v>4897</v>
      </c>
      <c r="Z730" s="9" t="s">
        <v>4898</v>
      </c>
      <c r="AA730" s="9" t="s">
        <v>4899</v>
      </c>
    </row>
    <row r="731" customFormat="false" ht="15" hidden="false" customHeight="true" outlineLevel="0" collapsed="false">
      <c r="A731" s="6" t="s">
        <v>3002</v>
      </c>
      <c r="B731" s="6" t="s">
        <v>531</v>
      </c>
      <c r="C731" s="6" t="s">
        <v>536</v>
      </c>
      <c r="D731" s="6" t="n">
        <v>6</v>
      </c>
      <c r="E731" s="9" t="s">
        <v>4988</v>
      </c>
      <c r="F731" s="6" t="n">
        <v>20149</v>
      </c>
      <c r="Q731" s="1" t="str">
        <f aca="false">IF($A730="","",IF(OR(F730="",I730=""),"",F730-I730))</f>
        <v/>
      </c>
      <c r="R731" s="1" t="str">
        <f aca="false">IF($A730="","",IF(Q730="","",Q730+IF(O730="",0,O730)))</f>
        <v/>
      </c>
      <c r="T731" s="1" t="str">
        <f aca="false">IF($A730="","",IF(R730="","",R730-IF(S730="",0,S730)))</f>
        <v/>
      </c>
      <c r="U731" s="1" t="str">
        <f aca="false">IF($A730="","",IF(I730="","",I730-SUM(J730:P730)))</f>
        <v/>
      </c>
      <c r="V731" s="6" t="s">
        <v>5195</v>
      </c>
      <c r="W731" s="9" t="s">
        <v>774</v>
      </c>
      <c r="X731" s="9" t="s">
        <v>5196</v>
      </c>
      <c r="Y731" s="9" t="s">
        <v>4897</v>
      </c>
      <c r="Z731" s="9" t="s">
        <v>4898</v>
      </c>
      <c r="AA731" s="9" t="s">
        <v>4899</v>
      </c>
    </row>
    <row r="732" customFormat="false" ht="15" hidden="false" customHeight="true" outlineLevel="0" collapsed="false">
      <c r="A732" s="6" t="s">
        <v>3005</v>
      </c>
      <c r="B732" s="6" t="s">
        <v>531</v>
      </c>
      <c r="C732" s="6" t="s">
        <v>536</v>
      </c>
      <c r="D732" s="6" t="n">
        <v>6</v>
      </c>
      <c r="E732" s="9" t="s">
        <v>4988</v>
      </c>
      <c r="F732" s="6" t="n">
        <v>24934</v>
      </c>
      <c r="Q732" s="1" t="str">
        <f aca="false">IF($A731="","",IF(OR(F731="",I731=""),"",F731-I731))</f>
        <v/>
      </c>
      <c r="R732" s="1" t="str">
        <f aca="false">IF($A731="","",IF(Q731="","",Q731+IF(O731="",0,O731)))</f>
        <v/>
      </c>
      <c r="T732" s="1" t="str">
        <f aca="false">IF($A731="","",IF(R731="","",R731-IF(S731="",0,S731)))</f>
        <v/>
      </c>
      <c r="U732" s="1" t="str">
        <f aca="false">IF($A731="","",IF(I731="","",I731-SUM(J731:P731)))</f>
        <v/>
      </c>
      <c r="V732" s="6" t="s">
        <v>5195</v>
      </c>
      <c r="W732" s="9" t="s">
        <v>774</v>
      </c>
      <c r="X732" s="9" t="s">
        <v>5196</v>
      </c>
      <c r="Y732" s="9" t="s">
        <v>4897</v>
      </c>
      <c r="Z732" s="9" t="s">
        <v>4898</v>
      </c>
      <c r="AA732" s="9" t="s">
        <v>4899</v>
      </c>
    </row>
    <row r="733" customFormat="false" ht="15" hidden="false" customHeight="true" outlineLevel="0" collapsed="false">
      <c r="A733" s="6" t="s">
        <v>3008</v>
      </c>
      <c r="B733" s="6" t="s">
        <v>531</v>
      </c>
      <c r="C733" s="6" t="s">
        <v>536</v>
      </c>
      <c r="D733" s="6" t="n">
        <v>6</v>
      </c>
      <c r="E733" s="9" t="s">
        <v>4988</v>
      </c>
      <c r="F733" s="6" t="n">
        <v>20533</v>
      </c>
      <c r="Q733" s="1" t="str">
        <f aca="false">IF($A732="","",IF(OR(F732="",I732=""),"",F732-I732))</f>
        <v/>
      </c>
      <c r="R733" s="1" t="str">
        <f aca="false">IF($A732="","",IF(Q732="","",Q732+IF(O732="",0,O732)))</f>
        <v/>
      </c>
      <c r="T733" s="1" t="str">
        <f aca="false">IF($A732="","",IF(R732="","",R732-IF(S732="",0,S732)))</f>
        <v/>
      </c>
      <c r="U733" s="1" t="str">
        <f aca="false">IF($A732="","",IF(I732="","",I732-SUM(J732:P732)))</f>
        <v/>
      </c>
      <c r="V733" s="6" t="s">
        <v>5195</v>
      </c>
      <c r="W733" s="9" t="s">
        <v>774</v>
      </c>
      <c r="X733" s="9" t="s">
        <v>5196</v>
      </c>
      <c r="Y733" s="9" t="s">
        <v>4897</v>
      </c>
      <c r="Z733" s="9" t="s">
        <v>4898</v>
      </c>
      <c r="AA733" s="9" t="s">
        <v>4899</v>
      </c>
    </row>
    <row r="734" customFormat="false" ht="15" hidden="false" customHeight="true" outlineLevel="0" collapsed="false">
      <c r="A734" s="6" t="s">
        <v>3011</v>
      </c>
      <c r="B734" s="6" t="s">
        <v>531</v>
      </c>
      <c r="C734" s="6" t="s">
        <v>536</v>
      </c>
      <c r="D734" s="6" t="n">
        <v>6</v>
      </c>
      <c r="E734" s="9" t="s">
        <v>4988</v>
      </c>
      <c r="F734" s="6" t="n">
        <v>77026</v>
      </c>
      <c r="Q734" s="1" t="str">
        <f aca="false">IF($A733="","",IF(OR(F733="",I733=""),"",F733-I733))</f>
        <v/>
      </c>
      <c r="R734" s="1" t="str">
        <f aca="false">IF($A733="","",IF(Q733="","",Q733+IF(O733="",0,O733)))</f>
        <v/>
      </c>
      <c r="T734" s="1" t="str">
        <f aca="false">IF($A733="","",IF(R733="","",R733-IF(S733="",0,S733)))</f>
        <v/>
      </c>
      <c r="U734" s="1" t="str">
        <f aca="false">IF($A733="","",IF(I733="","",I733-SUM(J733:P733)))</f>
        <v/>
      </c>
      <c r="V734" s="6" t="s">
        <v>5195</v>
      </c>
      <c r="W734" s="9" t="s">
        <v>774</v>
      </c>
      <c r="X734" s="9" t="s">
        <v>5196</v>
      </c>
      <c r="Y734" s="9" t="s">
        <v>4897</v>
      </c>
      <c r="Z734" s="9" t="s">
        <v>4898</v>
      </c>
      <c r="AA734" s="9" t="s">
        <v>4899</v>
      </c>
    </row>
    <row r="735" customFormat="false" ht="15" hidden="false" customHeight="true" outlineLevel="0" collapsed="false">
      <c r="A735" s="6" t="s">
        <v>3014</v>
      </c>
      <c r="B735" s="6" t="s">
        <v>531</v>
      </c>
      <c r="C735" s="6" t="s">
        <v>536</v>
      </c>
      <c r="D735" s="6" t="n">
        <v>6</v>
      </c>
      <c r="E735" s="9" t="s">
        <v>4988</v>
      </c>
      <c r="F735" s="6" t="n">
        <v>21003</v>
      </c>
      <c r="Q735" s="1" t="str">
        <f aca="false">IF($A734="","",IF(OR(F734="",I734=""),"",F734-I734))</f>
        <v/>
      </c>
      <c r="R735" s="1" t="str">
        <f aca="false">IF($A734="","",IF(Q734="","",Q734+IF(O734="",0,O734)))</f>
        <v/>
      </c>
      <c r="T735" s="1" t="str">
        <f aca="false">IF($A734="","",IF(R734="","",R734-IF(S734="",0,S734)))</f>
        <v/>
      </c>
      <c r="U735" s="1" t="str">
        <f aca="false">IF($A734="","",IF(I734="","",I734-SUM(J734:P734)))</f>
        <v/>
      </c>
      <c r="V735" s="6" t="s">
        <v>5195</v>
      </c>
      <c r="W735" s="9" t="s">
        <v>774</v>
      </c>
      <c r="X735" s="9" t="s">
        <v>5196</v>
      </c>
      <c r="Y735" s="9" t="s">
        <v>4897</v>
      </c>
      <c r="Z735" s="9" t="s">
        <v>4898</v>
      </c>
      <c r="AA735" s="9" t="s">
        <v>4899</v>
      </c>
    </row>
    <row r="736" customFormat="false" ht="15" hidden="false" customHeight="true" outlineLevel="0" collapsed="false">
      <c r="A736" s="6" t="s">
        <v>3017</v>
      </c>
      <c r="B736" s="6" t="s">
        <v>531</v>
      </c>
      <c r="C736" s="6" t="s">
        <v>536</v>
      </c>
      <c r="D736" s="6" t="n">
        <v>6</v>
      </c>
      <c r="E736" s="9" t="s">
        <v>4988</v>
      </c>
      <c r="F736" s="6" t="n">
        <v>34844</v>
      </c>
      <c r="Q736" s="1" t="str">
        <f aca="false">IF($A735="","",IF(OR(F735="",I735=""),"",F735-I735))</f>
        <v/>
      </c>
      <c r="R736" s="1" t="str">
        <f aca="false">IF($A735="","",IF(Q735="","",Q735+IF(O735="",0,O735)))</f>
        <v/>
      </c>
      <c r="T736" s="1" t="str">
        <f aca="false">IF($A735="","",IF(R735="","",R735-IF(S735="",0,S735)))</f>
        <v/>
      </c>
      <c r="U736" s="1" t="str">
        <f aca="false">IF($A735="","",IF(I735="","",I735-SUM(J735:P735)))</f>
        <v/>
      </c>
      <c r="V736" s="6" t="s">
        <v>5195</v>
      </c>
      <c r="W736" s="9" t="s">
        <v>774</v>
      </c>
      <c r="X736" s="9" t="s">
        <v>5196</v>
      </c>
      <c r="Y736" s="9" t="s">
        <v>4897</v>
      </c>
      <c r="Z736" s="9" t="s">
        <v>4898</v>
      </c>
      <c r="AA736" s="9" t="s">
        <v>4899</v>
      </c>
    </row>
    <row r="737" customFormat="false" ht="15" hidden="false" customHeight="true" outlineLevel="0" collapsed="false">
      <c r="A737" s="6" t="s">
        <v>3020</v>
      </c>
      <c r="B737" s="6" t="s">
        <v>531</v>
      </c>
      <c r="C737" s="6" t="s">
        <v>536</v>
      </c>
      <c r="D737" s="6" t="n">
        <v>6</v>
      </c>
      <c r="E737" s="9" t="s">
        <v>4988</v>
      </c>
      <c r="F737" s="6" t="n">
        <v>28097</v>
      </c>
      <c r="Q737" s="1" t="str">
        <f aca="false">IF($A736="","",IF(OR(F736="",I736=""),"",F736-I736))</f>
        <v/>
      </c>
      <c r="R737" s="1" t="str">
        <f aca="false">IF($A736="","",IF(Q736="","",Q736+IF(O736="",0,O736)))</f>
        <v/>
      </c>
      <c r="T737" s="1" t="str">
        <f aca="false">IF($A736="","",IF(R736="","",R736-IF(S736="",0,S736)))</f>
        <v/>
      </c>
      <c r="U737" s="1" t="str">
        <f aca="false">IF($A736="","",IF(I736="","",I736-SUM(J736:P736)))</f>
        <v/>
      </c>
      <c r="V737" s="6" t="s">
        <v>5195</v>
      </c>
      <c r="W737" s="9" t="s">
        <v>774</v>
      </c>
      <c r="X737" s="9" t="s">
        <v>5196</v>
      </c>
      <c r="Y737" s="9" t="s">
        <v>4897</v>
      </c>
      <c r="Z737" s="9" t="s">
        <v>4898</v>
      </c>
      <c r="AA737" s="9" t="s">
        <v>4899</v>
      </c>
    </row>
    <row r="738" customFormat="false" ht="15" hidden="false" customHeight="true" outlineLevel="0" collapsed="false">
      <c r="A738" s="6" t="s">
        <v>3023</v>
      </c>
      <c r="B738" s="6" t="s">
        <v>531</v>
      </c>
      <c r="C738" s="6" t="s">
        <v>536</v>
      </c>
      <c r="D738" s="6" t="n">
        <v>6</v>
      </c>
      <c r="E738" s="9" t="s">
        <v>4988</v>
      </c>
      <c r="F738" s="6" t="n">
        <v>32054</v>
      </c>
      <c r="Q738" s="1" t="str">
        <f aca="false">IF($A737="","",IF(OR(F737="",I737=""),"",F737-I737))</f>
        <v/>
      </c>
      <c r="R738" s="1" t="str">
        <f aca="false">IF($A737="","",IF(Q737="","",Q737+IF(O737="",0,O737)))</f>
        <v/>
      </c>
      <c r="T738" s="1" t="str">
        <f aca="false">IF($A737="","",IF(R737="","",R737-IF(S737="",0,S737)))</f>
        <v/>
      </c>
      <c r="U738" s="1" t="str">
        <f aca="false">IF($A737="","",IF(I737="","",I737-SUM(J737:P737)))</f>
        <v/>
      </c>
      <c r="V738" s="6" t="s">
        <v>5195</v>
      </c>
      <c r="W738" s="9" t="s">
        <v>774</v>
      </c>
      <c r="X738" s="9" t="s">
        <v>5196</v>
      </c>
      <c r="Y738" s="9" t="s">
        <v>4897</v>
      </c>
      <c r="Z738" s="9" t="s">
        <v>4898</v>
      </c>
      <c r="AA738" s="9" t="s">
        <v>4899</v>
      </c>
    </row>
    <row r="739" customFormat="false" ht="15" hidden="false" customHeight="true" outlineLevel="0" collapsed="false">
      <c r="A739" s="6" t="s">
        <v>3026</v>
      </c>
      <c r="B739" s="6" t="s">
        <v>531</v>
      </c>
      <c r="C739" s="6" t="s">
        <v>536</v>
      </c>
      <c r="D739" s="6" t="n">
        <v>6</v>
      </c>
      <c r="E739" s="9" t="s">
        <v>4988</v>
      </c>
      <c r="F739" s="6" t="n">
        <v>25673</v>
      </c>
      <c r="G739" s="1" t="n">
        <v>8140845</v>
      </c>
      <c r="H739" s="1" t="n">
        <v>884196</v>
      </c>
      <c r="I739" s="1" t="n">
        <v>3782182</v>
      </c>
      <c r="J739" s="1" t="n">
        <v>960470</v>
      </c>
      <c r="K739" s="1" t="n">
        <v>375536</v>
      </c>
      <c r="L739" s="1" t="n">
        <v>597387</v>
      </c>
      <c r="M739" s="1" t="n">
        <v>8120</v>
      </c>
      <c r="N739" s="1" t="n">
        <v>446050</v>
      </c>
      <c r="O739" s="1" t="n">
        <v>1165766</v>
      </c>
      <c r="P739" s="1" t="n">
        <v>228850</v>
      </c>
      <c r="Q739" s="1" t="str">
        <f aca="false">IF($A738="","",IF(OR(F738="",I738=""),"",F738-I738))</f>
        <v/>
      </c>
      <c r="R739" s="1" t="str">
        <f aca="false">IF($A738="","",IF(Q738="","",Q738+IF(O738="",0,O738)))</f>
        <v/>
      </c>
      <c r="S739" s="1" t="n">
        <v>1275130</v>
      </c>
      <c r="T739" s="1" t="str">
        <f aca="false">IF($A738="","",IF(R738="","",R738-IF(S738="",0,S738)))</f>
        <v/>
      </c>
      <c r="U739" s="1" t="str">
        <f aca="false">IF($A738="","",IF(I738="","",I738-SUM(J738:P738)))</f>
        <v/>
      </c>
      <c r="V739" s="6" t="s">
        <v>5195</v>
      </c>
      <c r="W739" s="49" t="s">
        <v>774</v>
      </c>
      <c r="X739" s="9" t="s">
        <v>5196</v>
      </c>
      <c r="Y739" s="9" t="s">
        <v>4897</v>
      </c>
      <c r="Z739" s="9" t="s">
        <v>4898</v>
      </c>
      <c r="AA739" s="9" t="s">
        <v>4899</v>
      </c>
    </row>
    <row r="740" customFormat="false" ht="15" hidden="false" customHeight="true" outlineLevel="0" collapsed="false">
      <c r="A740" s="6" t="s">
        <v>3030</v>
      </c>
      <c r="B740" s="6" t="s">
        <v>538</v>
      </c>
      <c r="C740" s="6" t="s">
        <v>542</v>
      </c>
      <c r="D740" s="6" t="n">
        <v>6</v>
      </c>
      <c r="E740" s="9" t="s">
        <v>4894</v>
      </c>
      <c r="F740" s="6" t="n">
        <v>12864295</v>
      </c>
      <c r="G740" s="6" t="n">
        <v>12376825</v>
      </c>
      <c r="H740" s="6" t="n">
        <v>487470</v>
      </c>
      <c r="I740" s="6" t="n">
        <v>5727494</v>
      </c>
      <c r="J740" s="6" t="n">
        <v>1089958</v>
      </c>
      <c r="K740" s="6" t="n">
        <v>265748</v>
      </c>
      <c r="L740" s="6" t="n">
        <v>808680</v>
      </c>
      <c r="M740" s="6" t="n">
        <v>20084</v>
      </c>
      <c r="N740" s="6" t="n">
        <v>433713</v>
      </c>
      <c r="O740" s="6" t="n">
        <v>2314026</v>
      </c>
      <c r="P740" s="6" t="n">
        <v>795281</v>
      </c>
      <c r="Q740" s="1" t="n">
        <f aca="false">IF($A600="","",IF(OR(F600="",I600=""),"",F600-I600))</f>
        <v>7136801</v>
      </c>
      <c r="R740" s="1" t="str">
        <f aca="false">IF($A600="","",IF(Q600="","",Q600+IF(O600="",0,O600)))</f>
        <v/>
      </c>
      <c r="T740" s="1" t="str">
        <f aca="false">IF($A600="","",IF(R600="","",R600-IF(S600="",0,S600)))</f>
        <v/>
      </c>
      <c r="U740" s="1" t="n">
        <f aca="false">IF($A600="","",IF(I600="","",I600-SUM(J600:P600)))</f>
        <v>4</v>
      </c>
      <c r="V740" s="6" t="s">
        <v>5204</v>
      </c>
      <c r="W740" s="9" t="s">
        <v>767</v>
      </c>
      <c r="X740" s="9" t="s">
        <v>5205</v>
      </c>
      <c r="Y740" s="9" t="s">
        <v>4897</v>
      </c>
      <c r="Z740" s="9" t="s">
        <v>4898</v>
      </c>
      <c r="AA740" s="9" t="s">
        <v>4899</v>
      </c>
    </row>
    <row r="741" customFormat="false" ht="15" hidden="false" customHeight="true" outlineLevel="0" collapsed="false">
      <c r="A741" s="6" t="s">
        <v>3036</v>
      </c>
      <c r="B741" s="6" t="s">
        <v>538</v>
      </c>
      <c r="C741" s="6" t="s">
        <v>542</v>
      </c>
      <c r="D741" s="6" t="n">
        <v>6</v>
      </c>
      <c r="E741" s="9" t="s">
        <v>5206</v>
      </c>
      <c r="F741" s="6" t="n">
        <v>178000</v>
      </c>
      <c r="Q741" s="1" t="str">
        <f aca="false">IF($A450="","",IF(OR(F450="",I450=""),"",F450-I450))</f>
        <v/>
      </c>
      <c r="R741" s="1" t="str">
        <f aca="false">IF($A450="","",IF(Q450="","",Q450+IF(O450="",0,O450)))</f>
        <v/>
      </c>
      <c r="T741" s="1" t="str">
        <f aca="false">IF($A450="","",IF(R450="","",R450-IF(S450="",0,S450)))</f>
        <v/>
      </c>
      <c r="U741" s="1" t="str">
        <f aca="false">IF($A450="","",IF(I450="","",I450-SUM(J450:P450)))</f>
        <v/>
      </c>
      <c r="V741" s="6" t="s">
        <v>5207</v>
      </c>
      <c r="W741" s="9" t="s">
        <v>767</v>
      </c>
      <c r="X741" s="9" t="s">
        <v>5208</v>
      </c>
      <c r="Y741" s="9" t="s">
        <v>4897</v>
      </c>
      <c r="Z741" s="9" t="s">
        <v>4898</v>
      </c>
      <c r="AA741" s="9" t="s">
        <v>4903</v>
      </c>
    </row>
    <row r="742" customFormat="false" ht="15" hidden="false" customHeight="true" outlineLevel="0" collapsed="false">
      <c r="A742" s="6" t="s">
        <v>3039</v>
      </c>
      <c r="B742" s="6" t="s">
        <v>538</v>
      </c>
      <c r="C742" s="6" t="s">
        <v>542</v>
      </c>
      <c r="D742" s="6" t="n">
        <v>6</v>
      </c>
      <c r="E742" s="9" t="s">
        <v>5206</v>
      </c>
      <c r="F742" s="6" t="n">
        <v>48000</v>
      </c>
      <c r="Q742" s="1" t="str">
        <f aca="false">IF($A451="","",IF(OR(F451="",I451=""),"",F451-I451))</f>
        <v/>
      </c>
      <c r="R742" s="1" t="str">
        <f aca="false">IF($A451="","",IF(Q451="","",Q451+IF(O451="",0,O451)))</f>
        <v/>
      </c>
      <c r="T742" s="1" t="str">
        <f aca="false">IF($A451="","",IF(R451="","",R451-IF(S451="",0,S451)))</f>
        <v/>
      </c>
      <c r="U742" s="1" t="str">
        <f aca="false">IF($A451="","",IF(I451="","",I451-SUM(J451:P451)))</f>
        <v/>
      </c>
      <c r="V742" s="6" t="s">
        <v>5207</v>
      </c>
      <c r="W742" s="9" t="s">
        <v>767</v>
      </c>
      <c r="X742" s="9" t="s">
        <v>5209</v>
      </c>
      <c r="Y742" s="9" t="s">
        <v>4897</v>
      </c>
      <c r="Z742" s="9" t="s">
        <v>4898</v>
      </c>
      <c r="AA742" s="9" t="s">
        <v>4943</v>
      </c>
    </row>
    <row r="743" customFormat="false" ht="15" hidden="false" customHeight="true" outlineLevel="0" collapsed="false">
      <c r="A743" s="6" t="s">
        <v>3042</v>
      </c>
      <c r="B743" s="6" t="s">
        <v>538</v>
      </c>
      <c r="C743" s="6" t="s">
        <v>542</v>
      </c>
      <c r="D743" s="6" t="n">
        <v>6</v>
      </c>
      <c r="E743" s="9" t="s">
        <v>5206</v>
      </c>
      <c r="F743" s="6" t="n">
        <v>61000</v>
      </c>
      <c r="Q743" s="1" t="str">
        <f aca="false">IF($A452="","",IF(OR(F452="",I452=""),"",F452-I452))</f>
        <v/>
      </c>
      <c r="R743" s="1" t="str">
        <f aca="false">IF($A452="","",IF(Q452="","",Q452+IF(O452="",0,O452)))</f>
        <v/>
      </c>
      <c r="T743" s="1" t="str">
        <f aca="false">IF($A452="","",IF(R452="","",R452-IF(S452="",0,S452)))</f>
        <v/>
      </c>
      <c r="U743" s="1" t="str">
        <f aca="false">IF($A452="","",IF(I452="","",I452-SUM(J452:P452)))</f>
        <v/>
      </c>
      <c r="V743" s="6" t="s">
        <v>5207</v>
      </c>
      <c r="W743" s="9" t="s">
        <v>767</v>
      </c>
      <c r="X743" s="9" t="s">
        <v>5210</v>
      </c>
      <c r="Y743" s="9" t="s">
        <v>4897</v>
      </c>
      <c r="Z743" s="9" t="s">
        <v>4898</v>
      </c>
      <c r="AA743" s="9" t="s">
        <v>4903</v>
      </c>
    </row>
    <row r="744" customFormat="false" ht="15" hidden="false" customHeight="true" outlineLevel="0" collapsed="false">
      <c r="A744" s="6" t="s">
        <v>3045</v>
      </c>
      <c r="B744" s="6" t="s">
        <v>538</v>
      </c>
      <c r="C744" s="6" t="s">
        <v>542</v>
      </c>
      <c r="D744" s="6" t="n">
        <v>6</v>
      </c>
      <c r="E744" s="9" t="s">
        <v>5211</v>
      </c>
      <c r="F744" s="6" t="n">
        <v>12000</v>
      </c>
      <c r="Q744" s="1" t="str">
        <f aca="false">IF($A453="","",IF(OR(F453="",I453=""),"",F453-I453))</f>
        <v/>
      </c>
      <c r="R744" s="1" t="str">
        <f aca="false">IF($A453="","",IF(Q453="","",Q453+IF(O453="",0,O453)))</f>
        <v/>
      </c>
      <c r="T744" s="1" t="str">
        <f aca="false">IF($A453="","",IF(R453="","",R453-IF(S453="",0,S453)))</f>
        <v/>
      </c>
      <c r="U744" s="1" t="str">
        <f aca="false">IF($A453="","",IF(I453="","",I453-SUM(J453:P453)))</f>
        <v/>
      </c>
      <c r="V744" s="6" t="s">
        <v>5207</v>
      </c>
      <c r="W744" s="9" t="s">
        <v>774</v>
      </c>
      <c r="X744" s="6" t="s">
        <v>5212</v>
      </c>
      <c r="Y744" s="6" t="s">
        <v>4920</v>
      </c>
      <c r="Z744" s="9" t="s">
        <v>4981</v>
      </c>
      <c r="AA744" s="9" t="s">
        <v>4943</v>
      </c>
    </row>
    <row r="745" customFormat="false" ht="15" hidden="false" customHeight="true" outlineLevel="0" collapsed="false">
      <c r="A745" s="6" t="s">
        <v>3048</v>
      </c>
      <c r="B745" s="6" t="s">
        <v>538</v>
      </c>
      <c r="C745" s="6" t="s">
        <v>542</v>
      </c>
      <c r="D745" s="6" t="n">
        <v>6</v>
      </c>
      <c r="E745" s="9" t="s">
        <v>5206</v>
      </c>
      <c r="F745" s="6" t="n">
        <v>48000</v>
      </c>
      <c r="Q745" s="1" t="str">
        <f aca="false">IF($A454="","",IF(OR(F454="",I454=""),"",F454-I454))</f>
        <v/>
      </c>
      <c r="R745" s="1" t="str">
        <f aca="false">IF($A454="","",IF(Q454="","",Q454+IF(O454="",0,O454)))</f>
        <v/>
      </c>
      <c r="T745" s="1" t="str">
        <f aca="false">IF($A454="","",IF(R454="","",R454-IF(S454="",0,S454)))</f>
        <v/>
      </c>
      <c r="U745" s="1" t="str">
        <f aca="false">IF($A454="","",IF(I454="","",I454-SUM(J454:P454)))</f>
        <v/>
      </c>
      <c r="V745" s="6" t="s">
        <v>5207</v>
      </c>
      <c r="W745" s="9" t="s">
        <v>767</v>
      </c>
      <c r="X745" s="9" t="s">
        <v>5209</v>
      </c>
      <c r="Y745" s="9" t="s">
        <v>4897</v>
      </c>
      <c r="Z745" s="9" t="s">
        <v>4898</v>
      </c>
      <c r="AA745" s="9" t="s">
        <v>4943</v>
      </c>
    </row>
    <row r="746" customFormat="false" ht="15" hidden="false" customHeight="true" outlineLevel="0" collapsed="false">
      <c r="A746" s="6" t="s">
        <v>3051</v>
      </c>
      <c r="B746" s="6" t="s">
        <v>538</v>
      </c>
      <c r="C746" s="6" t="s">
        <v>542</v>
      </c>
      <c r="D746" s="6" t="n">
        <v>6</v>
      </c>
      <c r="E746" s="9" t="s">
        <v>5206</v>
      </c>
      <c r="F746" s="6" t="n">
        <v>47000</v>
      </c>
      <c r="Q746" s="1" t="str">
        <f aca="false">IF($A455="","",IF(OR(F455="",I455=""),"",F455-I455))</f>
        <v/>
      </c>
      <c r="R746" s="1" t="str">
        <f aca="false">IF($A455="","",IF(Q455="","",Q455+IF(O455="",0,O455)))</f>
        <v/>
      </c>
      <c r="T746" s="1" t="str">
        <f aca="false">IF($A455="","",IF(R455="","",R455-IF(S455="",0,S455)))</f>
        <v/>
      </c>
      <c r="U746" s="1" t="str">
        <f aca="false">IF($A455="","",IF(I455="","",I455-SUM(J455:P455)))</f>
        <v/>
      </c>
      <c r="V746" s="6" t="s">
        <v>5207</v>
      </c>
      <c r="W746" s="9" t="s">
        <v>767</v>
      </c>
      <c r="X746" s="9" t="s">
        <v>5213</v>
      </c>
      <c r="Y746" s="9" t="s">
        <v>4897</v>
      </c>
      <c r="Z746" s="9" t="s">
        <v>4898</v>
      </c>
      <c r="AA746" s="9" t="s">
        <v>4943</v>
      </c>
    </row>
    <row r="747" customFormat="false" ht="15" hidden="false" customHeight="true" outlineLevel="0" collapsed="false">
      <c r="A747" s="6" t="s">
        <v>3054</v>
      </c>
      <c r="B747" s="6" t="s">
        <v>538</v>
      </c>
      <c r="C747" s="6" t="s">
        <v>542</v>
      </c>
      <c r="D747" s="6" t="n">
        <v>6</v>
      </c>
      <c r="E747" s="9" t="s">
        <v>5206</v>
      </c>
      <c r="F747" s="6" t="n">
        <v>71000</v>
      </c>
      <c r="Q747" s="1" t="str">
        <f aca="false">IF($A456="","",IF(OR(F456="",I456=""),"",F456-I456))</f>
        <v/>
      </c>
      <c r="R747" s="1" t="str">
        <f aca="false">IF($A456="","",IF(Q456="","",Q456+IF(O456="",0,O456)))</f>
        <v/>
      </c>
      <c r="T747" s="1" t="str">
        <f aca="false">IF($A456="","",IF(R456="","",R456-IF(S456="",0,S456)))</f>
        <v/>
      </c>
      <c r="U747" s="1" t="str">
        <f aca="false">IF($A456="","",IF(I456="","",I456-SUM(J456:P456)))</f>
        <v/>
      </c>
      <c r="V747" s="6" t="s">
        <v>5207</v>
      </c>
      <c r="W747" s="9" t="s">
        <v>767</v>
      </c>
      <c r="X747" s="9" t="s">
        <v>5214</v>
      </c>
      <c r="Y747" s="9" t="s">
        <v>4897</v>
      </c>
      <c r="Z747" s="9" t="s">
        <v>4898</v>
      </c>
      <c r="AA747" s="9" t="s">
        <v>4903</v>
      </c>
    </row>
    <row r="748" customFormat="false" ht="15" hidden="false" customHeight="true" outlineLevel="0" collapsed="false">
      <c r="A748" s="6" t="s">
        <v>3057</v>
      </c>
      <c r="B748" s="6" t="s">
        <v>538</v>
      </c>
      <c r="C748" s="6" t="s">
        <v>542</v>
      </c>
      <c r="D748" s="6" t="n">
        <v>6</v>
      </c>
      <c r="E748" s="9" t="s">
        <v>5211</v>
      </c>
      <c r="F748" s="6" t="n">
        <v>38000</v>
      </c>
      <c r="Q748" s="1" t="str">
        <f aca="false">IF($A457="","",IF(OR(F457="",I457=""),"",F457-I457))</f>
        <v/>
      </c>
      <c r="R748" s="1" t="str">
        <f aca="false">IF($A457="","",IF(Q457="","",Q457+IF(O457="",0,O457)))</f>
        <v/>
      </c>
      <c r="T748" s="1" t="str">
        <f aca="false">IF($A457="","",IF(R457="","",R457-IF(S457="",0,S457)))</f>
        <v/>
      </c>
      <c r="U748" s="1" t="str">
        <f aca="false">IF($A457="","",IF(I457="","",I457-SUM(J457:P457)))</f>
        <v/>
      </c>
      <c r="V748" s="6" t="s">
        <v>5207</v>
      </c>
      <c r="W748" s="9" t="s">
        <v>774</v>
      </c>
      <c r="X748" s="6" t="s">
        <v>5215</v>
      </c>
      <c r="Y748" s="6" t="s">
        <v>4920</v>
      </c>
      <c r="Z748" s="9" t="s">
        <v>4981</v>
      </c>
      <c r="AA748" s="9" t="s">
        <v>4943</v>
      </c>
    </row>
    <row r="749" customFormat="false" ht="15" hidden="false" customHeight="true" outlineLevel="0" collapsed="false">
      <c r="A749" s="6" t="s">
        <v>3060</v>
      </c>
      <c r="B749" s="6" t="s">
        <v>538</v>
      </c>
      <c r="C749" s="6" t="s">
        <v>542</v>
      </c>
      <c r="D749" s="6" t="n">
        <v>6</v>
      </c>
      <c r="E749" s="9" t="s">
        <v>5206</v>
      </c>
      <c r="F749" s="6" t="n">
        <v>57000</v>
      </c>
      <c r="Q749" s="1" t="str">
        <f aca="false">IF($A458="","",IF(OR(F458="",I458=""),"",F458-I458))</f>
        <v/>
      </c>
      <c r="R749" s="1" t="str">
        <f aca="false">IF($A458="","",IF(Q458="","",Q458+IF(O458="",0,O458)))</f>
        <v/>
      </c>
      <c r="T749" s="1" t="str">
        <f aca="false">IF($A458="","",IF(R458="","",R458-IF(S458="",0,S458)))</f>
        <v/>
      </c>
      <c r="U749" s="1" t="str">
        <f aca="false">IF($A458="","",IF(I458="","",I458-SUM(J458:P458)))</f>
        <v/>
      </c>
      <c r="V749" s="6" t="s">
        <v>5207</v>
      </c>
      <c r="W749" s="9" t="s">
        <v>767</v>
      </c>
      <c r="X749" s="9" t="s">
        <v>5216</v>
      </c>
      <c r="Y749" s="9" t="s">
        <v>4897</v>
      </c>
      <c r="Z749" s="9" t="s">
        <v>4898</v>
      </c>
      <c r="AA749" s="9" t="s">
        <v>4903</v>
      </c>
    </row>
    <row r="750" customFormat="false" ht="15" hidden="false" customHeight="true" outlineLevel="0" collapsed="false">
      <c r="A750" s="6" t="s">
        <v>3063</v>
      </c>
      <c r="B750" s="6" t="s">
        <v>538</v>
      </c>
      <c r="C750" s="6" t="s">
        <v>542</v>
      </c>
      <c r="D750" s="6" t="n">
        <v>6</v>
      </c>
      <c r="E750" s="9" t="s">
        <v>5206</v>
      </c>
      <c r="F750" s="6" t="n">
        <v>31000</v>
      </c>
      <c r="Q750" s="1" t="str">
        <f aca="false">IF($A459="","",IF(OR(F459="",I459=""),"",F459-I459))</f>
        <v/>
      </c>
      <c r="R750" s="1" t="str">
        <f aca="false">IF($A459="","",IF(Q459="","",Q459+IF(O459="",0,O459)))</f>
        <v/>
      </c>
      <c r="T750" s="1" t="str">
        <f aca="false">IF($A459="","",IF(R459="","",R459-IF(S459="",0,S459)))</f>
        <v/>
      </c>
      <c r="U750" s="1" t="str">
        <f aca="false">IF($A459="","",IF(I459="","",I459-SUM(J459:P459)))</f>
        <v/>
      </c>
      <c r="V750" s="6" t="s">
        <v>5207</v>
      </c>
      <c r="W750" s="9" t="s">
        <v>767</v>
      </c>
      <c r="X750" s="9" t="s">
        <v>5217</v>
      </c>
      <c r="Y750" s="9" t="s">
        <v>4897</v>
      </c>
      <c r="Z750" s="9" t="s">
        <v>4898</v>
      </c>
      <c r="AA750" s="9" t="s">
        <v>4943</v>
      </c>
    </row>
    <row r="751" customFormat="false" ht="15" hidden="false" customHeight="true" outlineLevel="0" collapsed="false">
      <c r="A751" s="6" t="s">
        <v>3066</v>
      </c>
      <c r="B751" s="6" t="s">
        <v>538</v>
      </c>
      <c r="C751" s="6" t="s">
        <v>542</v>
      </c>
      <c r="D751" s="6" t="n">
        <v>6</v>
      </c>
      <c r="E751" s="9" t="s">
        <v>5206</v>
      </c>
      <c r="F751" s="6" t="n">
        <v>48000</v>
      </c>
      <c r="Q751" s="1" t="str">
        <f aca="false">IF($A460="","",IF(OR(F460="",I460=""),"",F460-I460))</f>
        <v/>
      </c>
      <c r="R751" s="1" t="str">
        <f aca="false">IF($A460="","",IF(Q460="","",Q460+IF(O460="",0,O460)))</f>
        <v/>
      </c>
      <c r="T751" s="1" t="str">
        <f aca="false">IF($A460="","",IF(R460="","",R460-IF(S460="",0,S460)))</f>
        <v/>
      </c>
      <c r="U751" s="1" t="str">
        <f aca="false">IF($A460="","",IF(I460="","",I460-SUM(J460:P460)))</f>
        <v/>
      </c>
      <c r="V751" s="6" t="s">
        <v>5207</v>
      </c>
      <c r="W751" s="9" t="s">
        <v>767</v>
      </c>
      <c r="X751" s="9" t="s">
        <v>5209</v>
      </c>
      <c r="Y751" s="9" t="s">
        <v>4897</v>
      </c>
      <c r="Z751" s="9" t="s">
        <v>4898</v>
      </c>
      <c r="AA751" s="9" t="s">
        <v>4943</v>
      </c>
    </row>
    <row r="752" customFormat="false" ht="15" hidden="false" customHeight="true" outlineLevel="0" collapsed="false">
      <c r="A752" s="6" t="s">
        <v>3069</v>
      </c>
      <c r="B752" s="6" t="s">
        <v>538</v>
      </c>
      <c r="C752" s="6" t="s">
        <v>542</v>
      </c>
      <c r="D752" s="6" t="n">
        <v>6</v>
      </c>
      <c r="E752" s="9" t="s">
        <v>5211</v>
      </c>
      <c r="F752" s="6" t="n">
        <v>42000</v>
      </c>
      <c r="Q752" s="1" t="str">
        <f aca="false">IF($A461="","",IF(OR(F461="",I461=""),"",F461-I461))</f>
        <v/>
      </c>
      <c r="R752" s="1" t="str">
        <f aca="false">IF($A461="","",IF(Q461="","",Q461+IF(O461="",0,O461)))</f>
        <v/>
      </c>
      <c r="T752" s="1" t="str">
        <f aca="false">IF($A461="","",IF(R461="","",R461-IF(S461="",0,S461)))</f>
        <v/>
      </c>
      <c r="U752" s="1" t="str">
        <f aca="false">IF($A461="","",IF(I461="","",I461-SUM(J461:P461)))</f>
        <v/>
      </c>
      <c r="V752" s="6" t="s">
        <v>5207</v>
      </c>
      <c r="W752" s="9" t="s">
        <v>774</v>
      </c>
      <c r="X752" s="6" t="s">
        <v>5218</v>
      </c>
      <c r="Y752" s="6" t="s">
        <v>4920</v>
      </c>
      <c r="Z752" s="9" t="s">
        <v>4981</v>
      </c>
      <c r="AA752" s="9" t="s">
        <v>4943</v>
      </c>
    </row>
    <row r="753" customFormat="false" ht="15" hidden="false" customHeight="true" outlineLevel="0" collapsed="false">
      <c r="A753" s="6" t="s">
        <v>3072</v>
      </c>
      <c r="B753" s="6" t="s">
        <v>538</v>
      </c>
      <c r="C753" s="6" t="s">
        <v>542</v>
      </c>
      <c r="D753" s="6" t="n">
        <v>6</v>
      </c>
      <c r="E753" s="9" t="s">
        <v>5206</v>
      </c>
      <c r="F753" s="6" t="n">
        <v>31000</v>
      </c>
      <c r="Q753" s="1" t="str">
        <f aca="false">IF($A462="","",IF(OR(F462="",I462=""),"",F462-I462))</f>
        <v/>
      </c>
      <c r="R753" s="1" t="str">
        <f aca="false">IF($A462="","",IF(Q462="","",Q462+IF(O462="",0,O462)))</f>
        <v/>
      </c>
      <c r="T753" s="1" t="str">
        <f aca="false">IF($A462="","",IF(R462="","",R462-IF(S462="",0,S462)))</f>
        <v/>
      </c>
      <c r="U753" s="1" t="str">
        <f aca="false">IF($A462="","",IF(I462="","",I462-SUM(J462:P462)))</f>
        <v/>
      </c>
      <c r="V753" s="6" t="s">
        <v>5207</v>
      </c>
      <c r="W753" s="9" t="s">
        <v>767</v>
      </c>
      <c r="X753" s="9" t="s">
        <v>5217</v>
      </c>
      <c r="Y753" s="9" t="s">
        <v>4897</v>
      </c>
      <c r="Z753" s="9" t="s">
        <v>4898</v>
      </c>
      <c r="AA753" s="9" t="s">
        <v>4943</v>
      </c>
    </row>
    <row r="754" customFormat="false" ht="15" hidden="false" customHeight="true" outlineLevel="0" collapsed="false">
      <c r="A754" s="6" t="s">
        <v>3075</v>
      </c>
      <c r="B754" s="6" t="s">
        <v>538</v>
      </c>
      <c r="C754" s="6" t="s">
        <v>542</v>
      </c>
      <c r="D754" s="6" t="n">
        <v>6</v>
      </c>
      <c r="E754" s="9" t="s">
        <v>5206</v>
      </c>
      <c r="F754" s="6" t="n">
        <v>34000</v>
      </c>
      <c r="Q754" s="1" t="str">
        <f aca="false">IF($A463="","",IF(OR(F463="",I463=""),"",F463-I463))</f>
        <v/>
      </c>
      <c r="R754" s="1" t="str">
        <f aca="false">IF($A463="","",IF(Q463="","",Q463+IF(O463="",0,O463)))</f>
        <v/>
      </c>
      <c r="T754" s="1" t="str">
        <f aca="false">IF($A463="","",IF(R463="","",R463-IF(S463="",0,S463)))</f>
        <v/>
      </c>
      <c r="U754" s="1" t="str">
        <f aca="false">IF($A463="","",IF(I463="","",I463-SUM(J463:P463)))</f>
        <v/>
      </c>
      <c r="V754" s="6" t="s">
        <v>5207</v>
      </c>
      <c r="W754" s="9" t="s">
        <v>767</v>
      </c>
      <c r="X754" s="9" t="s">
        <v>5219</v>
      </c>
      <c r="Y754" s="9" t="s">
        <v>4897</v>
      </c>
      <c r="Z754" s="9" t="s">
        <v>4898</v>
      </c>
      <c r="AA754" s="9" t="s">
        <v>4943</v>
      </c>
    </row>
    <row r="755" customFormat="false" ht="15" hidden="false" customHeight="true" outlineLevel="0" collapsed="false">
      <c r="A755" s="6" t="s">
        <v>3078</v>
      </c>
      <c r="B755" s="6" t="s">
        <v>538</v>
      </c>
      <c r="C755" s="6" t="s">
        <v>542</v>
      </c>
      <c r="D755" s="6" t="n">
        <v>6</v>
      </c>
      <c r="E755" s="9" t="s">
        <v>5206</v>
      </c>
      <c r="F755" s="6" t="n">
        <v>103000</v>
      </c>
      <c r="Q755" s="1" t="str">
        <f aca="false">IF($A464="","",IF(OR(F464="",I464=""),"",F464-I464))</f>
        <v/>
      </c>
      <c r="R755" s="1" t="str">
        <f aca="false">IF($A464="","",IF(Q464="","",Q464+IF(O464="",0,O464)))</f>
        <v/>
      </c>
      <c r="T755" s="1" t="str">
        <f aca="false">IF($A464="","",IF(R464="","",R464-IF(S464="",0,S464)))</f>
        <v/>
      </c>
      <c r="U755" s="1" t="str">
        <f aca="false">IF($A464="","",IF(I464="","",I464-SUM(J464:P464)))</f>
        <v/>
      </c>
      <c r="V755" s="6" t="s">
        <v>5207</v>
      </c>
      <c r="W755" s="9" t="s">
        <v>767</v>
      </c>
      <c r="X755" s="9" t="s">
        <v>5220</v>
      </c>
      <c r="Y755" s="9" t="s">
        <v>4897</v>
      </c>
      <c r="Z755" s="9" t="s">
        <v>4898</v>
      </c>
      <c r="AA755" s="9" t="s">
        <v>4903</v>
      </c>
    </row>
    <row r="756" customFormat="false" ht="15" hidden="false" customHeight="true" outlineLevel="0" collapsed="false">
      <c r="A756" s="6" t="s">
        <v>3081</v>
      </c>
      <c r="B756" s="6" t="s">
        <v>538</v>
      </c>
      <c r="C756" s="6" t="s">
        <v>542</v>
      </c>
      <c r="D756" s="6" t="n">
        <v>6</v>
      </c>
      <c r="E756" s="9" t="s">
        <v>5206</v>
      </c>
      <c r="F756" s="6" t="n">
        <v>81000</v>
      </c>
      <c r="Q756" s="1" t="str">
        <f aca="false">IF($A465="","",IF(OR(F465="",I465=""),"",F465-I465))</f>
        <v/>
      </c>
      <c r="R756" s="1" t="str">
        <f aca="false">IF($A465="","",IF(Q465="","",Q465+IF(O465="",0,O465)))</f>
        <v/>
      </c>
      <c r="T756" s="1" t="n">
        <f aca="false">IF($A465="","",IF(R465="","",R465-IF(S465="",0,S465)))</f>
        <v>6128532</v>
      </c>
      <c r="U756" s="1" t="str">
        <f aca="false">IF($A465="","",IF(I465="","",I465-SUM(J465:P465)))</f>
        <v/>
      </c>
      <c r="V756" s="6" t="s">
        <v>5207</v>
      </c>
      <c r="W756" s="9" t="s">
        <v>767</v>
      </c>
      <c r="X756" s="9" t="s">
        <v>5221</v>
      </c>
      <c r="Y756" s="9" t="s">
        <v>4897</v>
      </c>
      <c r="Z756" s="9" t="s">
        <v>4898</v>
      </c>
      <c r="AA756" s="9" t="s">
        <v>4903</v>
      </c>
    </row>
    <row r="757" customFormat="false" ht="15" hidden="false" customHeight="true" outlineLevel="0" collapsed="false">
      <c r="A757" s="6" t="s">
        <v>3084</v>
      </c>
      <c r="B757" s="6" t="s">
        <v>538</v>
      </c>
      <c r="C757" s="6" t="s">
        <v>542</v>
      </c>
      <c r="D757" s="6" t="n">
        <v>6</v>
      </c>
      <c r="E757" s="9" t="s">
        <v>5211</v>
      </c>
      <c r="F757" s="6" t="n">
        <v>32000</v>
      </c>
      <c r="Q757" s="1" t="str">
        <f aca="false">IF($A466="","",IF(OR(F466="",I466=""),"",F466-I466))</f>
        <v/>
      </c>
      <c r="R757" s="1" t="str">
        <f aca="false">IF($A466="","",IF(Q466="","",Q466+IF(O466="",0,O466)))</f>
        <v/>
      </c>
      <c r="T757" s="1" t="n">
        <f aca="false">IF($A466="","",IF(R466="","",R466-IF(S466="",0,S466)))</f>
        <v>1850234</v>
      </c>
      <c r="U757" s="1" t="str">
        <f aca="false">IF($A466="","",IF(I466="","",I466-SUM(J466:P466)))</f>
        <v/>
      </c>
      <c r="V757" s="6" t="s">
        <v>5207</v>
      </c>
      <c r="W757" s="9" t="s">
        <v>774</v>
      </c>
      <c r="X757" s="6" t="s">
        <v>5222</v>
      </c>
      <c r="Y757" s="6" t="s">
        <v>4920</v>
      </c>
      <c r="Z757" s="9" t="s">
        <v>4981</v>
      </c>
      <c r="AA757" s="9" t="s">
        <v>4943</v>
      </c>
    </row>
    <row r="758" customFormat="false" ht="15" hidden="false" customHeight="true" outlineLevel="0" collapsed="false">
      <c r="A758" s="6" t="s">
        <v>3087</v>
      </c>
      <c r="B758" s="6" t="s">
        <v>538</v>
      </c>
      <c r="C758" s="6" t="s">
        <v>542</v>
      </c>
      <c r="D758" s="6" t="n">
        <v>6</v>
      </c>
      <c r="E758" s="9" t="s">
        <v>5206</v>
      </c>
      <c r="F758" s="6" t="n">
        <v>37000</v>
      </c>
      <c r="Q758" s="1" t="n">
        <f aca="false">IF($A467="","",IF(OR(F467="",I467=""),"",F467-I467))</f>
        <v>7566736</v>
      </c>
      <c r="R758" s="1" t="n">
        <f aca="false">IF($A467="","",IF(Q467="","",Q467+IF(O467="",0,O467)))</f>
        <v>-2102767</v>
      </c>
      <c r="T758" s="1" t="str">
        <f aca="false">IF($A467="","",IF(R467="","",R467-IF(S467="",0,S467)))</f>
        <v/>
      </c>
      <c r="U758" s="1" t="n">
        <f aca="false">IF($A467="","",IF(I467="","",I467-SUM(J467:P467)))</f>
        <v>3</v>
      </c>
      <c r="V758" s="6" t="s">
        <v>5207</v>
      </c>
      <c r="W758" s="9" t="s">
        <v>767</v>
      </c>
      <c r="X758" s="9" t="s">
        <v>5223</v>
      </c>
      <c r="Y758" s="9" t="s">
        <v>4897</v>
      </c>
      <c r="Z758" s="9" t="s">
        <v>4898</v>
      </c>
      <c r="AA758" s="9" t="s">
        <v>4943</v>
      </c>
    </row>
    <row r="759" customFormat="false" ht="15" hidden="false" customHeight="true" outlineLevel="0" collapsed="false">
      <c r="A759" s="6" t="s">
        <v>3090</v>
      </c>
      <c r="B759" s="6" t="s">
        <v>538</v>
      </c>
      <c r="C759" s="6" t="s">
        <v>542</v>
      </c>
      <c r="D759" s="6" t="n">
        <v>6</v>
      </c>
      <c r="E759" s="9" t="s">
        <v>5206</v>
      </c>
      <c r="F759" s="6" t="n">
        <v>64000</v>
      </c>
      <c r="Q759" s="1" t="n">
        <f aca="false">IF($A468="","",IF(OR(F468="",I468=""),"",F468-I468))</f>
        <v>168763</v>
      </c>
      <c r="R759" s="1" t="n">
        <f aca="false">IF($A468="","",IF(Q468="","",Q468+IF(O468="",0,O468)))</f>
        <v>118195</v>
      </c>
      <c r="T759" s="1" t="n">
        <f aca="false">IF($A468="","",IF(R468="","",R468-IF(S468="",0,S468)))</f>
        <v>144875</v>
      </c>
      <c r="U759" s="1" t="n">
        <f aca="false">IF($A468="","",IF(I468="","",I468-SUM(J468:P468)))</f>
        <v>3</v>
      </c>
      <c r="V759" s="6" t="s">
        <v>5207</v>
      </c>
      <c r="W759" s="9" t="s">
        <v>767</v>
      </c>
      <c r="X759" s="9" t="s">
        <v>5224</v>
      </c>
      <c r="Y759" s="9" t="s">
        <v>4897</v>
      </c>
      <c r="Z759" s="9" t="s">
        <v>4898</v>
      </c>
      <c r="AA759" s="9" t="s">
        <v>4903</v>
      </c>
    </row>
    <row r="760" customFormat="false" ht="15" hidden="false" customHeight="true" outlineLevel="0" collapsed="false">
      <c r="A760" s="6" t="s">
        <v>3093</v>
      </c>
      <c r="B760" s="6" t="s">
        <v>538</v>
      </c>
      <c r="C760" s="6" t="s">
        <v>542</v>
      </c>
      <c r="D760" s="6" t="n">
        <v>6</v>
      </c>
      <c r="E760" s="9" t="s">
        <v>5206</v>
      </c>
      <c r="F760" s="6" t="n">
        <v>68000</v>
      </c>
      <c r="Q760" s="1" t="n">
        <f aca="false">IF($A469="","",IF(OR(F469="",I469=""),"",F469-I469))</f>
        <v>224418</v>
      </c>
      <c r="R760" s="1" t="n">
        <f aca="false">IF($A469="","",IF(Q469="","",Q469+IF(O469="",0,O469)))</f>
        <v>44416</v>
      </c>
      <c r="T760" s="1" t="n">
        <f aca="false">IF($A469="","",IF(R469="","",R469-IF(S469="",0,S469)))</f>
        <v>446692</v>
      </c>
      <c r="U760" s="1" t="n">
        <f aca="false">IF($A469="","",IF(I469="","",I469-SUM(J469:P469)))</f>
        <v>2</v>
      </c>
      <c r="V760" s="6" t="s">
        <v>5207</v>
      </c>
      <c r="W760" s="9" t="s">
        <v>767</v>
      </c>
      <c r="X760" s="9" t="s">
        <v>5225</v>
      </c>
      <c r="Y760" s="9" t="s">
        <v>4897</v>
      </c>
      <c r="Z760" s="9" t="s">
        <v>4898</v>
      </c>
      <c r="AA760" s="9" t="s">
        <v>4903</v>
      </c>
    </row>
    <row r="761" customFormat="false" ht="15" hidden="false" customHeight="true" outlineLevel="0" collapsed="false">
      <c r="A761" s="6" t="s">
        <v>3096</v>
      </c>
      <c r="B761" s="6" t="s">
        <v>538</v>
      </c>
      <c r="C761" s="6" t="s">
        <v>542</v>
      </c>
      <c r="D761" s="6" t="n">
        <v>6</v>
      </c>
      <c r="E761" s="9" t="s">
        <v>5211</v>
      </c>
      <c r="F761" s="6" t="n">
        <v>15000</v>
      </c>
      <c r="Q761" s="1" t="n">
        <f aca="false">IF($A470="","",IF(OR(F470="",I470=""),"",F470-I470))</f>
        <v>149968</v>
      </c>
      <c r="R761" s="1" t="n">
        <f aca="false">IF($A470="","",IF(Q470="","",Q470+IF(O470="",0,O470)))</f>
        <v>-55395</v>
      </c>
      <c r="T761" s="1" t="n">
        <f aca="false">IF($A470="","",IF(R470="","",R470-IF(S470="",0,S470)))</f>
        <v>221207</v>
      </c>
      <c r="U761" s="1" t="n">
        <f aca="false">IF($A470="","",IF(I470="","",I470-SUM(J470:P470)))</f>
        <v>2</v>
      </c>
      <c r="V761" s="6" t="s">
        <v>5207</v>
      </c>
      <c r="W761" s="9" t="s">
        <v>774</v>
      </c>
      <c r="X761" s="6" t="s">
        <v>5226</v>
      </c>
      <c r="Y761" s="6" t="s">
        <v>4920</v>
      </c>
      <c r="Z761" s="9" t="s">
        <v>4981</v>
      </c>
      <c r="AA761" s="9" t="s">
        <v>4943</v>
      </c>
    </row>
    <row r="762" customFormat="false" ht="15" hidden="false" customHeight="true" outlineLevel="0" collapsed="false">
      <c r="A762" s="6" t="s">
        <v>3099</v>
      </c>
      <c r="B762" s="6" t="s">
        <v>538</v>
      </c>
      <c r="C762" s="6" t="s">
        <v>542</v>
      </c>
      <c r="D762" s="6" t="n">
        <v>6</v>
      </c>
      <c r="E762" s="9" t="s">
        <v>5206</v>
      </c>
      <c r="F762" s="6" t="n">
        <v>33000</v>
      </c>
      <c r="Q762" s="1" t="n">
        <f aca="false">IF($A471="","",IF(OR(F471="",I471=""),"",F471-I471))</f>
        <v>109834</v>
      </c>
      <c r="R762" s="1" t="n">
        <f aca="false">IF($A471="","",IF(Q471="","",Q471+IF(O471="",0,O471)))</f>
        <v>-103196</v>
      </c>
      <c r="T762" s="1" t="n">
        <f aca="false">IF($A471="","",IF(R471="","",R471-IF(S471="",0,S471)))</f>
        <v>154649</v>
      </c>
      <c r="U762" s="1" t="n">
        <f aca="false">IF($A471="","",IF(I471="","",I471-SUM(J471:P471)))</f>
        <v>1</v>
      </c>
      <c r="V762" s="6" t="s">
        <v>5207</v>
      </c>
      <c r="W762" s="9" t="s">
        <v>767</v>
      </c>
      <c r="X762" s="9" t="s">
        <v>5227</v>
      </c>
      <c r="Y762" s="9" t="s">
        <v>4897</v>
      </c>
      <c r="Z762" s="9" t="s">
        <v>4898</v>
      </c>
      <c r="AA762" s="9" t="s">
        <v>4943</v>
      </c>
    </row>
    <row r="763" customFormat="false" ht="15" hidden="false" customHeight="true" outlineLevel="0" collapsed="false">
      <c r="A763" s="6" t="s">
        <v>3102</v>
      </c>
      <c r="B763" s="6" t="s">
        <v>538</v>
      </c>
      <c r="C763" s="6" t="s">
        <v>542</v>
      </c>
      <c r="D763" s="6" t="n">
        <v>6</v>
      </c>
      <c r="E763" s="9" t="s">
        <v>5206</v>
      </c>
      <c r="F763" s="6" t="n">
        <v>25000</v>
      </c>
      <c r="Q763" s="1" t="n">
        <f aca="false">IF($A472="","",IF(OR(F472="",I472=""),"",F472-I472))</f>
        <v>101744</v>
      </c>
      <c r="R763" s="1" t="n">
        <f aca="false">IF($A472="","",IF(Q472="","",Q472+IF(O472="",0,O472)))</f>
        <v>-23873</v>
      </c>
      <c r="T763" s="1" t="n">
        <f aca="false">IF($A472="","",IF(R472="","",R472-IF(S472="",0,S472)))</f>
        <v>222626</v>
      </c>
      <c r="U763" s="1" t="n">
        <f aca="false">IF($A472="","",IF(I472="","",I472-SUM(J472:P472)))</f>
        <v>1</v>
      </c>
      <c r="V763" s="6" t="s">
        <v>5207</v>
      </c>
      <c r="W763" s="9" t="s">
        <v>767</v>
      </c>
      <c r="X763" s="9" t="s">
        <v>5228</v>
      </c>
      <c r="Y763" s="9" t="s">
        <v>4897</v>
      </c>
      <c r="Z763" s="9" t="s">
        <v>4898</v>
      </c>
      <c r="AA763" s="9" t="s">
        <v>4943</v>
      </c>
    </row>
    <row r="764" customFormat="false" ht="15" hidden="false" customHeight="true" outlineLevel="0" collapsed="false">
      <c r="A764" s="6" t="s">
        <v>3105</v>
      </c>
      <c r="B764" s="6" t="s">
        <v>538</v>
      </c>
      <c r="C764" s="6" t="s">
        <v>542</v>
      </c>
      <c r="D764" s="6" t="n">
        <v>6</v>
      </c>
      <c r="E764" s="9" t="s">
        <v>5206</v>
      </c>
      <c r="F764" s="6" t="n">
        <v>92000</v>
      </c>
      <c r="Q764" s="1" t="n">
        <f aca="false">IF($A473="","",IF(OR(F473="",I473=""),"",F473-I473))</f>
        <v>82525</v>
      </c>
      <c r="R764" s="1" t="n">
        <f aca="false">IF($A473="","",IF(Q473="","",Q473+IF(O473="",0,O473)))</f>
        <v>-39220</v>
      </c>
      <c r="T764" s="1" t="n">
        <f aca="false">IF($A473="","",IF(R473="","",R473-IF(S473="",0,S473)))</f>
        <v>881107</v>
      </c>
      <c r="U764" s="1" t="n">
        <f aca="false">IF($A473="","",IF(I473="","",I473-SUM(J473:P473)))</f>
        <v>3</v>
      </c>
      <c r="V764" s="6" t="s">
        <v>5207</v>
      </c>
      <c r="W764" s="9" t="s">
        <v>767</v>
      </c>
      <c r="X764" s="9" t="s">
        <v>5229</v>
      </c>
      <c r="Y764" s="9" t="s">
        <v>4897</v>
      </c>
      <c r="Z764" s="9" t="s">
        <v>4898</v>
      </c>
      <c r="AA764" s="9" t="s">
        <v>4903</v>
      </c>
    </row>
    <row r="765" customFormat="false" ht="15" hidden="false" customHeight="true" outlineLevel="0" collapsed="false">
      <c r="A765" s="6" t="s">
        <v>3108</v>
      </c>
      <c r="B765" s="6" t="s">
        <v>538</v>
      </c>
      <c r="C765" s="6" t="s">
        <v>542</v>
      </c>
      <c r="D765" s="6" t="n">
        <v>6</v>
      </c>
      <c r="E765" s="9" t="s">
        <v>5206</v>
      </c>
      <c r="F765" s="6" t="n">
        <v>69000</v>
      </c>
      <c r="Q765" s="1" t="n">
        <f aca="false">IF($A474="","",IF(OR(F474="",I474=""),"",F474-I474))</f>
        <v>49821</v>
      </c>
      <c r="R765" s="1" t="n">
        <f aca="false">IF($A474="","",IF(Q474="","",Q474+IF(O474="",0,O474)))</f>
        <v>-2117</v>
      </c>
      <c r="T765" s="1" t="n">
        <f aca="false">IF($A474="","",IF(R474="","",R474-IF(S474="",0,S474)))</f>
        <v>455577</v>
      </c>
      <c r="U765" s="1" t="n">
        <f aca="false">IF($A474="","",IF(I474="","",I474-SUM(J474:P474)))</f>
        <v>2</v>
      </c>
      <c r="V765" s="6" t="s">
        <v>5207</v>
      </c>
      <c r="W765" s="9" t="s">
        <v>767</v>
      </c>
      <c r="X765" s="9" t="s">
        <v>5230</v>
      </c>
      <c r="Y765" s="9" t="s">
        <v>4897</v>
      </c>
      <c r="Z765" s="9" t="s">
        <v>4898</v>
      </c>
      <c r="AA765" s="9" t="s">
        <v>4903</v>
      </c>
    </row>
    <row r="766" customFormat="false" ht="15" hidden="false" customHeight="true" outlineLevel="0" collapsed="false">
      <c r="A766" s="6" t="s">
        <v>3112</v>
      </c>
      <c r="B766" s="6" t="s">
        <v>538</v>
      </c>
      <c r="C766" s="6" t="s">
        <v>542</v>
      </c>
      <c r="D766" s="6" t="n">
        <v>6</v>
      </c>
      <c r="E766" s="9" t="s">
        <v>5211</v>
      </c>
      <c r="F766" s="6" t="n">
        <v>25000</v>
      </c>
      <c r="Q766" s="1" t="n">
        <f aca="false">IF($A475="","",IF(OR(F475="",I475=""),"",F475-I475))</f>
        <v>64621</v>
      </c>
      <c r="R766" s="1" t="n">
        <f aca="false">IF($A475="","",IF(Q475="","",Q475+IF(O475="",0,O475)))</f>
        <v>-8919</v>
      </c>
      <c r="T766" s="1" t="n">
        <f aca="false">IF($A475="","",IF(R475="","",R475-IF(S475="",0,S475)))</f>
        <v>100221</v>
      </c>
      <c r="U766" s="1" t="n">
        <f aca="false">IF($A475="","",IF(I475="","",I475-SUM(J475:P475)))</f>
        <v>3</v>
      </c>
      <c r="V766" s="6" t="s">
        <v>5207</v>
      </c>
      <c r="W766" s="9" t="s">
        <v>774</v>
      </c>
      <c r="X766" s="6" t="s">
        <v>5231</v>
      </c>
      <c r="Y766" s="6" t="s">
        <v>4920</v>
      </c>
      <c r="Z766" s="9" t="s">
        <v>4981</v>
      </c>
      <c r="AA766" s="9" t="s">
        <v>4943</v>
      </c>
    </row>
    <row r="767" customFormat="false" ht="15" hidden="false" customHeight="true" outlineLevel="0" collapsed="false">
      <c r="A767" s="6" t="s">
        <v>3115</v>
      </c>
      <c r="B767" s="6" t="s">
        <v>538</v>
      </c>
      <c r="C767" s="6" t="s">
        <v>542</v>
      </c>
      <c r="D767" s="6" t="n">
        <v>6</v>
      </c>
      <c r="E767" s="9" t="s">
        <v>5206</v>
      </c>
      <c r="F767" s="6" t="n">
        <v>30000</v>
      </c>
      <c r="Q767" s="1" t="str">
        <f aca="false">IF($A476="","",IF(OR(F476="",I476=""),"",F476-I476))</f>
        <v/>
      </c>
      <c r="R767" s="1" t="str">
        <f aca="false">IF($A476="","",IF(Q476="","",Q476+IF(O476="",0,O476)))</f>
        <v/>
      </c>
      <c r="T767" s="1" t="n">
        <f aca="false">IF($A476="","",IF(R476="","",R476-IF(S476="",0,S476)))</f>
        <v>411515</v>
      </c>
      <c r="U767" s="1" t="str">
        <f aca="false">IF($A476="","",IF(I476="","",I476-SUM(J476:P476)))</f>
        <v/>
      </c>
      <c r="V767" s="6" t="s">
        <v>5207</v>
      </c>
      <c r="W767" s="9" t="s">
        <v>767</v>
      </c>
      <c r="X767" s="9" t="s">
        <v>5232</v>
      </c>
      <c r="Y767" s="9" t="s">
        <v>4897</v>
      </c>
      <c r="Z767" s="9" t="s">
        <v>4898</v>
      </c>
      <c r="AA767" s="9" t="s">
        <v>4943</v>
      </c>
    </row>
    <row r="768" customFormat="false" ht="15" hidden="false" customHeight="true" outlineLevel="0" collapsed="false">
      <c r="A768" s="6" t="s">
        <v>3118</v>
      </c>
      <c r="B768" s="6" t="s">
        <v>538</v>
      </c>
      <c r="C768" s="6" t="s">
        <v>542</v>
      </c>
      <c r="D768" s="6" t="n">
        <v>6</v>
      </c>
      <c r="E768" s="9" t="s">
        <v>5206</v>
      </c>
      <c r="F768" s="6" t="n">
        <v>25000</v>
      </c>
      <c r="Q768" s="1" t="n">
        <f aca="false">IF($A477="","",IF(OR(F477="",I477=""),"",F477-I477))</f>
        <v>52269</v>
      </c>
      <c r="R768" s="1" t="n">
        <f aca="false">IF($A477="","",IF(Q477="","",Q477+IF(O477="",0,O477)))</f>
        <v>19348</v>
      </c>
      <c r="T768" s="1" t="n">
        <f aca="false">IF($A477="","",IF(R477="","",R477-IF(S477="",0,S477)))</f>
        <v>450628</v>
      </c>
      <c r="U768" s="1" t="n">
        <f aca="false">IF($A477="","",IF(I477="","",I477-SUM(J477:P477)))</f>
        <v>3</v>
      </c>
      <c r="V768" s="6" t="s">
        <v>5207</v>
      </c>
      <c r="W768" s="9" t="s">
        <v>767</v>
      </c>
      <c r="X768" s="9" t="s">
        <v>5228</v>
      </c>
      <c r="Y768" s="9" t="s">
        <v>4897</v>
      </c>
      <c r="Z768" s="9" t="s">
        <v>4898</v>
      </c>
      <c r="AA768" s="9" t="s">
        <v>4943</v>
      </c>
    </row>
    <row r="769" customFormat="false" ht="15" hidden="false" customHeight="true" outlineLevel="0" collapsed="false">
      <c r="A769" s="6" t="s">
        <v>3121</v>
      </c>
      <c r="B769" s="6" t="s">
        <v>538</v>
      </c>
      <c r="C769" s="6" t="s">
        <v>542</v>
      </c>
      <c r="D769" s="6" t="n">
        <v>6</v>
      </c>
      <c r="E769" s="9" t="s">
        <v>5206</v>
      </c>
      <c r="F769" s="6" t="n">
        <v>86000</v>
      </c>
      <c r="Q769" s="1" t="n">
        <f aca="false">IF($A478="","",IF(OR(F478="",I478=""),"",F478-I478))</f>
        <v>36152</v>
      </c>
      <c r="R769" s="1" t="n">
        <f aca="false">IF($A478="","",IF(Q478="","",Q478+IF(O478="",0,O478)))</f>
        <v>53969</v>
      </c>
      <c r="T769" s="1" t="n">
        <f aca="false">IF($A478="","",IF(R478="","",R478-IF(S478="",0,S478)))</f>
        <v>528163</v>
      </c>
      <c r="U769" s="1" t="n">
        <f aca="false">IF($A478="","",IF(I478="","",I478-SUM(J478:P478)))</f>
        <v>2</v>
      </c>
      <c r="V769" s="6" t="s">
        <v>5207</v>
      </c>
      <c r="W769" s="9" t="s">
        <v>767</v>
      </c>
      <c r="X769" s="9" t="s">
        <v>5233</v>
      </c>
      <c r="Y769" s="9" t="s">
        <v>4897</v>
      </c>
      <c r="Z769" s="9" t="s">
        <v>4898</v>
      </c>
      <c r="AA769" s="9" t="s">
        <v>4903</v>
      </c>
    </row>
    <row r="770" customFormat="false" ht="15" hidden="false" customHeight="true" outlineLevel="0" collapsed="false">
      <c r="A770" s="6" t="s">
        <v>3124</v>
      </c>
      <c r="B770" s="6" t="s">
        <v>538</v>
      </c>
      <c r="C770" s="6" t="s">
        <v>542</v>
      </c>
      <c r="D770" s="6" t="n">
        <v>6</v>
      </c>
      <c r="E770" s="9" t="s">
        <v>5206</v>
      </c>
      <c r="F770" s="6" t="n">
        <v>116000</v>
      </c>
      <c r="Q770" s="1" t="n">
        <f aca="false">IF($A479="","",IF(OR(F479="",I479=""),"",F479-I479))</f>
        <v>232115</v>
      </c>
      <c r="R770" s="1" t="n">
        <f aca="false">IF($A479="","",IF(Q479="","",Q479+IF(O479="",0,O479)))</f>
        <v>-122467</v>
      </c>
      <c r="T770" s="1" t="str">
        <f aca="false">IF($A479="","",IF(R479="","",R479-IF(S479="",0,S479)))</f>
        <v/>
      </c>
      <c r="U770" s="1" t="n">
        <f aca="false">IF($A479="","",IF(I479="","",I479-SUM(J479:P479)))</f>
        <v>3</v>
      </c>
      <c r="V770" s="6" t="s">
        <v>5207</v>
      </c>
      <c r="W770" s="9" t="s">
        <v>767</v>
      </c>
      <c r="X770" s="9" t="s">
        <v>5234</v>
      </c>
      <c r="Y770" s="9" t="s">
        <v>4897</v>
      </c>
      <c r="Z770" s="9" t="s">
        <v>4898</v>
      </c>
      <c r="AA770" s="9" t="s">
        <v>4903</v>
      </c>
    </row>
    <row r="771" customFormat="false" ht="15" hidden="false" customHeight="true" outlineLevel="0" collapsed="false">
      <c r="A771" s="6" t="s">
        <v>3127</v>
      </c>
      <c r="B771" s="6" t="s">
        <v>538</v>
      </c>
      <c r="C771" s="6" t="s">
        <v>542</v>
      </c>
      <c r="D771" s="6" t="n">
        <v>6</v>
      </c>
      <c r="E771" s="9" t="s">
        <v>5211</v>
      </c>
      <c r="F771" s="6" t="n">
        <v>18000</v>
      </c>
      <c r="Q771" s="1" t="n">
        <f aca="false">IF($A480="","",IF(OR(F480="",I480=""),"",F480-I480))</f>
        <v>89107</v>
      </c>
      <c r="R771" s="1" t="n">
        <f aca="false">IF($A480="","",IF(Q480="","",Q480+IF(O480="",0,O480)))</f>
        <v>-9048</v>
      </c>
      <c r="T771" s="1" t="n">
        <f aca="false">IF($A480="","",IF(R480="","",R480-IF(S480="",0,S480)))</f>
        <v>313785</v>
      </c>
      <c r="U771" s="1" t="n">
        <f aca="false">IF($A480="","",IF(I480="","",I480-SUM(J480:P480)))</f>
        <v>2</v>
      </c>
      <c r="V771" s="6" t="s">
        <v>5207</v>
      </c>
      <c r="W771" s="9" t="s">
        <v>774</v>
      </c>
      <c r="X771" s="6" t="s">
        <v>5235</v>
      </c>
      <c r="Y771" s="6" t="s">
        <v>4920</v>
      </c>
      <c r="Z771" s="9" t="s">
        <v>4981</v>
      </c>
      <c r="AA771" s="9" t="s">
        <v>4943</v>
      </c>
    </row>
    <row r="772" customFormat="false" ht="15" hidden="false" customHeight="true" outlineLevel="0" collapsed="false">
      <c r="A772" s="6" t="s">
        <v>3130</v>
      </c>
      <c r="B772" s="6" t="s">
        <v>538</v>
      </c>
      <c r="C772" s="6" t="s">
        <v>542</v>
      </c>
      <c r="D772" s="6" t="n">
        <v>6</v>
      </c>
      <c r="E772" s="9" t="s">
        <v>5206</v>
      </c>
      <c r="F772" s="6" t="n">
        <v>59000</v>
      </c>
      <c r="Q772" s="1" t="n">
        <f aca="false">IF($A481="","",IF(OR(F481="",I481=""),"",F481-I481))</f>
        <v>28430</v>
      </c>
      <c r="R772" s="1" t="n">
        <f aca="false">IF($A481="","",IF(Q481="","",Q481+IF(O481="",0,O481)))</f>
        <v>73480</v>
      </c>
      <c r="T772" s="1" t="n">
        <f aca="false">IF($A481="","",IF(R481="","",R481-IF(S481="",0,S481)))</f>
        <v>121190</v>
      </c>
      <c r="U772" s="1" t="n">
        <f aca="false">IF($A481="","",IF(I481="","",I481-SUM(J481:P481)))</f>
        <v>2</v>
      </c>
      <c r="V772" s="6" t="s">
        <v>5207</v>
      </c>
      <c r="W772" s="9" t="s">
        <v>767</v>
      </c>
      <c r="X772" s="9" t="s">
        <v>5236</v>
      </c>
      <c r="Y772" s="9" t="s">
        <v>4897</v>
      </c>
      <c r="Z772" s="9" t="s">
        <v>4898</v>
      </c>
      <c r="AA772" s="9" t="s">
        <v>4903</v>
      </c>
    </row>
    <row r="773" customFormat="false" ht="15" hidden="false" customHeight="true" outlineLevel="0" collapsed="false">
      <c r="A773" s="6" t="s">
        <v>3134</v>
      </c>
      <c r="B773" s="6" t="s">
        <v>538</v>
      </c>
      <c r="C773" s="6" t="s">
        <v>542</v>
      </c>
      <c r="D773" s="6" t="n">
        <v>6</v>
      </c>
      <c r="E773" s="9" t="s">
        <v>5206</v>
      </c>
      <c r="F773" s="6" t="n">
        <v>65000</v>
      </c>
      <c r="Q773" s="1" t="n">
        <f aca="false">IF($A482="","",IF(OR(F482="",I482=""),"",F482-I482))</f>
        <v>45074</v>
      </c>
      <c r="R773" s="1" t="n">
        <f aca="false">IF($A482="","",IF(Q482="","",Q482+IF(O482="",0,O482)))</f>
        <v>94</v>
      </c>
      <c r="T773" s="1" t="n">
        <f aca="false">IF($A482="","",IF(R482="","",R482-IF(S482="",0,S482)))</f>
        <v>80524</v>
      </c>
      <c r="U773" s="1" t="n">
        <f aca="false">IF($A482="","",IF(I482="","",I482-SUM(J482:P482)))</f>
        <v>2</v>
      </c>
      <c r="V773" s="6" t="s">
        <v>5207</v>
      </c>
      <c r="W773" s="9" t="s">
        <v>767</v>
      </c>
      <c r="X773" s="9" t="s">
        <v>5237</v>
      </c>
      <c r="Y773" s="9" t="s">
        <v>4897</v>
      </c>
      <c r="Z773" s="9" t="s">
        <v>4898</v>
      </c>
      <c r="AA773" s="9" t="s">
        <v>4903</v>
      </c>
    </row>
    <row r="774" customFormat="false" ht="15" hidden="false" customHeight="true" outlineLevel="0" collapsed="false">
      <c r="A774" s="6" t="s">
        <v>3137</v>
      </c>
      <c r="B774" s="6" t="s">
        <v>538</v>
      </c>
      <c r="C774" s="6" t="s">
        <v>542</v>
      </c>
      <c r="D774" s="6" t="n">
        <v>6</v>
      </c>
      <c r="E774" s="9" t="s">
        <v>5206</v>
      </c>
      <c r="F774" s="6" t="n">
        <v>31000</v>
      </c>
      <c r="Q774" s="1" t="str">
        <f aca="false">IF($A483="","",IF(OR(F483="",I483=""),"",F483-I483))</f>
        <v/>
      </c>
      <c r="R774" s="1" t="str">
        <f aca="false">IF($A483="","",IF(Q483="","",Q483+IF(O483="",0,O483)))</f>
        <v/>
      </c>
      <c r="T774" s="1" t="n">
        <f aca="false">IF($A483="","",IF(R483="","",R483-IF(S483="",0,S483)))</f>
        <v>1934280</v>
      </c>
      <c r="U774" s="1" t="str">
        <f aca="false">IF($A483="","",IF(I483="","",I483-SUM(J483:P483)))</f>
        <v/>
      </c>
      <c r="V774" s="6" t="s">
        <v>5207</v>
      </c>
      <c r="W774" s="9" t="s">
        <v>767</v>
      </c>
      <c r="X774" s="9" t="s">
        <v>5217</v>
      </c>
      <c r="Y774" s="9" t="s">
        <v>4897</v>
      </c>
      <c r="Z774" s="9" t="s">
        <v>4898</v>
      </c>
      <c r="AA774" s="9" t="s">
        <v>4943</v>
      </c>
    </row>
    <row r="775" customFormat="false" ht="15" hidden="false" customHeight="true" outlineLevel="0" collapsed="false">
      <c r="A775" s="6" t="s">
        <v>3140</v>
      </c>
      <c r="B775" s="6" t="s">
        <v>538</v>
      </c>
      <c r="C775" s="6" t="s">
        <v>542</v>
      </c>
      <c r="D775" s="6" t="n">
        <v>6</v>
      </c>
      <c r="E775" s="9" t="s">
        <v>5206</v>
      </c>
      <c r="F775" s="6" t="n">
        <v>22000</v>
      </c>
      <c r="Q775" s="1" t="str">
        <f aca="false">IF($A484="","",IF(OR(F484="",I484=""),"",F484-I484))</f>
        <v/>
      </c>
      <c r="R775" s="1" t="str">
        <f aca="false">IF($A484="","",IF(Q484="","",Q484+IF(O484="",0,O484)))</f>
        <v/>
      </c>
      <c r="T775" s="1" t="str">
        <f aca="false">IF($A484="","",IF(R484="","",R484-IF(S484="",0,S484)))</f>
        <v/>
      </c>
      <c r="U775" s="1" t="str">
        <f aca="false">IF($A484="","",IF(I484="","",I484-SUM(J484:P484)))</f>
        <v/>
      </c>
      <c r="V775" s="6" t="s">
        <v>5207</v>
      </c>
      <c r="W775" s="9" t="s">
        <v>767</v>
      </c>
      <c r="X775" s="9" t="s">
        <v>5238</v>
      </c>
      <c r="Y775" s="9" t="s">
        <v>4897</v>
      </c>
      <c r="Z775" s="9" t="s">
        <v>4898</v>
      </c>
      <c r="AA775" s="9" t="s">
        <v>4943</v>
      </c>
    </row>
    <row r="776" customFormat="false" ht="15" hidden="false" customHeight="true" outlineLevel="0" collapsed="false">
      <c r="A776" s="6" t="s">
        <v>3143</v>
      </c>
      <c r="B776" s="6" t="s">
        <v>538</v>
      </c>
      <c r="C776" s="6" t="s">
        <v>542</v>
      </c>
      <c r="D776" s="6" t="n">
        <v>6</v>
      </c>
      <c r="E776" s="9" t="s">
        <v>5206</v>
      </c>
      <c r="F776" s="6" t="n">
        <v>70000</v>
      </c>
      <c r="Q776" s="1" t="n">
        <f aca="false">IF($A485="","",IF(OR(F485="",I485=""),"",F485-I485))</f>
        <v>22930</v>
      </c>
      <c r="R776" s="1" t="n">
        <f aca="false">IF($A485="","",IF(Q485="","",Q485+IF(O485="",0,O485)))</f>
        <v>39372</v>
      </c>
      <c r="T776" s="1" t="str">
        <f aca="false">IF($A485="","",IF(R485="","",R485-IF(S485="",0,S485)))</f>
        <v/>
      </c>
      <c r="U776" s="1" t="n">
        <f aca="false">IF($A485="","",IF(I485="","",I485-SUM(J485:P485)))</f>
        <v>3</v>
      </c>
      <c r="V776" s="6" t="s">
        <v>5207</v>
      </c>
      <c r="W776" s="9" t="s">
        <v>767</v>
      </c>
      <c r="X776" s="9" t="s">
        <v>5239</v>
      </c>
      <c r="Y776" s="9" t="s">
        <v>4897</v>
      </c>
      <c r="Z776" s="9" t="s">
        <v>4898</v>
      </c>
      <c r="AA776" s="9" t="s">
        <v>4903</v>
      </c>
    </row>
    <row r="777" customFormat="false" ht="15" hidden="false" customHeight="true" outlineLevel="0" collapsed="false">
      <c r="A777" s="6" t="s">
        <v>3146</v>
      </c>
      <c r="B777" s="6" t="s">
        <v>538</v>
      </c>
      <c r="C777" s="6" t="s">
        <v>542</v>
      </c>
      <c r="D777" s="6" t="n">
        <v>6</v>
      </c>
      <c r="E777" s="9" t="s">
        <v>5206</v>
      </c>
      <c r="F777" s="6" t="n">
        <v>62000</v>
      </c>
      <c r="Q777" s="1" t="n">
        <f aca="false">IF($A486="","",IF(OR(F486="",I486=""),"",F486-I486))</f>
        <v>72714</v>
      </c>
      <c r="R777" s="1" t="n">
        <f aca="false">IF($A486="","",IF(Q486="","",Q486+IF(O486="",0,O486)))</f>
        <v>-96092</v>
      </c>
      <c r="T777" s="1" t="str">
        <f aca="false">IF($A486="","",IF(R486="","",R486-IF(S486="",0,S486)))</f>
        <v/>
      </c>
      <c r="U777" s="1" t="n">
        <f aca="false">IF($A486="","",IF(I486="","",I486-SUM(J486:P486)))</f>
        <v>4</v>
      </c>
      <c r="V777" s="6" t="s">
        <v>5207</v>
      </c>
      <c r="W777" s="9" t="s">
        <v>767</v>
      </c>
      <c r="X777" s="9" t="s">
        <v>5240</v>
      </c>
      <c r="Y777" s="9" t="s">
        <v>4897</v>
      </c>
      <c r="Z777" s="9" t="s">
        <v>4898</v>
      </c>
      <c r="AA777" s="9" t="s">
        <v>4903</v>
      </c>
    </row>
    <row r="778" customFormat="false" ht="15" hidden="false" customHeight="true" outlineLevel="0" collapsed="false">
      <c r="A778" s="6" t="s">
        <v>3149</v>
      </c>
      <c r="B778" s="6" t="s">
        <v>538</v>
      </c>
      <c r="C778" s="6" t="s">
        <v>542</v>
      </c>
      <c r="D778" s="6" t="n">
        <v>6</v>
      </c>
      <c r="E778" s="9" t="s">
        <v>5206</v>
      </c>
      <c r="F778" s="6" t="n">
        <v>94000</v>
      </c>
      <c r="Q778" s="1" t="n">
        <f aca="false">IF($A487="","",IF(OR(F487="",I487=""),"",F487-I487))</f>
        <v>27597</v>
      </c>
      <c r="R778" s="1" t="n">
        <f aca="false">IF($A487="","",IF(Q487="","",Q487+IF(O487="",0,O487)))</f>
        <v>15596</v>
      </c>
      <c r="T778" s="1" t="str">
        <f aca="false">IF($A487="","",IF(R487="","",R487-IF(S487="",0,S487)))</f>
        <v/>
      </c>
      <c r="U778" s="1" t="n">
        <f aca="false">IF($A487="","",IF(I487="","",I487-SUM(J487:P487)))</f>
        <v>2</v>
      </c>
      <c r="V778" s="6" t="s">
        <v>5207</v>
      </c>
      <c r="W778" s="9" t="s">
        <v>767</v>
      </c>
      <c r="X778" s="9" t="s">
        <v>5241</v>
      </c>
      <c r="Y778" s="9" t="s">
        <v>4897</v>
      </c>
      <c r="Z778" s="9" t="s">
        <v>4898</v>
      </c>
      <c r="AA778" s="9" t="s">
        <v>4903</v>
      </c>
    </row>
    <row r="779" customFormat="false" ht="15" hidden="false" customHeight="true" outlineLevel="0" collapsed="false">
      <c r="A779" s="6" t="s">
        <v>3152</v>
      </c>
      <c r="B779" s="6" t="s">
        <v>538</v>
      </c>
      <c r="C779" s="6" t="s">
        <v>542</v>
      </c>
      <c r="D779" s="6" t="n">
        <v>6</v>
      </c>
      <c r="E779" s="9" t="s">
        <v>5206</v>
      </c>
      <c r="F779" s="6" t="n">
        <v>196000</v>
      </c>
      <c r="Q779" s="1" t="n">
        <f aca="false">IF($A488="","",IF(OR(F488="",I488=""),"",F488-I488))</f>
        <v>72957</v>
      </c>
      <c r="R779" s="1" t="n">
        <f aca="false">IF($A488="","",IF(Q488="","",Q488+IF(O488="",0,O488)))</f>
        <v>-19157</v>
      </c>
      <c r="T779" s="1" t="str">
        <f aca="false">IF($A488="","",IF(R488="","",R488-IF(S488="",0,S488)))</f>
        <v/>
      </c>
      <c r="U779" s="1" t="n">
        <f aca="false">IF($A488="","",IF(I488="","",I488-SUM(J488:P488)))</f>
        <v>4</v>
      </c>
      <c r="V779" s="6" t="s">
        <v>5207</v>
      </c>
      <c r="W779" s="9" t="s">
        <v>767</v>
      </c>
      <c r="X779" s="9" t="s">
        <v>5242</v>
      </c>
      <c r="Y779" s="9" t="s">
        <v>4897</v>
      </c>
      <c r="Z779" s="9" t="s">
        <v>4898</v>
      </c>
      <c r="AA779" s="9" t="s">
        <v>4903</v>
      </c>
    </row>
    <row r="780" customFormat="false" ht="15" hidden="false" customHeight="true" outlineLevel="0" collapsed="false">
      <c r="A780" s="6" t="s">
        <v>3155</v>
      </c>
      <c r="B780" s="6" t="s">
        <v>538</v>
      </c>
      <c r="C780" s="6" t="s">
        <v>542</v>
      </c>
      <c r="D780" s="6" t="n">
        <v>6</v>
      </c>
      <c r="E780" s="9" t="s">
        <v>5206</v>
      </c>
      <c r="F780" s="6" t="n">
        <v>34000</v>
      </c>
      <c r="Q780" s="1" t="n">
        <f aca="false">IF($A489="","",IF(OR(F489="",I489=""),"",F489-I489))</f>
        <v>88918</v>
      </c>
      <c r="R780" s="1" t="n">
        <f aca="false">IF($A489="","",IF(Q489="","",Q489+IF(O489="",0,O489)))</f>
        <v>62712</v>
      </c>
      <c r="T780" s="1" t="str">
        <f aca="false">IF($A489="","",IF(R489="","",R489-IF(S489="",0,S489)))</f>
        <v/>
      </c>
      <c r="U780" s="1" t="n">
        <f aca="false">IF($A489="","",IF(I489="","",I489-SUM(J489:P489)))</f>
        <v>3</v>
      </c>
      <c r="V780" s="6" t="s">
        <v>5207</v>
      </c>
      <c r="W780" s="9" t="s">
        <v>767</v>
      </c>
      <c r="X780" s="9" t="s">
        <v>5219</v>
      </c>
      <c r="Y780" s="9" t="s">
        <v>4897</v>
      </c>
      <c r="Z780" s="9" t="s">
        <v>4898</v>
      </c>
      <c r="AA780" s="9" t="s">
        <v>4943</v>
      </c>
    </row>
    <row r="781" customFormat="false" ht="15" hidden="false" customHeight="true" outlineLevel="0" collapsed="false">
      <c r="A781" s="6" t="s">
        <v>3158</v>
      </c>
      <c r="B781" s="6" t="s">
        <v>538</v>
      </c>
      <c r="C781" s="6" t="s">
        <v>542</v>
      </c>
      <c r="D781" s="6" t="n">
        <v>6</v>
      </c>
      <c r="E781" s="9" t="s">
        <v>5206</v>
      </c>
      <c r="F781" s="6" t="n">
        <v>29000</v>
      </c>
      <c r="Q781" s="1" t="n">
        <f aca="false">IF($A490="","",IF(OR(F490="",I490=""),"",F490-I490))</f>
        <v>59985</v>
      </c>
      <c r="R781" s="1" t="n">
        <f aca="false">IF($A490="","",IF(Q490="","",Q490+IF(O490="",0,O490)))</f>
        <v>5293</v>
      </c>
      <c r="T781" s="1" t="str">
        <f aca="false">IF($A490="","",IF(R490="","",R490-IF(S490="",0,S490)))</f>
        <v/>
      </c>
      <c r="U781" s="1" t="n">
        <f aca="false">IF($A490="","",IF(I490="","",I490-SUM(J490:P490)))</f>
        <v>3</v>
      </c>
      <c r="V781" s="6" t="s">
        <v>5207</v>
      </c>
      <c r="W781" s="9" t="s">
        <v>767</v>
      </c>
      <c r="X781" s="9" t="s">
        <v>5243</v>
      </c>
      <c r="Y781" s="9" t="s">
        <v>4897</v>
      </c>
      <c r="Z781" s="9" t="s">
        <v>4898</v>
      </c>
      <c r="AA781" s="9" t="s">
        <v>4943</v>
      </c>
    </row>
    <row r="782" customFormat="false" ht="15" hidden="false" customHeight="true" outlineLevel="0" collapsed="false">
      <c r="A782" s="6" t="s">
        <v>3161</v>
      </c>
      <c r="B782" s="6" t="s">
        <v>538</v>
      </c>
      <c r="C782" s="6" t="s">
        <v>542</v>
      </c>
      <c r="D782" s="6" t="n">
        <v>6</v>
      </c>
      <c r="E782" s="9" t="s">
        <v>5206</v>
      </c>
      <c r="F782" s="6" t="n">
        <v>53000</v>
      </c>
      <c r="Q782" s="1" t="n">
        <f aca="false">IF($A491="","",IF(OR(F491="",I491=""),"",F491-I491))</f>
        <v>79674</v>
      </c>
      <c r="R782" s="1" t="n">
        <f aca="false">IF($A491="","",IF(Q491="","",Q491+IF(O491="",0,O491)))</f>
        <v>99735</v>
      </c>
      <c r="T782" s="1" t="str">
        <f aca="false">IF($A491="","",IF(R491="","",R491-IF(S491="",0,S491)))</f>
        <v/>
      </c>
      <c r="U782" s="1" t="n">
        <f aca="false">IF($A491="","",IF(I491="","",I491-SUM(J491:P491)))</f>
        <v>3</v>
      </c>
      <c r="V782" s="6" t="s">
        <v>5207</v>
      </c>
      <c r="W782" s="9" t="s">
        <v>767</v>
      </c>
      <c r="X782" s="9" t="s">
        <v>5244</v>
      </c>
      <c r="Y782" s="9" t="s">
        <v>4897</v>
      </c>
      <c r="Z782" s="9" t="s">
        <v>4898</v>
      </c>
      <c r="AA782" s="9" t="s">
        <v>4903</v>
      </c>
    </row>
    <row r="783" customFormat="false" ht="15" hidden="false" customHeight="true" outlineLevel="0" collapsed="false">
      <c r="A783" s="6" t="s">
        <v>3164</v>
      </c>
      <c r="B783" s="6" t="s">
        <v>538</v>
      </c>
      <c r="C783" s="6" t="s">
        <v>542</v>
      </c>
      <c r="D783" s="6" t="n">
        <v>6</v>
      </c>
      <c r="E783" s="9" t="s">
        <v>5211</v>
      </c>
      <c r="F783" s="6" t="n">
        <v>22000</v>
      </c>
      <c r="Q783" s="1" t="n">
        <f aca="false">IF($A492="","",IF(OR(F492="",I492=""),"",F492-I492))</f>
        <v>183535</v>
      </c>
      <c r="R783" s="1" t="n">
        <f aca="false">IF($A492="","",IF(Q492="","",Q492+IF(O492="",0,O492)))</f>
        <v>3070</v>
      </c>
      <c r="T783" s="1" t="str">
        <f aca="false">IF($A492="","",IF(R492="","",R492-IF(S492="",0,S492)))</f>
        <v/>
      </c>
      <c r="U783" s="1" t="n">
        <f aca="false">IF($A492="","",IF(I492="","",I492-SUM(J492:P492)))</f>
        <v>4</v>
      </c>
      <c r="V783" s="6" t="s">
        <v>5207</v>
      </c>
      <c r="W783" s="9" t="s">
        <v>774</v>
      </c>
      <c r="X783" s="6" t="s">
        <v>5245</v>
      </c>
      <c r="Y783" s="6" t="s">
        <v>4920</v>
      </c>
      <c r="Z783" s="9" t="s">
        <v>4981</v>
      </c>
      <c r="AA783" s="9" t="s">
        <v>4943</v>
      </c>
    </row>
    <row r="784" customFormat="false" ht="15" hidden="false" customHeight="true" outlineLevel="0" collapsed="false">
      <c r="A784" s="6" t="s">
        <v>3167</v>
      </c>
      <c r="B784" s="6" t="s">
        <v>538</v>
      </c>
      <c r="C784" s="6" t="s">
        <v>542</v>
      </c>
      <c r="D784" s="6" t="n">
        <v>6</v>
      </c>
      <c r="E784" s="9" t="s">
        <v>5206</v>
      </c>
      <c r="F784" s="6" t="n">
        <v>43000</v>
      </c>
      <c r="Q784" s="1" t="str">
        <f aca="false">IF($A493="","",IF(OR(F493="",I493=""),"",F493-I493))</f>
        <v/>
      </c>
      <c r="R784" s="1" t="str">
        <f aca="false">IF($A493="","",IF(Q493="","",Q493+IF(O493="",0,O493)))</f>
        <v/>
      </c>
      <c r="T784" s="1" t="str">
        <f aca="false">IF($A493="","",IF(R493="","",R493-IF(S493="",0,S493)))</f>
        <v/>
      </c>
      <c r="U784" s="1" t="str">
        <f aca="false">IF($A493="","",IF(I493="","",I493-SUM(J493:P493)))</f>
        <v/>
      </c>
      <c r="V784" s="6" t="s">
        <v>5207</v>
      </c>
      <c r="W784" s="9" t="s">
        <v>767</v>
      </c>
      <c r="X784" s="9" t="s">
        <v>5246</v>
      </c>
      <c r="Y784" s="9" t="s">
        <v>4897</v>
      </c>
      <c r="Z784" s="9" t="s">
        <v>4898</v>
      </c>
      <c r="AA784" s="9" t="s">
        <v>4943</v>
      </c>
    </row>
    <row r="785" customFormat="false" ht="15" hidden="false" customHeight="true" outlineLevel="0" collapsed="false">
      <c r="A785" s="6" t="s">
        <v>3170</v>
      </c>
      <c r="B785" s="6" t="s">
        <v>538</v>
      </c>
      <c r="C785" s="6" t="s">
        <v>542</v>
      </c>
      <c r="D785" s="6" t="n">
        <v>6</v>
      </c>
      <c r="E785" s="9" t="s">
        <v>5206</v>
      </c>
      <c r="F785" s="6" t="n">
        <v>66000</v>
      </c>
      <c r="Q785" s="1" t="n">
        <f aca="false">IF($A494="","",IF(OR(F494="",I494=""),"",F494-I494))</f>
        <v>114286</v>
      </c>
      <c r="R785" s="1" t="n">
        <f aca="false">IF($A494="","",IF(Q494="","",Q494+IF(O494="",0,O494)))</f>
        <v>-2669</v>
      </c>
      <c r="T785" s="1" t="str">
        <f aca="false">IF($A494="","",IF(R494="","",R494-IF(S494="",0,S494)))</f>
        <v/>
      </c>
      <c r="U785" s="1" t="n">
        <f aca="false">IF($A494="","",IF(I494="","",I494-SUM(J494:P494)))</f>
        <v>1</v>
      </c>
      <c r="V785" s="6" t="s">
        <v>5207</v>
      </c>
      <c r="W785" s="9" t="s">
        <v>767</v>
      </c>
      <c r="X785" s="9" t="s">
        <v>5247</v>
      </c>
      <c r="Y785" s="9" t="s">
        <v>4897</v>
      </c>
      <c r="Z785" s="9" t="s">
        <v>4898</v>
      </c>
      <c r="AA785" s="9" t="s">
        <v>4903</v>
      </c>
    </row>
    <row r="786" customFormat="false" ht="15" hidden="false" customHeight="true" outlineLevel="0" collapsed="false">
      <c r="A786" s="6" t="s">
        <v>3173</v>
      </c>
      <c r="B786" s="6" t="s">
        <v>538</v>
      </c>
      <c r="C786" s="6" t="s">
        <v>542</v>
      </c>
      <c r="D786" s="6" t="n">
        <v>6</v>
      </c>
      <c r="E786" s="9" t="s">
        <v>5206</v>
      </c>
      <c r="F786" s="6" t="n">
        <v>54000</v>
      </c>
      <c r="Q786" s="1" t="n">
        <f aca="false">IF($A495="","",IF(OR(F495="",I495=""),"",F495-I495))</f>
        <v>149093</v>
      </c>
      <c r="R786" s="1" t="n">
        <f aca="false">IF($A495="","",IF(Q495="","",Q495+IF(O495="",0,O495)))</f>
        <v>-17830</v>
      </c>
      <c r="T786" s="1" t="str">
        <f aca="false">IF($A495="","",IF(R495="","",R495-IF(S495="",0,S495)))</f>
        <v/>
      </c>
      <c r="U786" s="1" t="n">
        <f aca="false">IF($A495="","",IF(I495="","",I495-SUM(J495:P495)))</f>
        <v>3</v>
      </c>
      <c r="V786" s="6" t="s">
        <v>5207</v>
      </c>
      <c r="W786" s="9" t="s">
        <v>767</v>
      </c>
      <c r="X786" s="9" t="s">
        <v>5248</v>
      </c>
      <c r="Y786" s="9" t="s">
        <v>4897</v>
      </c>
      <c r="Z786" s="9" t="s">
        <v>4898</v>
      </c>
      <c r="AA786" s="9" t="s">
        <v>4903</v>
      </c>
    </row>
    <row r="787" customFormat="false" ht="15" hidden="false" customHeight="true" outlineLevel="0" collapsed="false">
      <c r="A787" s="6" t="s">
        <v>3176</v>
      </c>
      <c r="B787" s="6" t="s">
        <v>538</v>
      </c>
      <c r="C787" s="6" t="s">
        <v>542</v>
      </c>
      <c r="D787" s="6" t="n">
        <v>6</v>
      </c>
      <c r="E787" s="9" t="s">
        <v>5206</v>
      </c>
      <c r="F787" s="6" t="n">
        <v>54000</v>
      </c>
      <c r="Q787" s="1" t="n">
        <f aca="false">IF($A496="","",IF(OR(F496="",I496=""),"",F496-I496))</f>
        <v>115754</v>
      </c>
      <c r="R787" s="1" t="n">
        <f aca="false">IF($A496="","",IF(Q496="","",Q496+IF(O496="",0,O496)))</f>
        <v>37322</v>
      </c>
      <c r="T787" s="1" t="str">
        <f aca="false">IF($A496="","",IF(R496="","",R496-IF(S496="",0,S496)))</f>
        <v/>
      </c>
      <c r="U787" s="1" t="n">
        <f aca="false">IF($A496="","",IF(I496="","",I496-SUM(J496:P496)))</f>
        <v>4</v>
      </c>
      <c r="V787" s="6" t="s">
        <v>5207</v>
      </c>
      <c r="W787" s="9" t="s">
        <v>767</v>
      </c>
      <c r="X787" s="9" t="s">
        <v>5248</v>
      </c>
      <c r="Y787" s="9" t="s">
        <v>4897</v>
      </c>
      <c r="Z787" s="9" t="s">
        <v>4898</v>
      </c>
      <c r="AA787" s="9" t="s">
        <v>4903</v>
      </c>
    </row>
    <row r="788" customFormat="false" ht="15" hidden="false" customHeight="true" outlineLevel="0" collapsed="false">
      <c r="A788" s="6" t="s">
        <v>3179</v>
      </c>
      <c r="B788" s="6" t="s">
        <v>538</v>
      </c>
      <c r="C788" s="6" t="s">
        <v>542</v>
      </c>
      <c r="D788" s="6" t="n">
        <v>6</v>
      </c>
      <c r="E788" s="9" t="s">
        <v>5206</v>
      </c>
      <c r="F788" s="6" t="n">
        <v>81000</v>
      </c>
      <c r="Q788" s="1" t="n">
        <f aca="false">IF($A497="","",IF(OR(F497="",I497=""),"",F497-I497))</f>
        <v>81112</v>
      </c>
      <c r="R788" s="1" t="n">
        <f aca="false">IF($A497="","",IF(Q497="","",Q497+IF(O497="",0,O497)))</f>
        <v>-22847</v>
      </c>
      <c r="T788" s="1" t="str">
        <f aca="false">IF($A497="","",IF(R497="","",R497-IF(S497="",0,S497)))</f>
        <v/>
      </c>
      <c r="U788" s="1" t="n">
        <f aca="false">IF($A497="","",IF(I497="","",I497-SUM(J497:P497)))</f>
        <v>4</v>
      </c>
      <c r="V788" s="6" t="s">
        <v>5207</v>
      </c>
      <c r="W788" s="9" t="s">
        <v>767</v>
      </c>
      <c r="X788" s="9" t="s">
        <v>5221</v>
      </c>
      <c r="Y788" s="9" t="s">
        <v>4897</v>
      </c>
      <c r="Z788" s="9" t="s">
        <v>4898</v>
      </c>
      <c r="AA788" s="9" t="s">
        <v>4903</v>
      </c>
    </row>
    <row r="789" customFormat="false" ht="15" hidden="false" customHeight="true" outlineLevel="0" collapsed="false">
      <c r="A789" s="6" t="s">
        <v>3182</v>
      </c>
      <c r="B789" s="6" t="s">
        <v>538</v>
      </c>
      <c r="C789" s="6" t="s">
        <v>542</v>
      </c>
      <c r="D789" s="6" t="n">
        <v>6</v>
      </c>
      <c r="E789" s="9" t="s">
        <v>5206</v>
      </c>
      <c r="F789" s="6" t="n">
        <v>53000</v>
      </c>
      <c r="Q789" s="1" t="n">
        <f aca="false">IF($A498="","",IF(OR(F498="",I498=""),"",F498-I498))</f>
        <v>197145</v>
      </c>
      <c r="R789" s="1" t="n">
        <f aca="false">IF($A498="","",IF(Q498="","",Q498+IF(O498="",0,O498)))</f>
        <v>133859</v>
      </c>
      <c r="T789" s="1" t="str">
        <f aca="false">IF($A498="","",IF(R498="","",R498-IF(S498="",0,S498)))</f>
        <v/>
      </c>
      <c r="U789" s="1" t="n">
        <f aca="false">IF($A498="","",IF(I498="","",I498-SUM(J498:P498)))</f>
        <v>2</v>
      </c>
      <c r="V789" s="6" t="s">
        <v>5207</v>
      </c>
      <c r="W789" s="9" t="s">
        <v>767</v>
      </c>
      <c r="X789" s="9" t="s">
        <v>5244</v>
      </c>
      <c r="Y789" s="9" t="s">
        <v>4897</v>
      </c>
      <c r="Z789" s="9" t="s">
        <v>4898</v>
      </c>
      <c r="AA789" s="9" t="s">
        <v>4903</v>
      </c>
    </row>
    <row r="790" customFormat="false" ht="15" hidden="false" customHeight="true" outlineLevel="0" collapsed="false">
      <c r="A790" s="6" t="s">
        <v>3185</v>
      </c>
      <c r="B790" s="6" t="s">
        <v>538</v>
      </c>
      <c r="C790" s="6" t="s">
        <v>542</v>
      </c>
      <c r="D790" s="6" t="n">
        <v>6</v>
      </c>
      <c r="E790" s="9" t="s">
        <v>5206</v>
      </c>
      <c r="F790" s="6" t="n">
        <v>51000</v>
      </c>
      <c r="Q790" s="1" t="str">
        <f aca="false">IF($A499="","",IF(OR(F499="",I499=""),"",F499-I499))</f>
        <v/>
      </c>
      <c r="R790" s="1" t="str">
        <f aca="false">IF($A499="","",IF(Q499="","",Q499+IF(O499="",0,O499)))</f>
        <v/>
      </c>
      <c r="T790" s="1" t="str">
        <f aca="false">IF($A499="","",IF(R499="","",R499-IF(S499="",0,S499)))</f>
        <v/>
      </c>
      <c r="U790" s="1" t="str">
        <f aca="false">IF($A499="","",IF(I499="","",I499-SUM(J499:P499)))</f>
        <v/>
      </c>
      <c r="V790" s="6" t="s">
        <v>5207</v>
      </c>
      <c r="W790" s="9" t="s">
        <v>767</v>
      </c>
      <c r="X790" s="9" t="s">
        <v>5249</v>
      </c>
      <c r="Y790" s="9" t="s">
        <v>4897</v>
      </c>
      <c r="Z790" s="9" t="s">
        <v>4898</v>
      </c>
      <c r="AA790" s="9" t="s">
        <v>4903</v>
      </c>
    </row>
    <row r="791" customFormat="false" ht="15" hidden="false" customHeight="true" outlineLevel="0" collapsed="false">
      <c r="A791" s="6" t="s">
        <v>3188</v>
      </c>
      <c r="B791" s="6" t="s">
        <v>538</v>
      </c>
      <c r="C791" s="6" t="s">
        <v>542</v>
      </c>
      <c r="D791" s="6" t="n">
        <v>6</v>
      </c>
      <c r="E791" s="9" t="s">
        <v>5206</v>
      </c>
      <c r="F791" s="6" t="n">
        <v>26000</v>
      </c>
      <c r="Q791" s="1" t="str">
        <f aca="false">IF($A500="","",IF(OR(F500="",I500=""),"",F500-I500))</f>
        <v/>
      </c>
      <c r="R791" s="1" t="str">
        <f aca="false">IF($A500="","",IF(Q500="","",Q500+IF(O500="",0,O500)))</f>
        <v/>
      </c>
      <c r="T791" s="1" t="n">
        <f aca="false">IF($A500="","",IF(R500="","",R500-IF(S500="",0,S500)))</f>
        <v>23004035</v>
      </c>
      <c r="U791" s="1" t="str">
        <f aca="false">IF($A500="","",IF(I500="","",I500-SUM(J500:P500)))</f>
        <v/>
      </c>
      <c r="V791" s="6" t="s">
        <v>5207</v>
      </c>
      <c r="W791" s="9" t="s">
        <v>767</v>
      </c>
      <c r="X791" s="9" t="s">
        <v>5250</v>
      </c>
      <c r="Y791" s="9" t="s">
        <v>4897</v>
      </c>
      <c r="Z791" s="9" t="s">
        <v>4898</v>
      </c>
      <c r="AA791" s="9" t="s">
        <v>4943</v>
      </c>
    </row>
    <row r="792" customFormat="false" ht="15" hidden="false" customHeight="true" outlineLevel="0" collapsed="false">
      <c r="A792" s="6" t="s">
        <v>3191</v>
      </c>
      <c r="B792" s="6" t="s">
        <v>538</v>
      </c>
      <c r="C792" s="6" t="s">
        <v>542</v>
      </c>
      <c r="D792" s="6" t="n">
        <v>6</v>
      </c>
      <c r="E792" s="9" t="s">
        <v>5206</v>
      </c>
      <c r="F792" s="6" t="n">
        <v>31000</v>
      </c>
      <c r="Q792" s="1" t="n">
        <f aca="false">IF($A501="","",IF(OR(F501="",I501=""),"",F501-I501))</f>
        <v>400831</v>
      </c>
      <c r="R792" s="1" t="n">
        <f aca="false">IF($A501="","",IF(Q501="","",Q501+IF(O501="",0,O501)))</f>
        <v>-3309</v>
      </c>
      <c r="T792" s="1" t="str">
        <f aca="false">IF($A501="","",IF(R501="","",R501-IF(S501="",0,S501)))</f>
        <v/>
      </c>
      <c r="U792" s="1" t="n">
        <f aca="false">IF($A501="","",IF(I501="","",I501-SUM(J501:P501)))</f>
        <v>3</v>
      </c>
      <c r="V792" s="6" t="s">
        <v>5207</v>
      </c>
      <c r="W792" s="9" t="s">
        <v>767</v>
      </c>
      <c r="X792" s="9" t="s">
        <v>5217</v>
      </c>
      <c r="Y792" s="9" t="s">
        <v>4897</v>
      </c>
      <c r="Z792" s="9" t="s">
        <v>4898</v>
      </c>
      <c r="AA792" s="9" t="s">
        <v>4943</v>
      </c>
    </row>
    <row r="793" customFormat="false" ht="15" hidden="false" customHeight="true" outlineLevel="0" collapsed="false">
      <c r="A793" s="6" t="s">
        <v>3194</v>
      </c>
      <c r="B793" s="6" t="s">
        <v>538</v>
      </c>
      <c r="C793" s="6" t="s">
        <v>542</v>
      </c>
      <c r="D793" s="6" t="n">
        <v>6</v>
      </c>
      <c r="E793" s="9" t="s">
        <v>5206</v>
      </c>
      <c r="F793" s="6" t="n">
        <v>56000</v>
      </c>
      <c r="Q793" s="1" t="n">
        <f aca="false">IF($A502="","",IF(OR(F502="",I502=""),"",F502-I502))</f>
        <v>223318</v>
      </c>
      <c r="R793" s="1" t="n">
        <f aca="false">IF($A502="","",IF(Q502="","",Q502+IF(O502="",0,O502)))</f>
        <v>-37167</v>
      </c>
      <c r="T793" s="1" t="str">
        <f aca="false">IF($A502="","",IF(R502="","",R502-IF(S502="",0,S502)))</f>
        <v/>
      </c>
      <c r="U793" s="1" t="n">
        <f aca="false">IF($A502="","",IF(I502="","",I502-SUM(J502:P502)))</f>
        <v>1</v>
      </c>
      <c r="V793" s="6" t="s">
        <v>5207</v>
      </c>
      <c r="W793" s="9" t="s">
        <v>767</v>
      </c>
      <c r="X793" s="9" t="s">
        <v>5251</v>
      </c>
      <c r="Y793" s="9" t="s">
        <v>4897</v>
      </c>
      <c r="Z793" s="9" t="s">
        <v>4898</v>
      </c>
      <c r="AA793" s="9" t="s">
        <v>4903</v>
      </c>
    </row>
    <row r="794" customFormat="false" ht="15" hidden="false" customHeight="true" outlineLevel="0" collapsed="false">
      <c r="A794" s="6" t="s">
        <v>3197</v>
      </c>
      <c r="B794" s="6" t="s">
        <v>538</v>
      </c>
      <c r="C794" s="6" t="s">
        <v>542</v>
      </c>
      <c r="D794" s="6" t="n">
        <v>6</v>
      </c>
      <c r="E794" s="9" t="s">
        <v>5206</v>
      </c>
      <c r="F794" s="6" t="n">
        <v>30000</v>
      </c>
      <c r="Q794" s="1" t="n">
        <f aca="false">IF($A503="","",IF(OR(F503="",I503=""),"",F503-I503))</f>
        <v>135334</v>
      </c>
      <c r="R794" s="1" t="n">
        <f aca="false">IF($A503="","",IF(Q503="","",Q503+IF(O503="",0,O503)))</f>
        <v>62425</v>
      </c>
      <c r="T794" s="1" t="str">
        <f aca="false">IF($A503="","",IF(R503="","",R503-IF(S503="",0,S503)))</f>
        <v/>
      </c>
      <c r="U794" s="1" t="n">
        <f aca="false">IF($A503="","",IF(I503="","",I503-SUM(J503:P503)))</f>
        <v>3</v>
      </c>
      <c r="V794" s="6" t="s">
        <v>5207</v>
      </c>
      <c r="W794" s="9" t="s">
        <v>767</v>
      </c>
      <c r="X794" s="9" t="s">
        <v>5232</v>
      </c>
      <c r="Y794" s="9" t="s">
        <v>4897</v>
      </c>
      <c r="Z794" s="9" t="s">
        <v>4898</v>
      </c>
      <c r="AA794" s="9" t="s">
        <v>4943</v>
      </c>
    </row>
    <row r="795" customFormat="false" ht="15" hidden="false" customHeight="true" outlineLevel="0" collapsed="false">
      <c r="A795" s="6" t="s">
        <v>3200</v>
      </c>
      <c r="B795" s="6" t="s">
        <v>538</v>
      </c>
      <c r="C795" s="6" t="s">
        <v>542</v>
      </c>
      <c r="D795" s="6" t="n">
        <v>6</v>
      </c>
      <c r="E795" s="9" t="s">
        <v>5206</v>
      </c>
      <c r="F795" s="6" t="n">
        <v>30000</v>
      </c>
      <c r="Q795" s="1" t="n">
        <f aca="false">IF($A504="","",IF(OR(F504="",I504=""),"",F504-I504))</f>
        <v>63892</v>
      </c>
      <c r="R795" s="1" t="n">
        <f aca="false">IF($A504="","",IF(Q504="","",Q504+IF(O504="",0,O504)))</f>
        <v>62762</v>
      </c>
      <c r="T795" s="1" t="str">
        <f aca="false">IF($A504="","",IF(R504="","",R504-IF(S504="",0,S504)))</f>
        <v/>
      </c>
      <c r="U795" s="1" t="n">
        <f aca="false">IF($A504="","",IF(I504="","",I504-SUM(J504:P504)))</f>
        <v>3</v>
      </c>
      <c r="V795" s="6" t="s">
        <v>5207</v>
      </c>
      <c r="W795" s="9" t="s">
        <v>767</v>
      </c>
      <c r="X795" s="9" t="s">
        <v>5232</v>
      </c>
      <c r="Y795" s="9" t="s">
        <v>4897</v>
      </c>
      <c r="Z795" s="9" t="s">
        <v>4898</v>
      </c>
      <c r="AA795" s="9" t="s">
        <v>4943</v>
      </c>
    </row>
    <row r="796" customFormat="false" ht="15" hidden="false" customHeight="true" outlineLevel="0" collapsed="false">
      <c r="A796" s="6" t="s">
        <v>3203</v>
      </c>
      <c r="B796" s="6" t="s">
        <v>538</v>
      </c>
      <c r="C796" s="6" t="s">
        <v>542</v>
      </c>
      <c r="D796" s="6" t="n">
        <v>6</v>
      </c>
      <c r="E796" s="9" t="s">
        <v>5206</v>
      </c>
      <c r="F796" s="6" t="n">
        <v>37000</v>
      </c>
      <c r="Q796" s="1" t="n">
        <f aca="false">IF($A505="","",IF(OR(F505="",I505=""),"",F505-I505))</f>
        <v>30305</v>
      </c>
      <c r="R796" s="1" t="n">
        <f aca="false">IF($A505="","",IF(Q505="","",Q505+IF(O505="",0,O505)))</f>
        <v>41191</v>
      </c>
      <c r="T796" s="1" t="str">
        <f aca="false">IF($A505="","",IF(R505="","",R505-IF(S505="",0,S505)))</f>
        <v/>
      </c>
      <c r="U796" s="1" t="n">
        <f aca="false">IF($A505="","",IF(I505="","",I505-SUM(J505:P505)))</f>
        <v>2</v>
      </c>
      <c r="V796" s="6" t="s">
        <v>5207</v>
      </c>
      <c r="W796" s="9" t="s">
        <v>767</v>
      </c>
      <c r="X796" s="9" t="s">
        <v>5223</v>
      </c>
      <c r="Y796" s="9" t="s">
        <v>4897</v>
      </c>
      <c r="Z796" s="9" t="s">
        <v>4898</v>
      </c>
      <c r="AA796" s="9" t="s">
        <v>4943</v>
      </c>
    </row>
    <row r="797" customFormat="false" ht="15" hidden="false" customHeight="true" outlineLevel="0" collapsed="false">
      <c r="A797" s="6" t="s">
        <v>3206</v>
      </c>
      <c r="B797" s="6" t="s">
        <v>538</v>
      </c>
      <c r="C797" s="6" t="s">
        <v>542</v>
      </c>
      <c r="D797" s="6" t="n">
        <v>6</v>
      </c>
      <c r="E797" s="9" t="s">
        <v>5206</v>
      </c>
      <c r="F797" s="6" t="n">
        <v>37000</v>
      </c>
      <c r="Q797" s="1" t="n">
        <f aca="false">IF($A506="","",IF(OR(F506="",I506=""),"",F506-I506))</f>
        <v>45809</v>
      </c>
      <c r="R797" s="1" t="n">
        <f aca="false">IF($A506="","",IF(Q506="","",Q506+IF(O506="",0,O506)))</f>
        <v>31467</v>
      </c>
      <c r="T797" s="1" t="str">
        <f aca="false">IF($A506="","",IF(R506="","",R506-IF(S506="",0,S506)))</f>
        <v/>
      </c>
      <c r="U797" s="1" t="n">
        <f aca="false">IF($A506="","",IF(I506="","",I506-SUM(J506:P506)))</f>
        <v>5</v>
      </c>
      <c r="V797" s="6" t="s">
        <v>5207</v>
      </c>
      <c r="W797" s="9" t="s">
        <v>767</v>
      </c>
      <c r="X797" s="9" t="s">
        <v>5223</v>
      </c>
      <c r="Y797" s="9" t="s">
        <v>4897</v>
      </c>
      <c r="Z797" s="9" t="s">
        <v>4898</v>
      </c>
      <c r="AA797" s="9" t="s">
        <v>4943</v>
      </c>
    </row>
    <row r="798" customFormat="false" ht="15" hidden="false" customHeight="true" outlineLevel="0" collapsed="false">
      <c r="A798" s="6" t="s">
        <v>3209</v>
      </c>
      <c r="B798" s="6" t="s">
        <v>538</v>
      </c>
      <c r="C798" s="6" t="s">
        <v>542</v>
      </c>
      <c r="D798" s="6" t="n">
        <v>6</v>
      </c>
      <c r="E798" s="9" t="s">
        <v>5206</v>
      </c>
      <c r="F798" s="6" t="n">
        <v>79000</v>
      </c>
      <c r="Q798" s="1" t="n">
        <f aca="false">IF($A507="","",IF(OR(F507="",I507=""),"",F507-I507))</f>
        <v>51839</v>
      </c>
      <c r="R798" s="1" t="n">
        <f aca="false">IF($A507="","",IF(Q507="","",Q507+IF(O507="",0,O507)))</f>
        <v>22954</v>
      </c>
      <c r="T798" s="1" t="str">
        <f aca="false">IF($A507="","",IF(R507="","",R507-IF(S507="",0,S507)))</f>
        <v/>
      </c>
      <c r="U798" s="1" t="n">
        <f aca="false">IF($A507="","",IF(I507="","",I507-SUM(J507:P507)))</f>
        <v>4</v>
      </c>
      <c r="V798" s="6" t="s">
        <v>5207</v>
      </c>
      <c r="W798" s="9" t="s">
        <v>767</v>
      </c>
      <c r="X798" s="9" t="s">
        <v>5252</v>
      </c>
      <c r="Y798" s="9" t="s">
        <v>4897</v>
      </c>
      <c r="Z798" s="9" t="s">
        <v>4898</v>
      </c>
      <c r="AA798" s="9" t="s">
        <v>4903</v>
      </c>
    </row>
    <row r="799" customFormat="false" ht="15" hidden="false" customHeight="true" outlineLevel="0" collapsed="false">
      <c r="A799" s="6" t="s">
        <v>3212</v>
      </c>
      <c r="B799" s="6" t="s">
        <v>538</v>
      </c>
      <c r="C799" s="6" t="s">
        <v>542</v>
      </c>
      <c r="D799" s="6" t="n">
        <v>6</v>
      </c>
      <c r="E799" s="9" t="s">
        <v>5206</v>
      </c>
      <c r="F799" s="6" t="n">
        <v>101000</v>
      </c>
      <c r="Q799" s="1" t="n">
        <f aca="false">IF($A508="","",IF(OR(F508="",I508=""),"",F508-I508))</f>
        <v>111280</v>
      </c>
      <c r="R799" s="1" t="n">
        <f aca="false">IF($A508="","",IF(Q508="","",Q508+IF(O508="",0,O508)))</f>
        <v>-29227</v>
      </c>
      <c r="T799" s="1" t="str">
        <f aca="false">IF($A508="","",IF(R508="","",R508-IF(S508="",0,S508)))</f>
        <v/>
      </c>
      <c r="U799" s="1" t="n">
        <f aca="false">IF($A508="","",IF(I508="","",I508-SUM(J508:P508)))</f>
        <v>2</v>
      </c>
      <c r="V799" s="6" t="s">
        <v>5207</v>
      </c>
      <c r="W799" s="9" t="s">
        <v>767</v>
      </c>
      <c r="X799" s="9" t="s">
        <v>5253</v>
      </c>
      <c r="Y799" s="9" t="s">
        <v>4897</v>
      </c>
      <c r="Z799" s="9" t="s">
        <v>4898</v>
      </c>
      <c r="AA799" s="9" t="s">
        <v>4903</v>
      </c>
    </row>
    <row r="800" customFormat="false" ht="15" hidden="false" customHeight="true" outlineLevel="0" collapsed="false">
      <c r="A800" s="6" t="s">
        <v>3215</v>
      </c>
      <c r="B800" s="6" t="s">
        <v>538</v>
      </c>
      <c r="C800" s="6" t="s">
        <v>542</v>
      </c>
      <c r="D800" s="6" t="n">
        <v>6</v>
      </c>
      <c r="E800" s="9" t="s">
        <v>5206</v>
      </c>
      <c r="F800" s="6" t="n">
        <v>49000</v>
      </c>
      <c r="Q800" s="1" t="n">
        <f aca="false">IF($A509="","",IF(OR(F509="",I509=""),"",F509-I509))</f>
        <v>96347</v>
      </c>
      <c r="R800" s="1" t="n">
        <f aca="false">IF($A509="","",IF(Q509="","",Q509+IF(O509="",0,O509)))</f>
        <v>56475</v>
      </c>
      <c r="T800" s="1" t="str">
        <f aca="false">IF($A509="","",IF(R509="","",R509-IF(S509="",0,S509)))</f>
        <v/>
      </c>
      <c r="U800" s="1" t="n">
        <f aca="false">IF($A509="","",IF(I509="","",I509-SUM(J509:P509)))</f>
        <v>3</v>
      </c>
      <c r="V800" s="6" t="s">
        <v>5207</v>
      </c>
      <c r="W800" s="9" t="s">
        <v>767</v>
      </c>
      <c r="X800" s="9" t="s">
        <v>5254</v>
      </c>
      <c r="Y800" s="9" t="s">
        <v>4897</v>
      </c>
      <c r="Z800" s="9" t="s">
        <v>4898</v>
      </c>
      <c r="AA800" s="9" t="s">
        <v>4943</v>
      </c>
    </row>
    <row r="801" customFormat="false" ht="15" hidden="false" customHeight="true" outlineLevel="0" collapsed="false">
      <c r="A801" s="6" t="s">
        <v>3218</v>
      </c>
      <c r="B801" s="6" t="s">
        <v>538</v>
      </c>
      <c r="C801" s="6" t="s">
        <v>542</v>
      </c>
      <c r="D801" s="6" t="n">
        <v>6</v>
      </c>
      <c r="E801" s="9" t="s">
        <v>5206</v>
      </c>
      <c r="F801" s="6" t="n">
        <v>48000</v>
      </c>
      <c r="Q801" s="1" t="n">
        <f aca="false">IF($A510="","",IF(OR(F510="",I510=""),"",F510-I510))</f>
        <v>328233</v>
      </c>
      <c r="R801" s="1" t="n">
        <f aca="false">IF($A510="","",IF(Q510="","",Q510+IF(O510="",0,O510)))</f>
        <v>40927</v>
      </c>
      <c r="T801" s="1" t="str">
        <f aca="false">IF($A510="","",IF(R510="","",R510-IF(S510="",0,S510)))</f>
        <v/>
      </c>
      <c r="U801" s="1" t="n">
        <f aca="false">IF($A510="","",IF(I510="","",I510-SUM(J510:P510)))</f>
        <v>0</v>
      </c>
      <c r="V801" s="6" t="s">
        <v>5207</v>
      </c>
      <c r="W801" s="9" t="s">
        <v>767</v>
      </c>
      <c r="X801" s="9" t="s">
        <v>5209</v>
      </c>
      <c r="Y801" s="9" t="s">
        <v>4897</v>
      </c>
      <c r="Z801" s="9" t="s">
        <v>4898</v>
      </c>
      <c r="AA801" s="9" t="s">
        <v>4943</v>
      </c>
    </row>
    <row r="802" customFormat="false" ht="15" hidden="false" customHeight="true" outlineLevel="0" collapsed="false">
      <c r="A802" s="6" t="s">
        <v>3221</v>
      </c>
      <c r="B802" s="6" t="s">
        <v>538</v>
      </c>
      <c r="C802" s="6" t="s">
        <v>542</v>
      </c>
      <c r="D802" s="6" t="n">
        <v>6</v>
      </c>
      <c r="E802" s="9" t="s">
        <v>5206</v>
      </c>
      <c r="F802" s="6" t="n">
        <v>40000</v>
      </c>
      <c r="Q802" s="1" t="n">
        <f aca="false">IF($A511="","",IF(OR(F511="",I511=""),"",F511-I511))</f>
        <v>192081</v>
      </c>
      <c r="R802" s="1" t="n">
        <f aca="false">IF($A511="","",IF(Q511="","",Q511+IF(O511="",0,O511)))</f>
        <v>31921</v>
      </c>
      <c r="T802" s="1" t="str">
        <f aca="false">IF($A511="","",IF(R511="","",R511-IF(S511="",0,S511)))</f>
        <v/>
      </c>
      <c r="U802" s="1" t="n">
        <f aca="false">IF($A511="","",IF(I511="","",I511-SUM(J511:P511)))</f>
        <v>1</v>
      </c>
      <c r="V802" s="6" t="s">
        <v>5207</v>
      </c>
      <c r="W802" s="9" t="s">
        <v>767</v>
      </c>
      <c r="X802" s="9" t="s">
        <v>5255</v>
      </c>
      <c r="Y802" s="9" t="s">
        <v>4897</v>
      </c>
      <c r="Z802" s="9" t="s">
        <v>4898</v>
      </c>
      <c r="AA802" s="9" t="s">
        <v>4943</v>
      </c>
    </row>
    <row r="803" customFormat="false" ht="15" hidden="false" customHeight="true" outlineLevel="0" collapsed="false">
      <c r="A803" s="6" t="s">
        <v>3224</v>
      </c>
      <c r="B803" s="6" t="s">
        <v>538</v>
      </c>
      <c r="C803" s="6" t="s">
        <v>542</v>
      </c>
      <c r="D803" s="6" t="n">
        <v>6</v>
      </c>
      <c r="E803" s="9" t="s">
        <v>5206</v>
      </c>
      <c r="F803" s="6" t="n">
        <v>56000</v>
      </c>
      <c r="Q803" s="1" t="str">
        <f aca="false">IF($A512="","",IF(OR(F512="",I512=""),"",F512-I512))</f>
        <v/>
      </c>
      <c r="R803" s="1" t="str">
        <f aca="false">IF($A512="","",IF(Q512="","",Q512+IF(O512="",0,O512)))</f>
        <v/>
      </c>
      <c r="T803" s="1" t="str">
        <f aca="false">IF($A512="","",IF(R512="","",R512-IF(S512="",0,S512)))</f>
        <v/>
      </c>
      <c r="U803" s="1" t="str">
        <f aca="false">IF($A512="","",IF(I512="","",I512-SUM(J512:P512)))</f>
        <v/>
      </c>
      <c r="V803" s="6" t="s">
        <v>5207</v>
      </c>
      <c r="W803" s="9" t="s">
        <v>767</v>
      </c>
      <c r="X803" s="9" t="s">
        <v>5251</v>
      </c>
      <c r="Y803" s="9" t="s">
        <v>4897</v>
      </c>
      <c r="Z803" s="9" t="s">
        <v>4898</v>
      </c>
      <c r="AA803" s="9" t="s">
        <v>4903</v>
      </c>
    </row>
    <row r="804" customFormat="false" ht="15" hidden="false" customHeight="true" outlineLevel="0" collapsed="false">
      <c r="A804" s="6" t="s">
        <v>3227</v>
      </c>
      <c r="B804" s="6" t="s">
        <v>538</v>
      </c>
      <c r="C804" s="6" t="s">
        <v>542</v>
      </c>
      <c r="D804" s="6" t="n">
        <v>6</v>
      </c>
      <c r="E804" s="9" t="s">
        <v>5206</v>
      </c>
      <c r="F804" s="6" t="n">
        <v>98000</v>
      </c>
      <c r="Q804" s="1" t="str">
        <f aca="false">IF($A513="","",IF(OR(F513="",I513=""),"",F513-I513))</f>
        <v/>
      </c>
      <c r="R804" s="1" t="str">
        <f aca="false">IF($A513="","",IF(Q513="","",Q513+IF(O513="",0,O513)))</f>
        <v/>
      </c>
      <c r="T804" s="1" t="str">
        <f aca="false">IF($A513="","",IF(R513="","",R513-IF(S513="",0,S513)))</f>
        <v/>
      </c>
      <c r="U804" s="1" t="str">
        <f aca="false">IF($A513="","",IF(I513="","",I513-SUM(J513:P513)))</f>
        <v/>
      </c>
      <c r="V804" s="6" t="s">
        <v>5207</v>
      </c>
      <c r="W804" s="9" t="s">
        <v>767</v>
      </c>
      <c r="X804" s="9" t="s">
        <v>5256</v>
      </c>
      <c r="Y804" s="9" t="s">
        <v>4897</v>
      </c>
      <c r="Z804" s="9" t="s">
        <v>4898</v>
      </c>
      <c r="AA804" s="9" t="s">
        <v>4903</v>
      </c>
    </row>
    <row r="805" customFormat="false" ht="15" hidden="false" customHeight="true" outlineLevel="0" collapsed="false">
      <c r="A805" s="6" t="s">
        <v>3230</v>
      </c>
      <c r="B805" s="6" t="s">
        <v>538</v>
      </c>
      <c r="C805" s="6" t="s">
        <v>542</v>
      </c>
      <c r="D805" s="6" t="n">
        <v>6</v>
      </c>
      <c r="E805" s="9" t="s">
        <v>5206</v>
      </c>
      <c r="F805" s="6" t="n">
        <v>18000</v>
      </c>
      <c r="Q805" s="1" t="str">
        <f aca="false">IF($A514="","",IF(OR(F514="",I514=""),"",F514-I514))</f>
        <v/>
      </c>
      <c r="R805" s="1" t="str">
        <f aca="false">IF($A514="","",IF(Q514="","",Q514+IF(O514="",0,O514)))</f>
        <v/>
      </c>
      <c r="T805" s="1" t="str">
        <f aca="false">IF($A514="","",IF(R514="","",R514-IF(S514="",0,S514)))</f>
        <v/>
      </c>
      <c r="U805" s="1" t="str">
        <f aca="false">IF($A514="","",IF(I514="","",I514-SUM(J514:P514)))</f>
        <v/>
      </c>
      <c r="V805" s="6" t="s">
        <v>5207</v>
      </c>
      <c r="W805" s="9" t="s">
        <v>767</v>
      </c>
      <c r="X805" s="9" t="s">
        <v>5257</v>
      </c>
      <c r="Y805" s="9" t="s">
        <v>4897</v>
      </c>
      <c r="Z805" s="9" t="s">
        <v>4898</v>
      </c>
      <c r="AA805" s="9" t="s">
        <v>4943</v>
      </c>
    </row>
    <row r="806" customFormat="false" ht="15" hidden="false" customHeight="true" outlineLevel="0" collapsed="false">
      <c r="A806" s="6" t="s">
        <v>3233</v>
      </c>
      <c r="B806" s="6" t="s">
        <v>538</v>
      </c>
      <c r="C806" s="6" t="s">
        <v>542</v>
      </c>
      <c r="D806" s="6" t="n">
        <v>6</v>
      </c>
      <c r="E806" s="9" t="s">
        <v>5211</v>
      </c>
      <c r="F806" s="6" t="n">
        <v>33000</v>
      </c>
      <c r="Q806" s="1" t="str">
        <f aca="false">IF($A515="","",IF(OR(F515="",I515=""),"",F515-I515))</f>
        <v/>
      </c>
      <c r="R806" s="1" t="str">
        <f aca="false">IF($A515="","",IF(Q515="","",Q515+IF(O515="",0,O515)))</f>
        <v/>
      </c>
      <c r="T806" s="1" t="str">
        <f aca="false">IF($A515="","",IF(R515="","",R515-IF(S515="",0,S515)))</f>
        <v/>
      </c>
      <c r="U806" s="1" t="str">
        <f aca="false">IF($A515="","",IF(I515="","",I515-SUM(J515:P515)))</f>
        <v/>
      </c>
      <c r="V806" s="6" t="s">
        <v>5207</v>
      </c>
      <c r="W806" s="9" t="s">
        <v>774</v>
      </c>
      <c r="X806" s="6" t="s">
        <v>5258</v>
      </c>
      <c r="Y806" s="6" t="s">
        <v>4920</v>
      </c>
      <c r="Z806" s="9" t="s">
        <v>4981</v>
      </c>
      <c r="AA806" s="9" t="s">
        <v>4943</v>
      </c>
    </row>
    <row r="807" customFormat="false" ht="15" hidden="false" customHeight="true" outlineLevel="0" collapsed="false">
      <c r="A807" s="6" t="s">
        <v>3236</v>
      </c>
      <c r="B807" s="6" t="s">
        <v>538</v>
      </c>
      <c r="C807" s="6" t="s">
        <v>542</v>
      </c>
      <c r="D807" s="6" t="n">
        <v>6</v>
      </c>
      <c r="E807" s="9" t="s">
        <v>5206</v>
      </c>
      <c r="F807" s="6" t="n">
        <v>83000</v>
      </c>
      <c r="Q807" s="1" t="str">
        <f aca="false">IF($A516="","",IF(OR(F516="",I516=""),"",F516-I516))</f>
        <v/>
      </c>
      <c r="R807" s="1" t="str">
        <f aca="false">IF($A516="","",IF(Q516="","",Q516+IF(O516="",0,O516)))</f>
        <v/>
      </c>
      <c r="T807" s="1" t="str">
        <f aca="false">IF($A516="","",IF(R516="","",R516-IF(S516="",0,S516)))</f>
        <v/>
      </c>
      <c r="U807" s="1" t="str">
        <f aca="false">IF($A516="","",IF(I516="","",I516-SUM(J516:P516)))</f>
        <v/>
      </c>
      <c r="V807" s="6" t="s">
        <v>5207</v>
      </c>
      <c r="W807" s="9" t="s">
        <v>767</v>
      </c>
      <c r="X807" s="9" t="s">
        <v>5259</v>
      </c>
      <c r="Y807" s="9" t="s">
        <v>4897</v>
      </c>
      <c r="Z807" s="9" t="s">
        <v>4898</v>
      </c>
      <c r="AA807" s="9" t="s">
        <v>4903</v>
      </c>
    </row>
    <row r="808" customFormat="false" ht="15" hidden="false" customHeight="true" outlineLevel="0" collapsed="false">
      <c r="A808" s="6" t="s">
        <v>3239</v>
      </c>
      <c r="B808" s="6" t="s">
        <v>538</v>
      </c>
      <c r="C808" s="6" t="s">
        <v>542</v>
      </c>
      <c r="D808" s="6" t="n">
        <v>6</v>
      </c>
      <c r="E808" s="9" t="s">
        <v>5206</v>
      </c>
      <c r="F808" s="6" t="n">
        <v>241000</v>
      </c>
      <c r="Q808" s="1" t="str">
        <f aca="false">IF($A517="","",IF(OR(F517="",I517=""),"",F517-I517))</f>
        <v/>
      </c>
      <c r="R808" s="1" t="str">
        <f aca="false">IF($A517="","",IF(Q517="","",Q517+IF(O517="",0,O517)))</f>
        <v/>
      </c>
      <c r="T808" s="1" t="str">
        <f aca="false">IF($A517="","",IF(R517="","",R517-IF(S517="",0,S517)))</f>
        <v/>
      </c>
      <c r="U808" s="1" t="str">
        <f aca="false">IF($A517="","",IF(I517="","",I517-SUM(J517:P517)))</f>
        <v/>
      </c>
      <c r="V808" s="6" t="s">
        <v>5207</v>
      </c>
      <c r="W808" s="9" t="s">
        <v>767</v>
      </c>
      <c r="X808" s="9" t="s">
        <v>5260</v>
      </c>
      <c r="Y808" s="9" t="s">
        <v>4897</v>
      </c>
      <c r="Z808" s="9" t="s">
        <v>4898</v>
      </c>
      <c r="AA808" s="9" t="s">
        <v>4903</v>
      </c>
    </row>
    <row r="809" customFormat="false" ht="15" hidden="false" customHeight="true" outlineLevel="0" collapsed="false">
      <c r="A809" s="6" t="s">
        <v>3242</v>
      </c>
      <c r="B809" s="6" t="s">
        <v>538</v>
      </c>
      <c r="C809" s="6" t="s">
        <v>542</v>
      </c>
      <c r="D809" s="6" t="n">
        <v>6</v>
      </c>
      <c r="E809" s="9" t="s">
        <v>5206</v>
      </c>
      <c r="F809" s="6" t="n">
        <v>277000</v>
      </c>
      <c r="Q809" s="1" t="str">
        <f aca="false">IF($A518="","",IF(OR(F518="",I518=""),"",F518-I518))</f>
        <v/>
      </c>
      <c r="R809" s="1" t="str">
        <f aca="false">IF($A518="","",IF(Q518="","",Q518+IF(O518="",0,O518)))</f>
        <v/>
      </c>
      <c r="T809" s="1" t="str">
        <f aca="false">IF($A518="","",IF(R518="","",R518-IF(S518="",0,S518)))</f>
        <v/>
      </c>
      <c r="U809" s="1" t="str">
        <f aca="false">IF($A518="","",IF(I518="","",I518-SUM(J518:P518)))</f>
        <v/>
      </c>
      <c r="V809" s="6" t="s">
        <v>5207</v>
      </c>
      <c r="W809" s="9" t="s">
        <v>767</v>
      </c>
      <c r="X809" s="9" t="s">
        <v>5261</v>
      </c>
      <c r="Y809" s="9" t="s">
        <v>4897</v>
      </c>
      <c r="Z809" s="9" t="s">
        <v>4898</v>
      </c>
      <c r="AA809" s="9" t="s">
        <v>4903</v>
      </c>
    </row>
    <row r="810" customFormat="false" ht="15" hidden="false" customHeight="true" outlineLevel="0" collapsed="false">
      <c r="A810" s="6" t="s">
        <v>3245</v>
      </c>
      <c r="B810" s="6" t="s">
        <v>538</v>
      </c>
      <c r="C810" s="6" t="s">
        <v>542</v>
      </c>
      <c r="D810" s="6" t="n">
        <v>6</v>
      </c>
      <c r="E810" s="9" t="s">
        <v>5206</v>
      </c>
      <c r="F810" s="6" t="n">
        <v>70000</v>
      </c>
      <c r="Q810" s="1" t="str">
        <f aca="false">IF($A519="","",IF(OR(F519="",I519=""),"",F519-I519))</f>
        <v/>
      </c>
      <c r="R810" s="1" t="str">
        <f aca="false">IF($A519="","",IF(Q519="","",Q519+IF(O519="",0,O519)))</f>
        <v/>
      </c>
      <c r="T810" s="1" t="str">
        <f aca="false">IF($A519="","",IF(R519="","",R519-IF(S519="",0,S519)))</f>
        <v/>
      </c>
      <c r="U810" s="1" t="str">
        <f aca="false">IF($A519="","",IF(I519="","",I519-SUM(J519:P519)))</f>
        <v/>
      </c>
      <c r="V810" s="6" t="s">
        <v>5207</v>
      </c>
      <c r="W810" s="9" t="s">
        <v>767</v>
      </c>
      <c r="X810" s="9" t="s">
        <v>5239</v>
      </c>
      <c r="Y810" s="9" t="s">
        <v>4897</v>
      </c>
      <c r="Z810" s="9" t="s">
        <v>4898</v>
      </c>
      <c r="AA810" s="9" t="s">
        <v>4903</v>
      </c>
    </row>
    <row r="811" customFormat="false" ht="15" hidden="false" customHeight="true" outlineLevel="0" collapsed="false">
      <c r="A811" s="6" t="s">
        <v>3248</v>
      </c>
      <c r="B811" s="6" t="s">
        <v>538</v>
      </c>
      <c r="C811" s="6" t="s">
        <v>542</v>
      </c>
      <c r="D811" s="6" t="n">
        <v>6</v>
      </c>
      <c r="E811" s="9" t="s">
        <v>5206</v>
      </c>
      <c r="F811" s="6" t="n">
        <v>155000</v>
      </c>
      <c r="Q811" s="1" t="str">
        <f aca="false">IF($A520="","",IF(OR(F520="",I520=""),"",F520-I520))</f>
        <v/>
      </c>
      <c r="R811" s="1" t="str">
        <f aca="false">IF($A520="","",IF(Q520="","",Q520+IF(O520="",0,O520)))</f>
        <v/>
      </c>
      <c r="T811" s="1" t="str">
        <f aca="false">IF($A520="","",IF(R520="","",R520-IF(S520="",0,S520)))</f>
        <v/>
      </c>
      <c r="U811" s="1" t="str">
        <f aca="false">IF($A520="","",IF(I520="","",I520-SUM(J520:P520)))</f>
        <v/>
      </c>
      <c r="V811" s="6" t="s">
        <v>5207</v>
      </c>
      <c r="W811" s="9" t="s">
        <v>767</v>
      </c>
      <c r="X811" s="9" t="s">
        <v>5262</v>
      </c>
      <c r="Y811" s="9" t="s">
        <v>4897</v>
      </c>
      <c r="Z811" s="9" t="s">
        <v>4898</v>
      </c>
      <c r="AA811" s="9" t="s">
        <v>4903</v>
      </c>
    </row>
    <row r="812" customFormat="false" ht="15" hidden="false" customHeight="true" outlineLevel="0" collapsed="false">
      <c r="A812" s="6" t="s">
        <v>3251</v>
      </c>
      <c r="B812" s="6" t="s">
        <v>538</v>
      </c>
      <c r="C812" s="6" t="s">
        <v>542</v>
      </c>
      <c r="D812" s="6" t="n">
        <v>6</v>
      </c>
      <c r="E812" s="9" t="s">
        <v>5206</v>
      </c>
      <c r="F812" s="6" t="n">
        <v>61000</v>
      </c>
      <c r="Q812" s="1" t="str">
        <f aca="false">IF($A521="","",IF(OR(F521="",I521=""),"",F521-I521))</f>
        <v/>
      </c>
      <c r="R812" s="1" t="str">
        <f aca="false">IF($A521="","",IF(Q521="","",Q521+IF(O521="",0,O521)))</f>
        <v/>
      </c>
      <c r="T812" s="1" t="str">
        <f aca="false">IF($A521="","",IF(R521="","",R521-IF(S521="",0,S521)))</f>
        <v/>
      </c>
      <c r="U812" s="1" t="str">
        <f aca="false">IF($A521="","",IF(I521="","",I521-SUM(J521:P521)))</f>
        <v/>
      </c>
      <c r="V812" s="6" t="s">
        <v>5207</v>
      </c>
      <c r="W812" s="9" t="s">
        <v>767</v>
      </c>
      <c r="X812" s="9" t="s">
        <v>5210</v>
      </c>
      <c r="Y812" s="9" t="s">
        <v>4897</v>
      </c>
      <c r="Z812" s="9" t="s">
        <v>4898</v>
      </c>
      <c r="AA812" s="9" t="s">
        <v>4903</v>
      </c>
    </row>
    <row r="813" customFormat="false" ht="15" hidden="false" customHeight="true" outlineLevel="0" collapsed="false">
      <c r="A813" s="6" t="s">
        <v>3254</v>
      </c>
      <c r="B813" s="6" t="s">
        <v>538</v>
      </c>
      <c r="C813" s="6" t="s">
        <v>542</v>
      </c>
      <c r="D813" s="6" t="n">
        <v>6</v>
      </c>
      <c r="E813" s="9" t="s">
        <v>5206</v>
      </c>
      <c r="F813" s="6" t="n">
        <v>61000</v>
      </c>
      <c r="Q813" s="1" t="str">
        <f aca="false">IF($A522="","",IF(OR(F522="",I522=""),"",F522-I522))</f>
        <v/>
      </c>
      <c r="R813" s="1" t="str">
        <f aca="false">IF($A522="","",IF(Q522="","",Q522+IF(O522="",0,O522)))</f>
        <v/>
      </c>
      <c r="T813" s="1" t="str">
        <f aca="false">IF($A522="","",IF(R522="","",R522-IF(S522="",0,S522)))</f>
        <v/>
      </c>
      <c r="U813" s="1" t="str">
        <f aca="false">IF($A522="","",IF(I522="","",I522-SUM(J522:P522)))</f>
        <v/>
      </c>
      <c r="V813" s="6" t="s">
        <v>5207</v>
      </c>
      <c r="W813" s="9" t="s">
        <v>767</v>
      </c>
      <c r="X813" s="9" t="s">
        <v>5210</v>
      </c>
      <c r="Y813" s="9" t="s">
        <v>4897</v>
      </c>
      <c r="Z813" s="9" t="s">
        <v>4898</v>
      </c>
      <c r="AA813" s="9" t="s">
        <v>4903</v>
      </c>
    </row>
    <row r="814" customFormat="false" ht="15" hidden="false" customHeight="true" outlineLevel="0" collapsed="false">
      <c r="A814" s="6" t="s">
        <v>3257</v>
      </c>
      <c r="B814" s="6" t="s">
        <v>538</v>
      </c>
      <c r="C814" s="6" t="s">
        <v>542</v>
      </c>
      <c r="D814" s="6" t="n">
        <v>6</v>
      </c>
      <c r="E814" s="9" t="s">
        <v>5206</v>
      </c>
      <c r="F814" s="6" t="n">
        <v>118000</v>
      </c>
      <c r="Q814" s="1" t="str">
        <f aca="false">IF($A523="","",IF(OR(F523="",I523=""),"",F523-I523))</f>
        <v/>
      </c>
      <c r="R814" s="1" t="str">
        <f aca="false">IF($A523="","",IF(Q523="","",Q523+IF(O523="",0,O523)))</f>
        <v/>
      </c>
      <c r="T814" s="1" t="str">
        <f aca="false">IF($A523="","",IF(R523="","",R523-IF(S523="",0,S523)))</f>
        <v/>
      </c>
      <c r="U814" s="1" t="str">
        <f aca="false">IF($A523="","",IF(I523="","",I523-SUM(J523:P523)))</f>
        <v/>
      </c>
      <c r="V814" s="6" t="s">
        <v>5207</v>
      </c>
      <c r="W814" s="9" t="s">
        <v>767</v>
      </c>
      <c r="X814" s="9" t="s">
        <v>5263</v>
      </c>
      <c r="Y814" s="9" t="s">
        <v>4897</v>
      </c>
      <c r="Z814" s="9" t="s">
        <v>4898</v>
      </c>
      <c r="AA814" s="9" t="s">
        <v>4903</v>
      </c>
    </row>
    <row r="815" customFormat="false" ht="15" hidden="false" customHeight="true" outlineLevel="0" collapsed="false">
      <c r="A815" s="6" t="s">
        <v>3260</v>
      </c>
      <c r="B815" s="6" t="s">
        <v>538</v>
      </c>
      <c r="C815" s="6" t="s">
        <v>542</v>
      </c>
      <c r="D815" s="6" t="n">
        <v>6</v>
      </c>
      <c r="E815" s="9" t="s">
        <v>5206</v>
      </c>
      <c r="F815" s="6" t="n">
        <v>75000</v>
      </c>
      <c r="Q815" s="1" t="n">
        <f aca="false">IF($A524="","",IF(OR(F524="",I524=""),"",F524-I524))</f>
        <v>57664</v>
      </c>
      <c r="R815" s="1" t="n">
        <f aca="false">IF($A524="","",IF(Q524="","",Q524+IF(O524="",0,O524)))</f>
        <v>91141</v>
      </c>
      <c r="T815" s="1" t="str">
        <f aca="false">IF($A524="","",IF(R524="","",R524-IF(S524="",0,S524)))</f>
        <v/>
      </c>
      <c r="U815" s="1" t="n">
        <f aca="false">IF($A524="","",IF(I524="","",I524-SUM(J524:P524)))</f>
        <v>2</v>
      </c>
      <c r="V815" s="6" t="s">
        <v>5207</v>
      </c>
      <c r="W815" s="9" t="s">
        <v>767</v>
      </c>
      <c r="X815" s="9" t="s">
        <v>5264</v>
      </c>
      <c r="Y815" s="9" t="s">
        <v>4897</v>
      </c>
      <c r="Z815" s="9" t="s">
        <v>4898</v>
      </c>
      <c r="AA815" s="9" t="s">
        <v>4903</v>
      </c>
    </row>
    <row r="816" customFormat="false" ht="15" hidden="false" customHeight="true" outlineLevel="0" collapsed="false">
      <c r="A816" s="6" t="s">
        <v>3263</v>
      </c>
      <c r="B816" s="6" t="s">
        <v>538</v>
      </c>
      <c r="C816" s="6" t="s">
        <v>542</v>
      </c>
      <c r="D816" s="6" t="n">
        <v>6</v>
      </c>
      <c r="E816" s="9" t="s">
        <v>5206</v>
      </c>
      <c r="F816" s="6" t="n">
        <v>50000</v>
      </c>
      <c r="Q816" s="1" t="str">
        <f aca="false">IF($A525="","",IF(OR(F525="",I525=""),"",F525-I525))</f>
        <v/>
      </c>
      <c r="R816" s="1" t="str">
        <f aca="false">IF($A525="","",IF(Q525="","",Q525+IF(O525="",0,O525)))</f>
        <v/>
      </c>
      <c r="T816" s="1" t="str">
        <f aca="false">IF($A525="","",IF(R525="","",R525-IF(S525="",0,S525)))</f>
        <v/>
      </c>
      <c r="U816" s="1" t="str">
        <f aca="false">IF($A525="","",IF(I525="","",I525-SUM(J525:P525)))</f>
        <v/>
      </c>
      <c r="V816" s="6" t="s">
        <v>5207</v>
      </c>
      <c r="W816" s="9" t="s">
        <v>767</v>
      </c>
      <c r="X816" s="9" t="s">
        <v>5265</v>
      </c>
      <c r="Y816" s="9" t="s">
        <v>4897</v>
      </c>
      <c r="Z816" s="9" t="s">
        <v>4898</v>
      </c>
      <c r="AA816" s="9" t="s">
        <v>4903</v>
      </c>
    </row>
    <row r="817" customFormat="false" ht="15" hidden="false" customHeight="true" outlineLevel="0" collapsed="false">
      <c r="A817" s="6" t="s">
        <v>3266</v>
      </c>
      <c r="B817" s="6" t="s">
        <v>538</v>
      </c>
      <c r="C817" s="6" t="s">
        <v>542</v>
      </c>
      <c r="D817" s="6" t="n">
        <v>6</v>
      </c>
      <c r="E817" s="9" t="s">
        <v>5206</v>
      </c>
      <c r="F817" s="6" t="n">
        <v>90000</v>
      </c>
      <c r="Q817" s="1" t="str">
        <f aca="false">IF($A526="","",IF(OR(F526="",I526=""),"",F526-I526))</f>
        <v/>
      </c>
      <c r="R817" s="1" t="str">
        <f aca="false">IF($A526="","",IF(Q526="","",Q526+IF(O526="",0,O526)))</f>
        <v/>
      </c>
      <c r="T817" s="1" t="str">
        <f aca="false">IF($A526="","",IF(R526="","",R526-IF(S526="",0,S526)))</f>
        <v/>
      </c>
      <c r="U817" s="1" t="str">
        <f aca="false">IF($A526="","",IF(I526="","",I526-SUM(J526:P526)))</f>
        <v/>
      </c>
      <c r="V817" s="6" t="s">
        <v>5207</v>
      </c>
      <c r="W817" s="9" t="s">
        <v>767</v>
      </c>
      <c r="X817" s="9" t="s">
        <v>5266</v>
      </c>
      <c r="Y817" s="9" t="s">
        <v>4897</v>
      </c>
      <c r="Z817" s="9" t="s">
        <v>4898</v>
      </c>
      <c r="AA817" s="9" t="s">
        <v>4903</v>
      </c>
    </row>
    <row r="818" customFormat="false" ht="15" hidden="false" customHeight="true" outlineLevel="0" collapsed="false">
      <c r="A818" s="6" t="s">
        <v>3269</v>
      </c>
      <c r="B818" s="6" t="s">
        <v>538</v>
      </c>
      <c r="C818" s="6" t="s">
        <v>542</v>
      </c>
      <c r="D818" s="6" t="n">
        <v>6</v>
      </c>
      <c r="E818" s="9" t="s">
        <v>5206</v>
      </c>
      <c r="F818" s="6" t="n">
        <v>58000</v>
      </c>
      <c r="Q818" s="1" t="str">
        <f aca="false">IF($A527="","",IF(OR(F527="",I527=""),"",F527-I527))</f>
        <v/>
      </c>
      <c r="R818" s="1" t="str">
        <f aca="false">IF($A527="","",IF(Q527="","",Q527+IF(O527="",0,O527)))</f>
        <v/>
      </c>
      <c r="T818" s="1" t="str">
        <f aca="false">IF($A527="","",IF(R527="","",R527-IF(S527="",0,S527)))</f>
        <v/>
      </c>
      <c r="U818" s="1" t="str">
        <f aca="false">IF($A527="","",IF(I527="","",I527-SUM(J527:P527)))</f>
        <v/>
      </c>
      <c r="V818" s="6" t="s">
        <v>5207</v>
      </c>
      <c r="W818" s="9" t="s">
        <v>767</v>
      </c>
      <c r="X818" s="9" t="s">
        <v>5267</v>
      </c>
      <c r="Y818" s="9" t="s">
        <v>4897</v>
      </c>
      <c r="Z818" s="9" t="s">
        <v>4898</v>
      </c>
      <c r="AA818" s="9" t="s">
        <v>4903</v>
      </c>
    </row>
    <row r="819" customFormat="false" ht="15" hidden="false" customHeight="true" outlineLevel="0" collapsed="false">
      <c r="A819" s="6" t="s">
        <v>3272</v>
      </c>
      <c r="B819" s="6" t="s">
        <v>538</v>
      </c>
      <c r="C819" s="6" t="s">
        <v>542</v>
      </c>
      <c r="D819" s="6" t="n">
        <v>6</v>
      </c>
      <c r="E819" s="9" t="s">
        <v>5206</v>
      </c>
      <c r="F819" s="6" t="n">
        <v>115000</v>
      </c>
      <c r="Q819" s="1" t="str">
        <f aca="false">IF($A528="","",IF(OR(F528="",I528=""),"",F528-I528))</f>
        <v/>
      </c>
      <c r="R819" s="1" t="str">
        <f aca="false">IF($A528="","",IF(Q528="","",Q528+IF(O528="",0,O528)))</f>
        <v/>
      </c>
      <c r="T819" s="1" t="str">
        <f aca="false">IF($A528="","",IF(R528="","",R528-IF(S528="",0,S528)))</f>
        <v/>
      </c>
      <c r="U819" s="1" t="str">
        <f aca="false">IF($A528="","",IF(I528="","",I528-SUM(J528:P528)))</f>
        <v/>
      </c>
      <c r="V819" s="6" t="s">
        <v>5207</v>
      </c>
      <c r="W819" s="9" t="s">
        <v>767</v>
      </c>
      <c r="X819" s="9" t="s">
        <v>5268</v>
      </c>
      <c r="Y819" s="9" t="s">
        <v>4897</v>
      </c>
      <c r="Z819" s="9" t="s">
        <v>4898</v>
      </c>
      <c r="AA819" s="9" t="s">
        <v>4903</v>
      </c>
    </row>
    <row r="820" customFormat="false" ht="15" hidden="false" customHeight="true" outlineLevel="0" collapsed="false">
      <c r="A820" s="6" t="s">
        <v>3275</v>
      </c>
      <c r="B820" s="6" t="s">
        <v>538</v>
      </c>
      <c r="C820" s="6" t="s">
        <v>542</v>
      </c>
      <c r="D820" s="6" t="n">
        <v>6</v>
      </c>
      <c r="E820" s="9" t="s">
        <v>5211</v>
      </c>
      <c r="F820" s="6" t="n">
        <v>21000</v>
      </c>
      <c r="Q820" s="1" t="str">
        <f aca="false">IF($A529="","",IF(OR(F529="",I529=""),"",F529-I529))</f>
        <v/>
      </c>
      <c r="R820" s="1" t="str">
        <f aca="false">IF($A529="","",IF(Q529="","",Q529+IF(O529="",0,O529)))</f>
        <v/>
      </c>
      <c r="T820" s="1" t="str">
        <f aca="false">IF($A529="","",IF(R529="","",R529-IF(S529="",0,S529)))</f>
        <v/>
      </c>
      <c r="U820" s="1" t="str">
        <f aca="false">IF($A529="","",IF(I529="","",I529-SUM(J529:P529)))</f>
        <v/>
      </c>
      <c r="V820" s="6" t="s">
        <v>5207</v>
      </c>
      <c r="W820" s="9" t="s">
        <v>774</v>
      </c>
      <c r="X820" s="6" t="s">
        <v>5269</v>
      </c>
      <c r="Y820" s="6" t="s">
        <v>4920</v>
      </c>
      <c r="Z820" s="9" t="s">
        <v>4981</v>
      </c>
      <c r="AA820" s="9" t="s">
        <v>4943</v>
      </c>
    </row>
    <row r="821" customFormat="false" ht="15" hidden="false" customHeight="true" outlineLevel="0" collapsed="false">
      <c r="A821" s="6" t="s">
        <v>3278</v>
      </c>
      <c r="B821" s="6" t="s">
        <v>538</v>
      </c>
      <c r="C821" s="6" t="s">
        <v>542</v>
      </c>
      <c r="D821" s="6" t="n">
        <v>6</v>
      </c>
      <c r="E821" s="9" t="s">
        <v>5206</v>
      </c>
      <c r="F821" s="6" t="n">
        <v>54000</v>
      </c>
      <c r="Q821" s="1" t="n">
        <f aca="false">IF($A530="","",IF(OR(F530="",I530=""),"",F530-I530))</f>
        <v>3175</v>
      </c>
      <c r="R821" s="1" t="n">
        <f aca="false">IF($A530="","",IF(Q530="","",Q530+IF(O530="",0,O530)))</f>
        <v>61902</v>
      </c>
      <c r="T821" s="1" t="str">
        <f aca="false">IF($A530="","",IF(R530="","",R530-IF(S530="",0,S530)))</f>
        <v/>
      </c>
      <c r="U821" s="1" t="n">
        <f aca="false">IF($A530="","",IF(I530="","",I530-SUM(J530:P530)))</f>
        <v>1</v>
      </c>
      <c r="V821" s="6" t="s">
        <v>5207</v>
      </c>
      <c r="W821" s="9" t="s">
        <v>767</v>
      </c>
      <c r="X821" s="9" t="s">
        <v>5248</v>
      </c>
      <c r="Y821" s="9" t="s">
        <v>4897</v>
      </c>
      <c r="Z821" s="9" t="s">
        <v>4898</v>
      </c>
      <c r="AA821" s="9" t="s">
        <v>4903</v>
      </c>
    </row>
    <row r="822" customFormat="false" ht="15" hidden="false" customHeight="true" outlineLevel="0" collapsed="false">
      <c r="A822" s="6" t="s">
        <v>3282</v>
      </c>
      <c r="B822" s="6" t="s">
        <v>538</v>
      </c>
      <c r="C822" s="6" t="s">
        <v>542</v>
      </c>
      <c r="D822" s="6" t="n">
        <v>6</v>
      </c>
      <c r="E822" s="9" t="s">
        <v>5206</v>
      </c>
      <c r="F822" s="6" t="n">
        <v>147000</v>
      </c>
      <c r="Q822" s="1" t="n">
        <f aca="false">IF($A531="","",IF(OR(F531="",I531=""),"",F531-I531))</f>
        <v>32446</v>
      </c>
      <c r="R822" s="1" t="n">
        <f aca="false">IF($A531="","",IF(Q531="","",Q531+IF(O531="",0,O531)))</f>
        <v>221263</v>
      </c>
      <c r="T822" s="1" t="str">
        <f aca="false">IF($A531="","",IF(R531="","",R531-IF(S531="",0,S531)))</f>
        <v/>
      </c>
      <c r="U822" s="1" t="n">
        <f aca="false">IF($A531="","",IF(I531="","",I531-SUM(J531:P531)))</f>
        <v>2</v>
      </c>
      <c r="V822" s="6" t="s">
        <v>5207</v>
      </c>
      <c r="W822" s="9" t="s">
        <v>767</v>
      </c>
      <c r="X822" s="9" t="s">
        <v>5270</v>
      </c>
      <c r="Y822" s="9" t="s">
        <v>4897</v>
      </c>
      <c r="Z822" s="9" t="s">
        <v>4898</v>
      </c>
      <c r="AA822" s="9" t="s">
        <v>4903</v>
      </c>
    </row>
    <row r="823" customFormat="false" ht="15" hidden="false" customHeight="true" outlineLevel="0" collapsed="false">
      <c r="A823" s="6" t="s">
        <v>3285</v>
      </c>
      <c r="B823" s="6" t="s">
        <v>538</v>
      </c>
      <c r="C823" s="6" t="s">
        <v>542</v>
      </c>
      <c r="D823" s="6" t="n">
        <v>6</v>
      </c>
      <c r="E823" s="9" t="s">
        <v>5206</v>
      </c>
      <c r="F823" s="6" t="n">
        <v>221000</v>
      </c>
      <c r="Q823" s="1" t="n">
        <f aca="false">IF($A532="","",IF(OR(F532="",I532=""),"",F532-I532))</f>
        <v>19255</v>
      </c>
      <c r="R823" s="1" t="n">
        <f aca="false">IF($A532="","",IF(Q532="","",Q532+IF(O532="",0,O532)))</f>
        <v>62293</v>
      </c>
      <c r="T823" s="1" t="str">
        <f aca="false">IF($A532="","",IF(R532="","",R532-IF(S532="",0,S532)))</f>
        <v/>
      </c>
      <c r="U823" s="1" t="n">
        <f aca="false">IF($A532="","",IF(I532="","",I532-SUM(J532:P532)))</f>
        <v>3</v>
      </c>
      <c r="V823" s="6" t="s">
        <v>5207</v>
      </c>
      <c r="W823" s="9" t="s">
        <v>767</v>
      </c>
      <c r="X823" s="9" t="s">
        <v>5271</v>
      </c>
      <c r="Y823" s="9" t="s">
        <v>4897</v>
      </c>
      <c r="Z823" s="9" t="s">
        <v>4898</v>
      </c>
      <c r="AA823" s="9" t="s">
        <v>4903</v>
      </c>
    </row>
    <row r="824" customFormat="false" ht="15" hidden="false" customHeight="true" outlineLevel="0" collapsed="false">
      <c r="A824" s="6" t="s">
        <v>3288</v>
      </c>
      <c r="B824" s="6" t="s">
        <v>538</v>
      </c>
      <c r="C824" s="6" t="s">
        <v>542</v>
      </c>
      <c r="D824" s="6" t="n">
        <v>6</v>
      </c>
      <c r="E824" s="9" t="s">
        <v>5206</v>
      </c>
      <c r="F824" s="6" t="n">
        <v>69000</v>
      </c>
      <c r="Q824" s="1" t="n">
        <f aca="false">IF($A533="","",IF(OR(F533="",I533=""),"",F533-I533))</f>
        <v>23283</v>
      </c>
      <c r="R824" s="1" t="n">
        <f aca="false">IF($A533="","",IF(Q533="","",Q533+IF(O533="",0,O533)))</f>
        <v>32939</v>
      </c>
      <c r="T824" s="1" t="str">
        <f aca="false">IF($A533="","",IF(R533="","",R533-IF(S533="",0,S533)))</f>
        <v/>
      </c>
      <c r="U824" s="1" t="n">
        <f aca="false">IF($A533="","",IF(I533="","",I533-SUM(J533:P533)))</f>
        <v>2</v>
      </c>
      <c r="V824" s="6" t="s">
        <v>5207</v>
      </c>
      <c r="W824" s="9" t="s">
        <v>767</v>
      </c>
      <c r="X824" s="9" t="s">
        <v>5230</v>
      </c>
      <c r="Y824" s="9" t="s">
        <v>4897</v>
      </c>
      <c r="Z824" s="9" t="s">
        <v>4898</v>
      </c>
      <c r="AA824" s="9" t="s">
        <v>4903</v>
      </c>
    </row>
    <row r="825" customFormat="false" ht="15" hidden="false" customHeight="true" outlineLevel="0" collapsed="false">
      <c r="A825" s="6" t="s">
        <v>3291</v>
      </c>
      <c r="B825" s="6" t="s">
        <v>538</v>
      </c>
      <c r="C825" s="6" t="s">
        <v>542</v>
      </c>
      <c r="D825" s="6" t="n">
        <v>6</v>
      </c>
      <c r="E825" s="9" t="s">
        <v>5206</v>
      </c>
      <c r="F825" s="6" t="n">
        <v>85000</v>
      </c>
      <c r="Q825" s="1" t="n">
        <f aca="false">IF($A534="","",IF(OR(F534="",I534=""),"",F534-I534))</f>
        <v>25</v>
      </c>
      <c r="R825" s="1" t="n">
        <f aca="false">IF($A534="","",IF(Q534="","",Q534+IF(O534="",0,O534)))</f>
        <v>26934</v>
      </c>
      <c r="T825" s="1" t="str">
        <f aca="false">IF($A534="","",IF(R534="","",R534-IF(S534="",0,S534)))</f>
        <v/>
      </c>
      <c r="U825" s="1" t="n">
        <f aca="false">IF($A534="","",IF(I534="","",I534-SUM(J534:P534)))</f>
        <v>1</v>
      </c>
      <c r="V825" s="6" t="s">
        <v>5207</v>
      </c>
      <c r="W825" s="9" t="s">
        <v>767</v>
      </c>
      <c r="X825" s="9" t="s">
        <v>5272</v>
      </c>
      <c r="Y825" s="9" t="s">
        <v>4897</v>
      </c>
      <c r="Z825" s="9" t="s">
        <v>4898</v>
      </c>
      <c r="AA825" s="9" t="s">
        <v>4903</v>
      </c>
    </row>
    <row r="826" customFormat="false" ht="15" hidden="false" customHeight="true" outlineLevel="0" collapsed="false">
      <c r="A826" s="6" t="s">
        <v>3294</v>
      </c>
      <c r="B826" s="6" t="s">
        <v>538</v>
      </c>
      <c r="C826" s="6" t="s">
        <v>542</v>
      </c>
      <c r="D826" s="6" t="n">
        <v>6</v>
      </c>
      <c r="E826" s="9" t="s">
        <v>5206</v>
      </c>
      <c r="F826" s="6" t="n">
        <v>34000</v>
      </c>
      <c r="Q826" s="1" t="n">
        <f aca="false">IF($A535="","",IF(OR(F535="",I535=""),"",F535-I535))</f>
        <v>54114</v>
      </c>
      <c r="R826" s="1" t="n">
        <f aca="false">IF($A535="","",IF(Q535="","",Q535+IF(O535="",0,O535)))</f>
        <v>292020</v>
      </c>
      <c r="T826" s="1" t="str">
        <f aca="false">IF($A535="","",IF(R535="","",R535-IF(S535="",0,S535)))</f>
        <v/>
      </c>
      <c r="U826" s="1" t="n">
        <f aca="false">IF($A535="","",IF(I535="","",I535-SUM(J535:P535)))</f>
        <v>2</v>
      </c>
      <c r="V826" s="6" t="s">
        <v>5207</v>
      </c>
      <c r="W826" s="9" t="s">
        <v>767</v>
      </c>
      <c r="X826" s="9" t="s">
        <v>5219</v>
      </c>
      <c r="Y826" s="9" t="s">
        <v>4897</v>
      </c>
      <c r="Z826" s="9" t="s">
        <v>4898</v>
      </c>
      <c r="AA826" s="9" t="s">
        <v>4943</v>
      </c>
    </row>
    <row r="827" customFormat="false" ht="15" hidden="false" customHeight="true" outlineLevel="0" collapsed="false">
      <c r="A827" s="6" t="s">
        <v>3297</v>
      </c>
      <c r="B827" s="6" t="s">
        <v>538</v>
      </c>
      <c r="C827" s="6" t="s">
        <v>542</v>
      </c>
      <c r="D827" s="6" t="n">
        <v>6</v>
      </c>
      <c r="E827" s="9" t="s">
        <v>5206</v>
      </c>
      <c r="F827" s="6" t="n">
        <v>130000</v>
      </c>
      <c r="Q827" s="1" t="n">
        <f aca="false">IF($A536="","",IF(OR(F536="",I536=""),"",F536-I536))</f>
        <v>24836</v>
      </c>
      <c r="R827" s="1" t="n">
        <f aca="false">IF($A536="","",IF(Q536="","",Q536+IF(O536="",0,O536)))</f>
        <v>532263</v>
      </c>
      <c r="T827" s="1" t="str">
        <f aca="false">IF($A536="","",IF(R536="","",R536-IF(S536="",0,S536)))</f>
        <v/>
      </c>
      <c r="U827" s="1" t="n">
        <f aca="false">IF($A536="","",IF(I536="","",I536-SUM(J536:P536)))</f>
        <v>0</v>
      </c>
      <c r="V827" s="6" t="s">
        <v>5207</v>
      </c>
      <c r="W827" s="9" t="s">
        <v>767</v>
      </c>
      <c r="X827" s="9" t="s">
        <v>5273</v>
      </c>
      <c r="Y827" s="9" t="s">
        <v>4897</v>
      </c>
      <c r="Z827" s="9" t="s">
        <v>4898</v>
      </c>
      <c r="AA827" s="9" t="s">
        <v>4903</v>
      </c>
    </row>
    <row r="828" customFormat="false" ht="15" hidden="false" customHeight="true" outlineLevel="0" collapsed="false">
      <c r="A828" s="6" t="s">
        <v>3300</v>
      </c>
      <c r="B828" s="6" t="s">
        <v>538</v>
      </c>
      <c r="C828" s="6" t="s">
        <v>542</v>
      </c>
      <c r="D828" s="6" t="n">
        <v>6</v>
      </c>
      <c r="E828" s="9" t="s">
        <v>5206</v>
      </c>
      <c r="F828" s="6" t="n">
        <v>118000</v>
      </c>
      <c r="G828" s="1" t="n">
        <v>34375457</v>
      </c>
      <c r="H828" s="1" t="n">
        <v>4518528</v>
      </c>
      <c r="I828" s="1" t="n">
        <v>15889951</v>
      </c>
      <c r="J828" s="1" t="n">
        <v>3077387</v>
      </c>
      <c r="K828" s="1" t="n">
        <v>2351045</v>
      </c>
      <c r="L828" s="1" t="n">
        <v>3141507</v>
      </c>
      <c r="M828" s="1" t="n">
        <v>125013</v>
      </c>
      <c r="N828" s="1" t="n">
        <v>959655</v>
      </c>
      <c r="O828" s="1" t="n">
        <v>5197924</v>
      </c>
      <c r="P828" s="1" t="n">
        <v>1037417</v>
      </c>
      <c r="Q828" s="1" t="n">
        <f aca="false">IF($A537="","",IF(OR(F537="",I537=""),"",F537-I537))</f>
        <v>4790377</v>
      </c>
      <c r="R828" s="1" t="n">
        <f aca="false">IF($A537="","",IF(Q537="","",Q537+IF(O537="",0,O537)))</f>
        <v>6443494</v>
      </c>
      <c r="S828" s="1" t="n">
        <v>3776000</v>
      </c>
      <c r="T828" s="1" t="str">
        <f aca="false">IF($A537="","",IF(R537="","",R537-IF(S537="",0,S537)))</f>
        <v/>
      </c>
      <c r="U828" s="1" t="n">
        <f aca="false">IF($A537="","",IF(I537="","",I537-SUM(J537:P537)))</f>
        <v>5</v>
      </c>
      <c r="V828" s="6" t="s">
        <v>5207</v>
      </c>
      <c r="W828" s="49" t="s">
        <v>767</v>
      </c>
      <c r="X828" s="9" t="s">
        <v>5263</v>
      </c>
      <c r="Y828" s="9" t="s">
        <v>4897</v>
      </c>
      <c r="Z828" s="9" t="s">
        <v>4898</v>
      </c>
      <c r="AA828" s="9" t="s">
        <v>4903</v>
      </c>
    </row>
    <row r="829" customFormat="false" ht="15" hidden="false" customHeight="true" outlineLevel="0" collapsed="false">
      <c r="A829" s="6" t="s">
        <v>3303</v>
      </c>
      <c r="B829" s="6" t="s">
        <v>538</v>
      </c>
      <c r="C829" s="6" t="s">
        <v>542</v>
      </c>
      <c r="D829" s="6" t="n">
        <v>6</v>
      </c>
      <c r="E829" s="9" t="s">
        <v>5206</v>
      </c>
      <c r="F829" s="6" t="n">
        <v>20000</v>
      </c>
      <c r="Q829" s="1" t="n">
        <f aca="false">IF($A538="","",IF(OR(F538="",I538=""),"",F538-I538))</f>
        <v>121000</v>
      </c>
      <c r="R829" s="1" t="n">
        <f aca="false">IF($A538="","",IF(Q538="","",Q538+IF(O538="",0,O538)))</f>
        <v>64830</v>
      </c>
      <c r="T829" s="1" t="str">
        <f aca="false">IF($A538="","",IF(R538="","",R538-IF(S538="",0,S538)))</f>
        <v/>
      </c>
      <c r="U829" s="1" t="n">
        <f aca="false">IF($A538="","",IF(I538="","",I538-SUM(J538:P538)))</f>
        <v>2000</v>
      </c>
      <c r="V829" s="6" t="s">
        <v>5207</v>
      </c>
      <c r="W829" s="9" t="s">
        <v>767</v>
      </c>
      <c r="X829" s="9" t="s">
        <v>5274</v>
      </c>
      <c r="Y829" s="9" t="s">
        <v>4897</v>
      </c>
      <c r="Z829" s="9" t="s">
        <v>4898</v>
      </c>
      <c r="AA829" s="9" t="s">
        <v>4943</v>
      </c>
    </row>
    <row r="830" customFormat="false" ht="15" hidden="false" customHeight="true" outlineLevel="0" collapsed="false">
      <c r="A830" s="6" t="s">
        <v>3307</v>
      </c>
      <c r="B830" s="6" t="s">
        <v>538</v>
      </c>
      <c r="C830" s="6" t="s">
        <v>542</v>
      </c>
      <c r="D830" s="6" t="n">
        <v>6</v>
      </c>
      <c r="E830" s="9" t="s">
        <v>5206</v>
      </c>
      <c r="F830" s="6" t="n">
        <v>239000</v>
      </c>
      <c r="Q830" s="1" t="n">
        <f aca="false">IF($A539="","",IF(OR(F539="",I539=""),"",F539-I539))</f>
        <v>7000</v>
      </c>
      <c r="R830" s="1" t="n">
        <f aca="false">IF($A539="","",IF(Q539="","",Q539+IF(O539="",0,O539)))</f>
        <v>1825000</v>
      </c>
      <c r="T830" s="1" t="str">
        <f aca="false">IF($A539="","",IF(R539="","",R539-IF(S539="",0,S539)))</f>
        <v/>
      </c>
      <c r="U830" s="1" t="n">
        <f aca="false">IF($A539="","",IF(I539="","",I539-SUM(J539:P539)))</f>
        <v>2000</v>
      </c>
      <c r="V830" s="6" t="s">
        <v>5207</v>
      </c>
      <c r="W830" s="9" t="s">
        <v>767</v>
      </c>
      <c r="X830" s="9" t="s">
        <v>5275</v>
      </c>
      <c r="Y830" s="9" t="s">
        <v>4897</v>
      </c>
      <c r="Z830" s="9" t="s">
        <v>4898</v>
      </c>
      <c r="AA830" s="9" t="s">
        <v>4903</v>
      </c>
    </row>
    <row r="831" customFormat="false" ht="15" hidden="false" customHeight="true" outlineLevel="0" collapsed="false">
      <c r="A831" s="6" t="s">
        <v>3310</v>
      </c>
      <c r="B831" s="6" t="s">
        <v>538</v>
      </c>
      <c r="C831" s="6" t="s">
        <v>542</v>
      </c>
      <c r="D831" s="6" t="n">
        <v>6</v>
      </c>
      <c r="E831" s="9" t="s">
        <v>5206</v>
      </c>
      <c r="F831" s="6" t="n">
        <v>122000</v>
      </c>
      <c r="Q831" s="1" t="n">
        <f aca="false">IF($A540="","",IF(OR(F540="",I540=""),"",F540-I540))</f>
        <v>68000</v>
      </c>
      <c r="R831" s="1" t="n">
        <f aca="false">IF($A540="","",IF(Q540="","",Q540+IF(O540="",0,O540)))</f>
        <v>100679</v>
      </c>
      <c r="T831" s="1" t="str">
        <f aca="false">IF($A540="","",IF(R540="","",R540-IF(S540="",0,S540)))</f>
        <v/>
      </c>
      <c r="U831" s="1" t="n">
        <f aca="false">IF($A540="","",IF(I540="","",I540-SUM(J540:P540)))</f>
        <v>2000</v>
      </c>
      <c r="V831" s="6" t="s">
        <v>5207</v>
      </c>
      <c r="W831" s="9" t="s">
        <v>767</v>
      </c>
      <c r="X831" s="9" t="s">
        <v>5276</v>
      </c>
      <c r="Y831" s="9" t="s">
        <v>4897</v>
      </c>
      <c r="Z831" s="9" t="s">
        <v>4898</v>
      </c>
      <c r="AA831" s="9" t="s">
        <v>4903</v>
      </c>
    </row>
    <row r="832" customFormat="false" ht="15" hidden="false" customHeight="true" outlineLevel="0" collapsed="false">
      <c r="A832" s="6" t="s">
        <v>3313</v>
      </c>
      <c r="B832" s="6" t="s">
        <v>538</v>
      </c>
      <c r="C832" s="6" t="s">
        <v>542</v>
      </c>
      <c r="D832" s="6" t="n">
        <v>6</v>
      </c>
      <c r="E832" s="9" t="s">
        <v>5206</v>
      </c>
      <c r="F832" s="6" t="n">
        <v>55000</v>
      </c>
      <c r="Q832" s="1" t="n">
        <f aca="false">IF($A541="","",IF(OR(F541="",I541=""),"",F541-I541))</f>
        <v>191000</v>
      </c>
      <c r="R832" s="1" t="n">
        <f aca="false">IF($A541="","",IF(Q541="","",Q541+IF(O541="",0,O541)))</f>
        <v>104356</v>
      </c>
      <c r="T832" s="1" t="str">
        <f aca="false">IF($A541="","",IF(R541="","",R541-IF(S541="",0,S541)))</f>
        <v/>
      </c>
      <c r="U832" s="1" t="n">
        <f aca="false">IF($A541="","",IF(I541="","",I541-SUM(J541:P541)))</f>
        <v>3000</v>
      </c>
      <c r="V832" s="6" t="s">
        <v>5207</v>
      </c>
      <c r="W832" s="9" t="s">
        <v>767</v>
      </c>
      <c r="X832" s="9" t="s">
        <v>5277</v>
      </c>
      <c r="Y832" s="9" t="s">
        <v>4897</v>
      </c>
      <c r="Z832" s="9" t="s">
        <v>4898</v>
      </c>
      <c r="AA832" s="9" t="s">
        <v>4903</v>
      </c>
    </row>
    <row r="833" customFormat="false" ht="15" hidden="false" customHeight="true" outlineLevel="0" collapsed="false">
      <c r="A833" s="6" t="s">
        <v>3316</v>
      </c>
      <c r="B833" s="6" t="s">
        <v>538</v>
      </c>
      <c r="C833" s="6" t="s">
        <v>542</v>
      </c>
      <c r="D833" s="6" t="n">
        <v>6</v>
      </c>
      <c r="E833" s="9" t="s">
        <v>5206</v>
      </c>
      <c r="F833" s="6" t="n">
        <v>78000</v>
      </c>
      <c r="Q833" s="1" t="n">
        <f aca="false">IF($A542="","",IF(OR(F542="",I542=""),"",F542-I542))</f>
        <v>146000</v>
      </c>
      <c r="R833" s="1" t="n">
        <f aca="false">IF($A542="","",IF(Q542="","",Q542+IF(O542="",0,O542)))</f>
        <v>347034</v>
      </c>
      <c r="T833" s="1" t="str">
        <f aca="false">IF($A542="","",IF(R542="","",R542-IF(S542="",0,S542)))</f>
        <v/>
      </c>
      <c r="U833" s="1" t="n">
        <f aca="false">IF($A542="","",IF(I542="","",I542-SUM(J542:P542)))</f>
        <v>1000</v>
      </c>
      <c r="V833" s="6" t="s">
        <v>5207</v>
      </c>
      <c r="W833" s="9" t="s">
        <v>767</v>
      </c>
      <c r="X833" s="9" t="s">
        <v>5278</v>
      </c>
      <c r="Y833" s="9" t="s">
        <v>4897</v>
      </c>
      <c r="Z833" s="9" t="s">
        <v>4898</v>
      </c>
      <c r="AA833" s="9" t="s">
        <v>4903</v>
      </c>
    </row>
    <row r="834" customFormat="false" ht="15" hidden="false" customHeight="true" outlineLevel="0" collapsed="false">
      <c r="A834" s="6" t="s">
        <v>3319</v>
      </c>
      <c r="B834" s="6" t="s">
        <v>538</v>
      </c>
      <c r="C834" s="6" t="s">
        <v>542</v>
      </c>
      <c r="D834" s="6" t="n">
        <v>6</v>
      </c>
      <c r="E834" s="9" t="s">
        <v>5206</v>
      </c>
      <c r="F834" s="6" t="n">
        <v>134000</v>
      </c>
      <c r="Q834" s="1" t="n">
        <f aca="false">IF($A543="","",IF(OR(F543="",I543=""),"",F543-I543))</f>
        <v>169000</v>
      </c>
      <c r="R834" s="1" t="n">
        <f aca="false">IF($A543="","",IF(Q543="","",Q543+IF(O543="",0,O543)))</f>
        <v>16923</v>
      </c>
      <c r="T834" s="1" t="str">
        <f aca="false">IF($A543="","",IF(R543="","",R543-IF(S543="",0,S543)))</f>
        <v/>
      </c>
      <c r="U834" s="1" t="n">
        <f aca="false">IF($A543="","",IF(I543="","",I543-SUM(J543:P543)))</f>
        <v>3000</v>
      </c>
      <c r="V834" s="6" t="s">
        <v>5207</v>
      </c>
      <c r="W834" s="9" t="s">
        <v>767</v>
      </c>
      <c r="X834" s="9" t="s">
        <v>5279</v>
      </c>
      <c r="Y834" s="9" t="s">
        <v>4897</v>
      </c>
      <c r="Z834" s="9" t="s">
        <v>4898</v>
      </c>
      <c r="AA834" s="9" t="s">
        <v>4903</v>
      </c>
    </row>
    <row r="835" customFormat="false" ht="15" hidden="false" customHeight="true" outlineLevel="0" collapsed="false">
      <c r="A835" s="6" t="s">
        <v>3322</v>
      </c>
      <c r="B835" s="6" t="s">
        <v>538</v>
      </c>
      <c r="C835" s="6" t="s">
        <v>542</v>
      </c>
      <c r="D835" s="6" t="n">
        <v>6</v>
      </c>
      <c r="E835" s="9" t="s">
        <v>5206</v>
      </c>
      <c r="F835" s="6" t="n">
        <v>504000</v>
      </c>
      <c r="Q835" s="1" t="str">
        <f aca="false">IF($A544="","",IF(OR(F544="",I544=""),"",F544-I544))</f>
        <v/>
      </c>
      <c r="R835" s="1" t="str">
        <f aca="false">IF($A544="","",IF(Q544="","",Q544+IF(O544="",0,O544)))</f>
        <v/>
      </c>
      <c r="T835" s="1" t="str">
        <f aca="false">IF($A544="","",IF(R544="","",R544-IF(S544="",0,S544)))</f>
        <v/>
      </c>
      <c r="U835" s="1" t="str">
        <f aca="false">IF($A544="","",IF(I544="","",I544-SUM(J544:P544)))</f>
        <v/>
      </c>
      <c r="V835" s="6" t="s">
        <v>5207</v>
      </c>
      <c r="W835" s="9" t="s">
        <v>767</v>
      </c>
      <c r="X835" s="9" t="s">
        <v>5280</v>
      </c>
      <c r="Y835" s="9" t="s">
        <v>4897</v>
      </c>
      <c r="Z835" s="9" t="s">
        <v>4898</v>
      </c>
      <c r="AA835" s="9" t="s">
        <v>4903</v>
      </c>
    </row>
    <row r="836" customFormat="false" ht="15" hidden="false" customHeight="true" outlineLevel="0" collapsed="false">
      <c r="A836" s="6" t="s">
        <v>3325</v>
      </c>
      <c r="B836" s="6" t="s">
        <v>538</v>
      </c>
      <c r="C836" s="6" t="s">
        <v>542</v>
      </c>
      <c r="D836" s="6" t="n">
        <v>6</v>
      </c>
      <c r="E836" s="9" t="s">
        <v>5206</v>
      </c>
      <c r="F836" s="6" t="n">
        <v>13000</v>
      </c>
      <c r="Q836" s="1" t="n">
        <f aca="false">IF($A545="","",IF(OR(F545="",I545=""),"",F545-I545))</f>
        <v>460000</v>
      </c>
      <c r="R836" s="1" t="n">
        <f aca="false">IF($A545="","",IF(Q545="","",Q545+IF(O545="",0,O545)))</f>
        <v>-143746</v>
      </c>
      <c r="T836" s="1" t="str">
        <f aca="false">IF($A545="","",IF(R545="","",R545-IF(S545="",0,S545)))</f>
        <v/>
      </c>
      <c r="U836" s="1" t="n">
        <f aca="false">IF($A545="","",IF(I545="","",I545-SUM(J545:P545)))</f>
        <v>3000</v>
      </c>
      <c r="V836" s="6" t="s">
        <v>5207</v>
      </c>
      <c r="W836" s="9" t="s">
        <v>767</v>
      </c>
      <c r="X836" s="9" t="s">
        <v>5281</v>
      </c>
      <c r="Y836" s="9" t="s">
        <v>4897</v>
      </c>
      <c r="Z836" s="9" t="s">
        <v>4898</v>
      </c>
      <c r="AA836" s="9" t="s">
        <v>4943</v>
      </c>
    </row>
    <row r="837" customFormat="false" ht="15" hidden="false" customHeight="true" outlineLevel="0" collapsed="false">
      <c r="A837" s="6" t="s">
        <v>3328</v>
      </c>
      <c r="B837" s="6" t="s">
        <v>538</v>
      </c>
      <c r="C837" s="6" t="s">
        <v>542</v>
      </c>
      <c r="D837" s="6" t="n">
        <v>6</v>
      </c>
      <c r="E837" s="9" t="s">
        <v>5206</v>
      </c>
      <c r="F837" s="6" t="n">
        <v>63000</v>
      </c>
      <c r="Q837" s="1" t="str">
        <f aca="false">IF($A546="","",IF(OR(F546="",I546=""),"",F546-I546))</f>
        <v/>
      </c>
      <c r="R837" s="1" t="str">
        <f aca="false">IF($A546="","",IF(Q546="","",Q546+IF(O546="",0,O546)))</f>
        <v/>
      </c>
      <c r="T837" s="1" t="str">
        <f aca="false">IF($A546="","",IF(R546="","",R546-IF(S546="",0,S546)))</f>
        <v/>
      </c>
      <c r="U837" s="1" t="str">
        <f aca="false">IF($A546="","",IF(I546="","",I546-SUM(J546:P546)))</f>
        <v/>
      </c>
      <c r="V837" s="6" t="s">
        <v>5207</v>
      </c>
      <c r="W837" s="9" t="s">
        <v>767</v>
      </c>
      <c r="X837" s="9" t="s">
        <v>5282</v>
      </c>
      <c r="Y837" s="9" t="s">
        <v>4897</v>
      </c>
      <c r="Z837" s="9" t="s">
        <v>4898</v>
      </c>
      <c r="AA837" s="9" t="s">
        <v>4903</v>
      </c>
    </row>
    <row r="838" customFormat="false" ht="15" hidden="false" customHeight="true" outlineLevel="0" collapsed="false">
      <c r="A838" s="6" t="s">
        <v>3331</v>
      </c>
      <c r="B838" s="6" t="s">
        <v>538</v>
      </c>
      <c r="C838" s="6" t="s">
        <v>542</v>
      </c>
      <c r="D838" s="6" t="n">
        <v>6</v>
      </c>
      <c r="E838" s="9" t="s">
        <v>5206</v>
      </c>
      <c r="F838" s="6" t="n">
        <v>70000</v>
      </c>
      <c r="Q838" s="1" t="str">
        <f aca="false">IF($A547="","",IF(OR(F547="",I547=""),"",F547-I547))</f>
        <v/>
      </c>
      <c r="R838" s="1" t="str">
        <f aca="false">IF($A547="","",IF(Q547="","",Q547+IF(O547="",0,O547)))</f>
        <v/>
      </c>
      <c r="T838" s="1" t="str">
        <f aca="false">IF($A547="","",IF(R547="","",R547-IF(S547="",0,S547)))</f>
        <v/>
      </c>
      <c r="U838" s="1" t="str">
        <f aca="false">IF($A547="","",IF(I547="","",I547-SUM(J547:P547)))</f>
        <v/>
      </c>
      <c r="V838" s="6" t="s">
        <v>5207</v>
      </c>
      <c r="W838" s="9" t="s">
        <v>767</v>
      </c>
      <c r="X838" s="9" t="s">
        <v>5239</v>
      </c>
      <c r="Y838" s="9" t="s">
        <v>4897</v>
      </c>
      <c r="Z838" s="9" t="s">
        <v>4898</v>
      </c>
      <c r="AA838" s="9" t="s">
        <v>4903</v>
      </c>
    </row>
    <row r="839" customFormat="false" ht="15" hidden="false" customHeight="true" outlineLevel="0" collapsed="false">
      <c r="A839" s="6" t="s">
        <v>3334</v>
      </c>
      <c r="B839" s="6" t="s">
        <v>538</v>
      </c>
      <c r="C839" s="6" t="s">
        <v>542</v>
      </c>
      <c r="D839" s="6" t="n">
        <v>6</v>
      </c>
      <c r="E839" s="9" t="s">
        <v>5206</v>
      </c>
      <c r="F839" s="6" t="n">
        <v>64000</v>
      </c>
      <c r="Q839" s="1" t="str">
        <f aca="false">IF($A548="","",IF(OR(F548="",I548=""),"",F548-I548))</f>
        <v/>
      </c>
      <c r="R839" s="1" t="str">
        <f aca="false">IF($A548="","",IF(Q548="","",Q548+IF(O548="",0,O548)))</f>
        <v/>
      </c>
      <c r="T839" s="1" t="str">
        <f aca="false">IF($A548="","",IF(R548="","",R548-IF(S548="",0,S548)))</f>
        <v/>
      </c>
      <c r="U839" s="1" t="str">
        <f aca="false">IF($A548="","",IF(I548="","",I548-SUM(J548:P548)))</f>
        <v/>
      </c>
      <c r="V839" s="6" t="s">
        <v>5207</v>
      </c>
      <c r="W839" s="9" t="s">
        <v>767</v>
      </c>
      <c r="X839" s="9" t="s">
        <v>5224</v>
      </c>
      <c r="Y839" s="9" t="s">
        <v>4897</v>
      </c>
      <c r="Z839" s="9" t="s">
        <v>4898</v>
      </c>
      <c r="AA839" s="9" t="s">
        <v>4903</v>
      </c>
    </row>
    <row r="840" customFormat="false" ht="15" hidden="false" customHeight="true" outlineLevel="0" collapsed="false">
      <c r="A840" s="6" t="s">
        <v>3337</v>
      </c>
      <c r="B840" s="6" t="s">
        <v>538</v>
      </c>
      <c r="C840" s="6" t="s">
        <v>542</v>
      </c>
      <c r="D840" s="6" t="n">
        <v>6</v>
      </c>
      <c r="E840" s="9" t="s">
        <v>5206</v>
      </c>
      <c r="F840" s="6" t="n">
        <v>86000</v>
      </c>
      <c r="Q840" s="1" t="str">
        <f aca="false">IF($A549="","",IF(OR(F549="",I549=""),"",F549-I549))</f>
        <v/>
      </c>
      <c r="R840" s="1" t="str">
        <f aca="false">IF($A549="","",IF(Q549="","",Q549+IF(O549="",0,O549)))</f>
        <v/>
      </c>
      <c r="T840" s="1" t="str">
        <f aca="false">IF($A549="","",IF(R549="","",R549-IF(S549="",0,S549)))</f>
        <v/>
      </c>
      <c r="U840" s="1" t="str">
        <f aca="false">IF($A549="","",IF(I549="","",I549-SUM(J549:P549)))</f>
        <v/>
      </c>
      <c r="V840" s="6" t="s">
        <v>5207</v>
      </c>
      <c r="W840" s="9" t="s">
        <v>767</v>
      </c>
      <c r="X840" s="9" t="s">
        <v>5233</v>
      </c>
      <c r="Y840" s="9" t="s">
        <v>4897</v>
      </c>
      <c r="Z840" s="9" t="s">
        <v>4898</v>
      </c>
      <c r="AA840" s="9" t="s">
        <v>4903</v>
      </c>
    </row>
    <row r="841" customFormat="false" ht="15" hidden="false" customHeight="true" outlineLevel="0" collapsed="false">
      <c r="A841" s="6" t="s">
        <v>3340</v>
      </c>
      <c r="B841" s="6" t="s">
        <v>538</v>
      </c>
      <c r="C841" s="6" t="s">
        <v>542</v>
      </c>
      <c r="D841" s="6" t="n">
        <v>6</v>
      </c>
      <c r="E841" s="9" t="s">
        <v>5211</v>
      </c>
      <c r="F841" s="6" t="n">
        <v>10000</v>
      </c>
      <c r="Q841" s="1" t="n">
        <f aca="false">IF($A550="","",IF(OR(F550="",I550=""),"",F550-I550))</f>
        <v>53000</v>
      </c>
      <c r="R841" s="1" t="n">
        <f aca="false">IF($A550="","",IF(Q550="","",Q550+IF(O550="",0,O550)))</f>
        <v>68000</v>
      </c>
      <c r="T841" s="1" t="str">
        <f aca="false">IF($A550="","",IF(R550="","",R550-IF(S550="",0,S550)))</f>
        <v/>
      </c>
      <c r="U841" s="1" t="n">
        <f aca="false">IF($A550="","",IF(I550="","",I550-SUM(J550:P550)))</f>
        <v>2000</v>
      </c>
      <c r="V841" s="6" t="s">
        <v>5207</v>
      </c>
      <c r="W841" s="9" t="s">
        <v>774</v>
      </c>
      <c r="X841" s="6" t="s">
        <v>5283</v>
      </c>
      <c r="Y841" s="6" t="s">
        <v>4920</v>
      </c>
      <c r="Z841" s="9" t="s">
        <v>4981</v>
      </c>
      <c r="AA841" s="9" t="s">
        <v>4943</v>
      </c>
    </row>
    <row r="842" customFormat="false" ht="15" hidden="false" customHeight="true" outlineLevel="0" collapsed="false">
      <c r="A842" s="6" t="s">
        <v>3343</v>
      </c>
      <c r="B842" s="6" t="s">
        <v>538</v>
      </c>
      <c r="C842" s="6" t="s">
        <v>542</v>
      </c>
      <c r="D842" s="6" t="n">
        <v>6</v>
      </c>
      <c r="E842" s="9" t="s">
        <v>5206</v>
      </c>
      <c r="F842" s="6" t="n">
        <v>30000</v>
      </c>
      <c r="Q842" s="1" t="n">
        <f aca="false">IF($A551="","",IF(OR(F551="",I551=""),"",F551-I551))</f>
        <v>64000</v>
      </c>
      <c r="R842" s="1" t="n">
        <f aca="false">IF($A551="","",IF(Q551="","",Q551+IF(O551="",0,O551)))</f>
        <v>150859</v>
      </c>
      <c r="T842" s="1" t="str">
        <f aca="false">IF($A551="","",IF(R551="","",R551-IF(S551="",0,S551)))</f>
        <v/>
      </c>
      <c r="U842" s="1" t="n">
        <f aca="false">IF($A551="","",IF(I551="","",I551-SUM(J551:P551)))</f>
        <v>2000</v>
      </c>
      <c r="V842" s="6" t="s">
        <v>5207</v>
      </c>
      <c r="W842" s="9" t="s">
        <v>767</v>
      </c>
      <c r="X842" s="9" t="s">
        <v>5232</v>
      </c>
      <c r="Y842" s="9" t="s">
        <v>4897</v>
      </c>
      <c r="Z842" s="9" t="s">
        <v>4898</v>
      </c>
      <c r="AA842" s="9" t="s">
        <v>4943</v>
      </c>
    </row>
    <row r="843" customFormat="false" ht="15" hidden="false" customHeight="true" outlineLevel="0" collapsed="false">
      <c r="A843" s="6" t="s">
        <v>3346</v>
      </c>
      <c r="B843" s="6" t="s">
        <v>538</v>
      </c>
      <c r="C843" s="6" t="s">
        <v>542</v>
      </c>
      <c r="D843" s="6" t="n">
        <v>6</v>
      </c>
      <c r="E843" s="9" t="s">
        <v>5211</v>
      </c>
      <c r="F843" s="6" t="n">
        <v>33000</v>
      </c>
      <c r="Q843" s="1" t="n">
        <f aca="false">IF($A552="","",IF(OR(F552="",I552=""),"",F552-I552))</f>
        <v>56000</v>
      </c>
      <c r="R843" s="1" t="n">
        <f aca="false">IF($A552="","",IF(Q552="","",Q552+IF(O552="",0,O552)))</f>
        <v>51804</v>
      </c>
      <c r="T843" s="1" t="str">
        <f aca="false">IF($A552="","",IF(R552="","",R552-IF(S552="",0,S552)))</f>
        <v/>
      </c>
      <c r="U843" s="1" t="n">
        <f aca="false">IF($A552="","",IF(I552="","",I552-SUM(J552:P552)))</f>
        <v>2000</v>
      </c>
      <c r="V843" s="6" t="s">
        <v>5207</v>
      </c>
      <c r="W843" s="9" t="s">
        <v>774</v>
      </c>
      <c r="X843" s="6" t="s">
        <v>5258</v>
      </c>
      <c r="Y843" s="6" t="s">
        <v>4920</v>
      </c>
      <c r="Z843" s="9" t="s">
        <v>4981</v>
      </c>
      <c r="AA843" s="9" t="s">
        <v>4943</v>
      </c>
    </row>
    <row r="844" customFormat="false" ht="15" hidden="false" customHeight="true" outlineLevel="0" collapsed="false">
      <c r="A844" s="6" t="s">
        <v>3349</v>
      </c>
      <c r="B844" s="6" t="s">
        <v>538</v>
      </c>
      <c r="C844" s="6" t="s">
        <v>542</v>
      </c>
      <c r="D844" s="6" t="n">
        <v>6</v>
      </c>
      <c r="E844" s="9" t="s">
        <v>5206</v>
      </c>
      <c r="F844" s="6" t="n">
        <v>31000</v>
      </c>
      <c r="Q844" s="1" t="n">
        <f aca="false">IF($A553="","",IF(OR(F553="",I553=""),"",F553-I553))</f>
        <v>149000</v>
      </c>
      <c r="R844" s="1" t="n">
        <f aca="false">IF($A553="","",IF(Q553="","",Q553+IF(O553="",0,O553)))</f>
        <v>228348</v>
      </c>
      <c r="T844" s="1" t="str">
        <f aca="false">IF($A553="","",IF(R553="","",R553-IF(S553="",0,S553)))</f>
        <v/>
      </c>
      <c r="U844" s="1" t="n">
        <f aca="false">IF($A553="","",IF(I553="","",I553-SUM(J553:P553)))</f>
        <v>2000</v>
      </c>
      <c r="V844" s="6" t="s">
        <v>5207</v>
      </c>
      <c r="W844" s="9" t="s">
        <v>767</v>
      </c>
      <c r="X844" s="9" t="s">
        <v>5217</v>
      </c>
      <c r="Y844" s="9" t="s">
        <v>4897</v>
      </c>
      <c r="Z844" s="9" t="s">
        <v>4898</v>
      </c>
      <c r="AA844" s="9" t="s">
        <v>4943</v>
      </c>
    </row>
    <row r="845" customFormat="false" ht="15" hidden="false" customHeight="true" outlineLevel="0" collapsed="false">
      <c r="A845" s="6" t="s">
        <v>3352</v>
      </c>
      <c r="B845" s="6" t="s">
        <v>538</v>
      </c>
      <c r="C845" s="6" t="s">
        <v>542</v>
      </c>
      <c r="D845" s="6" t="n">
        <v>6</v>
      </c>
      <c r="E845" s="9" t="s">
        <v>5206</v>
      </c>
      <c r="F845" s="6" t="n">
        <v>20000</v>
      </c>
      <c r="Q845" s="1" t="n">
        <f aca="false">IF($A554="","",IF(OR(F554="",I554=""),"",F554-I554))</f>
        <v>394000</v>
      </c>
      <c r="R845" s="1" t="n">
        <f aca="false">IF($A554="","",IF(Q554="","",Q554+IF(O554="",0,O554)))</f>
        <v>-60653</v>
      </c>
      <c r="T845" s="1" t="str">
        <f aca="false">IF($A554="","",IF(R554="","",R554-IF(S554="",0,S554)))</f>
        <v/>
      </c>
      <c r="U845" s="1" t="n">
        <f aca="false">IF($A554="","",IF(I554="","",I554-SUM(J554:P554)))</f>
        <v>4000</v>
      </c>
      <c r="V845" s="6" t="s">
        <v>5207</v>
      </c>
      <c r="W845" s="9" t="s">
        <v>767</v>
      </c>
      <c r="X845" s="9" t="s">
        <v>5274</v>
      </c>
      <c r="Y845" s="9" t="s">
        <v>4897</v>
      </c>
      <c r="Z845" s="9" t="s">
        <v>4898</v>
      </c>
      <c r="AA845" s="9" t="s">
        <v>4943</v>
      </c>
    </row>
    <row r="846" customFormat="false" ht="15" hidden="false" customHeight="true" outlineLevel="0" collapsed="false">
      <c r="A846" s="6" t="s">
        <v>3355</v>
      </c>
      <c r="B846" s="6" t="s">
        <v>538</v>
      </c>
      <c r="C846" s="6" t="s">
        <v>542</v>
      </c>
      <c r="D846" s="6" t="n">
        <v>6</v>
      </c>
      <c r="E846" s="9" t="s">
        <v>5206</v>
      </c>
      <c r="F846" s="6" t="n">
        <v>61000</v>
      </c>
      <c r="Q846" s="1" t="n">
        <f aca="false">IF($A555="","",IF(OR(F555="",I555=""),"",F555-I555))</f>
        <v>129000</v>
      </c>
      <c r="R846" s="1" t="n">
        <f aca="false">IF($A555="","",IF(Q555="","",Q555+IF(O555="",0,O555)))</f>
        <v>62043</v>
      </c>
      <c r="T846" s="1" t="str">
        <f aca="false">IF($A555="","",IF(R555="","",R555-IF(S555="",0,S555)))</f>
        <v/>
      </c>
      <c r="U846" s="1" t="n">
        <f aca="false">IF($A555="","",IF(I555="","",I555-SUM(J555:P555)))</f>
        <v>3000</v>
      </c>
      <c r="V846" s="6" t="s">
        <v>5207</v>
      </c>
      <c r="W846" s="9" t="s">
        <v>767</v>
      </c>
      <c r="X846" s="9" t="s">
        <v>5210</v>
      </c>
      <c r="Y846" s="9" t="s">
        <v>4897</v>
      </c>
      <c r="Z846" s="9" t="s">
        <v>4898</v>
      </c>
      <c r="AA846" s="9" t="s">
        <v>4903</v>
      </c>
    </row>
    <row r="847" customFormat="false" ht="15" hidden="false" customHeight="true" outlineLevel="0" collapsed="false">
      <c r="A847" s="6" t="s">
        <v>3358</v>
      </c>
      <c r="B847" s="6" t="s">
        <v>538</v>
      </c>
      <c r="C847" s="6" t="s">
        <v>542</v>
      </c>
      <c r="D847" s="6" t="n">
        <v>6</v>
      </c>
      <c r="E847" s="9" t="s">
        <v>5206</v>
      </c>
      <c r="F847" s="6" t="n">
        <v>49000</v>
      </c>
      <c r="Q847" s="1" t="n">
        <f aca="false">IF($A556="","",IF(OR(F556="",I556=""),"",F556-I556))</f>
        <v>102000</v>
      </c>
      <c r="R847" s="1" t="n">
        <f aca="false">IF($A556="","",IF(Q556="","",Q556+IF(O556="",0,O556)))</f>
        <v>55848</v>
      </c>
      <c r="T847" s="1" t="n">
        <f aca="false">IF($A556="","",IF(R556="","",R556-IF(S556="",0,S556)))</f>
        <v>4976181</v>
      </c>
      <c r="U847" s="1" t="n">
        <f aca="false">IF($A556="","",IF(I556="","",I556-SUM(J556:P556)))</f>
        <v>4000</v>
      </c>
      <c r="V847" s="6" t="s">
        <v>5207</v>
      </c>
      <c r="W847" s="9" t="s">
        <v>767</v>
      </c>
      <c r="X847" s="9" t="s">
        <v>5254</v>
      </c>
      <c r="Y847" s="9" t="s">
        <v>4897</v>
      </c>
      <c r="Z847" s="9" t="s">
        <v>4898</v>
      </c>
      <c r="AA847" s="9" t="s">
        <v>4943</v>
      </c>
    </row>
    <row r="848" customFormat="false" ht="15" hidden="false" customHeight="true" outlineLevel="0" collapsed="false">
      <c r="A848" s="6" t="s">
        <v>3361</v>
      </c>
      <c r="B848" s="6" t="s">
        <v>538</v>
      </c>
      <c r="C848" s="6" t="s">
        <v>542</v>
      </c>
      <c r="D848" s="6" t="n">
        <v>6</v>
      </c>
      <c r="E848" s="9" t="s">
        <v>5206</v>
      </c>
      <c r="F848" s="6" t="n">
        <v>40000</v>
      </c>
      <c r="Q848" s="1" t="str">
        <f aca="false">IF($A557="","",IF(OR(F557="",I557=""),"",F557-I557))</f>
        <v/>
      </c>
      <c r="R848" s="1" t="str">
        <f aca="false">IF($A557="","",IF(Q557="","",Q557+IF(O557="",0,O557)))</f>
        <v/>
      </c>
      <c r="T848" s="1" t="str">
        <f aca="false">IF($A557="","",IF(R557="","",R557-IF(S557="",0,S557)))</f>
        <v/>
      </c>
      <c r="U848" s="1" t="str">
        <f aca="false">IF($A557="","",IF(I557="","",I557-SUM(J557:P557)))</f>
        <v/>
      </c>
      <c r="V848" s="6" t="s">
        <v>5207</v>
      </c>
      <c r="W848" s="9" t="s">
        <v>767</v>
      </c>
      <c r="X848" s="9" t="s">
        <v>5255</v>
      </c>
      <c r="Y848" s="9" t="s">
        <v>4897</v>
      </c>
      <c r="Z848" s="9" t="s">
        <v>4898</v>
      </c>
      <c r="AA848" s="9" t="s">
        <v>4943</v>
      </c>
    </row>
    <row r="849" customFormat="false" ht="15" hidden="false" customHeight="true" outlineLevel="0" collapsed="false">
      <c r="A849" s="6" t="s">
        <v>3364</v>
      </c>
      <c r="B849" s="6" t="s">
        <v>538</v>
      </c>
      <c r="C849" s="6" t="s">
        <v>542</v>
      </c>
      <c r="D849" s="6" t="n">
        <v>6</v>
      </c>
      <c r="E849" s="9" t="s">
        <v>5206</v>
      </c>
      <c r="F849" s="6" t="n">
        <v>228000</v>
      </c>
      <c r="Q849" s="1" t="n">
        <f aca="false">IF($A558="","",IF(OR(F558="",I558=""),"",F558-I558))</f>
        <v>83000</v>
      </c>
      <c r="R849" s="1" t="n">
        <f aca="false">IF($A558="","",IF(Q558="","",Q558+IF(O558="",0,O558)))</f>
        <v>113825</v>
      </c>
      <c r="T849" s="1" t="str">
        <f aca="false">IF($A558="","",IF(R558="","",R558-IF(S558="",0,S558)))</f>
        <v/>
      </c>
      <c r="U849" s="1" t="n">
        <f aca="false">IF($A558="","",IF(I558="","",I558-SUM(J558:P558)))</f>
        <v>3000</v>
      </c>
      <c r="V849" s="6" t="s">
        <v>5207</v>
      </c>
      <c r="W849" s="9" t="s">
        <v>767</v>
      </c>
      <c r="X849" s="9" t="s">
        <v>5284</v>
      </c>
      <c r="Y849" s="9" t="s">
        <v>4897</v>
      </c>
      <c r="Z849" s="9" t="s">
        <v>4898</v>
      </c>
      <c r="AA849" s="9" t="s">
        <v>4903</v>
      </c>
    </row>
    <row r="850" customFormat="false" ht="15" hidden="false" customHeight="true" outlineLevel="0" collapsed="false">
      <c r="A850" s="6" t="s">
        <v>3367</v>
      </c>
      <c r="B850" s="6" t="s">
        <v>538</v>
      </c>
      <c r="C850" s="6" t="s">
        <v>542</v>
      </c>
      <c r="D850" s="6" t="n">
        <v>6</v>
      </c>
      <c r="E850" s="9" t="s">
        <v>5206</v>
      </c>
      <c r="F850" s="6" t="n">
        <v>123000</v>
      </c>
      <c r="Q850" s="1" t="n">
        <f aca="false">IF($A559="","",IF(OR(F559="",I559=""),"",F559-I559))</f>
        <v>55000</v>
      </c>
      <c r="R850" s="1" t="n">
        <f aca="false">IF($A559="","",IF(Q559="","",Q559+IF(O559="",0,O559)))</f>
        <v>483199</v>
      </c>
      <c r="T850" s="1" t="str">
        <f aca="false">IF($A559="","",IF(R559="","",R559-IF(S559="",0,S559)))</f>
        <v/>
      </c>
      <c r="U850" s="1" t="n">
        <f aca="false">IF($A559="","",IF(I559="","",I559-SUM(J559:P559)))</f>
        <v>2000</v>
      </c>
      <c r="V850" s="6" t="s">
        <v>5207</v>
      </c>
      <c r="W850" s="9" t="s">
        <v>767</v>
      </c>
      <c r="X850" s="9" t="s">
        <v>5285</v>
      </c>
      <c r="Y850" s="9" t="s">
        <v>4897</v>
      </c>
      <c r="Z850" s="9" t="s">
        <v>4898</v>
      </c>
      <c r="AA850" s="9" t="s">
        <v>4903</v>
      </c>
    </row>
    <row r="851" customFormat="false" ht="15" hidden="false" customHeight="true" outlineLevel="0" collapsed="false">
      <c r="A851" s="6" t="s">
        <v>3370</v>
      </c>
      <c r="B851" s="6" t="s">
        <v>538</v>
      </c>
      <c r="C851" s="6" t="s">
        <v>542</v>
      </c>
      <c r="D851" s="6" t="n">
        <v>6</v>
      </c>
      <c r="E851" s="9" t="s">
        <v>5206</v>
      </c>
      <c r="F851" s="6" t="n">
        <v>645000</v>
      </c>
      <c r="Q851" s="1" t="n">
        <f aca="false">IF($A560="","",IF(OR(F560="",I560=""),"",F560-I560))</f>
        <v>40000</v>
      </c>
      <c r="R851" s="1" t="n">
        <f aca="false">IF($A560="","",IF(Q560="","",Q560+IF(O560="",0,O560)))</f>
        <v>317713</v>
      </c>
      <c r="T851" s="1" t="str">
        <f aca="false">IF($A560="","",IF(R560="","",R560-IF(S560="",0,S560)))</f>
        <v/>
      </c>
      <c r="U851" s="1" t="n">
        <f aca="false">IF($A560="","",IF(I560="","",I560-SUM(J560:P560)))</f>
        <v>3000</v>
      </c>
      <c r="V851" s="6" t="s">
        <v>5207</v>
      </c>
      <c r="W851" s="9" t="s">
        <v>767</v>
      </c>
      <c r="X851" s="9" t="s">
        <v>5286</v>
      </c>
      <c r="Y851" s="9" t="s">
        <v>4897</v>
      </c>
      <c r="Z851" s="9" t="s">
        <v>4898</v>
      </c>
      <c r="AA851" s="9" t="s">
        <v>4903</v>
      </c>
    </row>
    <row r="852" customFormat="false" ht="15" hidden="false" customHeight="true" outlineLevel="0" collapsed="false">
      <c r="A852" s="6" t="s">
        <v>3373</v>
      </c>
      <c r="B852" s="6" t="s">
        <v>538</v>
      </c>
      <c r="C852" s="6" t="s">
        <v>542</v>
      </c>
      <c r="D852" s="6" t="n">
        <v>6</v>
      </c>
      <c r="E852" s="9" t="s">
        <v>5206</v>
      </c>
      <c r="F852" s="6" t="n">
        <v>58000</v>
      </c>
      <c r="Q852" s="1" t="n">
        <f aca="false">IF($A561="","",IF(OR(F561="",I561=""),"",F561-I561))</f>
        <v>108000</v>
      </c>
      <c r="R852" s="1" t="n">
        <f aca="false">IF($A561="","",IF(Q561="","",Q561+IF(O561="",0,O561)))</f>
        <v>911074</v>
      </c>
      <c r="T852" s="1" t="str">
        <f aca="false">IF($A561="","",IF(R561="","",R561-IF(S561="",0,S561)))</f>
        <v/>
      </c>
      <c r="U852" s="1" t="n">
        <f aca="false">IF($A561="","",IF(I561="","",I561-SUM(J561:P561)))</f>
        <v>4000</v>
      </c>
      <c r="V852" s="6" t="s">
        <v>5207</v>
      </c>
      <c r="W852" s="9" t="s">
        <v>767</v>
      </c>
      <c r="X852" s="9" t="s">
        <v>5267</v>
      </c>
      <c r="Y852" s="9" t="s">
        <v>4897</v>
      </c>
      <c r="Z852" s="9" t="s">
        <v>4898</v>
      </c>
      <c r="AA852" s="9" t="s">
        <v>4903</v>
      </c>
    </row>
    <row r="853" customFormat="false" ht="15" hidden="false" customHeight="true" outlineLevel="0" collapsed="false">
      <c r="A853" s="6" t="s">
        <v>3376</v>
      </c>
      <c r="B853" s="6" t="s">
        <v>538</v>
      </c>
      <c r="C853" s="6" t="s">
        <v>542</v>
      </c>
      <c r="D853" s="6" t="n">
        <v>6</v>
      </c>
      <c r="E853" s="9" t="s">
        <v>5206</v>
      </c>
      <c r="F853" s="6" t="n">
        <v>16000</v>
      </c>
      <c r="Q853" s="1" t="n">
        <f aca="false">IF($A562="","",IF(OR(F562="",I562=""),"",F562-I562))</f>
        <v>182000</v>
      </c>
      <c r="R853" s="1" t="n">
        <f aca="false">IF($A562="","",IF(Q562="","",Q562+IF(O562="",0,O562)))</f>
        <v>56314</v>
      </c>
      <c r="T853" s="1" t="str">
        <f aca="false">IF($A562="","",IF(R562="","",R562-IF(S562="",0,S562)))</f>
        <v/>
      </c>
      <c r="U853" s="1" t="n">
        <f aca="false">IF($A562="","",IF(I562="","",I562-SUM(J562:P562)))</f>
        <v>2000</v>
      </c>
      <c r="V853" s="6" t="s">
        <v>5207</v>
      </c>
      <c r="W853" s="9" t="s">
        <v>767</v>
      </c>
      <c r="X853" s="9" t="s">
        <v>5287</v>
      </c>
      <c r="Y853" s="9" t="s">
        <v>4897</v>
      </c>
      <c r="Z853" s="9" t="s">
        <v>4898</v>
      </c>
      <c r="AA853" s="9" t="s">
        <v>4943</v>
      </c>
    </row>
    <row r="854" customFormat="false" ht="15" hidden="false" customHeight="true" outlineLevel="0" collapsed="false">
      <c r="A854" s="6" t="s">
        <v>3379</v>
      </c>
      <c r="B854" s="6" t="s">
        <v>538</v>
      </c>
      <c r="C854" s="6" t="s">
        <v>542</v>
      </c>
      <c r="D854" s="6" t="n">
        <v>6</v>
      </c>
      <c r="E854" s="9" t="s">
        <v>5206</v>
      </c>
      <c r="F854" s="6" t="n">
        <v>83000</v>
      </c>
      <c r="Q854" s="1" t="n">
        <f aca="false">IF($A563="","",IF(OR(F563="",I563=""),"",F563-I563))</f>
        <v>148000</v>
      </c>
      <c r="R854" s="1" t="n">
        <f aca="false">IF($A563="","",IF(Q563="","",Q563+IF(O563="",0,O563)))</f>
        <v>133546</v>
      </c>
      <c r="T854" s="1" t="str">
        <f aca="false">IF($A563="","",IF(R563="","",R563-IF(S563="",0,S563)))</f>
        <v/>
      </c>
      <c r="U854" s="1" t="n">
        <f aca="false">IF($A563="","",IF(I563="","",I563-SUM(J563:P563)))</f>
        <v>3000</v>
      </c>
      <c r="V854" s="6" t="s">
        <v>5207</v>
      </c>
      <c r="W854" s="9" t="s">
        <v>767</v>
      </c>
      <c r="X854" s="9" t="s">
        <v>5259</v>
      </c>
      <c r="Y854" s="9" t="s">
        <v>4897</v>
      </c>
      <c r="Z854" s="9" t="s">
        <v>4898</v>
      </c>
      <c r="AA854" s="9" t="s">
        <v>4903</v>
      </c>
    </row>
    <row r="855" customFormat="false" ht="15" hidden="false" customHeight="true" outlineLevel="0" collapsed="false">
      <c r="A855" s="6" t="s">
        <v>3382</v>
      </c>
      <c r="B855" s="6" t="s">
        <v>538</v>
      </c>
      <c r="C855" s="6" t="s">
        <v>542</v>
      </c>
      <c r="D855" s="6" t="n">
        <v>6</v>
      </c>
      <c r="E855" s="9" t="s">
        <v>5206</v>
      </c>
      <c r="F855" s="6" t="n">
        <v>34000</v>
      </c>
      <c r="Q855" s="1" t="n">
        <f aca="false">IF($A564="","",IF(OR(F564="",I564=""),"",F564-I564))</f>
        <v>105000</v>
      </c>
      <c r="R855" s="1" t="n">
        <f aca="false">IF($A564="","",IF(Q564="","",Q564+IF(O564="",0,O564)))</f>
        <v>392066</v>
      </c>
      <c r="T855" s="1" t="str">
        <f aca="false">IF($A564="","",IF(R564="","",R564-IF(S564="",0,S564)))</f>
        <v/>
      </c>
      <c r="U855" s="1" t="n">
        <f aca="false">IF($A564="","",IF(I564="","",I564-SUM(J564:P564)))</f>
        <v>2000</v>
      </c>
      <c r="V855" s="6" t="s">
        <v>5207</v>
      </c>
      <c r="W855" s="9" t="s">
        <v>767</v>
      </c>
      <c r="X855" s="9" t="s">
        <v>5219</v>
      </c>
      <c r="Y855" s="9" t="s">
        <v>4897</v>
      </c>
      <c r="Z855" s="9" t="s">
        <v>4898</v>
      </c>
      <c r="AA855" s="9" t="s">
        <v>4943</v>
      </c>
    </row>
    <row r="856" customFormat="false" ht="15" hidden="false" customHeight="true" outlineLevel="0" collapsed="false">
      <c r="A856" s="6" t="s">
        <v>3385</v>
      </c>
      <c r="B856" s="6" t="s">
        <v>538</v>
      </c>
      <c r="C856" s="6" t="s">
        <v>542</v>
      </c>
      <c r="D856" s="6" t="n">
        <v>6</v>
      </c>
      <c r="E856" s="9" t="s">
        <v>5206</v>
      </c>
      <c r="F856" s="6" t="n">
        <v>24000</v>
      </c>
      <c r="Q856" s="1" t="n">
        <f aca="false">IF($A565="","",IF(OR(F565="",I565=""),"",F565-I565))</f>
        <v>43000</v>
      </c>
      <c r="R856" s="1" t="n">
        <f aca="false">IF($A565="","",IF(Q565="","",Q565+IF(O565="",0,O565)))</f>
        <v>1181667</v>
      </c>
      <c r="T856" s="1" t="str">
        <f aca="false">IF($A565="","",IF(R565="","",R565-IF(S565="",0,S565)))</f>
        <v/>
      </c>
      <c r="U856" s="1" t="n">
        <f aca="false">IF($A565="","",IF(I565="","",I565-SUM(J565:P565)))</f>
        <v>2000</v>
      </c>
      <c r="V856" s="6" t="s">
        <v>5207</v>
      </c>
      <c r="W856" s="9" t="s">
        <v>767</v>
      </c>
      <c r="X856" s="9" t="s">
        <v>5288</v>
      </c>
      <c r="Y856" s="9" t="s">
        <v>4897</v>
      </c>
      <c r="Z856" s="9" t="s">
        <v>4898</v>
      </c>
      <c r="AA856" s="9" t="s">
        <v>4943</v>
      </c>
    </row>
    <row r="857" customFormat="false" ht="15" hidden="false" customHeight="true" outlineLevel="0" collapsed="false">
      <c r="A857" s="6" t="s">
        <v>3388</v>
      </c>
      <c r="B857" s="6" t="s">
        <v>538</v>
      </c>
      <c r="C857" s="6" t="s">
        <v>542</v>
      </c>
      <c r="D857" s="6" t="n">
        <v>6</v>
      </c>
      <c r="E857" s="9" t="s">
        <v>5206</v>
      </c>
      <c r="F857" s="6" t="n">
        <v>243000</v>
      </c>
      <c r="Q857" s="1" t="n">
        <f aca="false">IF($A566="","",IF(OR(F566="",I566=""),"",F566-I566))</f>
        <v>-4000</v>
      </c>
      <c r="R857" s="1" t="n">
        <f aca="false">IF($A566="","",IF(Q566="","",Q566+IF(O566="",0,O566)))</f>
        <v>1000</v>
      </c>
      <c r="T857" s="1" t="str">
        <f aca="false">IF($A566="","",IF(R566="","",R566-IF(S566="",0,S566)))</f>
        <v/>
      </c>
      <c r="U857" s="1" t="n">
        <f aca="false">IF($A566="","",IF(I566="","",I566-SUM(J566:P566)))</f>
        <v>2000</v>
      </c>
      <c r="V857" s="6" t="s">
        <v>5207</v>
      </c>
      <c r="W857" s="9" t="s">
        <v>767</v>
      </c>
      <c r="X857" s="9" t="s">
        <v>5289</v>
      </c>
      <c r="Y857" s="9" t="s">
        <v>4897</v>
      </c>
      <c r="Z857" s="9" t="s">
        <v>4898</v>
      </c>
      <c r="AA857" s="9" t="s">
        <v>4903</v>
      </c>
    </row>
    <row r="858" customFormat="false" ht="15" hidden="false" customHeight="true" outlineLevel="0" collapsed="false">
      <c r="A858" s="6" t="s">
        <v>3391</v>
      </c>
      <c r="B858" s="6" t="s">
        <v>538</v>
      </c>
      <c r="C858" s="6" t="s">
        <v>542</v>
      </c>
      <c r="D858" s="6" t="n">
        <v>6</v>
      </c>
      <c r="E858" s="9" t="s">
        <v>5206</v>
      </c>
      <c r="F858" s="6" t="n">
        <v>126000</v>
      </c>
      <c r="Q858" s="1" t="n">
        <f aca="false">IF($A567="","",IF(OR(F567="",I567=""),"",F567-I567))</f>
        <v>3000</v>
      </c>
      <c r="R858" s="1" t="n">
        <f aca="false">IF($A567="","",IF(Q567="","",Q567+IF(O567="",0,O567)))</f>
        <v>10000</v>
      </c>
      <c r="T858" s="1" t="str">
        <f aca="false">IF($A567="","",IF(R567="","",R567-IF(S567="",0,S567)))</f>
        <v/>
      </c>
      <c r="U858" s="1" t="n">
        <f aca="false">IF($A567="","",IF(I567="","",I567-SUM(J567:P567)))</f>
        <v>1000</v>
      </c>
      <c r="V858" s="6" t="s">
        <v>5207</v>
      </c>
      <c r="W858" s="9" t="s">
        <v>767</v>
      </c>
      <c r="X858" s="9" t="s">
        <v>5290</v>
      </c>
      <c r="Y858" s="9" t="s">
        <v>4897</v>
      </c>
      <c r="Z858" s="9" t="s">
        <v>4898</v>
      </c>
      <c r="AA858" s="9" t="s">
        <v>4903</v>
      </c>
    </row>
    <row r="859" customFormat="false" ht="15" hidden="false" customHeight="true" outlineLevel="0" collapsed="false">
      <c r="A859" s="6" t="s">
        <v>3394</v>
      </c>
      <c r="B859" s="6" t="s">
        <v>538</v>
      </c>
      <c r="C859" s="6" t="s">
        <v>542</v>
      </c>
      <c r="D859" s="6" t="n">
        <v>6</v>
      </c>
      <c r="E859" s="9" t="s">
        <v>5206</v>
      </c>
      <c r="F859" s="6" t="n">
        <v>76000</v>
      </c>
      <c r="Q859" s="1" t="n">
        <f aca="false">IF($A568="","",IF(OR(F568="",I568=""),"",F568-I568))</f>
        <v>72000</v>
      </c>
      <c r="R859" s="1" t="n">
        <f aca="false">IF($A568="","",IF(Q568="","",Q568+IF(O568="",0,O568)))</f>
        <v>98000</v>
      </c>
      <c r="T859" s="1" t="str">
        <f aca="false">IF($A568="","",IF(R568="","",R568-IF(S568="",0,S568)))</f>
        <v/>
      </c>
      <c r="U859" s="1" t="n">
        <f aca="false">IF($A568="","",IF(I568="","",I568-SUM(J568:P568)))</f>
        <v>4000</v>
      </c>
      <c r="V859" s="6" t="s">
        <v>5207</v>
      </c>
      <c r="W859" s="9" t="s">
        <v>767</v>
      </c>
      <c r="X859" s="9" t="s">
        <v>5291</v>
      </c>
      <c r="Y859" s="9" t="s">
        <v>4897</v>
      </c>
      <c r="Z859" s="9" t="s">
        <v>4898</v>
      </c>
      <c r="AA859" s="9" t="s">
        <v>4903</v>
      </c>
    </row>
    <row r="860" customFormat="false" ht="15" hidden="false" customHeight="true" outlineLevel="0" collapsed="false">
      <c r="A860" s="6" t="s">
        <v>3397</v>
      </c>
      <c r="B860" s="6" t="s">
        <v>538</v>
      </c>
      <c r="C860" s="6" t="s">
        <v>542</v>
      </c>
      <c r="D860" s="6" t="n">
        <v>6</v>
      </c>
      <c r="E860" s="9" t="s">
        <v>5206</v>
      </c>
      <c r="F860" s="6" t="n">
        <v>78000</v>
      </c>
      <c r="Q860" s="1" t="n">
        <f aca="false">IF($A569="","",IF(OR(F569="",I569=""),"",F569-I569))</f>
        <v>6000</v>
      </c>
      <c r="R860" s="1" t="n">
        <f aca="false">IF($A569="","",IF(Q569="","",Q569+IF(O569="",0,O569)))</f>
        <v>81071</v>
      </c>
      <c r="T860" s="1" t="str">
        <f aca="false">IF($A569="","",IF(R569="","",R569-IF(S569="",0,S569)))</f>
        <v/>
      </c>
      <c r="U860" s="1" t="n">
        <f aca="false">IF($A569="","",IF(I569="","",I569-SUM(J569:P569)))</f>
        <v>2000</v>
      </c>
      <c r="V860" s="6" t="s">
        <v>5207</v>
      </c>
      <c r="W860" s="9" t="s">
        <v>767</v>
      </c>
      <c r="X860" s="9" t="s">
        <v>5278</v>
      </c>
      <c r="Y860" s="9" t="s">
        <v>4897</v>
      </c>
      <c r="Z860" s="9" t="s">
        <v>4898</v>
      </c>
      <c r="AA860" s="9" t="s">
        <v>4903</v>
      </c>
    </row>
    <row r="861" customFormat="false" ht="15" hidden="false" customHeight="true" outlineLevel="0" collapsed="false">
      <c r="A861" s="6" t="s">
        <v>3400</v>
      </c>
      <c r="B861" s="6" t="s">
        <v>538</v>
      </c>
      <c r="C861" s="6" t="s">
        <v>542</v>
      </c>
      <c r="D861" s="6" t="n">
        <v>6</v>
      </c>
      <c r="E861" s="9" t="s">
        <v>5206</v>
      </c>
      <c r="F861" s="6" t="n">
        <v>55000</v>
      </c>
      <c r="Q861" s="1" t="n">
        <f aca="false">IF($A570="","",IF(OR(F570="",I570=""),"",F570-I570))</f>
        <v>21000</v>
      </c>
      <c r="R861" s="1" t="n">
        <f aca="false">IF($A570="","",IF(Q570="","",Q570+IF(O570="",0,O570)))</f>
        <v>420208</v>
      </c>
      <c r="T861" s="1" t="str">
        <f aca="false">IF($A570="","",IF(R570="","",R570-IF(S570="",0,S570)))</f>
        <v/>
      </c>
      <c r="U861" s="1" t="n">
        <f aca="false">IF($A570="","",IF(I570="","",I570-SUM(J570:P570)))</f>
        <v>4000</v>
      </c>
      <c r="V861" s="6" t="s">
        <v>5207</v>
      </c>
      <c r="W861" s="9" t="s">
        <v>767</v>
      </c>
      <c r="X861" s="9" t="s">
        <v>5277</v>
      </c>
      <c r="Y861" s="9" t="s">
        <v>4897</v>
      </c>
      <c r="Z861" s="9" t="s">
        <v>4898</v>
      </c>
      <c r="AA861" s="9" t="s">
        <v>4903</v>
      </c>
    </row>
    <row r="862" customFormat="false" ht="15" hidden="false" customHeight="true" outlineLevel="0" collapsed="false">
      <c r="A862" s="6" t="s">
        <v>3403</v>
      </c>
      <c r="B862" s="6" t="s">
        <v>538</v>
      </c>
      <c r="C862" s="6" t="s">
        <v>542</v>
      </c>
      <c r="D862" s="6" t="n">
        <v>6</v>
      </c>
      <c r="E862" s="9" t="s">
        <v>5206</v>
      </c>
      <c r="F862" s="6" t="n">
        <v>45000</v>
      </c>
      <c r="Q862" s="1" t="n">
        <f aca="false">IF($A571="","",IF(OR(F571="",I571=""),"",F571-I571))</f>
        <v>38000</v>
      </c>
      <c r="R862" s="1" t="n">
        <f aca="false">IF($A571="","",IF(Q571="","",Q571+IF(O571="",0,O571)))</f>
        <v>131809</v>
      </c>
      <c r="T862" s="1" t="str">
        <f aca="false">IF($A571="","",IF(R571="","",R571-IF(S571="",0,S571)))</f>
        <v/>
      </c>
      <c r="U862" s="1" t="n">
        <f aca="false">IF($A571="","",IF(I571="","",I571-SUM(J571:P571)))</f>
        <v>2000</v>
      </c>
      <c r="V862" s="6" t="s">
        <v>5207</v>
      </c>
      <c r="W862" s="9" t="s">
        <v>767</v>
      </c>
      <c r="X862" s="9" t="s">
        <v>5292</v>
      </c>
      <c r="Y862" s="9" t="s">
        <v>4897</v>
      </c>
      <c r="Z862" s="9" t="s">
        <v>4898</v>
      </c>
      <c r="AA862" s="9" t="s">
        <v>4943</v>
      </c>
    </row>
    <row r="863" customFormat="false" ht="15" hidden="false" customHeight="true" outlineLevel="0" collapsed="false">
      <c r="A863" s="6" t="s">
        <v>3406</v>
      </c>
      <c r="B863" s="6" t="s">
        <v>538</v>
      </c>
      <c r="C863" s="6" t="s">
        <v>542</v>
      </c>
      <c r="D863" s="6" t="n">
        <v>6</v>
      </c>
      <c r="E863" s="9" t="s">
        <v>5206</v>
      </c>
      <c r="F863" s="6" t="n">
        <v>43000</v>
      </c>
      <c r="Q863" s="1" t="n">
        <f aca="false">IF($A572="","",IF(OR(F572="",I572=""),"",F572-I572))</f>
        <v>39000</v>
      </c>
      <c r="R863" s="1" t="n">
        <f aca="false">IF($A572="","",IF(Q572="","",Q572+IF(O572="",0,O572)))</f>
        <v>1394</v>
      </c>
      <c r="T863" s="1" t="str">
        <f aca="false">IF($A572="","",IF(R572="","",R572-IF(S572="",0,S572)))</f>
        <v/>
      </c>
      <c r="U863" s="1" t="n">
        <f aca="false">IF($A572="","",IF(I572="","",I572-SUM(J572:P572)))</f>
        <v>2000</v>
      </c>
      <c r="V863" s="6" t="s">
        <v>5207</v>
      </c>
      <c r="W863" s="9" t="s">
        <v>767</v>
      </c>
      <c r="X863" s="9" t="s">
        <v>5246</v>
      </c>
      <c r="Y863" s="9" t="s">
        <v>4897</v>
      </c>
      <c r="Z863" s="9" t="s">
        <v>4898</v>
      </c>
      <c r="AA863" s="9" t="s">
        <v>4943</v>
      </c>
    </row>
    <row r="864" customFormat="false" ht="15" hidden="false" customHeight="true" outlineLevel="0" collapsed="false">
      <c r="A864" s="6" t="s">
        <v>3409</v>
      </c>
      <c r="B864" s="6" t="s">
        <v>538</v>
      </c>
      <c r="C864" s="6" t="s">
        <v>542</v>
      </c>
      <c r="D864" s="6" t="n">
        <v>6</v>
      </c>
      <c r="E864" s="9" t="s">
        <v>5206</v>
      </c>
      <c r="F864" s="6" t="n">
        <v>24000</v>
      </c>
      <c r="Q864" s="1" t="n">
        <f aca="false">IF($A573="","",IF(OR(F573="",I573=""),"",F573-I573))</f>
        <v>44000</v>
      </c>
      <c r="R864" s="1" t="n">
        <f aca="false">IF($A573="","",IF(Q573="","",Q573+IF(O573="",0,O573)))</f>
        <v>59000</v>
      </c>
      <c r="T864" s="1" t="str">
        <f aca="false">IF($A573="","",IF(R573="","",R573-IF(S573="",0,S573)))</f>
        <v/>
      </c>
      <c r="U864" s="1" t="n">
        <f aca="false">IF($A573="","",IF(I573="","",I573-SUM(J573:P573)))</f>
        <v>2000</v>
      </c>
      <c r="V864" s="6" t="s">
        <v>5207</v>
      </c>
      <c r="W864" s="9" t="s">
        <v>767</v>
      </c>
      <c r="X864" s="9" t="s">
        <v>5288</v>
      </c>
      <c r="Y864" s="9" t="s">
        <v>4897</v>
      </c>
      <c r="Z864" s="9" t="s">
        <v>4898</v>
      </c>
      <c r="AA864" s="9" t="s">
        <v>4943</v>
      </c>
    </row>
    <row r="865" customFormat="false" ht="15" hidden="false" customHeight="true" outlineLevel="0" collapsed="false">
      <c r="A865" s="6" t="s">
        <v>3413</v>
      </c>
      <c r="B865" s="6" t="s">
        <v>538</v>
      </c>
      <c r="C865" s="6" t="s">
        <v>542</v>
      </c>
      <c r="D865" s="6" t="n">
        <v>6</v>
      </c>
      <c r="E865" s="9" t="s">
        <v>5206</v>
      </c>
      <c r="F865" s="6" t="n">
        <v>187000</v>
      </c>
      <c r="Q865" s="1" t="n">
        <f aca="false">IF($A574="","",IF(OR(F574="",I574=""),"",F574-I574))</f>
        <v>44000</v>
      </c>
      <c r="R865" s="1" t="n">
        <f aca="false">IF($A574="","",IF(Q574="","",Q574+IF(O574="",0,O574)))</f>
        <v>116555</v>
      </c>
      <c r="T865" s="1" t="str">
        <f aca="false">IF($A574="","",IF(R574="","",R574-IF(S574="",0,S574)))</f>
        <v/>
      </c>
      <c r="U865" s="1" t="n">
        <f aca="false">IF($A574="","",IF(I574="","",I574-SUM(J574:P574)))</f>
        <v>2000</v>
      </c>
      <c r="V865" s="6" t="s">
        <v>5207</v>
      </c>
      <c r="W865" s="9" t="s">
        <v>767</v>
      </c>
      <c r="X865" s="9" t="s">
        <v>5293</v>
      </c>
      <c r="Y865" s="9" t="s">
        <v>4897</v>
      </c>
      <c r="Z865" s="9" t="s">
        <v>4898</v>
      </c>
      <c r="AA865" s="9" t="s">
        <v>4903</v>
      </c>
    </row>
    <row r="866" customFormat="false" ht="15" hidden="false" customHeight="true" outlineLevel="0" collapsed="false">
      <c r="A866" s="6" t="s">
        <v>3416</v>
      </c>
      <c r="B866" s="6" t="s">
        <v>538</v>
      </c>
      <c r="C866" s="6" t="s">
        <v>542</v>
      </c>
      <c r="D866" s="6" t="n">
        <v>6</v>
      </c>
      <c r="E866" s="9" t="s">
        <v>5206</v>
      </c>
      <c r="F866" s="6" t="n">
        <v>182000</v>
      </c>
      <c r="Q866" s="1" t="n">
        <f aca="false">IF($A575="","",IF(OR(F575="",I575=""),"",F575-I575))</f>
        <v>-20000</v>
      </c>
      <c r="R866" s="1" t="n">
        <f aca="false">IF($A575="","",IF(Q575="","",Q575+IF(O575="",0,O575)))</f>
        <v>54117</v>
      </c>
      <c r="T866" s="1" t="str">
        <f aca="false">IF($A575="","",IF(R575="","",R575-IF(S575="",0,S575)))</f>
        <v/>
      </c>
      <c r="U866" s="1" t="n">
        <f aca="false">IF($A575="","",IF(I575="","",I575-SUM(J575:P575)))</f>
        <v>3000</v>
      </c>
      <c r="V866" s="6" t="s">
        <v>5207</v>
      </c>
      <c r="W866" s="9" t="s">
        <v>767</v>
      </c>
      <c r="X866" s="9" t="s">
        <v>5294</v>
      </c>
      <c r="Y866" s="9" t="s">
        <v>4897</v>
      </c>
      <c r="Z866" s="9" t="s">
        <v>4898</v>
      </c>
      <c r="AA866" s="9" t="s">
        <v>4903</v>
      </c>
    </row>
    <row r="867" customFormat="false" ht="15" hidden="false" customHeight="true" outlineLevel="0" collapsed="false">
      <c r="A867" s="6" t="s">
        <v>3419</v>
      </c>
      <c r="B867" s="6" t="s">
        <v>538</v>
      </c>
      <c r="C867" s="6" t="s">
        <v>542</v>
      </c>
      <c r="D867" s="6" t="n">
        <v>6</v>
      </c>
      <c r="E867" s="9" t="s">
        <v>5206</v>
      </c>
      <c r="F867" s="6" t="n">
        <v>35000</v>
      </c>
      <c r="Q867" s="1" t="n">
        <f aca="false">IF($A576="","",IF(OR(F576="",I576=""),"",F576-I576))</f>
        <v>21000</v>
      </c>
      <c r="R867" s="1" t="n">
        <f aca="false">IF($A576="","",IF(Q576="","",Q576+IF(O576="",0,O576)))</f>
        <v>171245</v>
      </c>
      <c r="T867" s="1" t="str">
        <f aca="false">IF($A576="","",IF(R576="","",R576-IF(S576="",0,S576)))</f>
        <v/>
      </c>
      <c r="U867" s="1" t="n">
        <f aca="false">IF($A576="","",IF(I576="","",I576-SUM(J576:P576)))</f>
        <v>3000</v>
      </c>
      <c r="V867" s="6" t="s">
        <v>5207</v>
      </c>
      <c r="W867" s="9" t="s">
        <v>767</v>
      </c>
      <c r="X867" s="9" t="s">
        <v>5295</v>
      </c>
      <c r="Y867" s="9" t="s">
        <v>4897</v>
      </c>
      <c r="Z867" s="9" t="s">
        <v>4898</v>
      </c>
      <c r="AA867" s="9" t="s">
        <v>4943</v>
      </c>
    </row>
    <row r="868" customFormat="false" ht="15" hidden="false" customHeight="true" outlineLevel="0" collapsed="false">
      <c r="A868" s="6" t="s">
        <v>3422</v>
      </c>
      <c r="B868" s="6" t="s">
        <v>538</v>
      </c>
      <c r="C868" s="6" t="s">
        <v>542</v>
      </c>
      <c r="D868" s="6" t="n">
        <v>6</v>
      </c>
      <c r="E868" s="9" t="s">
        <v>5206</v>
      </c>
      <c r="F868" s="6" t="n">
        <v>26000</v>
      </c>
      <c r="Q868" s="1" t="n">
        <f aca="false">IF($A577="","",IF(OR(F577="",I577=""),"",F577-I577))</f>
        <v>22000</v>
      </c>
      <c r="R868" s="1" t="n">
        <f aca="false">IF($A577="","",IF(Q577="","",Q577+IF(O577="",0,O577)))</f>
        <v>89755</v>
      </c>
      <c r="T868" s="1" t="str">
        <f aca="false">IF($A577="","",IF(R577="","",R577-IF(S577="",0,S577)))</f>
        <v/>
      </c>
      <c r="U868" s="1" t="n">
        <f aca="false">IF($A577="","",IF(I577="","",I577-SUM(J577:P577)))</f>
        <v>2000</v>
      </c>
      <c r="V868" s="6" t="s">
        <v>5207</v>
      </c>
      <c r="W868" s="9" t="s">
        <v>767</v>
      </c>
      <c r="X868" s="9" t="s">
        <v>5250</v>
      </c>
      <c r="Y868" s="9" t="s">
        <v>4897</v>
      </c>
      <c r="Z868" s="9" t="s">
        <v>4898</v>
      </c>
      <c r="AA868" s="9" t="s">
        <v>4943</v>
      </c>
    </row>
    <row r="869" customFormat="false" ht="15" hidden="false" customHeight="true" outlineLevel="0" collapsed="false">
      <c r="A869" s="6" t="s">
        <v>3425</v>
      </c>
      <c r="B869" s="6" t="s">
        <v>538</v>
      </c>
      <c r="C869" s="6" t="s">
        <v>542</v>
      </c>
      <c r="D869" s="6" t="n">
        <v>6</v>
      </c>
      <c r="E869" s="9" t="s">
        <v>5206</v>
      </c>
      <c r="F869" s="6" t="n">
        <v>14000</v>
      </c>
      <c r="Q869" s="1" t="n">
        <f aca="false">IF($A578="","",IF(OR(F578="",I578=""),"",F578-I578))</f>
        <v>-88000</v>
      </c>
      <c r="R869" s="1" t="n">
        <f aca="false">IF($A578="","",IF(Q578="","",Q578+IF(O578="",0,O578)))</f>
        <v>9844</v>
      </c>
      <c r="T869" s="1" t="str">
        <f aca="false">IF($A578="","",IF(R578="","",R578-IF(S578="",0,S578)))</f>
        <v/>
      </c>
      <c r="U869" s="1" t="n">
        <f aca="false">IF($A578="","",IF(I578="","",I578-SUM(J578:P578)))</f>
        <v>4000</v>
      </c>
      <c r="V869" s="6" t="s">
        <v>5207</v>
      </c>
      <c r="W869" s="9" t="s">
        <v>767</v>
      </c>
      <c r="X869" s="9" t="s">
        <v>5296</v>
      </c>
      <c r="Y869" s="9" t="s">
        <v>4897</v>
      </c>
      <c r="Z869" s="9" t="s">
        <v>4898</v>
      </c>
      <c r="AA869" s="9" t="s">
        <v>4943</v>
      </c>
    </row>
    <row r="870" customFormat="false" ht="15" hidden="false" customHeight="true" outlineLevel="0" collapsed="false">
      <c r="A870" s="6" t="s">
        <v>3428</v>
      </c>
      <c r="B870" s="6" t="s">
        <v>538</v>
      </c>
      <c r="C870" s="6" t="s">
        <v>542</v>
      </c>
      <c r="D870" s="6" t="n">
        <v>6</v>
      </c>
      <c r="E870" s="9" t="s">
        <v>5206</v>
      </c>
      <c r="F870" s="6" t="n">
        <v>27000</v>
      </c>
      <c r="Q870" s="1" t="n">
        <f aca="false">IF($A579="","",IF(OR(F579="",I579=""),"",F579-I579))</f>
        <v>96000</v>
      </c>
      <c r="R870" s="1" t="n">
        <f aca="false">IF($A579="","",IF(Q579="","",Q579+IF(O579="",0,O579)))</f>
        <v>-77107</v>
      </c>
      <c r="T870" s="1" t="str">
        <f aca="false">IF($A579="","",IF(R579="","",R579-IF(S579="",0,S579)))</f>
        <v/>
      </c>
      <c r="U870" s="1" t="n">
        <f aca="false">IF($A579="","",IF(I579="","",I579-SUM(J579:P579)))</f>
        <v>3000</v>
      </c>
      <c r="V870" s="6" t="s">
        <v>5207</v>
      </c>
      <c r="W870" s="9" t="s">
        <v>767</v>
      </c>
      <c r="X870" s="9" t="s">
        <v>5297</v>
      </c>
      <c r="Y870" s="9" t="s">
        <v>4897</v>
      </c>
      <c r="Z870" s="9" t="s">
        <v>4898</v>
      </c>
      <c r="AA870" s="9" t="s">
        <v>4943</v>
      </c>
    </row>
    <row r="871" customFormat="false" ht="15" hidden="false" customHeight="true" outlineLevel="0" collapsed="false">
      <c r="A871" s="6" t="s">
        <v>3431</v>
      </c>
      <c r="B871" s="6" t="s">
        <v>538</v>
      </c>
      <c r="C871" s="6" t="s">
        <v>542</v>
      </c>
      <c r="D871" s="6" t="n">
        <v>6</v>
      </c>
      <c r="E871" s="9" t="s">
        <v>5206</v>
      </c>
      <c r="F871" s="6" t="n">
        <v>34000</v>
      </c>
      <c r="Q871" s="1" t="n">
        <f aca="false">IF($A580="","",IF(OR(F580="",I580=""),"",F580-I580))</f>
        <v>52000</v>
      </c>
      <c r="R871" s="1" t="n">
        <f aca="false">IF($A580="","",IF(Q580="","",Q580+IF(O580="",0,O580)))</f>
        <v>572639</v>
      </c>
      <c r="T871" s="1" t="str">
        <f aca="false">IF($A580="","",IF(R580="","",R580-IF(S580="",0,S580)))</f>
        <v/>
      </c>
      <c r="U871" s="1" t="n">
        <f aca="false">IF($A580="","",IF(I580="","",I580-SUM(J580:P580)))</f>
        <v>2000</v>
      </c>
      <c r="V871" s="6" t="s">
        <v>5207</v>
      </c>
      <c r="W871" s="9" t="s">
        <v>767</v>
      </c>
      <c r="X871" s="9" t="s">
        <v>5219</v>
      </c>
      <c r="Y871" s="9" t="s">
        <v>4897</v>
      </c>
      <c r="Z871" s="9" t="s">
        <v>4898</v>
      </c>
      <c r="AA871" s="9" t="s">
        <v>4943</v>
      </c>
    </row>
    <row r="872" customFormat="false" ht="15" hidden="false" customHeight="true" outlineLevel="0" collapsed="false">
      <c r="A872" s="6" t="s">
        <v>3434</v>
      </c>
      <c r="B872" s="6" t="s">
        <v>538</v>
      </c>
      <c r="C872" s="6" t="s">
        <v>542</v>
      </c>
      <c r="D872" s="6" t="n">
        <v>6</v>
      </c>
      <c r="E872" s="9" t="s">
        <v>5206</v>
      </c>
      <c r="F872" s="6" t="n">
        <v>19000</v>
      </c>
      <c r="Q872" s="1" t="n">
        <f aca="false">IF($A581="","",IF(OR(F581="",I581=""),"",F581-I581))</f>
        <v>55000</v>
      </c>
      <c r="R872" s="1" t="n">
        <f aca="false">IF($A581="","",IF(Q581="","",Q581+IF(O581="",0,O581)))</f>
        <v>41914</v>
      </c>
      <c r="T872" s="1" t="str">
        <f aca="false">IF($A581="","",IF(R581="","",R581-IF(S581="",0,S581)))</f>
        <v/>
      </c>
      <c r="U872" s="1" t="n">
        <f aca="false">IF($A581="","",IF(I581="","",I581-SUM(J581:P581)))</f>
        <v>3000</v>
      </c>
      <c r="V872" s="6" t="s">
        <v>5207</v>
      </c>
      <c r="W872" s="9" t="s">
        <v>767</v>
      </c>
      <c r="X872" s="9" t="s">
        <v>5298</v>
      </c>
      <c r="Y872" s="9" t="s">
        <v>4897</v>
      </c>
      <c r="Z872" s="9" t="s">
        <v>4898</v>
      </c>
      <c r="AA872" s="9" t="s">
        <v>4943</v>
      </c>
    </row>
    <row r="873" customFormat="false" ht="15" hidden="false" customHeight="true" outlineLevel="0" collapsed="false">
      <c r="A873" s="6" t="s">
        <v>3438</v>
      </c>
      <c r="B873" s="6" t="s">
        <v>538</v>
      </c>
      <c r="C873" s="6" t="s">
        <v>542</v>
      </c>
      <c r="D873" s="6" t="n">
        <v>6</v>
      </c>
      <c r="E873" s="9" t="s">
        <v>5206</v>
      </c>
      <c r="F873" s="6" t="n">
        <v>28000</v>
      </c>
      <c r="Q873" s="1" t="n">
        <f aca="false">IF($A582="","",IF(OR(F582="",I582=""),"",F582-I582))</f>
        <v>109000</v>
      </c>
      <c r="R873" s="1" t="n">
        <f aca="false">IF($A582="","",IF(Q582="","",Q582+IF(O582="",0,O582)))</f>
        <v>15746</v>
      </c>
      <c r="T873" s="1" t="str">
        <f aca="false">IF($A582="","",IF(R582="","",R582-IF(S582="",0,S582)))</f>
        <v/>
      </c>
      <c r="U873" s="1" t="n">
        <f aca="false">IF($A582="","",IF(I582="","",I582-SUM(J582:P582)))</f>
        <v>3000</v>
      </c>
      <c r="V873" s="6" t="s">
        <v>5207</v>
      </c>
      <c r="W873" s="9" t="s">
        <v>767</v>
      </c>
      <c r="X873" s="9" t="s">
        <v>5299</v>
      </c>
      <c r="Y873" s="9" t="s">
        <v>4897</v>
      </c>
      <c r="Z873" s="9" t="s">
        <v>4898</v>
      </c>
      <c r="AA873" s="9" t="s">
        <v>4943</v>
      </c>
    </row>
    <row r="874" customFormat="false" ht="15" hidden="false" customHeight="true" outlineLevel="0" collapsed="false">
      <c r="A874" s="6" t="s">
        <v>3442</v>
      </c>
      <c r="B874" s="6" t="s">
        <v>538</v>
      </c>
      <c r="C874" s="6" t="s">
        <v>542</v>
      </c>
      <c r="D874" s="6" t="n">
        <v>6</v>
      </c>
      <c r="E874" s="9" t="s">
        <v>5206</v>
      </c>
      <c r="F874" s="6" t="n">
        <v>32000</v>
      </c>
      <c r="Q874" s="1" t="n">
        <f aca="false">IF($A583="","",IF(OR(F583="",I583=""),"",F583-I583))</f>
        <v>106000</v>
      </c>
      <c r="R874" s="1" t="n">
        <f aca="false">IF($A583="","",IF(Q583="","",Q583+IF(O583="",0,O583)))</f>
        <v>128000</v>
      </c>
      <c r="T874" s="1" t="str">
        <f aca="false">IF($A583="","",IF(R583="","",R583-IF(S583="",0,S583)))</f>
        <v/>
      </c>
      <c r="U874" s="1" t="n">
        <f aca="false">IF($A583="","",IF(I583="","",I583-SUM(J583:P583)))</f>
        <v>3000</v>
      </c>
      <c r="V874" s="6" t="s">
        <v>5207</v>
      </c>
      <c r="W874" s="9" t="s">
        <v>767</v>
      </c>
      <c r="X874" s="9" t="s">
        <v>5300</v>
      </c>
      <c r="Y874" s="9" t="s">
        <v>4897</v>
      </c>
      <c r="Z874" s="9" t="s">
        <v>4898</v>
      </c>
      <c r="AA874" s="9" t="s">
        <v>4943</v>
      </c>
    </row>
    <row r="875" customFormat="false" ht="15" hidden="false" customHeight="true" outlineLevel="0" collapsed="false">
      <c r="A875" s="6" t="s">
        <v>3445</v>
      </c>
      <c r="B875" s="6" t="s">
        <v>538</v>
      </c>
      <c r="C875" s="6" t="s">
        <v>542</v>
      </c>
      <c r="D875" s="6" t="n">
        <v>6</v>
      </c>
      <c r="E875" s="9" t="s">
        <v>5206</v>
      </c>
      <c r="F875" s="6" t="n">
        <v>70000</v>
      </c>
      <c r="Q875" s="1" t="n">
        <f aca="false">IF($A584="","",IF(OR(F584="",I584=""),"",F584-I584))</f>
        <v>40000</v>
      </c>
      <c r="R875" s="1" t="n">
        <f aca="false">IF($A584="","",IF(Q584="","",Q584+IF(O584="",0,O584)))</f>
        <v>52000</v>
      </c>
      <c r="T875" s="1" t="str">
        <f aca="false">IF($A584="","",IF(R584="","",R584-IF(S584="",0,S584)))</f>
        <v/>
      </c>
      <c r="U875" s="1" t="n">
        <f aca="false">IF($A584="","",IF(I584="","",I584-SUM(J584:P584)))</f>
        <v>2000</v>
      </c>
      <c r="V875" s="6" t="s">
        <v>5207</v>
      </c>
      <c r="W875" s="9" t="s">
        <v>767</v>
      </c>
      <c r="X875" s="9" t="s">
        <v>5239</v>
      </c>
      <c r="Y875" s="9" t="s">
        <v>4897</v>
      </c>
      <c r="Z875" s="9" t="s">
        <v>4898</v>
      </c>
      <c r="AA875" s="9" t="s">
        <v>4903</v>
      </c>
    </row>
    <row r="876" customFormat="false" ht="15" hidden="false" customHeight="true" outlineLevel="0" collapsed="false">
      <c r="A876" s="6" t="s">
        <v>3448</v>
      </c>
      <c r="B876" s="6" t="s">
        <v>538</v>
      </c>
      <c r="C876" s="6" t="s">
        <v>542</v>
      </c>
      <c r="D876" s="6" t="n">
        <v>6</v>
      </c>
      <c r="E876" s="9" t="s">
        <v>5206</v>
      </c>
      <c r="F876" s="6" t="n">
        <v>62000</v>
      </c>
      <c r="Q876" s="1" t="n">
        <f aca="false">IF($A585="","",IF(OR(F585="",I585=""),"",F585-I585))</f>
        <v>26000</v>
      </c>
      <c r="R876" s="1" t="n">
        <f aca="false">IF($A585="","",IF(Q585="","",Q585+IF(O585="",0,O585)))</f>
        <v>73074</v>
      </c>
      <c r="T876" s="1" t="str">
        <f aca="false">IF($A585="","",IF(R585="","",R585-IF(S585="",0,S585)))</f>
        <v/>
      </c>
      <c r="U876" s="1" t="n">
        <f aca="false">IF($A585="","",IF(I585="","",I585-SUM(J585:P585)))</f>
        <v>3000</v>
      </c>
      <c r="V876" s="6" t="s">
        <v>5207</v>
      </c>
      <c r="W876" s="9" t="s">
        <v>767</v>
      </c>
      <c r="X876" s="9" t="s">
        <v>5240</v>
      </c>
      <c r="Y876" s="9" t="s">
        <v>4897</v>
      </c>
      <c r="Z876" s="9" t="s">
        <v>4898</v>
      </c>
      <c r="AA876" s="9" t="s">
        <v>4903</v>
      </c>
    </row>
    <row r="877" customFormat="false" ht="15" hidden="false" customHeight="true" outlineLevel="0" collapsed="false">
      <c r="A877" s="6" t="s">
        <v>3451</v>
      </c>
      <c r="B877" s="6" t="s">
        <v>538</v>
      </c>
      <c r="C877" s="6" t="s">
        <v>542</v>
      </c>
      <c r="D877" s="6" t="n">
        <v>6</v>
      </c>
      <c r="E877" s="9" t="s">
        <v>5206</v>
      </c>
      <c r="F877" s="6" t="n">
        <v>64000</v>
      </c>
      <c r="Q877" s="1" t="n">
        <f aca="false">IF($A586="","",IF(OR(F586="",I586=""),"",F586-I586))</f>
        <v>21000</v>
      </c>
      <c r="R877" s="1" t="n">
        <f aca="false">IF($A586="","",IF(Q586="","",Q586+IF(O586="",0,O586)))</f>
        <v>211454</v>
      </c>
      <c r="T877" s="1" t="str">
        <f aca="false">IF($A586="","",IF(R586="","",R586-IF(S586="",0,S586)))</f>
        <v/>
      </c>
      <c r="U877" s="1" t="n">
        <f aca="false">IF($A586="","",IF(I586="","",I586-SUM(J586:P586)))</f>
        <v>2000</v>
      </c>
      <c r="V877" s="6" t="s">
        <v>5207</v>
      </c>
      <c r="W877" s="9" t="s">
        <v>767</v>
      </c>
      <c r="X877" s="9" t="s">
        <v>5224</v>
      </c>
      <c r="Y877" s="9" t="s">
        <v>4897</v>
      </c>
      <c r="Z877" s="9" t="s">
        <v>4898</v>
      </c>
      <c r="AA877" s="9" t="s">
        <v>4903</v>
      </c>
    </row>
    <row r="878" customFormat="false" ht="15" hidden="false" customHeight="true" outlineLevel="0" collapsed="false">
      <c r="A878" s="6" t="s">
        <v>3454</v>
      </c>
      <c r="B878" s="6" t="s">
        <v>538</v>
      </c>
      <c r="C878" s="6" t="s">
        <v>542</v>
      </c>
      <c r="D878" s="6" t="n">
        <v>6</v>
      </c>
      <c r="E878" s="9" t="s">
        <v>5206</v>
      </c>
      <c r="F878" s="6" t="n">
        <v>41000</v>
      </c>
      <c r="Q878" s="1" t="n">
        <f aca="false">IF($A587="","",IF(OR(F587="",I587=""),"",F587-I587))</f>
        <v>23000</v>
      </c>
      <c r="R878" s="1" t="n">
        <f aca="false">IF($A587="","",IF(Q587="","",Q587+IF(O587="",0,O587)))</f>
        <v>64759</v>
      </c>
      <c r="T878" s="1" t="str">
        <f aca="false">IF($A587="","",IF(R587="","",R587-IF(S587="",0,S587)))</f>
        <v/>
      </c>
      <c r="U878" s="1" t="n">
        <f aca="false">IF($A587="","",IF(I587="","",I587-SUM(J587:P587)))</f>
        <v>3000</v>
      </c>
      <c r="V878" s="6" t="s">
        <v>5207</v>
      </c>
      <c r="W878" s="9" t="s">
        <v>767</v>
      </c>
      <c r="X878" s="9" t="s">
        <v>5301</v>
      </c>
      <c r="Y878" s="9" t="s">
        <v>4897</v>
      </c>
      <c r="Z878" s="9" t="s">
        <v>4898</v>
      </c>
      <c r="AA878" s="9" t="s">
        <v>4943</v>
      </c>
    </row>
    <row r="879" customFormat="false" ht="15" hidden="false" customHeight="true" outlineLevel="0" collapsed="false">
      <c r="A879" s="6" t="s">
        <v>3457</v>
      </c>
      <c r="B879" s="6" t="s">
        <v>538</v>
      </c>
      <c r="C879" s="6" t="s">
        <v>542</v>
      </c>
      <c r="D879" s="6" t="n">
        <v>6</v>
      </c>
      <c r="E879" s="9" t="s">
        <v>5206</v>
      </c>
      <c r="F879" s="6" t="n">
        <v>32000</v>
      </c>
      <c r="Q879" s="1" t="n">
        <f aca="false">IF($A588="","",IF(OR(F588="",I588=""),"",F588-I588))</f>
        <v>-13000</v>
      </c>
      <c r="R879" s="1" t="n">
        <f aca="false">IF($A588="","",IF(Q588="","",Q588+IF(O588="",0,O588)))</f>
        <v>-9000</v>
      </c>
      <c r="T879" s="1" t="str">
        <f aca="false">IF($A588="","",IF(R588="","",R588-IF(S588="",0,S588)))</f>
        <v/>
      </c>
      <c r="U879" s="1" t="n">
        <f aca="false">IF($A588="","",IF(I588="","",I588-SUM(J588:P588)))</f>
        <v>3000</v>
      </c>
      <c r="V879" s="6" t="s">
        <v>5207</v>
      </c>
      <c r="W879" s="9" t="s">
        <v>767</v>
      </c>
      <c r="X879" s="9" t="s">
        <v>5300</v>
      </c>
      <c r="Y879" s="9" t="s">
        <v>4897</v>
      </c>
      <c r="Z879" s="9" t="s">
        <v>4898</v>
      </c>
      <c r="AA879" s="9" t="s">
        <v>4943</v>
      </c>
    </row>
    <row r="880" customFormat="false" ht="15" hidden="false" customHeight="true" outlineLevel="0" collapsed="false">
      <c r="A880" s="6" t="s">
        <v>3460</v>
      </c>
      <c r="B880" s="6" t="s">
        <v>538</v>
      </c>
      <c r="C880" s="6" t="s">
        <v>542</v>
      </c>
      <c r="D880" s="6" t="n">
        <v>6</v>
      </c>
      <c r="E880" s="9" t="s">
        <v>5206</v>
      </c>
      <c r="F880" s="6" t="n">
        <v>21000</v>
      </c>
      <c r="Q880" s="1" t="n">
        <f aca="false">IF($A589="","",IF(OR(F589="",I589=""),"",F589-I589))</f>
        <v>28000</v>
      </c>
      <c r="R880" s="1" t="n">
        <f aca="false">IF($A589="","",IF(Q589="","",Q589+IF(O589="",0,O589)))</f>
        <v>36000</v>
      </c>
      <c r="T880" s="1" t="str">
        <f aca="false">IF($A589="","",IF(R589="","",R589-IF(S589="",0,S589)))</f>
        <v/>
      </c>
      <c r="U880" s="1" t="n">
        <f aca="false">IF($A589="","",IF(I589="","",I589-SUM(J589:P589)))</f>
        <v>2000</v>
      </c>
      <c r="V880" s="6" t="s">
        <v>5207</v>
      </c>
      <c r="W880" s="9" t="s">
        <v>767</v>
      </c>
      <c r="X880" s="9" t="s">
        <v>5302</v>
      </c>
      <c r="Y880" s="9" t="s">
        <v>4897</v>
      </c>
      <c r="Z880" s="9" t="s">
        <v>4898</v>
      </c>
      <c r="AA880" s="9" t="s">
        <v>4943</v>
      </c>
    </row>
    <row r="881" customFormat="false" ht="15" hidden="false" customHeight="true" outlineLevel="0" collapsed="false">
      <c r="A881" s="6" t="s">
        <v>3463</v>
      </c>
      <c r="B881" s="6" t="s">
        <v>538</v>
      </c>
      <c r="C881" s="6" t="s">
        <v>542</v>
      </c>
      <c r="D881" s="6" t="n">
        <v>6</v>
      </c>
      <c r="E881" s="9" t="s">
        <v>5206</v>
      </c>
      <c r="F881" s="6" t="n">
        <v>16000</v>
      </c>
      <c r="Q881" s="1" t="n">
        <f aca="false">IF($A590="","",IF(OR(F590="",I590=""),"",F590-I590))</f>
        <v>20000</v>
      </c>
      <c r="R881" s="1" t="n">
        <f aca="false">IF($A590="","",IF(Q590="","",Q590+IF(O590="",0,O590)))</f>
        <v>4092035</v>
      </c>
      <c r="T881" s="1" t="n">
        <f aca="false">IF($A590="","",IF(R590="","",R590-IF(S590="",0,S590)))</f>
        <v>-2691297</v>
      </c>
      <c r="U881" s="1" t="n">
        <f aca="false">IF($A590="","",IF(I590="","",I590-SUM(J590:P590)))</f>
        <v>2000</v>
      </c>
      <c r="V881" s="6" t="s">
        <v>5207</v>
      </c>
      <c r="W881" s="9" t="s">
        <v>767</v>
      </c>
      <c r="X881" s="9" t="s">
        <v>5287</v>
      </c>
      <c r="Y881" s="9" t="s">
        <v>4897</v>
      </c>
      <c r="Z881" s="9" t="s">
        <v>4898</v>
      </c>
      <c r="AA881" s="9" t="s">
        <v>4943</v>
      </c>
    </row>
    <row r="882" customFormat="false" ht="15" hidden="false" customHeight="true" outlineLevel="0" collapsed="false">
      <c r="A882" s="6" t="s">
        <v>3466</v>
      </c>
      <c r="B882" s="6" t="s">
        <v>538</v>
      </c>
      <c r="C882" s="6" t="s">
        <v>542</v>
      </c>
      <c r="D882" s="6" t="n">
        <v>6</v>
      </c>
      <c r="E882" s="9" t="s">
        <v>5206</v>
      </c>
      <c r="F882" s="6" t="n">
        <v>16000</v>
      </c>
      <c r="Q882" s="1" t="n">
        <f aca="false">IF($A591="","",IF(OR(F591="",I591=""),"",F591-I591))</f>
        <v>30000</v>
      </c>
      <c r="R882" s="1" t="n">
        <f aca="false">IF($A591="","",IF(Q591="","",Q591+IF(O591="",0,O591)))</f>
        <v>42000</v>
      </c>
      <c r="T882" s="1" t="str">
        <f aca="false">IF($A591="","",IF(R591="","",R591-IF(S591="",0,S591)))</f>
        <v/>
      </c>
      <c r="U882" s="1" t="n">
        <f aca="false">IF($A591="","",IF(I591="","",I591-SUM(J591:P591)))</f>
        <v>3000</v>
      </c>
      <c r="V882" s="6" t="s">
        <v>5207</v>
      </c>
      <c r="W882" s="9" t="s">
        <v>767</v>
      </c>
      <c r="X882" s="9" t="s">
        <v>5287</v>
      </c>
      <c r="Y882" s="9" t="s">
        <v>4897</v>
      </c>
      <c r="Z882" s="9" t="s">
        <v>4898</v>
      </c>
      <c r="AA882" s="9" t="s">
        <v>4943</v>
      </c>
    </row>
    <row r="883" customFormat="false" ht="15" hidden="false" customHeight="true" outlineLevel="0" collapsed="false">
      <c r="A883" s="6" t="s">
        <v>3469</v>
      </c>
      <c r="B883" s="6" t="s">
        <v>538</v>
      </c>
      <c r="C883" s="6" t="s">
        <v>542</v>
      </c>
      <c r="D883" s="6" t="n">
        <v>6</v>
      </c>
      <c r="E883" s="9" t="s">
        <v>5206</v>
      </c>
      <c r="F883" s="6" t="n">
        <v>8000</v>
      </c>
      <c r="Q883" s="1" t="n">
        <f aca="false">IF($A592="","",IF(OR(F592="",I592=""),"",F592-I592))</f>
        <v>32000</v>
      </c>
      <c r="R883" s="1" t="n">
        <f aca="false">IF($A592="","",IF(Q592="","",Q592+IF(O592="",0,O592)))</f>
        <v>43000</v>
      </c>
      <c r="T883" s="1" t="str">
        <f aca="false">IF($A592="","",IF(R592="","",R592-IF(S592="",0,S592)))</f>
        <v/>
      </c>
      <c r="U883" s="1" t="n">
        <f aca="false">IF($A592="","",IF(I592="","",I592-SUM(J592:P592)))</f>
        <v>2000</v>
      </c>
      <c r="V883" s="6" t="s">
        <v>5207</v>
      </c>
      <c r="W883" s="9" t="s">
        <v>767</v>
      </c>
      <c r="X883" s="9" t="s">
        <v>5303</v>
      </c>
      <c r="Y883" s="9" t="s">
        <v>4897</v>
      </c>
      <c r="Z883" s="9" t="s">
        <v>4898</v>
      </c>
      <c r="AA883" s="9" t="s">
        <v>4943</v>
      </c>
    </row>
    <row r="884" customFormat="false" ht="15" hidden="false" customHeight="true" outlineLevel="0" collapsed="false">
      <c r="A884" s="6" t="s">
        <v>3472</v>
      </c>
      <c r="B884" s="6" t="s">
        <v>538</v>
      </c>
      <c r="C884" s="6" t="s">
        <v>542</v>
      </c>
      <c r="D884" s="6" t="n">
        <v>6</v>
      </c>
      <c r="E884" s="9" t="s">
        <v>5304</v>
      </c>
      <c r="F884" s="1" t="n">
        <v>42000</v>
      </c>
      <c r="Q884" s="1" t="n">
        <f aca="false">IF($A593="","",IF(OR(F593="",I593=""),"",F593-I593))</f>
        <v>28000</v>
      </c>
      <c r="R884" s="1" t="n">
        <f aca="false">IF($A593="","",IF(Q593="","",Q593+IF(O593="",0,O593)))</f>
        <v>35000</v>
      </c>
      <c r="T884" s="1" t="str">
        <f aca="false">IF($A593="","",IF(R593="","",R593-IF(S593="",0,S593)))</f>
        <v/>
      </c>
      <c r="U884" s="1" t="n">
        <f aca="false">IF($A593="","",IF(I593="","",I593-SUM(J593:P593)))</f>
        <v>2000</v>
      </c>
      <c r="V884" s="6" t="s">
        <v>5305</v>
      </c>
      <c r="W884" s="9" t="s">
        <v>774</v>
      </c>
      <c r="X884" s="9" t="s">
        <v>5306</v>
      </c>
      <c r="Y884" s="9" t="s">
        <v>4897</v>
      </c>
      <c r="Z884" s="9" t="s">
        <v>4898</v>
      </c>
      <c r="AA884" s="9" t="s">
        <v>4899</v>
      </c>
    </row>
    <row r="885" customFormat="false" ht="15" hidden="false" customHeight="true" outlineLevel="0" collapsed="false">
      <c r="A885" s="6" t="s">
        <v>3477</v>
      </c>
      <c r="B885" s="6" t="s">
        <v>538</v>
      </c>
      <c r="C885" s="6" t="s">
        <v>542</v>
      </c>
      <c r="D885" s="6" t="n">
        <v>6</v>
      </c>
      <c r="E885" s="9" t="s">
        <v>5304</v>
      </c>
      <c r="F885" s="1" t="n">
        <v>45000</v>
      </c>
      <c r="Q885" s="1" t="n">
        <f aca="false">IF($A594="","",IF(OR(F594="",I594=""),"",F594-I594))</f>
        <v>56000</v>
      </c>
      <c r="R885" s="1" t="n">
        <f aca="false">IF($A594="","",IF(Q594="","",Q594+IF(O594="",0,O594)))</f>
        <v>71000</v>
      </c>
      <c r="T885" s="1" t="str">
        <f aca="false">IF($A594="","",IF(R594="","",R594-IF(S594="",0,S594)))</f>
        <v/>
      </c>
      <c r="U885" s="1" t="n">
        <f aca="false">IF($A594="","",IF(I594="","",I594-SUM(J594:P594)))</f>
        <v>2000</v>
      </c>
      <c r="V885" s="6" t="s">
        <v>5305</v>
      </c>
      <c r="W885" s="9" t="s">
        <v>774</v>
      </c>
      <c r="X885" s="9" t="s">
        <v>5307</v>
      </c>
      <c r="Y885" s="9" t="s">
        <v>4897</v>
      </c>
      <c r="Z885" s="9" t="s">
        <v>4898</v>
      </c>
      <c r="AA885" s="9" t="s">
        <v>4899</v>
      </c>
    </row>
    <row r="886" customFormat="false" ht="15" hidden="false" customHeight="true" outlineLevel="0" collapsed="false">
      <c r="A886" s="6" t="s">
        <v>3480</v>
      </c>
      <c r="B886" s="6" t="s">
        <v>538</v>
      </c>
      <c r="C886" s="6" t="s">
        <v>542</v>
      </c>
      <c r="D886" s="6" t="n">
        <v>6</v>
      </c>
      <c r="E886" s="9" t="s">
        <v>5206</v>
      </c>
      <c r="F886" s="6" t="n">
        <v>544000</v>
      </c>
      <c r="Q886" s="1" t="n">
        <f aca="false">IF($A595="","",IF(OR(F595="",I595=""),"",F595-I595))</f>
        <v>32000</v>
      </c>
      <c r="R886" s="1" t="n">
        <f aca="false">IF($A595="","",IF(Q595="","",Q595+IF(O595="",0,O595)))</f>
        <v>41000</v>
      </c>
      <c r="T886" s="1" t="str">
        <f aca="false">IF($A595="","",IF(R595="","",R595-IF(S595="",0,S595)))</f>
        <v/>
      </c>
      <c r="U886" s="1" t="n">
        <f aca="false">IF($A595="","",IF(I595="","",I595-SUM(J595:P595)))</f>
        <v>2000</v>
      </c>
      <c r="V886" s="6" t="s">
        <v>5207</v>
      </c>
      <c r="W886" s="9" t="s">
        <v>767</v>
      </c>
      <c r="X886" s="9" t="s">
        <v>5308</v>
      </c>
      <c r="Y886" s="9" t="s">
        <v>4897</v>
      </c>
      <c r="Z886" s="9" t="s">
        <v>4898</v>
      </c>
      <c r="AA886" s="9" t="s">
        <v>4903</v>
      </c>
    </row>
    <row r="887" customFormat="false" ht="15" hidden="false" customHeight="true" outlineLevel="0" collapsed="false">
      <c r="A887" s="6" t="s">
        <v>3483</v>
      </c>
      <c r="B887" s="6" t="s">
        <v>538</v>
      </c>
      <c r="C887" s="6" t="s">
        <v>542</v>
      </c>
      <c r="D887" s="6" t="n">
        <v>6</v>
      </c>
      <c r="E887" s="9" t="s">
        <v>5206</v>
      </c>
      <c r="F887" s="6" t="n">
        <v>1301000</v>
      </c>
      <c r="Q887" s="1" t="n">
        <f aca="false">IF($A596="","",IF(OR(F596="",I596=""),"",F596-I596))</f>
        <v>51000</v>
      </c>
      <c r="R887" s="1" t="n">
        <f aca="false">IF($A596="","",IF(Q596="","",Q596+IF(O596="",0,O596)))</f>
        <v>64000</v>
      </c>
      <c r="T887" s="1" t="str">
        <f aca="false">IF($A596="","",IF(R596="","",R596-IF(S596="",0,S596)))</f>
        <v/>
      </c>
      <c r="U887" s="1" t="n">
        <f aca="false">IF($A596="","",IF(I596="","",I596-SUM(J596:P596)))</f>
        <v>3000</v>
      </c>
      <c r="V887" s="6" t="s">
        <v>5207</v>
      </c>
      <c r="W887" s="9" t="s">
        <v>767</v>
      </c>
      <c r="X887" s="9" t="s">
        <v>5309</v>
      </c>
      <c r="Y887" s="9" t="s">
        <v>4897</v>
      </c>
      <c r="Z887" s="9" t="s">
        <v>4898</v>
      </c>
      <c r="AA887" s="9" t="s">
        <v>4903</v>
      </c>
    </row>
    <row r="888" customFormat="false" ht="15" hidden="false" customHeight="true" outlineLevel="0" collapsed="false">
      <c r="A888" s="6" t="s">
        <v>3486</v>
      </c>
      <c r="B888" s="6" t="s">
        <v>538</v>
      </c>
      <c r="C888" s="6" t="s">
        <v>542</v>
      </c>
      <c r="D888" s="6" t="n">
        <v>6</v>
      </c>
      <c r="E888" s="9" t="s">
        <v>5206</v>
      </c>
      <c r="F888" s="6" t="n">
        <v>182000</v>
      </c>
      <c r="Q888" s="1" t="n">
        <f aca="false">IF($A597="","",IF(OR(F597="",I597=""),"",F597-I597))</f>
        <v>38000</v>
      </c>
      <c r="R888" s="1" t="n">
        <f aca="false">IF($A597="","",IF(Q597="","",Q597+IF(O597="",0,O597)))</f>
        <v>55000</v>
      </c>
      <c r="T888" s="1" t="str">
        <f aca="false">IF($A597="","",IF(R597="","",R597-IF(S597="",0,S597)))</f>
        <v/>
      </c>
      <c r="U888" s="1" t="n">
        <f aca="false">IF($A597="","",IF(I597="","",I597-SUM(J597:P597)))</f>
        <v>1000</v>
      </c>
      <c r="V888" s="6" t="s">
        <v>5207</v>
      </c>
      <c r="W888" s="9" t="s">
        <v>767</v>
      </c>
      <c r="X888" s="9" t="s">
        <v>5294</v>
      </c>
      <c r="Y888" s="9" t="s">
        <v>4897</v>
      </c>
      <c r="Z888" s="9" t="s">
        <v>4898</v>
      </c>
      <c r="AA888" s="9" t="s">
        <v>4903</v>
      </c>
    </row>
    <row r="889" customFormat="false" ht="15" hidden="false" customHeight="true" outlineLevel="0" collapsed="false">
      <c r="A889" s="6" t="s">
        <v>3489</v>
      </c>
      <c r="B889" s="6" t="s">
        <v>538</v>
      </c>
      <c r="C889" s="6" t="s">
        <v>542</v>
      </c>
      <c r="D889" s="6" t="n">
        <v>6</v>
      </c>
      <c r="E889" s="9" t="s">
        <v>5206</v>
      </c>
      <c r="F889" s="6" t="n">
        <v>202000</v>
      </c>
      <c r="Q889" s="1" t="n">
        <f aca="false">IF($A598="","",IF(OR(F598="",I598=""),"",F598-I598))</f>
        <v>27000</v>
      </c>
      <c r="R889" s="1" t="n">
        <f aca="false">IF($A598="","",IF(Q598="","",Q598+IF(O598="",0,O598)))</f>
        <v>46000</v>
      </c>
      <c r="T889" s="1" t="str">
        <f aca="false">IF($A598="","",IF(R598="","",R598-IF(S598="",0,S598)))</f>
        <v/>
      </c>
      <c r="U889" s="1" t="n">
        <f aca="false">IF($A598="","",IF(I598="","",I598-SUM(J598:P598)))</f>
        <v>2000</v>
      </c>
      <c r="V889" s="6" t="s">
        <v>5207</v>
      </c>
      <c r="W889" s="9" t="s">
        <v>767</v>
      </c>
      <c r="X889" s="9" t="s">
        <v>5310</v>
      </c>
      <c r="Y889" s="9" t="s">
        <v>4897</v>
      </c>
      <c r="Z889" s="9" t="s">
        <v>4898</v>
      </c>
      <c r="AA889" s="9" t="s">
        <v>4903</v>
      </c>
    </row>
    <row r="890" customFormat="false" ht="15" hidden="false" customHeight="true" outlineLevel="0" collapsed="false">
      <c r="A890" s="6" t="s">
        <v>3492</v>
      </c>
      <c r="B890" s="6" t="s">
        <v>538</v>
      </c>
      <c r="C890" s="6" t="s">
        <v>542</v>
      </c>
      <c r="D890" s="6" t="n">
        <v>6</v>
      </c>
      <c r="E890" s="9" t="s">
        <v>5206</v>
      </c>
      <c r="F890" s="6" t="n">
        <v>121000</v>
      </c>
      <c r="Q890" s="1" t="n">
        <f aca="false">IF($A599="","",IF(OR(F599="",I599=""),"",F599-I599))</f>
        <v>5000</v>
      </c>
      <c r="R890" s="1" t="n">
        <f aca="false">IF($A599="","",IF(Q599="","",Q599+IF(O599="",0,O599)))</f>
        <v>9000</v>
      </c>
      <c r="T890" s="1" t="str">
        <f aca="false">IF($A599="","",IF(R599="","",R599-IF(S599="",0,S599)))</f>
        <v/>
      </c>
      <c r="U890" s="1" t="n">
        <f aca="false">IF($A599="","",IF(I599="","",I599-SUM(J599:P599)))</f>
        <v>1000</v>
      </c>
      <c r="V890" s="6" t="s">
        <v>5207</v>
      </c>
      <c r="W890" s="9" t="s">
        <v>767</v>
      </c>
      <c r="X890" s="9" t="s">
        <v>5311</v>
      </c>
      <c r="Y890" s="9" t="s">
        <v>4897</v>
      </c>
      <c r="Z890" s="9" t="s">
        <v>4898</v>
      </c>
      <c r="AA890" s="9" t="s">
        <v>4903</v>
      </c>
    </row>
    <row r="891" customFormat="false" ht="15" hidden="false" customHeight="true" outlineLevel="0" collapsed="false">
      <c r="A891" s="6" t="s">
        <v>3495</v>
      </c>
      <c r="B891" s="6" t="s">
        <v>544</v>
      </c>
      <c r="C891" s="6" t="s">
        <v>549</v>
      </c>
      <c r="D891" s="6" t="n">
        <v>6</v>
      </c>
      <c r="E891" s="9" t="s">
        <v>4950</v>
      </c>
      <c r="F891" s="6" t="n">
        <v>11584936</v>
      </c>
      <c r="G891" s="6" t="n">
        <v>11247205</v>
      </c>
      <c r="H891" s="6" t="n">
        <v>337731</v>
      </c>
      <c r="I891" s="6" t="n">
        <v>3558722</v>
      </c>
      <c r="J891" s="6" t="n">
        <v>805651</v>
      </c>
      <c r="K891" s="6" t="n">
        <v>301784</v>
      </c>
      <c r="L891" s="6" t="n">
        <v>1257978</v>
      </c>
      <c r="M891" s="6" t="n">
        <v>32004</v>
      </c>
      <c r="N891" s="6" t="n">
        <v>110166</v>
      </c>
      <c r="O891" s="6" t="n">
        <v>1016319</v>
      </c>
      <c r="P891" s="6" t="n">
        <v>34818</v>
      </c>
      <c r="Q891" s="1" t="n">
        <f aca="false">IF($A1273="","",IF(OR(F1273="",I1273=""),"",F1273-I1273))</f>
        <v>8026214</v>
      </c>
      <c r="R891" s="1" t="str">
        <f aca="false">IF($A1273="","",IF(Q1273="","",Q1273+IF(O1273="",0,O1273)))</f>
        <v/>
      </c>
      <c r="S891" s="6" t="n">
        <v>569228</v>
      </c>
      <c r="T891" s="1" t="n">
        <f aca="false">IF($A1273="","",IF(R1273="","",R1273-IF(S1273="",0,S1273)))</f>
        <v>17259</v>
      </c>
      <c r="U891" s="1" t="n">
        <f aca="false">IF($A1273="","",IF(I1273="","",I1273-SUM(J1273:P1273)))</f>
        <v>2</v>
      </c>
      <c r="V891" s="6" t="s">
        <v>5312</v>
      </c>
      <c r="W891" s="9" t="s">
        <v>767</v>
      </c>
      <c r="X891" s="9" t="s">
        <v>5313</v>
      </c>
      <c r="Y891" s="9" t="s">
        <v>4897</v>
      </c>
      <c r="Z891" s="9" t="s">
        <v>4898</v>
      </c>
      <c r="AA891" s="9" t="s">
        <v>4899</v>
      </c>
    </row>
    <row r="892" customFormat="false" ht="15" hidden="false" customHeight="true" outlineLevel="0" collapsed="false">
      <c r="A892" s="6" t="s">
        <v>3499</v>
      </c>
      <c r="B892" s="6" t="s">
        <v>544</v>
      </c>
      <c r="C892" s="6" t="s">
        <v>549</v>
      </c>
      <c r="D892" s="6" t="n">
        <v>6</v>
      </c>
      <c r="E892" s="9" t="s">
        <v>5002</v>
      </c>
      <c r="F892" s="6" t="n">
        <v>1739703</v>
      </c>
      <c r="I892" s="6" t="n">
        <v>698351</v>
      </c>
      <c r="J892" s="6" t="n">
        <v>210570</v>
      </c>
      <c r="K892" s="6" t="n">
        <v>0</v>
      </c>
      <c r="L892" s="6" t="n">
        <v>367983</v>
      </c>
      <c r="M892" s="6" t="n">
        <v>4507</v>
      </c>
      <c r="O892" s="6" t="n">
        <v>72682</v>
      </c>
      <c r="P892" s="6" t="n">
        <v>42606</v>
      </c>
      <c r="Q892" s="1" t="n">
        <f aca="false">IF($A1253="","",IF(OR(F1253="",I1253=""),"",F1253-I1253))</f>
        <v>1041352</v>
      </c>
      <c r="R892" s="1" t="str">
        <f aca="false">IF($A1253="","",IF(Q1253="","",Q1253+IF(O1253="",0,O1253)))</f>
        <v/>
      </c>
      <c r="S892" s="6" t="n">
        <v>179364</v>
      </c>
      <c r="T892" s="1" t="str">
        <f aca="false">IF($A1253="","",IF(R1253="","",R1253-IF(S1253="",0,S1253)))</f>
        <v/>
      </c>
      <c r="U892" s="1" t="n">
        <f aca="false">IF($A1253="","",IF(I1253="","",I1253-SUM(J1253:P1253)))</f>
        <v>3</v>
      </c>
      <c r="V892" s="6" t="s">
        <v>5314</v>
      </c>
      <c r="W892" s="9" t="s">
        <v>774</v>
      </c>
      <c r="X892" s="9" t="s">
        <v>5315</v>
      </c>
      <c r="Y892" s="9" t="s">
        <v>4897</v>
      </c>
      <c r="Z892" s="9" t="s">
        <v>4898</v>
      </c>
      <c r="AA892" s="9" t="s">
        <v>4899</v>
      </c>
    </row>
    <row r="893" customFormat="false" ht="15" hidden="false" customHeight="true" outlineLevel="0" collapsed="false">
      <c r="A893" s="6" t="s">
        <v>3502</v>
      </c>
      <c r="B893" s="6" t="s">
        <v>544</v>
      </c>
      <c r="C893" s="6" t="s">
        <v>549</v>
      </c>
      <c r="D893" s="6" t="n">
        <v>6</v>
      </c>
      <c r="E893" s="9" t="s">
        <v>5002</v>
      </c>
      <c r="F893" s="6" t="n">
        <v>905345</v>
      </c>
      <c r="I893" s="6" t="n">
        <v>318681</v>
      </c>
      <c r="J893" s="6" t="n">
        <v>78003</v>
      </c>
      <c r="K893" s="6" t="n">
        <v>34393</v>
      </c>
      <c r="L893" s="6" t="n">
        <v>47797</v>
      </c>
      <c r="M893" s="6" t="n">
        <v>572</v>
      </c>
      <c r="O893" s="6" t="n">
        <v>156235</v>
      </c>
      <c r="P893" s="6" t="n">
        <v>1679</v>
      </c>
      <c r="Q893" s="1" t="n">
        <f aca="false">IF($A1254="","",IF(OR(F1254="",I1254=""),"",F1254-I1254))</f>
        <v>586664</v>
      </c>
      <c r="R893" s="1" t="str">
        <f aca="false">IF($A1254="","",IF(Q1254="","",Q1254+IF(O1254="",0,O1254)))</f>
        <v/>
      </c>
      <c r="S893" s="6" t="n">
        <v>0</v>
      </c>
      <c r="T893" s="1" t="str">
        <f aca="false">IF($A1254="","",IF(R1254="","",R1254-IF(S1254="",0,S1254)))</f>
        <v/>
      </c>
      <c r="U893" s="1" t="n">
        <f aca="false">IF($A1254="","",IF(I1254="","",I1254-SUM(J1254:P1254)))</f>
        <v>2</v>
      </c>
      <c r="V893" s="6" t="s">
        <v>5314</v>
      </c>
      <c r="W893" s="9" t="s">
        <v>774</v>
      </c>
      <c r="X893" s="9" t="s">
        <v>5315</v>
      </c>
      <c r="Y893" s="9" t="s">
        <v>4897</v>
      </c>
      <c r="Z893" s="9" t="s">
        <v>4898</v>
      </c>
      <c r="AA893" s="9" t="s">
        <v>4899</v>
      </c>
    </row>
    <row r="894" customFormat="false" ht="15" hidden="false" customHeight="true" outlineLevel="0" collapsed="false">
      <c r="A894" s="6" t="s">
        <v>3505</v>
      </c>
      <c r="B894" s="6" t="s">
        <v>544</v>
      </c>
      <c r="C894" s="6" t="s">
        <v>549</v>
      </c>
      <c r="D894" s="6" t="n">
        <v>6</v>
      </c>
      <c r="E894" s="9" t="s">
        <v>5316</v>
      </c>
      <c r="F894" s="1" t="n">
        <v>32000</v>
      </c>
      <c r="Q894" s="1" t="str">
        <f aca="false">IF($A1255="","",IF(OR(F1255="",I1255=""),"",F1255-I1255))</f>
        <v/>
      </c>
      <c r="R894" s="1" t="str">
        <f aca="false">IF($A1255="","",IF(Q1255="","",Q1255+IF(O1255="",0,O1255)))</f>
        <v/>
      </c>
      <c r="S894" s="6" t="n">
        <v>581</v>
      </c>
      <c r="T894" s="1" t="str">
        <f aca="false">IF($A1255="","",IF(R1255="","",R1255-IF(S1255="",0,S1255)))</f>
        <v/>
      </c>
      <c r="U894" s="1" t="str">
        <f aca="false">IF($A1255="","",IF(I1255="","",I1255-SUM(J1255:P1255)))</f>
        <v/>
      </c>
      <c r="V894" s="6" t="s">
        <v>5314</v>
      </c>
      <c r="W894" s="9" t="s">
        <v>774</v>
      </c>
      <c r="X894" s="9" t="s">
        <v>5317</v>
      </c>
      <c r="Y894" s="9" t="s">
        <v>4897</v>
      </c>
      <c r="Z894" s="9" t="s">
        <v>4898</v>
      </c>
      <c r="AA894" s="9" t="s">
        <v>4899</v>
      </c>
    </row>
    <row r="895" customFormat="false" ht="15" hidden="false" customHeight="true" outlineLevel="0" collapsed="false">
      <c r="A895" s="6" t="s">
        <v>3508</v>
      </c>
      <c r="B895" s="6" t="s">
        <v>544</v>
      </c>
      <c r="C895" s="6" t="s">
        <v>549</v>
      </c>
      <c r="D895" s="6" t="n">
        <v>6</v>
      </c>
      <c r="E895" s="9" t="s">
        <v>5002</v>
      </c>
      <c r="F895" s="6" t="n">
        <v>1060985</v>
      </c>
      <c r="I895" s="6" t="n">
        <v>474498</v>
      </c>
      <c r="J895" s="6" t="n">
        <v>241642</v>
      </c>
      <c r="K895" s="6" t="n">
        <v>61217</v>
      </c>
      <c r="L895" s="6" t="n">
        <v>91289</v>
      </c>
      <c r="M895" s="6" t="n">
        <v>1995</v>
      </c>
      <c r="O895" s="6" t="n">
        <v>65473</v>
      </c>
      <c r="P895" s="6" t="n">
        <v>12878</v>
      </c>
      <c r="Q895" s="1" t="n">
        <f aca="false">IF($A1256="","",IF(OR(F1256="",I1256=""),"",F1256-I1256))</f>
        <v>586487</v>
      </c>
      <c r="R895" s="1" t="str">
        <f aca="false">IF($A1256="","",IF(Q1256="","",Q1256+IF(O1256="",0,O1256)))</f>
        <v/>
      </c>
      <c r="S895" s="6" t="n">
        <v>28890</v>
      </c>
      <c r="T895" s="1" t="str">
        <f aca="false">IF($A1256="","",IF(R1256="","",R1256-IF(S1256="",0,S1256)))</f>
        <v/>
      </c>
      <c r="U895" s="1" t="n">
        <f aca="false">IF($A1256="","",IF(I1256="","",I1256-SUM(J1256:P1256)))</f>
        <v>4</v>
      </c>
      <c r="V895" s="6" t="s">
        <v>5314</v>
      </c>
      <c r="W895" s="9" t="s">
        <v>774</v>
      </c>
      <c r="X895" s="9" t="s">
        <v>5315</v>
      </c>
      <c r="Y895" s="9" t="s">
        <v>4897</v>
      </c>
      <c r="Z895" s="9" t="s">
        <v>4898</v>
      </c>
      <c r="AA895" s="9" t="s">
        <v>4899</v>
      </c>
    </row>
    <row r="896" customFormat="false" ht="15" hidden="false" customHeight="true" outlineLevel="0" collapsed="false">
      <c r="A896" s="6" t="s">
        <v>3511</v>
      </c>
      <c r="B896" s="6" t="s">
        <v>544</v>
      </c>
      <c r="C896" s="6" t="s">
        <v>549</v>
      </c>
      <c r="D896" s="6" t="n">
        <v>6</v>
      </c>
      <c r="E896" s="9" t="s">
        <v>5002</v>
      </c>
      <c r="F896" s="6" t="n">
        <v>338219</v>
      </c>
      <c r="I896" s="6" t="n">
        <v>84860</v>
      </c>
      <c r="J896" s="6" t="n">
        <v>0</v>
      </c>
      <c r="K896" s="6" t="n">
        <v>0</v>
      </c>
      <c r="L896" s="6" t="n">
        <v>41893</v>
      </c>
      <c r="M896" s="6" t="n">
        <v>1184</v>
      </c>
      <c r="O896" s="6" t="n">
        <v>39038</v>
      </c>
      <c r="P896" s="6" t="n">
        <v>2743</v>
      </c>
      <c r="Q896" s="1" t="n">
        <f aca="false">IF($A1257="","",IF(OR(F1257="",I1257=""),"",F1257-I1257))</f>
        <v>253359</v>
      </c>
      <c r="R896" s="1" t="str">
        <f aca="false">IF($A1257="","",IF(Q1257="","",Q1257+IF(O1257="",0,O1257)))</f>
        <v/>
      </c>
      <c r="S896" s="6" t="n">
        <v>49279</v>
      </c>
      <c r="T896" s="1" t="str">
        <f aca="false">IF($A1257="","",IF(R1257="","",R1257-IF(S1257="",0,S1257)))</f>
        <v/>
      </c>
      <c r="U896" s="1" t="n">
        <f aca="false">IF($A1257="","",IF(I1257="","",I1257-SUM(J1257:P1257)))</f>
        <v>2</v>
      </c>
      <c r="V896" s="6" t="s">
        <v>5314</v>
      </c>
      <c r="W896" s="9" t="s">
        <v>774</v>
      </c>
      <c r="X896" s="9" t="s">
        <v>5315</v>
      </c>
      <c r="Y896" s="9" t="s">
        <v>4897</v>
      </c>
      <c r="Z896" s="9" t="s">
        <v>4898</v>
      </c>
      <c r="AA896" s="9" t="s">
        <v>4899</v>
      </c>
    </row>
    <row r="897" customFormat="false" ht="15" hidden="false" customHeight="true" outlineLevel="0" collapsed="false">
      <c r="A897" s="6" t="s">
        <v>3514</v>
      </c>
      <c r="B897" s="6" t="s">
        <v>544</v>
      </c>
      <c r="C897" s="6" t="s">
        <v>549</v>
      </c>
      <c r="D897" s="6" t="n">
        <v>6</v>
      </c>
      <c r="E897" s="9" t="s">
        <v>5002</v>
      </c>
      <c r="F897" s="6" t="n">
        <v>170065</v>
      </c>
      <c r="I897" s="6" t="n">
        <v>41432</v>
      </c>
      <c r="J897" s="6" t="n">
        <v>8432</v>
      </c>
      <c r="K897" s="6" t="n">
        <v>2448</v>
      </c>
      <c r="L897" s="6" t="n">
        <v>12475</v>
      </c>
      <c r="M897" s="6" t="n">
        <v>342</v>
      </c>
      <c r="O897" s="6" t="n">
        <v>13027</v>
      </c>
      <c r="P897" s="6" t="n">
        <v>4705</v>
      </c>
      <c r="Q897" s="1" t="n">
        <f aca="false">IF($A1258="","",IF(OR(F1258="",I1258=""),"",F1258-I1258))</f>
        <v>128633</v>
      </c>
      <c r="R897" s="1" t="str">
        <f aca="false">IF($A1258="","",IF(Q1258="","",Q1258+IF(O1258="",0,O1258)))</f>
        <v/>
      </c>
      <c r="S897" s="6" t="n">
        <v>16358</v>
      </c>
      <c r="T897" s="1" t="str">
        <f aca="false">IF($A1258="","",IF(R1258="","",R1258-IF(S1258="",0,S1258)))</f>
        <v/>
      </c>
      <c r="U897" s="1" t="n">
        <f aca="false">IF($A1258="","",IF(I1258="","",I1258-SUM(J1258:P1258)))</f>
        <v>3</v>
      </c>
      <c r="V897" s="6" t="s">
        <v>5314</v>
      </c>
      <c r="W897" s="9" t="s">
        <v>774</v>
      </c>
      <c r="X897" s="9" t="s">
        <v>5315</v>
      </c>
      <c r="Y897" s="9" t="s">
        <v>4897</v>
      </c>
      <c r="Z897" s="9" t="s">
        <v>4898</v>
      </c>
      <c r="AA897" s="9" t="s">
        <v>4899</v>
      </c>
    </row>
    <row r="898" customFormat="false" ht="15" hidden="false" customHeight="true" outlineLevel="0" collapsed="false">
      <c r="A898" s="6" t="s">
        <v>3517</v>
      </c>
      <c r="B898" s="6" t="s">
        <v>544</v>
      </c>
      <c r="C898" s="6" t="s">
        <v>549</v>
      </c>
      <c r="D898" s="6" t="n">
        <v>6</v>
      </c>
      <c r="E898" s="9" t="s">
        <v>5002</v>
      </c>
      <c r="F898" s="6" t="n">
        <v>754601</v>
      </c>
      <c r="I898" s="6" t="n">
        <v>307909</v>
      </c>
      <c r="J898" s="6" t="n">
        <v>82472</v>
      </c>
      <c r="K898" s="6" t="n">
        <v>94596</v>
      </c>
      <c r="L898" s="6" t="n">
        <v>56047</v>
      </c>
      <c r="M898" s="6" t="n">
        <v>1759</v>
      </c>
      <c r="O898" s="6" t="n">
        <v>62854</v>
      </c>
      <c r="P898" s="6" t="n">
        <v>10179</v>
      </c>
      <c r="Q898" s="1" t="n">
        <f aca="false">IF($A1259="","",IF(OR(F1259="",I1259=""),"",F1259-I1259))</f>
        <v>446692</v>
      </c>
      <c r="R898" s="1" t="str">
        <f aca="false">IF($A1259="","",IF(Q1259="","",Q1259+IF(O1259="",0,O1259)))</f>
        <v/>
      </c>
      <c r="S898" s="6" t="n">
        <v>928</v>
      </c>
      <c r="T898" s="1" t="str">
        <f aca="false">IF($A1259="","",IF(R1259="","",R1259-IF(S1259="",0,S1259)))</f>
        <v/>
      </c>
      <c r="U898" s="1" t="n">
        <f aca="false">IF($A1259="","",IF(I1259="","",I1259-SUM(J1259:P1259)))</f>
        <v>2</v>
      </c>
      <c r="V898" s="6" t="s">
        <v>5314</v>
      </c>
      <c r="W898" s="9" t="s">
        <v>774</v>
      </c>
      <c r="X898" s="9" t="s">
        <v>5315</v>
      </c>
      <c r="Y898" s="9" t="s">
        <v>4897</v>
      </c>
      <c r="Z898" s="9" t="s">
        <v>4898</v>
      </c>
      <c r="AA898" s="9" t="s">
        <v>4899</v>
      </c>
    </row>
    <row r="899" customFormat="false" ht="15" hidden="false" customHeight="true" outlineLevel="0" collapsed="false">
      <c r="A899" s="6" t="s">
        <v>3521</v>
      </c>
      <c r="B899" s="6" t="s">
        <v>544</v>
      </c>
      <c r="C899" s="6" t="s">
        <v>549</v>
      </c>
      <c r="D899" s="6" t="n">
        <v>6</v>
      </c>
      <c r="E899" s="9" t="s">
        <v>5002</v>
      </c>
      <c r="F899" s="6" t="n">
        <v>319821</v>
      </c>
      <c r="I899" s="6" t="n">
        <v>132631</v>
      </c>
      <c r="J899" s="6" t="n">
        <v>34442</v>
      </c>
      <c r="K899" s="6" t="n">
        <v>17043</v>
      </c>
      <c r="L899" s="6" t="n">
        <v>51204</v>
      </c>
      <c r="M899" s="6" t="n">
        <v>810</v>
      </c>
      <c r="O899" s="6" t="n">
        <v>26014</v>
      </c>
      <c r="P899" s="6" t="n">
        <v>3116</v>
      </c>
      <c r="Q899" s="1" t="n">
        <f aca="false">IF($A1260="","",IF(OR(F1260="",I1260=""),"",F1260-I1260))</f>
        <v>187190</v>
      </c>
      <c r="R899" s="1" t="str">
        <f aca="false">IF($A1260="","",IF(Q1260="","",Q1260+IF(O1260="",0,O1260)))</f>
        <v/>
      </c>
      <c r="S899" s="6" t="n">
        <v>20989</v>
      </c>
      <c r="T899" s="1" t="str">
        <f aca="false">IF($A1260="","",IF(R1260="","",R1260-IF(S1260="",0,S1260)))</f>
        <v/>
      </c>
      <c r="U899" s="1" t="n">
        <f aca="false">IF($A1260="","",IF(I1260="","",I1260-SUM(J1260:P1260)))</f>
        <v>2</v>
      </c>
      <c r="V899" s="6" t="s">
        <v>5314</v>
      </c>
      <c r="W899" s="9" t="s">
        <v>774</v>
      </c>
      <c r="X899" s="9" t="s">
        <v>5315</v>
      </c>
      <c r="Y899" s="9" t="s">
        <v>4897</v>
      </c>
      <c r="Z899" s="9" t="s">
        <v>4898</v>
      </c>
      <c r="AA899" s="9" t="s">
        <v>4899</v>
      </c>
    </row>
    <row r="900" customFormat="false" ht="15" hidden="false" customHeight="true" outlineLevel="0" collapsed="false">
      <c r="A900" s="6" t="s">
        <v>3524</v>
      </c>
      <c r="B900" s="6" t="s">
        <v>544</v>
      </c>
      <c r="C900" s="6" t="s">
        <v>549</v>
      </c>
      <c r="D900" s="6" t="n">
        <v>6</v>
      </c>
      <c r="E900" s="9" t="s">
        <v>5002</v>
      </c>
      <c r="F900" s="6" t="n">
        <v>227548</v>
      </c>
      <c r="I900" s="6" t="n">
        <v>92185</v>
      </c>
      <c r="J900" s="6" t="n">
        <v>21333</v>
      </c>
      <c r="K900" s="6" t="n">
        <v>13469</v>
      </c>
      <c r="L900" s="6" t="n">
        <v>35778</v>
      </c>
      <c r="M900" s="6" t="n">
        <v>312</v>
      </c>
      <c r="O900" s="6" t="n">
        <v>14951</v>
      </c>
      <c r="P900" s="6" t="n">
        <v>6340</v>
      </c>
      <c r="Q900" s="1" t="n">
        <f aca="false">IF($A1261="","",IF(OR(F1261="",I1261=""),"",F1261-I1261))</f>
        <v>135363</v>
      </c>
      <c r="R900" s="1" t="str">
        <f aca="false">IF($A1261="","",IF(Q1261="","",Q1261+IF(O1261="",0,O1261)))</f>
        <v/>
      </c>
      <c r="S900" s="6" t="n">
        <v>4204</v>
      </c>
      <c r="T900" s="1" t="str">
        <f aca="false">IF($A1261="","",IF(R1261="","",R1261-IF(S1261="",0,S1261)))</f>
        <v/>
      </c>
      <c r="U900" s="1" t="n">
        <f aca="false">IF($A1261="","",IF(I1261="","",I1261-SUM(J1261:P1261)))</f>
        <v>2</v>
      </c>
      <c r="V900" s="6" t="s">
        <v>5314</v>
      </c>
      <c r="W900" s="9" t="s">
        <v>774</v>
      </c>
      <c r="X900" s="9" t="s">
        <v>5315</v>
      </c>
      <c r="Y900" s="9" t="s">
        <v>4897</v>
      </c>
      <c r="Z900" s="9" t="s">
        <v>4898</v>
      </c>
      <c r="AA900" s="9" t="s">
        <v>4899</v>
      </c>
    </row>
    <row r="901" customFormat="false" ht="15" hidden="false" customHeight="true" outlineLevel="0" collapsed="false">
      <c r="A901" s="6" t="s">
        <v>3528</v>
      </c>
      <c r="B901" s="6" t="s">
        <v>544</v>
      </c>
      <c r="C901" s="6" t="s">
        <v>549</v>
      </c>
      <c r="D901" s="6" t="n">
        <v>6</v>
      </c>
      <c r="E901" s="9" t="s">
        <v>5002</v>
      </c>
      <c r="F901" s="6" t="n">
        <v>362917</v>
      </c>
      <c r="I901" s="6" t="n">
        <v>164015</v>
      </c>
      <c r="J901" s="6" t="n">
        <v>47536</v>
      </c>
      <c r="K901" s="6" t="n">
        <v>26663</v>
      </c>
      <c r="L901" s="6" t="n">
        <v>31842</v>
      </c>
      <c r="M901" s="6" t="n">
        <v>1198</v>
      </c>
      <c r="O901" s="6" t="n">
        <v>52907</v>
      </c>
      <c r="P901" s="6" t="n">
        <v>3866</v>
      </c>
      <c r="Q901" s="1" t="n">
        <f aca="false">IF($A1262="","",IF(OR(F1262="",I1262=""),"",F1262-I1262))</f>
        <v>198902</v>
      </c>
      <c r="R901" s="1" t="str">
        <f aca="false">IF($A1262="","",IF(Q1262="","",Q1262+IF(O1262="",0,O1262)))</f>
        <v/>
      </c>
      <c r="S901" s="6" t="n">
        <v>780</v>
      </c>
      <c r="T901" s="1" t="str">
        <f aca="false">IF($A1262="","",IF(R1262="","",R1262-IF(S1262="",0,S1262)))</f>
        <v/>
      </c>
      <c r="U901" s="1" t="n">
        <f aca="false">IF($A1262="","",IF(I1262="","",I1262-SUM(J1262:P1262)))</f>
        <v>3</v>
      </c>
      <c r="V901" s="6" t="s">
        <v>5314</v>
      </c>
      <c r="W901" s="9" t="s">
        <v>774</v>
      </c>
      <c r="X901" s="9" t="s">
        <v>5315</v>
      </c>
      <c r="Y901" s="9" t="s">
        <v>4897</v>
      </c>
      <c r="Z901" s="9" t="s">
        <v>4898</v>
      </c>
      <c r="AA901" s="9" t="s">
        <v>4899</v>
      </c>
    </row>
    <row r="902" customFormat="false" ht="15" hidden="false" customHeight="true" outlineLevel="0" collapsed="false">
      <c r="A902" s="6" t="s">
        <v>3532</v>
      </c>
      <c r="B902" s="6" t="s">
        <v>544</v>
      </c>
      <c r="C902" s="6" t="s">
        <v>549</v>
      </c>
      <c r="D902" s="6" t="n">
        <v>6</v>
      </c>
      <c r="E902" s="9" t="s">
        <v>5002</v>
      </c>
      <c r="F902" s="6" t="n">
        <v>1077981</v>
      </c>
      <c r="I902" s="6" t="n">
        <v>208825</v>
      </c>
      <c r="J902" s="6" t="n">
        <v>0</v>
      </c>
      <c r="K902" s="6" t="n">
        <v>0</v>
      </c>
      <c r="L902" s="6" t="n">
        <v>138414</v>
      </c>
      <c r="M902" s="6" t="n">
        <v>1965</v>
      </c>
      <c r="O902" s="6" t="n">
        <v>67439</v>
      </c>
      <c r="P902" s="6" t="n">
        <v>1006</v>
      </c>
      <c r="Q902" s="1" t="n">
        <f aca="false">IF($A1263="","",IF(OR(F1263="",I1263=""),"",F1263-I1263))</f>
        <v>869156</v>
      </c>
      <c r="R902" s="1" t="str">
        <f aca="false">IF($A1263="","",IF(Q1263="","",Q1263+IF(O1263="",0,O1263)))</f>
        <v/>
      </c>
      <c r="S902" s="6" t="n">
        <v>9862</v>
      </c>
      <c r="T902" s="1" t="str">
        <f aca="false">IF($A1263="","",IF(R1263="","",R1263-IF(S1263="",0,S1263)))</f>
        <v/>
      </c>
      <c r="U902" s="1" t="n">
        <f aca="false">IF($A1263="","",IF(I1263="","",I1263-SUM(J1263:P1263)))</f>
        <v>1</v>
      </c>
      <c r="V902" s="6" t="s">
        <v>5314</v>
      </c>
      <c r="W902" s="9" t="s">
        <v>774</v>
      </c>
      <c r="X902" s="9" t="s">
        <v>5315</v>
      </c>
      <c r="Y902" s="9" t="s">
        <v>4897</v>
      </c>
      <c r="Z902" s="9" t="s">
        <v>4898</v>
      </c>
      <c r="AA902" s="9" t="s">
        <v>4899</v>
      </c>
    </row>
    <row r="903" customFormat="false" ht="15" hidden="false" customHeight="true" outlineLevel="0" collapsed="false">
      <c r="A903" s="6" t="s">
        <v>3535</v>
      </c>
      <c r="B903" s="6" t="s">
        <v>544</v>
      </c>
      <c r="C903" s="6" t="s">
        <v>549</v>
      </c>
      <c r="D903" s="6" t="n">
        <v>6</v>
      </c>
      <c r="E903" s="9" t="s">
        <v>5002</v>
      </c>
      <c r="F903" s="6" t="n">
        <v>626222</v>
      </c>
      <c r="I903" s="6" t="n">
        <v>182363</v>
      </c>
      <c r="J903" s="6" t="n">
        <v>0</v>
      </c>
      <c r="K903" s="6" t="n">
        <v>0</v>
      </c>
      <c r="L903" s="6" t="n">
        <v>67988</v>
      </c>
      <c r="M903" s="6" t="n">
        <v>8585</v>
      </c>
      <c r="O903" s="6" t="n">
        <v>91745</v>
      </c>
      <c r="P903" s="6" t="n">
        <v>14043</v>
      </c>
      <c r="Q903" s="1" t="n">
        <f aca="false">IF($A1264="","",IF(OR(F1264="",I1264=""),"",F1264-I1264))</f>
        <v>443859</v>
      </c>
      <c r="R903" s="1" t="str">
        <f aca="false">IF($A1264="","",IF(Q1264="","",Q1264+IF(O1264="",0,O1264)))</f>
        <v/>
      </c>
      <c r="S903" s="6" t="n">
        <v>136545</v>
      </c>
      <c r="T903" s="1" t="str">
        <f aca="false">IF($A1264="","",IF(R1264="","",R1264-IF(S1264="",0,S1264)))</f>
        <v/>
      </c>
      <c r="U903" s="1" t="n">
        <f aca="false">IF($A1264="","",IF(I1264="","",I1264-SUM(J1264:P1264)))</f>
        <v>2</v>
      </c>
      <c r="V903" s="6" t="s">
        <v>5314</v>
      </c>
      <c r="W903" s="9" t="s">
        <v>774</v>
      </c>
      <c r="X903" s="9" t="s">
        <v>5315</v>
      </c>
      <c r="Y903" s="9" t="s">
        <v>4897</v>
      </c>
      <c r="Z903" s="9" t="s">
        <v>4898</v>
      </c>
      <c r="AA903" s="9" t="s">
        <v>4899</v>
      </c>
    </row>
    <row r="904" customFormat="false" ht="15" hidden="false" customHeight="true" outlineLevel="0" collapsed="false">
      <c r="A904" s="6" t="s">
        <v>3539</v>
      </c>
      <c r="B904" s="6" t="s">
        <v>544</v>
      </c>
      <c r="C904" s="6" t="s">
        <v>549</v>
      </c>
      <c r="D904" s="6" t="n">
        <v>6</v>
      </c>
      <c r="E904" s="9" t="s">
        <v>5002</v>
      </c>
      <c r="F904" s="6" t="n">
        <v>209304</v>
      </c>
      <c r="I904" s="6" t="n">
        <v>118824</v>
      </c>
      <c r="J904" s="6" t="n">
        <v>0</v>
      </c>
      <c r="K904" s="6" t="n">
        <v>0</v>
      </c>
      <c r="L904" s="6" t="n">
        <v>39845</v>
      </c>
      <c r="M904" s="6" t="n">
        <v>2233</v>
      </c>
      <c r="O904" s="6" t="n">
        <v>65825</v>
      </c>
      <c r="P904" s="6" t="n">
        <v>10919</v>
      </c>
      <c r="Q904" s="1" t="n">
        <f aca="false">IF($A1265="","",IF(OR(F1265="",I1265=""),"",F1265-I1265))</f>
        <v>90480</v>
      </c>
      <c r="R904" s="1" t="str">
        <f aca="false">IF($A1265="","",IF(Q1265="","",Q1265+IF(O1265="",0,O1265)))</f>
        <v/>
      </c>
      <c r="S904" s="6" t="n">
        <v>45850</v>
      </c>
      <c r="T904" s="1" t="str">
        <f aca="false">IF($A1265="","",IF(R1265="","",R1265-IF(S1265="",0,S1265)))</f>
        <v/>
      </c>
      <c r="U904" s="1" t="n">
        <f aca="false">IF($A1265="","",IF(I1265="","",I1265-SUM(J1265:P1265)))</f>
        <v>2</v>
      </c>
      <c r="V904" s="6" t="s">
        <v>5314</v>
      </c>
      <c r="W904" s="9" t="s">
        <v>774</v>
      </c>
      <c r="X904" s="9" t="s">
        <v>5315</v>
      </c>
      <c r="Y904" s="9" t="s">
        <v>4897</v>
      </c>
      <c r="Z904" s="9" t="s">
        <v>4898</v>
      </c>
      <c r="AA904" s="9" t="s">
        <v>4899</v>
      </c>
    </row>
    <row r="905" customFormat="false" ht="15" hidden="false" customHeight="true" outlineLevel="0" collapsed="false">
      <c r="A905" s="6" t="s">
        <v>3543</v>
      </c>
      <c r="B905" s="6" t="s">
        <v>544</v>
      </c>
      <c r="C905" s="6" t="s">
        <v>549</v>
      </c>
      <c r="D905" s="6" t="n">
        <v>6</v>
      </c>
      <c r="E905" s="9" t="s">
        <v>5002</v>
      </c>
      <c r="F905" s="6" t="n">
        <v>505497</v>
      </c>
      <c r="I905" s="6" t="n">
        <v>93982</v>
      </c>
      <c r="J905" s="6" t="n">
        <v>0</v>
      </c>
      <c r="K905" s="6" t="n">
        <v>0</v>
      </c>
      <c r="L905" s="6" t="n">
        <v>14497</v>
      </c>
      <c r="M905" s="6" t="n">
        <v>931</v>
      </c>
      <c r="O905" s="6" t="n">
        <v>69126</v>
      </c>
      <c r="P905" s="6" t="n">
        <v>9426</v>
      </c>
      <c r="Q905" s="1" t="n">
        <f aca="false">IF($A1266="","",IF(OR(F1266="",I1266=""),"",F1266-I1266))</f>
        <v>411515</v>
      </c>
      <c r="R905" s="1" t="str">
        <f aca="false">IF($A1266="","",IF(Q1266="","",Q1266+IF(O1266="",0,O1266)))</f>
        <v/>
      </c>
      <c r="S905" s="6" t="n">
        <v>47047</v>
      </c>
      <c r="T905" s="1" t="str">
        <f aca="false">IF($A1266="","",IF(R1266="","",R1266-IF(S1266="",0,S1266)))</f>
        <v/>
      </c>
      <c r="U905" s="1" t="n">
        <f aca="false">IF($A1266="","",IF(I1266="","",I1266-SUM(J1266:P1266)))</f>
        <v>2</v>
      </c>
      <c r="V905" s="6" t="s">
        <v>5314</v>
      </c>
      <c r="W905" s="9" t="s">
        <v>774</v>
      </c>
      <c r="X905" s="9" t="s">
        <v>5315</v>
      </c>
      <c r="Y905" s="9" t="s">
        <v>4897</v>
      </c>
      <c r="Z905" s="9" t="s">
        <v>4898</v>
      </c>
      <c r="AA905" s="9" t="s">
        <v>4899</v>
      </c>
    </row>
    <row r="906" customFormat="false" ht="15" hidden="false" customHeight="true" outlineLevel="0" collapsed="false">
      <c r="A906" s="6" t="s">
        <v>3547</v>
      </c>
      <c r="B906" s="6" t="s">
        <v>544</v>
      </c>
      <c r="C906" s="6" t="s">
        <v>549</v>
      </c>
      <c r="D906" s="6" t="n">
        <v>6</v>
      </c>
      <c r="E906" s="9" t="s">
        <v>5002</v>
      </c>
      <c r="F906" s="6" t="n">
        <v>502021</v>
      </c>
      <c r="I906" s="6" t="n">
        <v>68102</v>
      </c>
      <c r="J906" s="6" t="n">
        <v>0</v>
      </c>
      <c r="K906" s="6" t="n">
        <v>0</v>
      </c>
      <c r="L906" s="6" t="n">
        <v>22991</v>
      </c>
      <c r="M906" s="6" t="n">
        <v>472</v>
      </c>
      <c r="O906" s="6" t="n">
        <v>40500</v>
      </c>
      <c r="P906" s="6" t="n">
        <v>4137</v>
      </c>
      <c r="Q906" s="1" t="n">
        <f aca="false">IF($A1267="","",IF(OR(F1267="",I1267=""),"",F1267-I1267))</f>
        <v>433919</v>
      </c>
      <c r="R906" s="1" t="str">
        <f aca="false">IF($A1267="","",IF(Q1267="","",Q1267+IF(O1267="",0,O1267)))</f>
        <v/>
      </c>
      <c r="S906" s="6" t="n">
        <v>3355</v>
      </c>
      <c r="T906" s="1" t="str">
        <f aca="false">IF($A1267="","",IF(R1267="","",R1267-IF(S1267="",0,S1267)))</f>
        <v/>
      </c>
      <c r="U906" s="1" t="n">
        <f aca="false">IF($A1267="","",IF(I1267="","",I1267-SUM(J1267:P1267)))</f>
        <v>2</v>
      </c>
      <c r="V906" s="6" t="s">
        <v>5314</v>
      </c>
      <c r="W906" s="9" t="s">
        <v>774</v>
      </c>
      <c r="X906" s="9" t="s">
        <v>5315</v>
      </c>
      <c r="Y906" s="9" t="s">
        <v>4897</v>
      </c>
      <c r="Z906" s="9" t="s">
        <v>4898</v>
      </c>
      <c r="AA906" s="9" t="s">
        <v>4899</v>
      </c>
    </row>
    <row r="907" customFormat="false" ht="15" hidden="false" customHeight="true" outlineLevel="0" collapsed="false">
      <c r="A907" s="6" t="s">
        <v>3550</v>
      </c>
      <c r="B907" s="6" t="s">
        <v>544</v>
      </c>
      <c r="C907" s="6" t="s">
        <v>549</v>
      </c>
      <c r="D907" s="6" t="n">
        <v>6</v>
      </c>
      <c r="E907" s="9" t="s">
        <v>5002</v>
      </c>
      <c r="F907" s="6" t="n">
        <v>653716</v>
      </c>
      <c r="I907" s="6" t="n">
        <v>130272</v>
      </c>
      <c r="J907" s="6" t="n">
        <v>0</v>
      </c>
      <c r="K907" s="6" t="n">
        <v>0</v>
      </c>
      <c r="L907" s="6" t="n">
        <v>76545</v>
      </c>
      <c r="M907" s="6" t="n">
        <v>1358</v>
      </c>
      <c r="O907" s="6" t="n">
        <v>52159</v>
      </c>
      <c r="P907" s="6" t="n">
        <v>209</v>
      </c>
      <c r="Q907" s="1" t="n">
        <f aca="false">IF($A1268="","",IF(OR(F1268="",I1268=""),"",F1268-I1268))</f>
        <v>523444</v>
      </c>
      <c r="R907" s="1" t="str">
        <f aca="false">IF($A1268="","",IF(Q1268="","",Q1268+IF(O1268="",0,O1268)))</f>
        <v/>
      </c>
      <c r="S907" s="6" t="n">
        <v>0</v>
      </c>
      <c r="T907" s="1" t="str">
        <f aca="false">IF($A1268="","",IF(R1268="","",R1268-IF(S1268="",0,S1268)))</f>
        <v/>
      </c>
      <c r="U907" s="1" t="n">
        <f aca="false">IF($A1268="","",IF(I1268="","",I1268-SUM(J1268:P1268)))</f>
        <v>1</v>
      </c>
      <c r="V907" s="6" t="s">
        <v>5314</v>
      </c>
      <c r="W907" s="9" t="s">
        <v>774</v>
      </c>
      <c r="X907" s="9" t="s">
        <v>5315</v>
      </c>
      <c r="Y907" s="9" t="s">
        <v>4897</v>
      </c>
      <c r="Z907" s="9" t="s">
        <v>4898</v>
      </c>
      <c r="AA907" s="9" t="s">
        <v>4899</v>
      </c>
    </row>
    <row r="908" customFormat="false" ht="15" hidden="false" customHeight="true" outlineLevel="0" collapsed="false">
      <c r="A908" s="6" t="s">
        <v>3553</v>
      </c>
      <c r="B908" s="6" t="s">
        <v>544</v>
      </c>
      <c r="C908" s="6" t="s">
        <v>549</v>
      </c>
      <c r="D908" s="6" t="n">
        <v>6</v>
      </c>
      <c r="E908" s="9" t="s">
        <v>5316</v>
      </c>
      <c r="F908" s="1" t="n">
        <v>25000</v>
      </c>
      <c r="Q908" s="1" t="str">
        <f aca="false">IF($A1269="","",IF(OR(F1269="",I1269=""),"",F1269-I1269))</f>
        <v/>
      </c>
      <c r="R908" s="1" t="str">
        <f aca="false">IF($A1269="","",IF(Q1269="","",Q1269+IF(O1269="",0,O1269)))</f>
        <v/>
      </c>
      <c r="S908" s="6" t="n">
        <v>1659</v>
      </c>
      <c r="T908" s="1" t="n">
        <f aca="false">IF($A1269="","",IF(R1269="","",R1269-IF(S1269="",0,S1269)))</f>
        <v>8024555</v>
      </c>
      <c r="U908" s="1" t="str">
        <f aca="false">IF($A1269="","",IF(I1269="","",I1269-SUM(J1269:P1269)))</f>
        <v/>
      </c>
      <c r="V908" s="6" t="s">
        <v>5314</v>
      </c>
      <c r="W908" s="9" t="s">
        <v>774</v>
      </c>
      <c r="X908" s="9" t="s">
        <v>5318</v>
      </c>
      <c r="Y908" s="9" t="s">
        <v>4897</v>
      </c>
      <c r="Z908" s="9" t="s">
        <v>4898</v>
      </c>
      <c r="AA908" s="9" t="s">
        <v>4899</v>
      </c>
    </row>
    <row r="909" customFormat="false" ht="15" hidden="false" customHeight="true" outlineLevel="0" collapsed="false">
      <c r="A909" s="6" t="s">
        <v>3556</v>
      </c>
      <c r="B909" s="6" t="s">
        <v>544</v>
      </c>
      <c r="C909" s="6" t="s">
        <v>549</v>
      </c>
      <c r="D909" s="6" t="n">
        <v>6</v>
      </c>
      <c r="E909" s="9" t="s">
        <v>5002</v>
      </c>
      <c r="F909" s="6" t="n">
        <v>375022</v>
      </c>
      <c r="I909" s="6" t="n">
        <v>77279</v>
      </c>
      <c r="J909" s="6" t="n">
        <v>780</v>
      </c>
      <c r="K909" s="6" t="n">
        <v>0</v>
      </c>
      <c r="L909" s="6" t="n">
        <v>38280</v>
      </c>
      <c r="M909" s="6" t="n">
        <v>1379</v>
      </c>
      <c r="O909" s="6" t="n">
        <v>36000</v>
      </c>
      <c r="P909" s="6" t="n">
        <v>839</v>
      </c>
      <c r="Q909" s="1" t="n">
        <f aca="false">IF($A1270="","",IF(OR(F1270="",I1270=""),"",F1270-I1270))</f>
        <v>297743</v>
      </c>
      <c r="R909" s="1" t="str">
        <f aca="false">IF($A1270="","",IF(Q1270="","",Q1270+IF(O1270="",0,O1270)))</f>
        <v/>
      </c>
      <c r="S909" s="6" t="n">
        <v>6544</v>
      </c>
      <c r="T909" s="1" t="n">
        <f aca="false">IF($A1270="","",IF(R1270="","",R1270-IF(S1270="",0,S1270)))</f>
        <v>1034808</v>
      </c>
      <c r="U909" s="1" t="n">
        <f aca="false">IF($A1270="","",IF(I1270="","",I1270-SUM(J1270:P1270)))</f>
        <v>1</v>
      </c>
      <c r="V909" s="6" t="s">
        <v>5314</v>
      </c>
      <c r="W909" s="9" t="s">
        <v>774</v>
      </c>
      <c r="X909" s="9" t="s">
        <v>5315</v>
      </c>
      <c r="Y909" s="9" t="s">
        <v>4897</v>
      </c>
      <c r="Z909" s="9" t="s">
        <v>4898</v>
      </c>
      <c r="AA909" s="9" t="s">
        <v>4899</v>
      </c>
    </row>
    <row r="910" customFormat="false" ht="15" hidden="false" customHeight="true" outlineLevel="0" collapsed="false">
      <c r="A910" s="6" t="s">
        <v>3559</v>
      </c>
      <c r="B910" s="6" t="s">
        <v>544</v>
      </c>
      <c r="C910" s="6" t="s">
        <v>549</v>
      </c>
      <c r="D910" s="6" t="n">
        <v>6</v>
      </c>
      <c r="E910" s="9" t="s">
        <v>5002</v>
      </c>
      <c r="F910" s="6" t="n">
        <v>123609</v>
      </c>
      <c r="I910" s="6" t="n">
        <v>8019</v>
      </c>
      <c r="J910" s="6" t="n">
        <v>0</v>
      </c>
      <c r="K910" s="6" t="n">
        <v>0</v>
      </c>
      <c r="L910" s="6" t="n">
        <v>7269</v>
      </c>
      <c r="M910" s="6" t="n">
        <v>0</v>
      </c>
      <c r="O910" s="6" t="n">
        <v>0</v>
      </c>
      <c r="P910" s="6" t="n">
        <v>750</v>
      </c>
      <c r="Q910" s="1" t="n">
        <f aca="false">IF($A1271="","",IF(OR(F1271="",I1271=""),"",F1271-I1271))</f>
        <v>115590</v>
      </c>
      <c r="R910" s="1" t="str">
        <f aca="false">IF($A1271="","",IF(Q1271="","",Q1271+IF(O1271="",0,O1271)))</f>
        <v/>
      </c>
      <c r="S910" s="6" t="n">
        <v>0</v>
      </c>
      <c r="T910" s="1" t="n">
        <f aca="false">IF($A1271="","",IF(R1271="","",R1271-IF(S1271="",0,S1271)))</f>
        <v>586664</v>
      </c>
      <c r="U910" s="1" t="n">
        <f aca="false">IF($A1271="","",IF(I1271="","",I1271-SUM(J1271:P1271)))</f>
        <v>0</v>
      </c>
      <c r="V910" s="6" t="s">
        <v>5314</v>
      </c>
      <c r="W910" s="9" t="s">
        <v>774</v>
      </c>
      <c r="X910" s="9" t="s">
        <v>5319</v>
      </c>
      <c r="Y910" s="9" t="s">
        <v>4897</v>
      </c>
      <c r="Z910" s="9" t="s">
        <v>4898</v>
      </c>
      <c r="AA910" s="9" t="s">
        <v>4899</v>
      </c>
    </row>
    <row r="911" customFormat="false" ht="15" hidden="false" customHeight="true" outlineLevel="0" collapsed="false">
      <c r="A911" s="6" t="s">
        <v>3563</v>
      </c>
      <c r="B911" s="6" t="s">
        <v>544</v>
      </c>
      <c r="C911" s="6" t="s">
        <v>549</v>
      </c>
      <c r="D911" s="6" t="n">
        <v>6</v>
      </c>
      <c r="E911" s="9" t="s">
        <v>5002</v>
      </c>
      <c r="F911" s="6" t="n">
        <v>100605</v>
      </c>
      <c r="I911" s="6" t="n">
        <v>32707</v>
      </c>
      <c r="J911" s="6" t="n">
        <v>9808</v>
      </c>
      <c r="K911" s="6" t="n">
        <v>1995</v>
      </c>
      <c r="L911" s="6" t="n">
        <v>8736</v>
      </c>
      <c r="M911" s="6" t="n">
        <v>238</v>
      </c>
      <c r="O911" s="6" t="n">
        <v>7776</v>
      </c>
      <c r="P911" s="6" t="n">
        <v>4152</v>
      </c>
      <c r="Q911" s="1" t="n">
        <f aca="false">IF($A1272="","",IF(OR(F1272="",I1272=""),"",F1272-I1272))</f>
        <v>67898</v>
      </c>
      <c r="R911" s="1" t="str">
        <f aca="false">IF($A1272="","",IF(Q1272="","",Q1272+IF(O1272="",0,O1272)))</f>
        <v/>
      </c>
      <c r="S911" s="6" t="n">
        <v>16993</v>
      </c>
      <c r="T911" s="1" t="str">
        <f aca="false">IF($A1272="","",IF(R1272="","",R1272-IF(S1272="",0,S1272)))</f>
        <v/>
      </c>
      <c r="U911" s="1" t="n">
        <f aca="false">IF($A1272="","",IF(I1272="","",I1272-SUM(J1272:P1272)))</f>
        <v>2</v>
      </c>
      <c r="V911" s="6" t="s">
        <v>5314</v>
      </c>
      <c r="W911" s="9" t="s">
        <v>774</v>
      </c>
      <c r="X911" s="9" t="s">
        <v>5315</v>
      </c>
      <c r="Y911" s="9" t="s">
        <v>4897</v>
      </c>
      <c r="Z911" s="9" t="s">
        <v>4898</v>
      </c>
      <c r="AA911" s="9" t="s">
        <v>4899</v>
      </c>
    </row>
    <row r="912" customFormat="false" ht="15" hidden="false" customHeight="true" outlineLevel="0" collapsed="false">
      <c r="A912" s="6" t="s">
        <v>3566</v>
      </c>
      <c r="B912" s="6" t="s">
        <v>551</v>
      </c>
      <c r="C912" s="6" t="s">
        <v>557</v>
      </c>
      <c r="D912" s="6" t="n">
        <v>6</v>
      </c>
      <c r="E912" s="9" t="s">
        <v>4950</v>
      </c>
      <c r="F912" s="6" t="n">
        <v>2882078</v>
      </c>
      <c r="G912" s="6" t="n">
        <v>2181224</v>
      </c>
      <c r="H912" s="6" t="n">
        <v>700853</v>
      </c>
      <c r="I912" s="6" t="n">
        <v>947798</v>
      </c>
      <c r="J912" s="6" t="n">
        <v>140863</v>
      </c>
      <c r="K912" s="6" t="n">
        <v>104845</v>
      </c>
      <c r="L912" s="6" t="n">
        <v>283718</v>
      </c>
      <c r="M912" s="6" t="n">
        <v>7100</v>
      </c>
      <c r="N912" s="6" t="n">
        <v>78469</v>
      </c>
      <c r="O912" s="6" t="n">
        <v>319927</v>
      </c>
      <c r="P912" s="6" t="n">
        <v>12874</v>
      </c>
      <c r="Q912" s="1" t="n">
        <f aca="false">IF($A1172="","",IF(OR(F1172="",I1172=""),"",F1172-I1172))</f>
        <v>-839798</v>
      </c>
      <c r="R912" s="1" t="str">
        <f aca="false">IF($A1172="","",IF(Q1172="","",Q1172+IF(O1172="",0,O1172)))</f>
        <v/>
      </c>
      <c r="S912" s="6" t="n">
        <v>147562</v>
      </c>
      <c r="T912" s="1" t="str">
        <f aca="false">IF($A1172="","",IF(R1172="","",R1172-IF(S1172="",0,S1172)))</f>
        <v/>
      </c>
      <c r="U912" s="1" t="n">
        <f aca="false">IF($A1172="","",IF(I1172="","",I1172-SUM(J1172:P1172)))</f>
        <v>2</v>
      </c>
      <c r="V912" s="6" t="s">
        <v>5320</v>
      </c>
      <c r="W912" s="9" t="s">
        <v>767</v>
      </c>
      <c r="X912" s="9" t="s">
        <v>5321</v>
      </c>
      <c r="Y912" s="9" t="s">
        <v>4897</v>
      </c>
      <c r="Z912" s="9" t="s">
        <v>4898</v>
      </c>
      <c r="AA912" s="9" t="s">
        <v>4899</v>
      </c>
    </row>
    <row r="913" customFormat="false" ht="15" hidden="false" customHeight="true" outlineLevel="0" collapsed="false">
      <c r="A913" s="6" t="s">
        <v>3570</v>
      </c>
      <c r="B913" s="6" t="s">
        <v>551</v>
      </c>
      <c r="C913" s="6" t="s">
        <v>557</v>
      </c>
      <c r="D913" s="6" t="n">
        <v>6</v>
      </c>
      <c r="E913" s="9" t="s">
        <v>5322</v>
      </c>
      <c r="F913" s="1" t="n">
        <v>53000</v>
      </c>
      <c r="Q913" s="1" t="str">
        <f aca="false">IF($A1156="","",IF(OR(F1156="",I1156=""),"",F1156-I1156))</f>
        <v/>
      </c>
      <c r="R913" s="1" t="str">
        <f aca="false">IF($A1156="","",IF(Q1156="","",Q1156+IF(O1156="",0,O1156)))</f>
        <v/>
      </c>
      <c r="T913" s="1" t="str">
        <f aca="false">IF($A1156="","",IF(R1156="","",R1156-IF(S1156="",0,S1156)))</f>
        <v/>
      </c>
      <c r="U913" s="1" t="str">
        <f aca="false">IF($A1156="","",IF(I1156="","",I1156-SUM(J1156:P1156)))</f>
        <v/>
      </c>
      <c r="V913" s="6" t="s">
        <v>3568</v>
      </c>
      <c r="W913" s="9" t="s">
        <v>774</v>
      </c>
      <c r="X913" s="9" t="s">
        <v>5323</v>
      </c>
      <c r="Y913" s="9" t="s">
        <v>4897</v>
      </c>
      <c r="Z913" s="9" t="s">
        <v>4898</v>
      </c>
      <c r="AA913" s="9" t="s">
        <v>4899</v>
      </c>
    </row>
    <row r="914" customFormat="false" ht="15" hidden="false" customHeight="true" outlineLevel="0" collapsed="false">
      <c r="A914" s="6" t="s">
        <v>3573</v>
      </c>
      <c r="B914" s="6" t="s">
        <v>551</v>
      </c>
      <c r="C914" s="6" t="s">
        <v>557</v>
      </c>
      <c r="D914" s="6" t="n">
        <v>6</v>
      </c>
      <c r="E914" s="9" t="s">
        <v>5322</v>
      </c>
      <c r="F914" s="1" t="n">
        <v>55000</v>
      </c>
      <c r="Q914" s="1" t="str">
        <f aca="false">IF($A1157="","",IF(OR(F1157="",I1157=""),"",F1157-I1157))</f>
        <v/>
      </c>
      <c r="R914" s="1" t="str">
        <f aca="false">IF($A1157="","",IF(Q1157="","",Q1157+IF(O1157="",0,O1157)))</f>
        <v/>
      </c>
      <c r="T914" s="1" t="str">
        <f aca="false">IF($A1157="","",IF(R1157="","",R1157-IF(S1157="",0,S1157)))</f>
        <v/>
      </c>
      <c r="U914" s="1" t="str">
        <f aca="false">IF($A1157="","",IF(I1157="","",I1157-SUM(J1157:P1157)))</f>
        <v/>
      </c>
      <c r="V914" s="6" t="s">
        <v>3568</v>
      </c>
      <c r="W914" s="9" t="s">
        <v>774</v>
      </c>
      <c r="X914" s="9" t="s">
        <v>5324</v>
      </c>
      <c r="Y914" s="9" t="s">
        <v>4897</v>
      </c>
      <c r="Z914" s="9" t="s">
        <v>4898</v>
      </c>
      <c r="AA914" s="9" t="s">
        <v>4899</v>
      </c>
    </row>
    <row r="915" customFormat="false" ht="15" hidden="false" customHeight="true" outlineLevel="0" collapsed="false">
      <c r="A915" s="6" t="s">
        <v>3576</v>
      </c>
      <c r="B915" s="6" t="s">
        <v>551</v>
      </c>
      <c r="C915" s="6" t="s">
        <v>557</v>
      </c>
      <c r="D915" s="6" t="n">
        <v>6</v>
      </c>
      <c r="E915" s="9" t="s">
        <v>5322</v>
      </c>
      <c r="F915" s="1" t="n">
        <v>24000</v>
      </c>
      <c r="Q915" s="1" t="str">
        <f aca="false">IF($A1158="","",IF(OR(F1158="",I1158=""),"",F1158-I1158))</f>
        <v/>
      </c>
      <c r="R915" s="1" t="str">
        <f aca="false">IF($A1158="","",IF(Q1158="","",Q1158+IF(O1158="",0,O1158)))</f>
        <v/>
      </c>
      <c r="T915" s="1" t="str">
        <f aca="false">IF($A1158="","",IF(R1158="","",R1158-IF(S1158="",0,S1158)))</f>
        <v/>
      </c>
      <c r="U915" s="1" t="str">
        <f aca="false">IF($A1158="","",IF(I1158="","",I1158-SUM(J1158:P1158)))</f>
        <v/>
      </c>
      <c r="V915" s="6" t="s">
        <v>3568</v>
      </c>
      <c r="W915" s="9" t="s">
        <v>774</v>
      </c>
      <c r="X915" s="9" t="s">
        <v>5325</v>
      </c>
      <c r="Y915" s="9" t="s">
        <v>4897</v>
      </c>
      <c r="Z915" s="9" t="s">
        <v>4898</v>
      </c>
      <c r="AA915" s="9" t="s">
        <v>4899</v>
      </c>
    </row>
    <row r="916" customFormat="false" ht="15" hidden="false" customHeight="true" outlineLevel="0" collapsed="false">
      <c r="A916" s="6" t="s">
        <v>3579</v>
      </c>
      <c r="B916" s="6" t="s">
        <v>551</v>
      </c>
      <c r="C916" s="6" t="s">
        <v>557</v>
      </c>
      <c r="D916" s="6" t="n">
        <v>6</v>
      </c>
      <c r="E916" s="9" t="s">
        <v>5322</v>
      </c>
      <c r="F916" s="1" t="n">
        <v>26000</v>
      </c>
      <c r="Q916" s="1" t="str">
        <f aca="false">IF($A1159="","",IF(OR(F1159="",I1159=""),"",F1159-I1159))</f>
        <v/>
      </c>
      <c r="R916" s="1" t="str">
        <f aca="false">IF($A1159="","",IF(Q1159="","",Q1159+IF(O1159="",0,O1159)))</f>
        <v/>
      </c>
      <c r="T916" s="1" t="str">
        <f aca="false">IF($A1159="","",IF(R1159="","",R1159-IF(S1159="",0,S1159)))</f>
        <v/>
      </c>
      <c r="U916" s="1" t="str">
        <f aca="false">IF($A1159="","",IF(I1159="","",I1159-SUM(J1159:P1159)))</f>
        <v/>
      </c>
      <c r="V916" s="6" t="s">
        <v>3568</v>
      </c>
      <c r="W916" s="9" t="s">
        <v>774</v>
      </c>
      <c r="X916" s="9" t="s">
        <v>5326</v>
      </c>
      <c r="Y916" s="9" t="s">
        <v>4897</v>
      </c>
      <c r="Z916" s="9" t="s">
        <v>4898</v>
      </c>
      <c r="AA916" s="9" t="s">
        <v>4899</v>
      </c>
    </row>
    <row r="917" customFormat="false" ht="15" hidden="false" customHeight="true" outlineLevel="0" collapsed="false">
      <c r="A917" s="6" t="s">
        <v>3582</v>
      </c>
      <c r="B917" s="6" t="s">
        <v>551</v>
      </c>
      <c r="C917" s="6" t="s">
        <v>557</v>
      </c>
      <c r="D917" s="6" t="n">
        <v>6</v>
      </c>
      <c r="E917" s="9" t="s">
        <v>5322</v>
      </c>
      <c r="F917" s="1" t="n">
        <v>21000</v>
      </c>
      <c r="Q917" s="1" t="str">
        <f aca="false">IF($A1160="","",IF(OR(F1160="",I1160=""),"",F1160-I1160))</f>
        <v/>
      </c>
      <c r="R917" s="1" t="str">
        <f aca="false">IF($A1160="","",IF(Q1160="","",Q1160+IF(O1160="",0,O1160)))</f>
        <v/>
      </c>
      <c r="T917" s="1" t="str">
        <f aca="false">IF($A1160="","",IF(R1160="","",R1160-IF(S1160="",0,S1160)))</f>
        <v/>
      </c>
      <c r="U917" s="1" t="str">
        <f aca="false">IF($A1160="","",IF(I1160="","",I1160-SUM(J1160:P1160)))</f>
        <v/>
      </c>
      <c r="V917" s="6" t="s">
        <v>3568</v>
      </c>
      <c r="W917" s="9" t="s">
        <v>774</v>
      </c>
      <c r="X917" s="9" t="s">
        <v>5327</v>
      </c>
      <c r="Y917" s="9" t="s">
        <v>4897</v>
      </c>
      <c r="Z917" s="9" t="s">
        <v>4898</v>
      </c>
      <c r="AA917" s="9" t="s">
        <v>4899</v>
      </c>
    </row>
    <row r="918" customFormat="false" ht="15" hidden="false" customHeight="true" outlineLevel="0" collapsed="false">
      <c r="A918" s="6" t="s">
        <v>3585</v>
      </c>
      <c r="B918" s="6" t="s">
        <v>551</v>
      </c>
      <c r="C918" s="6" t="s">
        <v>557</v>
      </c>
      <c r="D918" s="6" t="n">
        <v>6</v>
      </c>
      <c r="E918" s="9" t="s">
        <v>5322</v>
      </c>
      <c r="F918" s="1" t="n">
        <v>92000</v>
      </c>
      <c r="Q918" s="1" t="str">
        <f aca="false">IF($A1161="","",IF(OR(F1161="",I1161=""),"",F1161-I1161))</f>
        <v/>
      </c>
      <c r="R918" s="1" t="str">
        <f aca="false">IF($A1161="","",IF(Q1161="","",Q1161+IF(O1161="",0,O1161)))</f>
        <v/>
      </c>
      <c r="T918" s="1" t="str">
        <f aca="false">IF($A1161="","",IF(R1161="","",R1161-IF(S1161="",0,S1161)))</f>
        <v/>
      </c>
      <c r="U918" s="1" t="str">
        <f aca="false">IF($A1161="","",IF(I1161="","",I1161-SUM(J1161:P1161)))</f>
        <v/>
      </c>
      <c r="V918" s="6" t="s">
        <v>3568</v>
      </c>
      <c r="W918" s="9" t="s">
        <v>774</v>
      </c>
      <c r="X918" s="9" t="s">
        <v>5328</v>
      </c>
      <c r="Y918" s="9" t="s">
        <v>4897</v>
      </c>
      <c r="Z918" s="9" t="s">
        <v>4898</v>
      </c>
      <c r="AA918" s="9" t="s">
        <v>4899</v>
      </c>
    </row>
    <row r="919" customFormat="false" ht="15" hidden="false" customHeight="true" outlineLevel="0" collapsed="false">
      <c r="A919" s="6" t="s">
        <v>3588</v>
      </c>
      <c r="B919" s="6" t="s">
        <v>551</v>
      </c>
      <c r="C919" s="6" t="s">
        <v>557</v>
      </c>
      <c r="D919" s="6" t="n">
        <v>6</v>
      </c>
      <c r="E919" s="9" t="s">
        <v>5322</v>
      </c>
      <c r="F919" s="1" t="n">
        <v>33000</v>
      </c>
      <c r="Q919" s="1" t="str">
        <f aca="false">IF($A1162="","",IF(OR(F1162="",I1162=""),"",F1162-I1162))</f>
        <v/>
      </c>
      <c r="R919" s="1" t="str">
        <f aca="false">IF($A1162="","",IF(Q1162="","",Q1162+IF(O1162="",0,O1162)))</f>
        <v/>
      </c>
      <c r="T919" s="1" t="str">
        <f aca="false">IF($A1162="","",IF(R1162="","",R1162-IF(S1162="",0,S1162)))</f>
        <v/>
      </c>
      <c r="U919" s="1" t="str">
        <f aca="false">IF($A1162="","",IF(I1162="","",I1162-SUM(J1162:P1162)))</f>
        <v/>
      </c>
      <c r="V919" s="6" t="s">
        <v>3568</v>
      </c>
      <c r="W919" s="9" t="s">
        <v>774</v>
      </c>
      <c r="X919" s="9" t="s">
        <v>5329</v>
      </c>
      <c r="Y919" s="9" t="s">
        <v>4897</v>
      </c>
      <c r="Z919" s="9" t="s">
        <v>4898</v>
      </c>
      <c r="AA919" s="9" t="s">
        <v>4899</v>
      </c>
    </row>
    <row r="920" customFormat="false" ht="15" hidden="false" customHeight="true" outlineLevel="0" collapsed="false">
      <c r="A920" s="6" t="s">
        <v>3591</v>
      </c>
      <c r="B920" s="6" t="s">
        <v>551</v>
      </c>
      <c r="C920" s="6" t="s">
        <v>557</v>
      </c>
      <c r="D920" s="6" t="n">
        <v>6</v>
      </c>
      <c r="E920" s="9" t="s">
        <v>5322</v>
      </c>
      <c r="F920" s="1" t="n">
        <v>136000</v>
      </c>
      <c r="Q920" s="1" t="str">
        <f aca="false">IF($A1163="","",IF(OR(F1163="",I1163=""),"",F1163-I1163))</f>
        <v/>
      </c>
      <c r="R920" s="1" t="str">
        <f aca="false">IF($A1163="","",IF(Q1163="","",Q1163+IF(O1163="",0,O1163)))</f>
        <v/>
      </c>
      <c r="T920" s="1" t="str">
        <f aca="false">IF($A1163="","",IF(R1163="","",R1163-IF(S1163="",0,S1163)))</f>
        <v/>
      </c>
      <c r="U920" s="1" t="str">
        <f aca="false">IF($A1163="","",IF(I1163="","",I1163-SUM(J1163:P1163)))</f>
        <v/>
      </c>
      <c r="V920" s="6" t="s">
        <v>3568</v>
      </c>
      <c r="W920" s="9" t="s">
        <v>774</v>
      </c>
      <c r="X920" s="9" t="s">
        <v>5330</v>
      </c>
      <c r="Y920" s="9" t="s">
        <v>4897</v>
      </c>
      <c r="Z920" s="9" t="s">
        <v>4898</v>
      </c>
      <c r="AA920" s="9" t="s">
        <v>4899</v>
      </c>
    </row>
    <row r="921" customFormat="false" ht="15" hidden="false" customHeight="true" outlineLevel="0" collapsed="false">
      <c r="A921" s="6" t="s">
        <v>3595</v>
      </c>
      <c r="B921" s="6" t="s">
        <v>551</v>
      </c>
      <c r="C921" s="6" t="s">
        <v>557</v>
      </c>
      <c r="D921" s="6" t="n">
        <v>6</v>
      </c>
      <c r="E921" s="9" t="s">
        <v>5322</v>
      </c>
      <c r="F921" s="1" t="n">
        <v>70000</v>
      </c>
      <c r="Q921" s="1" t="str">
        <f aca="false">IF($A1164="","",IF(OR(F1164="",I1164=""),"",F1164-I1164))</f>
        <v/>
      </c>
      <c r="R921" s="1" t="str">
        <f aca="false">IF($A1164="","",IF(Q1164="","",Q1164+IF(O1164="",0,O1164)))</f>
        <v/>
      </c>
      <c r="T921" s="1" t="str">
        <f aca="false">IF($A1164="","",IF(R1164="","",R1164-IF(S1164="",0,S1164)))</f>
        <v/>
      </c>
      <c r="U921" s="1" t="str">
        <f aca="false">IF($A1164="","",IF(I1164="","",I1164-SUM(J1164:P1164)))</f>
        <v/>
      </c>
      <c r="V921" s="6" t="s">
        <v>3568</v>
      </c>
      <c r="W921" s="9" t="s">
        <v>774</v>
      </c>
      <c r="X921" s="9" t="s">
        <v>5331</v>
      </c>
      <c r="Y921" s="9" t="s">
        <v>4897</v>
      </c>
      <c r="Z921" s="9" t="s">
        <v>4898</v>
      </c>
      <c r="AA921" s="9" t="s">
        <v>4899</v>
      </c>
    </row>
    <row r="922" customFormat="false" ht="15" hidden="false" customHeight="true" outlineLevel="0" collapsed="false">
      <c r="A922" s="6" t="s">
        <v>3599</v>
      </c>
      <c r="B922" s="6" t="s">
        <v>551</v>
      </c>
      <c r="C922" s="6" t="s">
        <v>557</v>
      </c>
      <c r="D922" s="6" t="n">
        <v>6</v>
      </c>
      <c r="E922" s="9" t="s">
        <v>5322</v>
      </c>
      <c r="F922" s="1" t="n">
        <v>75000</v>
      </c>
      <c r="Q922" s="1" t="str">
        <f aca="false">IF($A1165="","",IF(OR(F1165="",I1165=""),"",F1165-I1165))</f>
        <v/>
      </c>
      <c r="R922" s="1" t="str">
        <f aca="false">IF($A1165="","",IF(Q1165="","",Q1165+IF(O1165="",0,O1165)))</f>
        <v/>
      </c>
      <c r="T922" s="1" t="str">
        <f aca="false">IF($A1165="","",IF(R1165="","",R1165-IF(S1165="",0,S1165)))</f>
        <v/>
      </c>
      <c r="U922" s="1" t="str">
        <f aca="false">IF($A1165="","",IF(I1165="","",I1165-SUM(J1165:P1165)))</f>
        <v/>
      </c>
      <c r="V922" s="6" t="s">
        <v>3568</v>
      </c>
      <c r="W922" s="9" t="s">
        <v>774</v>
      </c>
      <c r="X922" s="9" t="s">
        <v>5332</v>
      </c>
      <c r="Y922" s="9" t="s">
        <v>4897</v>
      </c>
      <c r="Z922" s="9" t="s">
        <v>4898</v>
      </c>
      <c r="AA922" s="9" t="s">
        <v>4899</v>
      </c>
    </row>
    <row r="923" customFormat="false" ht="15" hidden="false" customHeight="true" outlineLevel="0" collapsed="false">
      <c r="A923" s="6" t="s">
        <v>3602</v>
      </c>
      <c r="B923" s="6" t="s">
        <v>551</v>
      </c>
      <c r="C923" s="6" t="s">
        <v>557</v>
      </c>
      <c r="D923" s="6" t="n">
        <v>6</v>
      </c>
      <c r="E923" s="9" t="s">
        <v>5322</v>
      </c>
      <c r="F923" s="1" t="n">
        <v>25000</v>
      </c>
      <c r="Q923" s="1" t="str">
        <f aca="false">IF($A1166="","",IF(OR(F1166="",I1166=""),"",F1166-I1166))</f>
        <v/>
      </c>
      <c r="R923" s="1" t="str">
        <f aca="false">IF($A1166="","",IF(Q1166="","",Q1166+IF(O1166="",0,O1166)))</f>
        <v/>
      </c>
      <c r="T923" s="1" t="str">
        <f aca="false">IF($A1166="","",IF(R1166="","",R1166-IF(S1166="",0,S1166)))</f>
        <v/>
      </c>
      <c r="U923" s="1" t="str">
        <f aca="false">IF($A1166="","",IF(I1166="","",I1166-SUM(J1166:P1166)))</f>
        <v/>
      </c>
      <c r="V923" s="6" t="s">
        <v>3568</v>
      </c>
      <c r="W923" s="9" t="s">
        <v>774</v>
      </c>
      <c r="X923" s="9" t="s">
        <v>5333</v>
      </c>
      <c r="Y923" s="9" t="s">
        <v>4897</v>
      </c>
      <c r="Z923" s="9" t="s">
        <v>4898</v>
      </c>
      <c r="AA923" s="9" t="s">
        <v>4899</v>
      </c>
    </row>
    <row r="924" customFormat="false" ht="15" hidden="false" customHeight="true" outlineLevel="0" collapsed="false">
      <c r="A924" s="6" t="s">
        <v>3606</v>
      </c>
      <c r="B924" s="6" t="s">
        <v>551</v>
      </c>
      <c r="C924" s="6" t="s">
        <v>557</v>
      </c>
      <c r="D924" s="6" t="n">
        <v>6</v>
      </c>
      <c r="E924" s="9" t="s">
        <v>5322</v>
      </c>
      <c r="F924" s="1" t="n">
        <v>39000</v>
      </c>
      <c r="Q924" s="1" t="str">
        <f aca="false">IF($A1167="","",IF(OR(F1167="",I1167=""),"",F1167-I1167))</f>
        <v/>
      </c>
      <c r="R924" s="1" t="str">
        <f aca="false">IF($A1167="","",IF(Q1167="","",Q1167+IF(O1167="",0,O1167)))</f>
        <v/>
      </c>
      <c r="T924" s="1" t="str">
        <f aca="false">IF($A1167="","",IF(R1167="","",R1167-IF(S1167="",0,S1167)))</f>
        <v/>
      </c>
      <c r="U924" s="1" t="str">
        <f aca="false">IF($A1167="","",IF(I1167="","",I1167-SUM(J1167:P1167)))</f>
        <v/>
      </c>
      <c r="V924" s="6" t="s">
        <v>3568</v>
      </c>
      <c r="W924" s="9" t="s">
        <v>774</v>
      </c>
      <c r="X924" s="9" t="s">
        <v>5333</v>
      </c>
      <c r="Y924" s="9" t="s">
        <v>4897</v>
      </c>
      <c r="Z924" s="9" t="s">
        <v>4898</v>
      </c>
      <c r="AA924" s="9" t="s">
        <v>4899</v>
      </c>
    </row>
    <row r="925" customFormat="false" ht="15" hidden="false" customHeight="true" outlineLevel="0" collapsed="false">
      <c r="A925" s="6" t="s">
        <v>3611</v>
      </c>
      <c r="B925" s="6" t="s">
        <v>551</v>
      </c>
      <c r="C925" s="6" t="s">
        <v>557</v>
      </c>
      <c r="D925" s="6" t="n">
        <v>6</v>
      </c>
      <c r="E925" s="9" t="s">
        <v>5322</v>
      </c>
      <c r="F925" s="1" t="n">
        <v>72000</v>
      </c>
      <c r="Q925" s="1" t="str">
        <f aca="false">IF($A1168="","",IF(OR(F1168="",I1168=""),"",F1168-I1168))</f>
        <v/>
      </c>
      <c r="R925" s="1" t="str">
        <f aca="false">IF($A1168="","",IF(Q1168="","",Q1168+IF(O1168="",0,O1168)))</f>
        <v/>
      </c>
      <c r="T925" s="1" t="str">
        <f aca="false">IF($A1168="","",IF(R1168="","",R1168-IF(S1168="",0,S1168)))</f>
        <v/>
      </c>
      <c r="U925" s="1" t="str">
        <f aca="false">IF($A1168="","",IF(I1168="","",I1168-SUM(J1168:P1168)))</f>
        <v/>
      </c>
      <c r="V925" s="6" t="s">
        <v>3568</v>
      </c>
      <c r="W925" s="9" t="s">
        <v>774</v>
      </c>
      <c r="X925" s="9" t="s">
        <v>5334</v>
      </c>
      <c r="Y925" s="9" t="s">
        <v>4897</v>
      </c>
      <c r="Z925" s="9" t="s">
        <v>4898</v>
      </c>
      <c r="AA925" s="9" t="s">
        <v>4899</v>
      </c>
    </row>
    <row r="926" customFormat="false" ht="15" hidden="false" customHeight="true" outlineLevel="0" collapsed="false">
      <c r="A926" s="6" t="s">
        <v>3615</v>
      </c>
      <c r="B926" s="6" t="s">
        <v>551</v>
      </c>
      <c r="C926" s="6" t="s">
        <v>557</v>
      </c>
      <c r="D926" s="6" t="n">
        <v>6</v>
      </c>
      <c r="E926" s="9" t="s">
        <v>5322</v>
      </c>
      <c r="F926" s="1" t="n">
        <v>25000</v>
      </c>
      <c r="Q926" s="1" t="str">
        <f aca="false">IF($A1169="","",IF(OR(F1169="",I1169=""),"",F1169-I1169))</f>
        <v/>
      </c>
      <c r="R926" s="1" t="str">
        <f aca="false">IF($A1169="","",IF(Q1169="","",Q1169+IF(O1169="",0,O1169)))</f>
        <v/>
      </c>
      <c r="T926" s="1" t="str">
        <f aca="false">IF($A1169="","",IF(R1169="","",R1169-IF(S1169="",0,S1169)))</f>
        <v/>
      </c>
      <c r="U926" s="1" t="str">
        <f aca="false">IF($A1169="","",IF(I1169="","",I1169-SUM(J1169:P1169)))</f>
        <v/>
      </c>
      <c r="V926" s="6" t="s">
        <v>3568</v>
      </c>
      <c r="W926" s="9" t="s">
        <v>774</v>
      </c>
      <c r="X926" s="9" t="s">
        <v>5335</v>
      </c>
      <c r="Y926" s="9" t="s">
        <v>4897</v>
      </c>
      <c r="Z926" s="9" t="s">
        <v>4898</v>
      </c>
      <c r="AA926" s="9" t="s">
        <v>4899</v>
      </c>
    </row>
    <row r="927" customFormat="false" ht="15" hidden="false" customHeight="true" outlineLevel="0" collapsed="false">
      <c r="A927" s="6" t="s">
        <v>3617</v>
      </c>
      <c r="B927" s="6" t="s">
        <v>551</v>
      </c>
      <c r="C927" s="6" t="s">
        <v>557</v>
      </c>
      <c r="D927" s="6" t="n">
        <v>6</v>
      </c>
      <c r="E927" s="9" t="s">
        <v>5322</v>
      </c>
      <c r="F927" s="1" t="n">
        <v>230000</v>
      </c>
      <c r="Q927" s="1" t="str">
        <f aca="false">IF($A1170="","",IF(OR(F1170="",I1170=""),"",F1170-I1170))</f>
        <v/>
      </c>
      <c r="R927" s="1" t="str">
        <f aca="false">IF($A1170="","",IF(Q1170="","",Q1170+IF(O1170="",0,O1170)))</f>
        <v/>
      </c>
      <c r="T927" s="1" t="str">
        <f aca="false">IF($A1170="","",IF(R1170="","",R1170-IF(S1170="",0,S1170)))</f>
        <v/>
      </c>
      <c r="U927" s="1" t="str">
        <f aca="false">IF($A1170="","",IF(I1170="","",I1170-SUM(J1170:P1170)))</f>
        <v/>
      </c>
      <c r="V927" s="6" t="s">
        <v>3568</v>
      </c>
      <c r="W927" s="9" t="s">
        <v>774</v>
      </c>
      <c r="X927" s="9" t="s">
        <v>5329</v>
      </c>
      <c r="Y927" s="9" t="s">
        <v>4897</v>
      </c>
      <c r="Z927" s="9" t="s">
        <v>4898</v>
      </c>
      <c r="AA927" s="9" t="s">
        <v>4899</v>
      </c>
    </row>
    <row r="928" customFormat="false" ht="15" hidden="false" customHeight="true" outlineLevel="0" collapsed="false">
      <c r="A928" s="6" t="s">
        <v>3621</v>
      </c>
      <c r="B928" s="6" t="s">
        <v>551</v>
      </c>
      <c r="C928" s="6" t="s">
        <v>557</v>
      </c>
      <c r="D928" s="6" t="n">
        <v>6</v>
      </c>
      <c r="E928" s="9" t="s">
        <v>5322</v>
      </c>
      <c r="F928" s="1" t="n">
        <v>40000</v>
      </c>
      <c r="Q928" s="1" t="str">
        <f aca="false">IF($A1171="","",IF(OR(F1171="",I1171=""),"",F1171-I1171))</f>
        <v/>
      </c>
      <c r="R928" s="1" t="str">
        <f aca="false">IF($A1171="","",IF(Q1171="","",Q1171+IF(O1171="",0,O1171)))</f>
        <v/>
      </c>
      <c r="T928" s="1" t="str">
        <f aca="false">IF($A1171="","",IF(R1171="","",R1171-IF(S1171="",0,S1171)))</f>
        <v/>
      </c>
      <c r="U928" s="1" t="str">
        <f aca="false">IF($A1171="","",IF(I1171="","",I1171-SUM(J1171:P1171)))</f>
        <v/>
      </c>
      <c r="V928" s="6" t="s">
        <v>3568</v>
      </c>
      <c r="W928" s="9" t="s">
        <v>774</v>
      </c>
      <c r="X928" s="9" t="s">
        <v>5329</v>
      </c>
      <c r="Y928" s="9" t="s">
        <v>4897</v>
      </c>
      <c r="Z928" s="9" t="s">
        <v>4898</v>
      </c>
      <c r="AA928" s="9" t="s">
        <v>4899</v>
      </c>
    </row>
    <row r="929" customFormat="false" ht="15" hidden="false" customHeight="true" outlineLevel="0" collapsed="false">
      <c r="A929" s="6" t="s">
        <v>3625</v>
      </c>
      <c r="B929" s="6" t="s">
        <v>559</v>
      </c>
      <c r="C929" s="6" t="s">
        <v>564</v>
      </c>
      <c r="D929" s="6" t="n">
        <v>6</v>
      </c>
      <c r="E929" s="9" t="s">
        <v>4894</v>
      </c>
      <c r="F929" s="6" t="n">
        <v>38893986</v>
      </c>
      <c r="G929" s="6" t="n">
        <v>34375457</v>
      </c>
      <c r="H929" s="6" t="n">
        <v>4518528</v>
      </c>
      <c r="I929" s="6" t="n">
        <v>15889951</v>
      </c>
      <c r="J929" s="6" t="n">
        <v>3077387</v>
      </c>
      <c r="K929" s="6" t="n">
        <v>2351045</v>
      </c>
      <c r="L929" s="6" t="n">
        <v>3141507</v>
      </c>
      <c r="M929" s="6" t="n">
        <v>125013</v>
      </c>
      <c r="N929" s="6" t="n">
        <v>959655</v>
      </c>
      <c r="O929" s="6" t="n">
        <v>5197924</v>
      </c>
      <c r="P929" s="6" t="n">
        <v>1037417</v>
      </c>
      <c r="Q929" s="1" t="n">
        <f aca="false">IF($A828="","",IF(OR(F828="",I828=""),"",F828-I828))</f>
        <v>-15771951</v>
      </c>
      <c r="R929" s="1" t="n">
        <f aca="false">IF($A828="","",IF(Q828="","",Q828+IF(O828="",0,O828)))</f>
        <v>9988301</v>
      </c>
      <c r="S929" s="6" t="n">
        <v>3776000</v>
      </c>
      <c r="T929" s="1" t="n">
        <f aca="false">IF($A828="","",IF(R828="","",R828-IF(S828="",0,S828)))</f>
        <v>2667494</v>
      </c>
      <c r="U929" s="1" t="n">
        <f aca="false">IF($A828="","",IF(I828="","",I828-SUM(J828:P828)))</f>
        <v>3</v>
      </c>
      <c r="V929" s="6" t="s">
        <v>5336</v>
      </c>
      <c r="W929" s="9" t="s">
        <v>767</v>
      </c>
      <c r="X929" s="9" t="s">
        <v>5337</v>
      </c>
      <c r="Y929" s="9" t="s">
        <v>4897</v>
      </c>
      <c r="Z929" s="9" t="s">
        <v>4898</v>
      </c>
      <c r="AA929" s="9" t="s">
        <v>4899</v>
      </c>
    </row>
    <row r="930" customFormat="false" ht="15" hidden="false" customHeight="true" outlineLevel="0" collapsed="false">
      <c r="A930" s="6" t="s">
        <v>3631</v>
      </c>
      <c r="B930" s="6" t="s">
        <v>559</v>
      </c>
      <c r="C930" s="6" t="s">
        <v>564</v>
      </c>
      <c r="D930" s="6" t="n">
        <v>6</v>
      </c>
      <c r="E930" s="9" t="s">
        <v>5206</v>
      </c>
      <c r="F930" s="6" t="n">
        <v>133000</v>
      </c>
      <c r="Q930" s="1" t="n">
        <f aca="false">IF($A740="","",IF(OR(F740="",I740=""),"",F740-I740))</f>
        <v>7136801</v>
      </c>
      <c r="R930" s="1" t="n">
        <f aca="false">IF($A740="","",IF(Q740="","",Q740+IF(O740="",0,O740)))</f>
        <v>9450827</v>
      </c>
      <c r="T930" s="1" t="str">
        <f aca="false">IF($A740="","",IF(R740="","",R740-IF(S740="",0,S740)))</f>
        <v/>
      </c>
      <c r="U930" s="1" t="n">
        <f aca="false">IF($A740="","",IF(I740="","",I740-SUM(J740:P740)))</f>
        <v>4</v>
      </c>
      <c r="V930" s="6" t="s">
        <v>5338</v>
      </c>
      <c r="W930" s="9" t="s">
        <v>774</v>
      </c>
      <c r="X930" s="9" t="s">
        <v>5339</v>
      </c>
      <c r="Y930" s="9" t="s">
        <v>4897</v>
      </c>
      <c r="Z930" s="9" t="s">
        <v>4898</v>
      </c>
      <c r="AA930" s="9" t="s">
        <v>4903</v>
      </c>
    </row>
    <row r="931" customFormat="false" ht="15" hidden="false" customHeight="true" outlineLevel="0" collapsed="false">
      <c r="A931" s="6" t="s">
        <v>3635</v>
      </c>
      <c r="B931" s="6" t="s">
        <v>559</v>
      </c>
      <c r="C931" s="6" t="s">
        <v>564</v>
      </c>
      <c r="D931" s="6" t="n">
        <v>6</v>
      </c>
      <c r="E931" s="9" t="s">
        <v>5206</v>
      </c>
      <c r="F931" s="6" t="n">
        <v>113000</v>
      </c>
      <c r="Q931" s="1" t="str">
        <f aca="false">IF($A741="","",IF(OR(F741="",I741=""),"",F741-I741))</f>
        <v/>
      </c>
      <c r="R931" s="1" t="str">
        <f aca="false">IF($A741="","",IF(Q741="","",Q741+IF(O741="",0,O741)))</f>
        <v/>
      </c>
      <c r="T931" s="1" t="str">
        <f aca="false">IF($A741="","",IF(R741="","",R741-IF(S741="",0,S741)))</f>
        <v/>
      </c>
      <c r="U931" s="1" t="str">
        <f aca="false">IF($A741="","",IF(I741="","",I741-SUM(J741:P741)))</f>
        <v/>
      </c>
      <c r="V931" s="6" t="s">
        <v>5338</v>
      </c>
      <c r="W931" s="9" t="s">
        <v>774</v>
      </c>
      <c r="X931" s="9" t="s">
        <v>5339</v>
      </c>
      <c r="Y931" s="9" t="s">
        <v>4897</v>
      </c>
      <c r="Z931" s="9" t="s">
        <v>4898</v>
      </c>
      <c r="AA931" s="9" t="s">
        <v>4903</v>
      </c>
    </row>
    <row r="932" customFormat="false" ht="15" hidden="false" customHeight="true" outlineLevel="0" collapsed="false">
      <c r="A932" s="6" t="s">
        <v>3638</v>
      </c>
      <c r="B932" s="6" t="s">
        <v>559</v>
      </c>
      <c r="C932" s="6" t="s">
        <v>564</v>
      </c>
      <c r="D932" s="6" t="n">
        <v>6</v>
      </c>
      <c r="E932" s="9" t="s">
        <v>5206</v>
      </c>
      <c r="F932" s="6" t="n">
        <v>103000</v>
      </c>
      <c r="Q932" s="1" t="str">
        <f aca="false">IF($A742="","",IF(OR(F742="",I742=""),"",F742-I742))</f>
        <v/>
      </c>
      <c r="R932" s="1" t="str">
        <f aca="false">IF($A742="","",IF(Q742="","",Q742+IF(O742="",0,O742)))</f>
        <v/>
      </c>
      <c r="T932" s="1" t="str">
        <f aca="false">IF($A742="","",IF(R742="","",R742-IF(S742="",0,S742)))</f>
        <v/>
      </c>
      <c r="U932" s="1" t="str">
        <f aca="false">IF($A742="","",IF(I742="","",I742-SUM(J742:P742)))</f>
        <v/>
      </c>
      <c r="V932" s="6" t="s">
        <v>5338</v>
      </c>
      <c r="W932" s="9" t="s">
        <v>774</v>
      </c>
      <c r="X932" s="9" t="s">
        <v>5339</v>
      </c>
      <c r="Y932" s="9" t="s">
        <v>4897</v>
      </c>
      <c r="Z932" s="9" t="s">
        <v>4898</v>
      </c>
      <c r="AA932" s="9" t="s">
        <v>4903</v>
      </c>
    </row>
    <row r="933" customFormat="false" ht="15" hidden="false" customHeight="true" outlineLevel="0" collapsed="false">
      <c r="A933" s="6" t="s">
        <v>3641</v>
      </c>
      <c r="B933" s="6" t="s">
        <v>559</v>
      </c>
      <c r="C933" s="6" t="s">
        <v>564</v>
      </c>
      <c r="D933" s="6" t="n">
        <v>6</v>
      </c>
      <c r="E933" s="9" t="s">
        <v>5206</v>
      </c>
      <c r="F933" s="6" t="n">
        <v>58000</v>
      </c>
      <c r="Q933" s="1" t="str">
        <f aca="false">IF($A743="","",IF(OR(F743="",I743=""),"",F743-I743))</f>
        <v/>
      </c>
      <c r="R933" s="1" t="str">
        <f aca="false">IF($A743="","",IF(Q743="","",Q743+IF(O743="",0,O743)))</f>
        <v/>
      </c>
      <c r="T933" s="1" t="str">
        <f aca="false">IF($A743="","",IF(R743="","",R743-IF(S743="",0,S743)))</f>
        <v/>
      </c>
      <c r="U933" s="1" t="str">
        <f aca="false">IF($A743="","",IF(I743="","",I743-SUM(J743:P743)))</f>
        <v/>
      </c>
      <c r="V933" s="6" t="s">
        <v>5338</v>
      </c>
      <c r="W933" s="9" t="s">
        <v>774</v>
      </c>
      <c r="X933" s="9" t="s">
        <v>5339</v>
      </c>
      <c r="Y933" s="9" t="s">
        <v>4897</v>
      </c>
      <c r="Z933" s="9" t="s">
        <v>4898</v>
      </c>
      <c r="AA933" s="9" t="s">
        <v>4903</v>
      </c>
    </row>
    <row r="934" customFormat="false" ht="15" hidden="false" customHeight="true" outlineLevel="0" collapsed="false">
      <c r="A934" s="6" t="s">
        <v>3644</v>
      </c>
      <c r="B934" s="6" t="s">
        <v>559</v>
      </c>
      <c r="C934" s="6" t="s">
        <v>564</v>
      </c>
      <c r="D934" s="6" t="n">
        <v>6</v>
      </c>
      <c r="E934" s="9" t="s">
        <v>5206</v>
      </c>
      <c r="F934" s="6" t="n">
        <v>50000</v>
      </c>
      <c r="Q934" s="1" t="str">
        <f aca="false">IF($A744="","",IF(OR(F744="",I744=""),"",F744-I744))</f>
        <v/>
      </c>
      <c r="R934" s="1" t="str">
        <f aca="false">IF($A744="","",IF(Q744="","",Q744+IF(O744="",0,O744)))</f>
        <v/>
      </c>
      <c r="T934" s="1" t="str">
        <f aca="false">IF($A744="","",IF(R744="","",R744-IF(S744="",0,S744)))</f>
        <v/>
      </c>
      <c r="U934" s="1" t="str">
        <f aca="false">IF($A744="","",IF(I744="","",I744-SUM(J744:P744)))</f>
        <v/>
      </c>
      <c r="V934" s="6" t="s">
        <v>5338</v>
      </c>
      <c r="W934" s="9" t="s">
        <v>774</v>
      </c>
      <c r="X934" s="9" t="s">
        <v>5339</v>
      </c>
      <c r="Y934" s="9" t="s">
        <v>4897</v>
      </c>
      <c r="Z934" s="9" t="s">
        <v>4898</v>
      </c>
      <c r="AA934" s="9" t="s">
        <v>4903</v>
      </c>
    </row>
    <row r="935" customFormat="false" ht="15" hidden="false" customHeight="true" outlineLevel="0" collapsed="false">
      <c r="A935" s="6" t="s">
        <v>3647</v>
      </c>
      <c r="B935" s="6" t="s">
        <v>559</v>
      </c>
      <c r="C935" s="6" t="s">
        <v>564</v>
      </c>
      <c r="D935" s="6" t="n">
        <v>6</v>
      </c>
      <c r="E935" s="9" t="s">
        <v>5206</v>
      </c>
      <c r="F935" s="6" t="n">
        <v>70000</v>
      </c>
      <c r="Q935" s="1" t="str">
        <f aca="false">IF($A745="","",IF(OR(F745="",I745=""),"",F745-I745))</f>
        <v/>
      </c>
      <c r="R935" s="1" t="str">
        <f aca="false">IF($A745="","",IF(Q745="","",Q745+IF(O745="",0,O745)))</f>
        <v/>
      </c>
      <c r="T935" s="1" t="str">
        <f aca="false">IF($A745="","",IF(R745="","",R745-IF(S745="",0,S745)))</f>
        <v/>
      </c>
      <c r="U935" s="1" t="str">
        <f aca="false">IF($A745="","",IF(I745="","",I745-SUM(J745:P745)))</f>
        <v/>
      </c>
      <c r="V935" s="6" t="s">
        <v>5338</v>
      </c>
      <c r="W935" s="9" t="s">
        <v>774</v>
      </c>
      <c r="X935" s="9" t="s">
        <v>5339</v>
      </c>
      <c r="Y935" s="9" t="s">
        <v>4897</v>
      </c>
      <c r="Z935" s="9" t="s">
        <v>4898</v>
      </c>
      <c r="AA935" s="9" t="s">
        <v>4903</v>
      </c>
    </row>
    <row r="936" customFormat="false" ht="15" hidden="false" customHeight="true" outlineLevel="0" collapsed="false">
      <c r="A936" s="6" t="s">
        <v>3650</v>
      </c>
      <c r="B936" s="6" t="s">
        <v>559</v>
      </c>
      <c r="C936" s="6" t="s">
        <v>564</v>
      </c>
      <c r="D936" s="6" t="n">
        <v>6</v>
      </c>
      <c r="E936" s="9" t="s">
        <v>5206</v>
      </c>
      <c r="F936" s="6" t="n">
        <v>146000</v>
      </c>
      <c r="Q936" s="1" t="str">
        <f aca="false">IF($A746="","",IF(OR(F746="",I746=""),"",F746-I746))</f>
        <v/>
      </c>
      <c r="R936" s="1" t="str">
        <f aca="false">IF($A746="","",IF(Q746="","",Q746+IF(O746="",0,O746)))</f>
        <v/>
      </c>
      <c r="T936" s="1" t="str">
        <f aca="false">IF($A746="","",IF(R746="","",R746-IF(S746="",0,S746)))</f>
        <v/>
      </c>
      <c r="U936" s="1" t="str">
        <f aca="false">IF($A746="","",IF(I746="","",I746-SUM(J746:P746)))</f>
        <v/>
      </c>
      <c r="V936" s="6" t="s">
        <v>5338</v>
      </c>
      <c r="W936" s="9" t="s">
        <v>774</v>
      </c>
      <c r="X936" s="9" t="s">
        <v>5339</v>
      </c>
      <c r="Y936" s="9" t="s">
        <v>4897</v>
      </c>
      <c r="Z936" s="9" t="s">
        <v>4898</v>
      </c>
      <c r="AA936" s="9" t="s">
        <v>4903</v>
      </c>
    </row>
    <row r="937" customFormat="false" ht="15" hidden="false" customHeight="true" outlineLevel="0" collapsed="false">
      <c r="A937" s="6" t="s">
        <v>3653</v>
      </c>
      <c r="B937" s="6" t="s">
        <v>559</v>
      </c>
      <c r="C937" s="6" t="s">
        <v>564</v>
      </c>
      <c r="D937" s="6" t="n">
        <v>6</v>
      </c>
      <c r="E937" s="9" t="s">
        <v>5206</v>
      </c>
      <c r="F937" s="6" t="n">
        <v>125000</v>
      </c>
      <c r="Q937" s="1" t="str">
        <f aca="false">IF($A747="","",IF(OR(F747="",I747=""),"",F747-I747))</f>
        <v/>
      </c>
      <c r="R937" s="1" t="str">
        <f aca="false">IF($A747="","",IF(Q747="","",Q747+IF(O747="",0,O747)))</f>
        <v/>
      </c>
      <c r="T937" s="1" t="str">
        <f aca="false">IF($A747="","",IF(R747="","",R747-IF(S747="",0,S747)))</f>
        <v/>
      </c>
      <c r="U937" s="1" t="str">
        <f aca="false">IF($A747="","",IF(I747="","",I747-SUM(J747:P747)))</f>
        <v/>
      </c>
      <c r="V937" s="6" t="s">
        <v>5338</v>
      </c>
      <c r="W937" s="9" t="s">
        <v>774</v>
      </c>
      <c r="X937" s="9" t="s">
        <v>5339</v>
      </c>
      <c r="Y937" s="9" t="s">
        <v>4897</v>
      </c>
      <c r="Z937" s="9" t="s">
        <v>4898</v>
      </c>
      <c r="AA937" s="9" t="s">
        <v>4903</v>
      </c>
    </row>
    <row r="938" customFormat="false" ht="15" hidden="false" customHeight="true" outlineLevel="0" collapsed="false">
      <c r="A938" s="6" t="s">
        <v>3656</v>
      </c>
      <c r="B938" s="6" t="s">
        <v>559</v>
      </c>
      <c r="C938" s="6" t="s">
        <v>564</v>
      </c>
      <c r="D938" s="6" t="n">
        <v>6</v>
      </c>
      <c r="E938" s="9" t="s">
        <v>5206</v>
      </c>
      <c r="F938" s="6" t="n">
        <v>187000</v>
      </c>
      <c r="Q938" s="1" t="str">
        <f aca="false">IF($A748="","",IF(OR(F748="",I748=""),"",F748-I748))</f>
        <v/>
      </c>
      <c r="R938" s="1" t="str">
        <f aca="false">IF($A748="","",IF(Q748="","",Q748+IF(O748="",0,O748)))</f>
        <v/>
      </c>
      <c r="T938" s="1" t="str">
        <f aca="false">IF($A748="","",IF(R748="","",R748-IF(S748="",0,S748)))</f>
        <v/>
      </c>
      <c r="U938" s="1" t="str">
        <f aca="false">IF($A748="","",IF(I748="","",I748-SUM(J748:P748)))</f>
        <v/>
      </c>
      <c r="V938" s="6" t="s">
        <v>5338</v>
      </c>
      <c r="W938" s="9" t="s">
        <v>774</v>
      </c>
      <c r="X938" s="9" t="s">
        <v>5339</v>
      </c>
      <c r="Y938" s="9" t="s">
        <v>4897</v>
      </c>
      <c r="Z938" s="9" t="s">
        <v>4898</v>
      </c>
      <c r="AA938" s="9" t="s">
        <v>4903</v>
      </c>
    </row>
    <row r="939" customFormat="false" ht="15" hidden="false" customHeight="true" outlineLevel="0" collapsed="false">
      <c r="A939" s="6" t="s">
        <v>3659</v>
      </c>
      <c r="B939" s="6" t="s">
        <v>559</v>
      </c>
      <c r="C939" s="6" t="s">
        <v>564</v>
      </c>
      <c r="D939" s="6" t="n">
        <v>6</v>
      </c>
      <c r="E939" s="9" t="s">
        <v>5206</v>
      </c>
      <c r="F939" s="6" t="n">
        <v>156000</v>
      </c>
      <c r="Q939" s="1" t="str">
        <f aca="false">IF($A749="","",IF(OR(F749="",I749=""),"",F749-I749))</f>
        <v/>
      </c>
      <c r="R939" s="1" t="str">
        <f aca="false">IF($A749="","",IF(Q749="","",Q749+IF(O749="",0,O749)))</f>
        <v/>
      </c>
      <c r="T939" s="1" t="str">
        <f aca="false">IF($A749="","",IF(R749="","",R749-IF(S749="",0,S749)))</f>
        <v/>
      </c>
      <c r="U939" s="1" t="str">
        <f aca="false">IF($A749="","",IF(I749="","",I749-SUM(J749:P749)))</f>
        <v/>
      </c>
      <c r="V939" s="6" t="s">
        <v>5338</v>
      </c>
      <c r="W939" s="9" t="s">
        <v>774</v>
      </c>
      <c r="X939" s="9" t="s">
        <v>5339</v>
      </c>
      <c r="Y939" s="9" t="s">
        <v>4897</v>
      </c>
      <c r="Z939" s="9" t="s">
        <v>4898</v>
      </c>
      <c r="AA939" s="9" t="s">
        <v>4903</v>
      </c>
    </row>
    <row r="940" customFormat="false" ht="15" hidden="false" customHeight="true" outlineLevel="0" collapsed="false">
      <c r="A940" s="6" t="s">
        <v>3662</v>
      </c>
      <c r="B940" s="6" t="s">
        <v>559</v>
      </c>
      <c r="C940" s="6" t="s">
        <v>564</v>
      </c>
      <c r="D940" s="6" t="n">
        <v>6</v>
      </c>
      <c r="E940" s="9" t="s">
        <v>5206</v>
      </c>
      <c r="F940" s="6" t="n">
        <v>135000</v>
      </c>
      <c r="Q940" s="1" t="str">
        <f aca="false">IF($A750="","",IF(OR(F750="",I750=""),"",F750-I750))</f>
        <v/>
      </c>
      <c r="R940" s="1" t="str">
        <f aca="false">IF($A750="","",IF(Q750="","",Q750+IF(O750="",0,O750)))</f>
        <v/>
      </c>
      <c r="T940" s="1" t="str">
        <f aca="false">IF($A750="","",IF(R750="","",R750-IF(S750="",0,S750)))</f>
        <v/>
      </c>
      <c r="U940" s="1" t="str">
        <f aca="false">IF($A750="","",IF(I750="","",I750-SUM(J750:P750)))</f>
        <v/>
      </c>
      <c r="V940" s="6" t="s">
        <v>5338</v>
      </c>
      <c r="W940" s="9" t="s">
        <v>774</v>
      </c>
      <c r="X940" s="9" t="s">
        <v>5339</v>
      </c>
      <c r="Y940" s="9" t="s">
        <v>4897</v>
      </c>
      <c r="Z940" s="9" t="s">
        <v>4898</v>
      </c>
      <c r="AA940" s="9" t="s">
        <v>4903</v>
      </c>
    </row>
    <row r="941" customFormat="false" ht="15" hidden="false" customHeight="true" outlineLevel="0" collapsed="false">
      <c r="A941" s="6" t="s">
        <v>3665</v>
      </c>
      <c r="B941" s="6" t="s">
        <v>559</v>
      </c>
      <c r="C941" s="6" t="s">
        <v>564</v>
      </c>
      <c r="D941" s="6" t="n">
        <v>6</v>
      </c>
      <c r="E941" s="9" t="s">
        <v>5206</v>
      </c>
      <c r="F941" s="6" t="n">
        <v>93000</v>
      </c>
      <c r="Q941" s="1" t="str">
        <f aca="false">IF($A751="","",IF(OR(F751="",I751=""),"",F751-I751))</f>
        <v/>
      </c>
      <c r="R941" s="1" t="str">
        <f aca="false">IF($A751="","",IF(Q751="","",Q751+IF(O751="",0,O751)))</f>
        <v/>
      </c>
      <c r="T941" s="1" t="str">
        <f aca="false">IF($A751="","",IF(R751="","",R751-IF(S751="",0,S751)))</f>
        <v/>
      </c>
      <c r="U941" s="1" t="str">
        <f aca="false">IF($A751="","",IF(I751="","",I751-SUM(J751:P751)))</f>
        <v/>
      </c>
      <c r="V941" s="6" t="s">
        <v>5338</v>
      </c>
      <c r="W941" s="9" t="s">
        <v>774</v>
      </c>
      <c r="X941" s="9" t="s">
        <v>5339</v>
      </c>
      <c r="Y941" s="9" t="s">
        <v>4897</v>
      </c>
      <c r="Z941" s="9" t="s">
        <v>4898</v>
      </c>
      <c r="AA941" s="9" t="s">
        <v>4903</v>
      </c>
    </row>
    <row r="942" customFormat="false" ht="15" hidden="false" customHeight="true" outlineLevel="0" collapsed="false">
      <c r="A942" s="6" t="s">
        <v>3668</v>
      </c>
      <c r="B942" s="6" t="s">
        <v>559</v>
      </c>
      <c r="C942" s="6" t="s">
        <v>564</v>
      </c>
      <c r="D942" s="6" t="n">
        <v>6</v>
      </c>
      <c r="E942" s="9" t="s">
        <v>5206</v>
      </c>
      <c r="F942" s="6" t="n">
        <v>99000</v>
      </c>
      <c r="Q942" s="1" t="str">
        <f aca="false">IF($A752="","",IF(OR(F752="",I752=""),"",F752-I752))</f>
        <v/>
      </c>
      <c r="R942" s="1" t="str">
        <f aca="false">IF($A752="","",IF(Q752="","",Q752+IF(O752="",0,O752)))</f>
        <v/>
      </c>
      <c r="T942" s="1" t="str">
        <f aca="false">IF($A752="","",IF(R752="","",R752-IF(S752="",0,S752)))</f>
        <v/>
      </c>
      <c r="U942" s="1" t="str">
        <f aca="false">IF($A752="","",IF(I752="","",I752-SUM(J752:P752)))</f>
        <v/>
      </c>
      <c r="V942" s="6" t="s">
        <v>5338</v>
      </c>
      <c r="W942" s="9" t="s">
        <v>774</v>
      </c>
      <c r="X942" s="9" t="s">
        <v>5339</v>
      </c>
      <c r="Y942" s="9" t="s">
        <v>4897</v>
      </c>
      <c r="Z942" s="9" t="s">
        <v>4898</v>
      </c>
      <c r="AA942" s="9" t="s">
        <v>4903</v>
      </c>
    </row>
    <row r="943" customFormat="false" ht="15" hidden="false" customHeight="true" outlineLevel="0" collapsed="false">
      <c r="A943" s="6" t="s">
        <v>3671</v>
      </c>
      <c r="B943" s="6" t="s">
        <v>559</v>
      </c>
      <c r="C943" s="6" t="s">
        <v>564</v>
      </c>
      <c r="D943" s="6" t="n">
        <v>6</v>
      </c>
      <c r="E943" s="9" t="s">
        <v>5206</v>
      </c>
      <c r="F943" s="6" t="n">
        <v>106000</v>
      </c>
      <c r="Q943" s="1" t="str">
        <f aca="false">IF($A753="","",IF(OR(F753="",I753=""),"",F753-I753))</f>
        <v/>
      </c>
      <c r="R943" s="1" t="str">
        <f aca="false">IF($A753="","",IF(Q753="","",Q753+IF(O753="",0,O753)))</f>
        <v/>
      </c>
      <c r="T943" s="1" t="str">
        <f aca="false">IF($A753="","",IF(R753="","",R753-IF(S753="",0,S753)))</f>
        <v/>
      </c>
      <c r="U943" s="1" t="str">
        <f aca="false">IF($A753="","",IF(I753="","",I753-SUM(J753:P753)))</f>
        <v/>
      </c>
      <c r="V943" s="6" t="s">
        <v>5338</v>
      </c>
      <c r="W943" s="9" t="s">
        <v>774</v>
      </c>
      <c r="X943" s="9" t="s">
        <v>5339</v>
      </c>
      <c r="Y943" s="9" t="s">
        <v>4897</v>
      </c>
      <c r="Z943" s="9" t="s">
        <v>4898</v>
      </c>
      <c r="AA943" s="9" t="s">
        <v>4903</v>
      </c>
    </row>
    <row r="944" customFormat="false" ht="15" hidden="false" customHeight="true" outlineLevel="0" collapsed="false">
      <c r="A944" s="6" t="s">
        <v>3674</v>
      </c>
      <c r="B944" s="6" t="s">
        <v>559</v>
      </c>
      <c r="C944" s="6" t="s">
        <v>564</v>
      </c>
      <c r="D944" s="6" t="n">
        <v>6</v>
      </c>
      <c r="E944" s="9" t="s">
        <v>5206</v>
      </c>
      <c r="F944" s="6" t="n">
        <v>69000</v>
      </c>
      <c r="Q944" s="1" t="str">
        <f aca="false">IF($A754="","",IF(OR(F754="",I754=""),"",F754-I754))</f>
        <v/>
      </c>
      <c r="R944" s="1" t="str">
        <f aca="false">IF($A754="","",IF(Q754="","",Q754+IF(O754="",0,O754)))</f>
        <v/>
      </c>
      <c r="T944" s="1" t="str">
        <f aca="false">IF($A754="","",IF(R754="","",R754-IF(S754="",0,S754)))</f>
        <v/>
      </c>
      <c r="U944" s="1" t="str">
        <f aca="false">IF($A754="","",IF(I754="","",I754-SUM(J754:P754)))</f>
        <v/>
      </c>
      <c r="V944" s="6" t="s">
        <v>5338</v>
      </c>
      <c r="W944" s="9" t="s">
        <v>774</v>
      </c>
      <c r="X944" s="9" t="s">
        <v>5339</v>
      </c>
      <c r="Y944" s="9" t="s">
        <v>4897</v>
      </c>
      <c r="Z944" s="9" t="s">
        <v>4898</v>
      </c>
      <c r="AA944" s="9" t="s">
        <v>4903</v>
      </c>
    </row>
    <row r="945" customFormat="false" ht="15" hidden="false" customHeight="true" outlineLevel="0" collapsed="false">
      <c r="A945" s="6" t="s">
        <v>3677</v>
      </c>
      <c r="B945" s="6" t="s">
        <v>559</v>
      </c>
      <c r="C945" s="6" t="s">
        <v>564</v>
      </c>
      <c r="D945" s="6" t="n">
        <v>6</v>
      </c>
      <c r="E945" s="9" t="s">
        <v>5206</v>
      </c>
      <c r="F945" s="6" t="n">
        <v>154000</v>
      </c>
      <c r="Q945" s="1" t="str">
        <f aca="false">IF($A755="","",IF(OR(F755="",I755=""),"",F755-I755))</f>
        <v/>
      </c>
      <c r="R945" s="1" t="str">
        <f aca="false">IF($A755="","",IF(Q755="","",Q755+IF(O755="",0,O755)))</f>
        <v/>
      </c>
      <c r="T945" s="1" t="str">
        <f aca="false">IF($A755="","",IF(R755="","",R755-IF(S755="",0,S755)))</f>
        <v/>
      </c>
      <c r="U945" s="1" t="str">
        <f aca="false">IF($A755="","",IF(I755="","",I755-SUM(J755:P755)))</f>
        <v/>
      </c>
      <c r="V945" s="6" t="s">
        <v>5338</v>
      </c>
      <c r="W945" s="9" t="s">
        <v>774</v>
      </c>
      <c r="X945" s="9" t="s">
        <v>5339</v>
      </c>
      <c r="Y945" s="9" t="s">
        <v>4897</v>
      </c>
      <c r="Z945" s="9" t="s">
        <v>4898</v>
      </c>
      <c r="AA945" s="9" t="s">
        <v>4903</v>
      </c>
    </row>
    <row r="946" customFormat="false" ht="15" hidden="false" customHeight="true" outlineLevel="0" collapsed="false">
      <c r="A946" s="6" t="s">
        <v>3680</v>
      </c>
      <c r="B946" s="6" t="s">
        <v>559</v>
      </c>
      <c r="C946" s="6" t="s">
        <v>564</v>
      </c>
      <c r="D946" s="6" t="n">
        <v>6</v>
      </c>
      <c r="E946" s="9" t="s">
        <v>5206</v>
      </c>
      <c r="F946" s="6" t="n">
        <v>110000</v>
      </c>
      <c r="Q946" s="1" t="str">
        <f aca="false">IF($A756="","",IF(OR(F756="",I756=""),"",F756-I756))</f>
        <v/>
      </c>
      <c r="R946" s="1" t="str">
        <f aca="false">IF($A756="","",IF(Q756="","",Q756+IF(O756="",0,O756)))</f>
        <v/>
      </c>
      <c r="T946" s="1" t="str">
        <f aca="false">IF($A756="","",IF(R756="","",R756-IF(S756="",0,S756)))</f>
        <v/>
      </c>
      <c r="U946" s="1" t="str">
        <f aca="false">IF($A756="","",IF(I756="","",I756-SUM(J756:P756)))</f>
        <v/>
      </c>
      <c r="V946" s="6" t="s">
        <v>5338</v>
      </c>
      <c r="W946" s="9" t="s">
        <v>774</v>
      </c>
      <c r="X946" s="9" t="s">
        <v>5339</v>
      </c>
      <c r="Y946" s="9" t="s">
        <v>4897</v>
      </c>
      <c r="Z946" s="9" t="s">
        <v>4898</v>
      </c>
      <c r="AA946" s="9" t="s">
        <v>4903</v>
      </c>
    </row>
    <row r="947" customFormat="false" ht="15" hidden="false" customHeight="true" outlineLevel="0" collapsed="false">
      <c r="A947" s="6" t="s">
        <v>3683</v>
      </c>
      <c r="B947" s="6" t="s">
        <v>559</v>
      </c>
      <c r="C947" s="6" t="s">
        <v>564</v>
      </c>
      <c r="D947" s="6" t="n">
        <v>6</v>
      </c>
      <c r="E947" s="9" t="s">
        <v>5206</v>
      </c>
      <c r="F947" s="6" t="n">
        <v>186000</v>
      </c>
      <c r="Q947" s="1" t="str">
        <f aca="false">IF($A757="","",IF(OR(F757="",I757=""),"",F757-I757))</f>
        <v/>
      </c>
      <c r="R947" s="1" t="str">
        <f aca="false">IF($A757="","",IF(Q757="","",Q757+IF(O757="",0,O757)))</f>
        <v/>
      </c>
      <c r="T947" s="1" t="str">
        <f aca="false">IF($A757="","",IF(R757="","",R757-IF(S757="",0,S757)))</f>
        <v/>
      </c>
      <c r="U947" s="1" t="str">
        <f aca="false">IF($A757="","",IF(I757="","",I757-SUM(J757:P757)))</f>
        <v/>
      </c>
      <c r="V947" s="6" t="s">
        <v>5338</v>
      </c>
      <c r="W947" s="9" t="s">
        <v>774</v>
      </c>
      <c r="X947" s="9" t="s">
        <v>5339</v>
      </c>
      <c r="Y947" s="9" t="s">
        <v>4897</v>
      </c>
      <c r="Z947" s="9" t="s">
        <v>4898</v>
      </c>
      <c r="AA947" s="9" t="s">
        <v>4903</v>
      </c>
    </row>
    <row r="948" customFormat="false" ht="15" hidden="false" customHeight="true" outlineLevel="0" collapsed="false">
      <c r="A948" s="6" t="s">
        <v>3686</v>
      </c>
      <c r="B948" s="6" t="s">
        <v>559</v>
      </c>
      <c r="C948" s="6" t="s">
        <v>564</v>
      </c>
      <c r="D948" s="6" t="n">
        <v>6</v>
      </c>
      <c r="E948" s="9" t="s">
        <v>5206</v>
      </c>
      <c r="F948" s="6" t="n">
        <v>62000</v>
      </c>
      <c r="Q948" s="1" t="str">
        <f aca="false">IF($A758="","",IF(OR(F758="",I758=""),"",F758-I758))</f>
        <v/>
      </c>
      <c r="R948" s="1" t="n">
        <f aca="false">IF($A758="","",IF(Q758="","",Q758+IF(O758="",0,O758)))</f>
        <v>7566736</v>
      </c>
      <c r="T948" s="1" t="n">
        <f aca="false">IF($A758="","",IF(R758="","",R758-IF(S758="",0,S758)))</f>
        <v>-2102767</v>
      </c>
      <c r="U948" s="1" t="str">
        <f aca="false">IF($A758="","",IF(I758="","",I758-SUM(J758:P758)))</f>
        <v/>
      </c>
      <c r="V948" s="6" t="s">
        <v>5338</v>
      </c>
      <c r="W948" s="9" t="s">
        <v>774</v>
      </c>
      <c r="X948" s="9" t="s">
        <v>5339</v>
      </c>
      <c r="Y948" s="9" t="s">
        <v>4897</v>
      </c>
      <c r="Z948" s="9" t="s">
        <v>4898</v>
      </c>
      <c r="AA948" s="9" t="s">
        <v>4903</v>
      </c>
    </row>
    <row r="949" customFormat="false" ht="15" hidden="false" customHeight="true" outlineLevel="0" collapsed="false">
      <c r="A949" s="6" t="s">
        <v>3689</v>
      </c>
      <c r="B949" s="6" t="s">
        <v>559</v>
      </c>
      <c r="C949" s="6" t="s">
        <v>564</v>
      </c>
      <c r="D949" s="6" t="n">
        <v>6</v>
      </c>
      <c r="E949" s="9" t="s">
        <v>5206</v>
      </c>
      <c r="F949" s="6" t="n">
        <v>52000</v>
      </c>
      <c r="Q949" s="1" t="str">
        <f aca="false">IF($A759="","",IF(OR(F759="",I759=""),"",F759-I759))</f>
        <v/>
      </c>
      <c r="R949" s="1" t="n">
        <f aca="false">IF($A759="","",IF(Q759="","",Q759+IF(O759="",0,O759)))</f>
        <v>168763</v>
      </c>
      <c r="T949" s="1" t="n">
        <f aca="false">IF($A759="","",IF(R759="","",R759-IF(S759="",0,S759)))</f>
        <v>118195</v>
      </c>
      <c r="U949" s="1" t="str">
        <f aca="false">IF($A759="","",IF(I759="","",I759-SUM(J759:P759)))</f>
        <v/>
      </c>
      <c r="V949" s="6" t="s">
        <v>5338</v>
      </c>
      <c r="W949" s="9" t="s">
        <v>774</v>
      </c>
      <c r="X949" s="9" t="s">
        <v>5339</v>
      </c>
      <c r="Y949" s="9" t="s">
        <v>4897</v>
      </c>
      <c r="Z949" s="9" t="s">
        <v>4898</v>
      </c>
      <c r="AA949" s="9" t="s">
        <v>4903</v>
      </c>
    </row>
    <row r="950" customFormat="false" ht="15" hidden="false" customHeight="true" outlineLevel="0" collapsed="false">
      <c r="A950" s="6" t="s">
        <v>3692</v>
      </c>
      <c r="B950" s="6" t="s">
        <v>559</v>
      </c>
      <c r="C950" s="6" t="s">
        <v>564</v>
      </c>
      <c r="D950" s="6" t="n">
        <v>6</v>
      </c>
      <c r="E950" s="9" t="s">
        <v>5206</v>
      </c>
      <c r="F950" s="6" t="n">
        <v>221000</v>
      </c>
      <c r="Q950" s="1" t="str">
        <f aca="false">IF($A760="","",IF(OR(F760="",I760=""),"",F760-I760))</f>
        <v/>
      </c>
      <c r="R950" s="1" t="n">
        <f aca="false">IF($A760="","",IF(Q760="","",Q760+IF(O760="",0,O760)))</f>
        <v>224418</v>
      </c>
      <c r="T950" s="1" t="n">
        <f aca="false">IF($A760="","",IF(R760="","",R760-IF(S760="",0,S760)))</f>
        <v>44416</v>
      </c>
      <c r="U950" s="1" t="str">
        <f aca="false">IF($A760="","",IF(I760="","",I760-SUM(J760:P760)))</f>
        <v/>
      </c>
      <c r="V950" s="6" t="s">
        <v>5338</v>
      </c>
      <c r="W950" s="9" t="s">
        <v>774</v>
      </c>
      <c r="X950" s="9" t="s">
        <v>5339</v>
      </c>
      <c r="Y950" s="9" t="s">
        <v>4897</v>
      </c>
      <c r="Z950" s="9" t="s">
        <v>4898</v>
      </c>
      <c r="AA950" s="9" t="s">
        <v>4903</v>
      </c>
    </row>
    <row r="951" customFormat="false" ht="15" hidden="false" customHeight="true" outlineLevel="0" collapsed="false">
      <c r="A951" s="6" t="s">
        <v>3695</v>
      </c>
      <c r="B951" s="6" t="s">
        <v>559</v>
      </c>
      <c r="C951" s="6" t="s">
        <v>564</v>
      </c>
      <c r="D951" s="6" t="n">
        <v>6</v>
      </c>
      <c r="E951" s="9" t="s">
        <v>5206</v>
      </c>
      <c r="F951" s="6" t="n">
        <v>54000</v>
      </c>
      <c r="Q951" s="1" t="str">
        <f aca="false">IF($A761="","",IF(OR(F761="",I761=""),"",F761-I761))</f>
        <v/>
      </c>
      <c r="R951" s="1" t="n">
        <f aca="false">IF($A761="","",IF(Q761="","",Q761+IF(O761="",0,O761)))</f>
        <v>149968</v>
      </c>
      <c r="T951" s="1" t="n">
        <f aca="false">IF($A761="","",IF(R761="","",R761-IF(S761="",0,S761)))</f>
        <v>-55395</v>
      </c>
      <c r="U951" s="1" t="str">
        <f aca="false">IF($A761="","",IF(I761="","",I761-SUM(J761:P761)))</f>
        <v/>
      </c>
      <c r="V951" s="6" t="s">
        <v>5338</v>
      </c>
      <c r="W951" s="9" t="s">
        <v>774</v>
      </c>
      <c r="X951" s="9" t="s">
        <v>5339</v>
      </c>
      <c r="Y951" s="9" t="s">
        <v>4897</v>
      </c>
      <c r="Z951" s="9" t="s">
        <v>4898</v>
      </c>
      <c r="AA951" s="9" t="s">
        <v>4903</v>
      </c>
    </row>
    <row r="952" customFormat="false" ht="15" hidden="false" customHeight="true" outlineLevel="0" collapsed="false">
      <c r="A952" s="6" t="s">
        <v>3698</v>
      </c>
      <c r="B952" s="6" t="s">
        <v>559</v>
      </c>
      <c r="C952" s="6" t="s">
        <v>564</v>
      </c>
      <c r="D952" s="6" t="n">
        <v>6</v>
      </c>
      <c r="E952" s="9" t="s">
        <v>5206</v>
      </c>
      <c r="F952" s="6" t="n">
        <v>255000</v>
      </c>
      <c r="Q952" s="1" t="str">
        <f aca="false">IF($A762="","",IF(OR(F762="",I762=""),"",F762-I762))</f>
        <v/>
      </c>
      <c r="R952" s="1" t="n">
        <f aca="false">IF($A762="","",IF(Q762="","",Q762+IF(O762="",0,O762)))</f>
        <v>109834</v>
      </c>
      <c r="T952" s="1" t="n">
        <f aca="false">IF($A762="","",IF(R762="","",R762-IF(S762="",0,S762)))</f>
        <v>-103196</v>
      </c>
      <c r="U952" s="1" t="str">
        <f aca="false">IF($A762="","",IF(I762="","",I762-SUM(J762:P762)))</f>
        <v/>
      </c>
      <c r="V952" s="6" t="s">
        <v>5338</v>
      </c>
      <c r="W952" s="9" t="s">
        <v>774</v>
      </c>
      <c r="X952" s="9" t="s">
        <v>5339</v>
      </c>
      <c r="Y952" s="9" t="s">
        <v>4897</v>
      </c>
      <c r="Z952" s="9" t="s">
        <v>4898</v>
      </c>
      <c r="AA952" s="9" t="s">
        <v>4903</v>
      </c>
    </row>
    <row r="953" customFormat="false" ht="15" hidden="false" customHeight="true" outlineLevel="0" collapsed="false">
      <c r="A953" s="6" t="s">
        <v>3701</v>
      </c>
      <c r="B953" s="6" t="s">
        <v>559</v>
      </c>
      <c r="C953" s="6" t="s">
        <v>564</v>
      </c>
      <c r="D953" s="6" t="n">
        <v>6</v>
      </c>
      <c r="E953" s="9" t="s">
        <v>5206</v>
      </c>
      <c r="F953" s="6" t="n">
        <v>77000</v>
      </c>
      <c r="Q953" s="1" t="str">
        <f aca="false">IF($A763="","",IF(OR(F763="",I763=""),"",F763-I763))</f>
        <v/>
      </c>
      <c r="R953" s="1" t="n">
        <f aca="false">IF($A763="","",IF(Q763="","",Q763+IF(O763="",0,O763)))</f>
        <v>101744</v>
      </c>
      <c r="T953" s="1" t="n">
        <f aca="false">IF($A763="","",IF(R763="","",R763-IF(S763="",0,S763)))</f>
        <v>-23873</v>
      </c>
      <c r="U953" s="1" t="str">
        <f aca="false">IF($A763="","",IF(I763="","",I763-SUM(J763:P763)))</f>
        <v/>
      </c>
      <c r="V953" s="6" t="s">
        <v>5338</v>
      </c>
      <c r="W953" s="9" t="s">
        <v>774</v>
      </c>
      <c r="X953" s="9" t="s">
        <v>5339</v>
      </c>
      <c r="Y953" s="9" t="s">
        <v>4897</v>
      </c>
      <c r="Z953" s="9" t="s">
        <v>4898</v>
      </c>
      <c r="AA953" s="9" t="s">
        <v>4903</v>
      </c>
    </row>
    <row r="954" customFormat="false" ht="15" hidden="false" customHeight="true" outlineLevel="0" collapsed="false">
      <c r="A954" s="6" t="s">
        <v>3704</v>
      </c>
      <c r="B954" s="6" t="s">
        <v>559</v>
      </c>
      <c r="C954" s="6" t="s">
        <v>564</v>
      </c>
      <c r="D954" s="6" t="n">
        <v>6</v>
      </c>
      <c r="E954" s="9" t="s">
        <v>5211</v>
      </c>
      <c r="F954" s="6" t="n">
        <v>43000</v>
      </c>
      <c r="Q954" s="1" t="str">
        <f aca="false">IF($A764="","",IF(OR(F764="",I764=""),"",F764-I764))</f>
        <v/>
      </c>
      <c r="R954" s="1" t="n">
        <f aca="false">IF($A764="","",IF(Q764="","",Q764+IF(O764="",0,O764)))</f>
        <v>82525</v>
      </c>
      <c r="T954" s="1" t="n">
        <f aca="false">IF($A764="","",IF(R764="","",R764-IF(S764="",0,S764)))</f>
        <v>-39220</v>
      </c>
      <c r="U954" s="1" t="str">
        <f aca="false">IF($A764="","",IF(I764="","",I764-SUM(J764:P764)))</f>
        <v/>
      </c>
      <c r="V954" s="6" t="s">
        <v>5338</v>
      </c>
      <c r="W954" s="9" t="s">
        <v>774</v>
      </c>
      <c r="X954" s="9" t="s">
        <v>5340</v>
      </c>
      <c r="Y954" s="6" t="s">
        <v>4920</v>
      </c>
      <c r="Z954" s="9" t="s">
        <v>4981</v>
      </c>
      <c r="AA954" s="9" t="s">
        <v>4943</v>
      </c>
    </row>
    <row r="955" customFormat="false" ht="15" hidden="false" customHeight="true" outlineLevel="0" collapsed="false">
      <c r="A955" s="6" t="s">
        <v>3707</v>
      </c>
      <c r="B955" s="6" t="s">
        <v>559</v>
      </c>
      <c r="C955" s="6" t="s">
        <v>564</v>
      </c>
      <c r="D955" s="6" t="n">
        <v>6</v>
      </c>
      <c r="E955" s="9" t="s">
        <v>5206</v>
      </c>
      <c r="F955" s="6" t="n">
        <v>76000</v>
      </c>
      <c r="Q955" s="1" t="str">
        <f aca="false">IF($A765="","",IF(OR(F765="",I765=""),"",F765-I765))</f>
        <v/>
      </c>
      <c r="R955" s="1" t="n">
        <f aca="false">IF($A765="","",IF(Q765="","",Q765+IF(O765="",0,O765)))</f>
        <v>49821</v>
      </c>
      <c r="T955" s="1" t="n">
        <f aca="false">IF($A765="","",IF(R765="","",R765-IF(S765="",0,S765)))</f>
        <v>-2117</v>
      </c>
      <c r="U955" s="1" t="str">
        <f aca="false">IF($A765="","",IF(I765="","",I765-SUM(J765:P765)))</f>
        <v/>
      </c>
      <c r="V955" s="6" t="s">
        <v>5338</v>
      </c>
      <c r="W955" s="9" t="s">
        <v>774</v>
      </c>
      <c r="X955" s="9" t="s">
        <v>5339</v>
      </c>
      <c r="Y955" s="9" t="s">
        <v>4897</v>
      </c>
      <c r="Z955" s="9" t="s">
        <v>4898</v>
      </c>
      <c r="AA955" s="9" t="s">
        <v>4903</v>
      </c>
    </row>
    <row r="956" customFormat="false" ht="15" hidden="false" customHeight="true" outlineLevel="0" collapsed="false">
      <c r="A956" s="6" t="s">
        <v>3710</v>
      </c>
      <c r="B956" s="6" t="s">
        <v>559</v>
      </c>
      <c r="C956" s="6" t="s">
        <v>564</v>
      </c>
      <c r="D956" s="6" t="n">
        <v>6</v>
      </c>
      <c r="E956" s="9" t="s">
        <v>5206</v>
      </c>
      <c r="F956" s="6" t="n">
        <v>249000</v>
      </c>
      <c r="Q956" s="1" t="str">
        <f aca="false">IF($A766="","",IF(OR(F766="",I766=""),"",F766-I766))</f>
        <v/>
      </c>
      <c r="R956" s="1" t="n">
        <f aca="false">IF($A766="","",IF(Q766="","",Q766+IF(O766="",0,O766)))</f>
        <v>64621</v>
      </c>
      <c r="T956" s="1" t="n">
        <f aca="false">IF($A766="","",IF(R766="","",R766-IF(S766="",0,S766)))</f>
        <v>-8919</v>
      </c>
      <c r="U956" s="1" t="str">
        <f aca="false">IF($A766="","",IF(I766="","",I766-SUM(J766:P766)))</f>
        <v/>
      </c>
      <c r="V956" s="6" t="s">
        <v>5338</v>
      </c>
      <c r="W956" s="9" t="s">
        <v>774</v>
      </c>
      <c r="X956" s="9" t="s">
        <v>5339</v>
      </c>
      <c r="Y956" s="9" t="s">
        <v>4897</v>
      </c>
      <c r="Z956" s="9" t="s">
        <v>4898</v>
      </c>
      <c r="AA956" s="9" t="s">
        <v>4903</v>
      </c>
    </row>
    <row r="957" customFormat="false" ht="15" hidden="false" customHeight="true" outlineLevel="0" collapsed="false">
      <c r="A957" s="6" t="s">
        <v>3713</v>
      </c>
      <c r="B957" s="6" t="s">
        <v>559</v>
      </c>
      <c r="C957" s="6" t="s">
        <v>564</v>
      </c>
      <c r="D957" s="6" t="n">
        <v>6</v>
      </c>
      <c r="E957" s="9" t="s">
        <v>5206</v>
      </c>
      <c r="F957" s="6" t="n">
        <v>128000</v>
      </c>
      <c r="Q957" s="1" t="str">
        <f aca="false">IF($A767="","",IF(OR(F767="",I767=""),"",F767-I767))</f>
        <v/>
      </c>
      <c r="R957" s="1" t="str">
        <f aca="false">IF($A767="","",IF(Q767="","",Q767+IF(O767="",0,O767)))</f>
        <v/>
      </c>
      <c r="T957" s="1" t="str">
        <f aca="false">IF($A767="","",IF(R767="","",R767-IF(S767="",0,S767)))</f>
        <v/>
      </c>
      <c r="U957" s="1" t="str">
        <f aca="false">IF($A767="","",IF(I767="","",I767-SUM(J767:P767)))</f>
        <v/>
      </c>
      <c r="V957" s="6" t="s">
        <v>5338</v>
      </c>
      <c r="W957" s="9" t="s">
        <v>774</v>
      </c>
      <c r="X957" s="9" t="s">
        <v>5339</v>
      </c>
      <c r="Y957" s="9" t="s">
        <v>4897</v>
      </c>
      <c r="Z957" s="9" t="s">
        <v>4898</v>
      </c>
      <c r="AA957" s="9" t="s">
        <v>4903</v>
      </c>
    </row>
    <row r="958" customFormat="false" ht="15" hidden="false" customHeight="true" outlineLevel="0" collapsed="false">
      <c r="A958" s="6" t="s">
        <v>3716</v>
      </c>
      <c r="B958" s="6" t="s">
        <v>559</v>
      </c>
      <c r="C958" s="6" t="s">
        <v>564</v>
      </c>
      <c r="D958" s="6" t="n">
        <v>6</v>
      </c>
      <c r="E958" s="9" t="s">
        <v>5206</v>
      </c>
      <c r="F958" s="6" t="n">
        <v>116000</v>
      </c>
      <c r="Q958" s="1" t="str">
        <f aca="false">IF($A768="","",IF(OR(F768="",I768=""),"",F768-I768))</f>
        <v/>
      </c>
      <c r="R958" s="1" t="n">
        <f aca="false">IF($A768="","",IF(Q768="","",Q768+IF(O768="",0,O768)))</f>
        <v>52269</v>
      </c>
      <c r="T958" s="1" t="n">
        <f aca="false">IF($A768="","",IF(R768="","",R768-IF(S768="",0,S768)))</f>
        <v>19348</v>
      </c>
      <c r="U958" s="1" t="str">
        <f aca="false">IF($A768="","",IF(I768="","",I768-SUM(J768:P768)))</f>
        <v/>
      </c>
      <c r="V958" s="6" t="s">
        <v>5338</v>
      </c>
      <c r="W958" s="9" t="s">
        <v>774</v>
      </c>
      <c r="X958" s="9" t="s">
        <v>5339</v>
      </c>
      <c r="Y958" s="9" t="s">
        <v>4897</v>
      </c>
      <c r="Z958" s="9" t="s">
        <v>4898</v>
      </c>
      <c r="AA958" s="9" t="s">
        <v>4903</v>
      </c>
    </row>
    <row r="959" customFormat="false" ht="15" hidden="false" customHeight="true" outlineLevel="0" collapsed="false">
      <c r="A959" s="6" t="s">
        <v>3719</v>
      </c>
      <c r="B959" s="6" t="s">
        <v>559</v>
      </c>
      <c r="C959" s="6" t="s">
        <v>564</v>
      </c>
      <c r="D959" s="6" t="n">
        <v>6</v>
      </c>
      <c r="E959" s="9" t="s">
        <v>5206</v>
      </c>
      <c r="F959" s="6" t="n">
        <v>71000</v>
      </c>
      <c r="Q959" s="1" t="str">
        <f aca="false">IF($A769="","",IF(OR(F769="",I769=""),"",F769-I769))</f>
        <v/>
      </c>
      <c r="R959" s="1" t="n">
        <f aca="false">IF($A769="","",IF(Q769="","",Q769+IF(O769="",0,O769)))</f>
        <v>36152</v>
      </c>
      <c r="T959" s="1" t="n">
        <f aca="false">IF($A769="","",IF(R769="","",R769-IF(S769="",0,S769)))</f>
        <v>53969</v>
      </c>
      <c r="U959" s="1" t="str">
        <f aca="false">IF($A769="","",IF(I769="","",I769-SUM(J769:P769)))</f>
        <v/>
      </c>
      <c r="V959" s="6" t="s">
        <v>5338</v>
      </c>
      <c r="W959" s="9" t="s">
        <v>774</v>
      </c>
      <c r="X959" s="9" t="s">
        <v>5339</v>
      </c>
      <c r="Y959" s="9" t="s">
        <v>4897</v>
      </c>
      <c r="Z959" s="9" t="s">
        <v>4898</v>
      </c>
      <c r="AA959" s="9" t="s">
        <v>4903</v>
      </c>
    </row>
    <row r="960" customFormat="false" ht="15" hidden="false" customHeight="true" outlineLevel="0" collapsed="false">
      <c r="A960" s="6" t="s">
        <v>3722</v>
      </c>
      <c r="B960" s="6" t="s">
        <v>559</v>
      </c>
      <c r="C960" s="6" t="s">
        <v>564</v>
      </c>
      <c r="D960" s="6" t="n">
        <v>6</v>
      </c>
      <c r="E960" s="9" t="s">
        <v>5206</v>
      </c>
      <c r="F960" s="6" t="n">
        <v>268000</v>
      </c>
      <c r="Q960" s="1" t="str">
        <f aca="false">IF($A770="","",IF(OR(F770="",I770=""),"",F770-I770))</f>
        <v/>
      </c>
      <c r="R960" s="1" t="n">
        <f aca="false">IF($A770="","",IF(Q770="","",Q770+IF(O770="",0,O770)))</f>
        <v>232115</v>
      </c>
      <c r="T960" s="1" t="n">
        <f aca="false">IF($A770="","",IF(R770="","",R770-IF(S770="",0,S770)))</f>
        <v>-122467</v>
      </c>
      <c r="U960" s="1" t="str">
        <f aca="false">IF($A770="","",IF(I770="","",I770-SUM(J770:P770)))</f>
        <v/>
      </c>
      <c r="V960" s="6" t="s">
        <v>5338</v>
      </c>
      <c r="W960" s="9" t="s">
        <v>774</v>
      </c>
      <c r="X960" s="9" t="s">
        <v>5339</v>
      </c>
      <c r="Y960" s="9" t="s">
        <v>4897</v>
      </c>
      <c r="Z960" s="9" t="s">
        <v>4898</v>
      </c>
      <c r="AA960" s="9" t="s">
        <v>4903</v>
      </c>
    </row>
    <row r="961" customFormat="false" ht="15" hidden="false" customHeight="true" outlineLevel="0" collapsed="false">
      <c r="A961" s="6" t="s">
        <v>3725</v>
      </c>
      <c r="B961" s="6" t="s">
        <v>559</v>
      </c>
      <c r="C961" s="6" t="s">
        <v>564</v>
      </c>
      <c r="D961" s="6" t="n">
        <v>6</v>
      </c>
      <c r="E961" s="9" t="s">
        <v>5206</v>
      </c>
      <c r="F961" s="6" t="n">
        <v>154000</v>
      </c>
      <c r="Q961" s="1" t="str">
        <f aca="false">IF($A771="","",IF(OR(F771="",I771=""),"",F771-I771))</f>
        <v/>
      </c>
      <c r="R961" s="1" t="n">
        <f aca="false">IF($A771="","",IF(Q771="","",Q771+IF(O771="",0,O771)))</f>
        <v>89107</v>
      </c>
      <c r="T961" s="1" t="n">
        <f aca="false">IF($A771="","",IF(R771="","",R771-IF(S771="",0,S771)))</f>
        <v>-9048</v>
      </c>
      <c r="U961" s="1" t="str">
        <f aca="false">IF($A771="","",IF(I771="","",I771-SUM(J771:P771)))</f>
        <v/>
      </c>
      <c r="V961" s="6" t="s">
        <v>5338</v>
      </c>
      <c r="W961" s="9" t="s">
        <v>774</v>
      </c>
      <c r="X961" s="9" t="s">
        <v>5339</v>
      </c>
      <c r="Y961" s="9" t="s">
        <v>4897</v>
      </c>
      <c r="Z961" s="9" t="s">
        <v>4898</v>
      </c>
      <c r="AA961" s="9" t="s">
        <v>4903</v>
      </c>
    </row>
    <row r="962" customFormat="false" ht="15" hidden="false" customHeight="true" outlineLevel="0" collapsed="false">
      <c r="A962" s="6" t="s">
        <v>3728</v>
      </c>
      <c r="B962" s="6" t="s">
        <v>559</v>
      </c>
      <c r="C962" s="6" t="s">
        <v>564</v>
      </c>
      <c r="D962" s="6" t="n">
        <v>6</v>
      </c>
      <c r="E962" s="9" t="s">
        <v>5206</v>
      </c>
      <c r="F962" s="6" t="n">
        <v>162000</v>
      </c>
      <c r="Q962" s="1" t="str">
        <f aca="false">IF($A772="","",IF(OR(F772="",I772=""),"",F772-I772))</f>
        <v/>
      </c>
      <c r="R962" s="1" t="n">
        <f aca="false">IF($A772="","",IF(Q772="","",Q772+IF(O772="",0,O772)))</f>
        <v>28430</v>
      </c>
      <c r="T962" s="1" t="n">
        <f aca="false">IF($A772="","",IF(R772="","",R772-IF(S772="",0,S772)))</f>
        <v>73480</v>
      </c>
      <c r="U962" s="1" t="str">
        <f aca="false">IF($A772="","",IF(I772="","",I772-SUM(J772:P772)))</f>
        <v/>
      </c>
      <c r="V962" s="6" t="s">
        <v>5338</v>
      </c>
      <c r="W962" s="9" t="s">
        <v>774</v>
      </c>
      <c r="X962" s="9" t="s">
        <v>5339</v>
      </c>
      <c r="Y962" s="9" t="s">
        <v>4897</v>
      </c>
      <c r="Z962" s="9" t="s">
        <v>4898</v>
      </c>
      <c r="AA962" s="9" t="s">
        <v>4903</v>
      </c>
    </row>
    <row r="963" customFormat="false" ht="15" hidden="false" customHeight="true" outlineLevel="0" collapsed="false">
      <c r="A963" s="6" t="s">
        <v>3731</v>
      </c>
      <c r="B963" s="6" t="s">
        <v>559</v>
      </c>
      <c r="C963" s="6" t="s">
        <v>564</v>
      </c>
      <c r="D963" s="6" t="n">
        <v>6</v>
      </c>
      <c r="E963" s="9" t="s">
        <v>5206</v>
      </c>
      <c r="F963" s="6" t="n">
        <v>127000</v>
      </c>
      <c r="Q963" s="1" t="str">
        <f aca="false">IF($A773="","",IF(OR(F773="",I773=""),"",F773-I773))</f>
        <v/>
      </c>
      <c r="R963" s="1" t="n">
        <f aca="false">IF($A773="","",IF(Q773="","",Q773+IF(O773="",0,O773)))</f>
        <v>45074</v>
      </c>
      <c r="T963" s="1" t="n">
        <f aca="false">IF($A773="","",IF(R773="","",R773-IF(S773="",0,S773)))</f>
        <v>94</v>
      </c>
      <c r="U963" s="1" t="str">
        <f aca="false">IF($A773="","",IF(I773="","",I773-SUM(J773:P773)))</f>
        <v/>
      </c>
      <c r="V963" s="6" t="s">
        <v>5338</v>
      </c>
      <c r="W963" s="9" t="s">
        <v>774</v>
      </c>
      <c r="X963" s="9" t="s">
        <v>5339</v>
      </c>
      <c r="Y963" s="9" t="s">
        <v>4897</v>
      </c>
      <c r="Z963" s="9" t="s">
        <v>4898</v>
      </c>
      <c r="AA963" s="9" t="s">
        <v>4903</v>
      </c>
    </row>
    <row r="964" customFormat="false" ht="15" hidden="false" customHeight="true" outlineLevel="0" collapsed="false">
      <c r="A964" s="6" t="s">
        <v>3734</v>
      </c>
      <c r="B964" s="6" t="s">
        <v>559</v>
      </c>
      <c r="C964" s="6" t="s">
        <v>564</v>
      </c>
      <c r="D964" s="6" t="n">
        <v>6</v>
      </c>
      <c r="E964" s="9" t="s">
        <v>5206</v>
      </c>
      <c r="F964" s="6" t="n">
        <v>65000</v>
      </c>
      <c r="Q964" s="1" t="str">
        <f aca="false">IF($A774="","",IF(OR(F774="",I774=""),"",F774-I774))</f>
        <v/>
      </c>
      <c r="R964" s="1" t="str">
        <f aca="false">IF($A774="","",IF(Q774="","",Q774+IF(O774="",0,O774)))</f>
        <v/>
      </c>
      <c r="T964" s="1" t="str">
        <f aca="false">IF($A774="","",IF(R774="","",R774-IF(S774="",0,S774)))</f>
        <v/>
      </c>
      <c r="U964" s="1" t="str">
        <f aca="false">IF($A774="","",IF(I774="","",I774-SUM(J774:P774)))</f>
        <v/>
      </c>
      <c r="V964" s="6" t="s">
        <v>5338</v>
      </c>
      <c r="W964" s="9" t="s">
        <v>774</v>
      </c>
      <c r="X964" s="9" t="s">
        <v>5339</v>
      </c>
      <c r="Y964" s="9" t="s">
        <v>4897</v>
      </c>
      <c r="Z964" s="9" t="s">
        <v>4898</v>
      </c>
      <c r="AA964" s="9" t="s">
        <v>4903</v>
      </c>
    </row>
    <row r="965" customFormat="false" ht="15" hidden="false" customHeight="true" outlineLevel="0" collapsed="false">
      <c r="A965" s="6" t="s">
        <v>3737</v>
      </c>
      <c r="B965" s="6" t="s">
        <v>559</v>
      </c>
      <c r="C965" s="6" t="s">
        <v>564</v>
      </c>
      <c r="D965" s="6" t="n">
        <v>6</v>
      </c>
      <c r="E965" s="9" t="s">
        <v>5206</v>
      </c>
      <c r="F965" s="6" t="n">
        <v>312000</v>
      </c>
      <c r="Q965" s="1" t="str">
        <f aca="false">IF($A775="","",IF(OR(F775="",I775=""),"",F775-I775))</f>
        <v/>
      </c>
      <c r="R965" s="1" t="str">
        <f aca="false">IF($A775="","",IF(Q775="","",Q775+IF(O775="",0,O775)))</f>
        <v/>
      </c>
      <c r="T965" s="1" t="str">
        <f aca="false">IF($A775="","",IF(R775="","",R775-IF(S775="",0,S775)))</f>
        <v/>
      </c>
      <c r="U965" s="1" t="str">
        <f aca="false">IF($A775="","",IF(I775="","",I775-SUM(J775:P775)))</f>
        <v/>
      </c>
      <c r="V965" s="6" t="s">
        <v>5338</v>
      </c>
      <c r="W965" s="9" t="s">
        <v>774</v>
      </c>
      <c r="X965" s="9" t="s">
        <v>5339</v>
      </c>
      <c r="Y965" s="9" t="s">
        <v>4897</v>
      </c>
      <c r="Z965" s="9" t="s">
        <v>4898</v>
      </c>
      <c r="AA965" s="9" t="s">
        <v>4903</v>
      </c>
    </row>
    <row r="966" customFormat="false" ht="15" hidden="false" customHeight="true" outlineLevel="0" collapsed="false">
      <c r="A966" s="6" t="s">
        <v>3740</v>
      </c>
      <c r="B966" s="6" t="s">
        <v>559</v>
      </c>
      <c r="C966" s="6" t="s">
        <v>564</v>
      </c>
      <c r="D966" s="6" t="n">
        <v>6</v>
      </c>
      <c r="E966" s="9" t="s">
        <v>5206</v>
      </c>
      <c r="F966" s="6" t="n">
        <v>128000</v>
      </c>
      <c r="Q966" s="1" t="str">
        <f aca="false">IF($A776="","",IF(OR(F776="",I776=""),"",F776-I776))</f>
        <v/>
      </c>
      <c r="R966" s="1" t="n">
        <f aca="false">IF($A776="","",IF(Q776="","",Q776+IF(O776="",0,O776)))</f>
        <v>22930</v>
      </c>
      <c r="T966" s="1" t="n">
        <f aca="false">IF($A776="","",IF(R776="","",R776-IF(S776="",0,S776)))</f>
        <v>39372</v>
      </c>
      <c r="U966" s="1" t="str">
        <f aca="false">IF($A776="","",IF(I776="","",I776-SUM(J776:P776)))</f>
        <v/>
      </c>
      <c r="V966" s="6" t="s">
        <v>5338</v>
      </c>
      <c r="W966" s="9" t="s">
        <v>774</v>
      </c>
      <c r="X966" s="9" t="s">
        <v>5339</v>
      </c>
      <c r="Y966" s="9" t="s">
        <v>4897</v>
      </c>
      <c r="Z966" s="9" t="s">
        <v>4898</v>
      </c>
      <c r="AA966" s="9" t="s">
        <v>4903</v>
      </c>
    </row>
    <row r="967" customFormat="false" ht="15" hidden="false" customHeight="true" outlineLevel="0" collapsed="false">
      <c r="A967" s="6" t="s">
        <v>3743</v>
      </c>
      <c r="B967" s="6" t="s">
        <v>559</v>
      </c>
      <c r="C967" s="6" t="s">
        <v>564</v>
      </c>
      <c r="D967" s="6" t="n">
        <v>6</v>
      </c>
      <c r="E967" s="9" t="s">
        <v>5206</v>
      </c>
      <c r="F967" s="6" t="n">
        <v>106000</v>
      </c>
      <c r="Q967" s="1" t="str">
        <f aca="false">IF($A777="","",IF(OR(F777="",I777=""),"",F777-I777))</f>
        <v/>
      </c>
      <c r="R967" s="1" t="n">
        <f aca="false">IF($A777="","",IF(Q777="","",Q777+IF(O777="",0,O777)))</f>
        <v>72714</v>
      </c>
      <c r="T967" s="1" t="n">
        <f aca="false">IF($A777="","",IF(R777="","",R777-IF(S777="",0,S777)))</f>
        <v>-96092</v>
      </c>
      <c r="U967" s="1" t="str">
        <f aca="false">IF($A777="","",IF(I777="","",I777-SUM(J777:P777)))</f>
        <v/>
      </c>
      <c r="V967" s="6" t="s">
        <v>5338</v>
      </c>
      <c r="W967" s="9" t="s">
        <v>774</v>
      </c>
      <c r="X967" s="9" t="s">
        <v>5339</v>
      </c>
      <c r="Y967" s="9" t="s">
        <v>4897</v>
      </c>
      <c r="Z967" s="9" t="s">
        <v>4898</v>
      </c>
      <c r="AA967" s="9" t="s">
        <v>4903</v>
      </c>
    </row>
    <row r="968" customFormat="false" ht="15" hidden="false" customHeight="true" outlineLevel="0" collapsed="false">
      <c r="A968" s="6" t="s">
        <v>3746</v>
      </c>
      <c r="B968" s="6" t="s">
        <v>559</v>
      </c>
      <c r="C968" s="6" t="s">
        <v>564</v>
      </c>
      <c r="D968" s="6" t="n">
        <v>6</v>
      </c>
      <c r="E968" s="9" t="s">
        <v>5206</v>
      </c>
      <c r="F968" s="6" t="n">
        <v>137000</v>
      </c>
      <c r="Q968" s="1" t="str">
        <f aca="false">IF($A778="","",IF(OR(F778="",I778=""),"",F778-I778))</f>
        <v/>
      </c>
      <c r="R968" s="1" t="n">
        <f aca="false">IF($A778="","",IF(Q778="","",Q778+IF(O778="",0,O778)))</f>
        <v>27597</v>
      </c>
      <c r="T968" s="1" t="n">
        <f aca="false">IF($A778="","",IF(R778="","",R778-IF(S778="",0,S778)))</f>
        <v>15596</v>
      </c>
      <c r="U968" s="1" t="str">
        <f aca="false">IF($A778="","",IF(I778="","",I778-SUM(J778:P778)))</f>
        <v/>
      </c>
      <c r="V968" s="6" t="s">
        <v>5338</v>
      </c>
      <c r="W968" s="9" t="s">
        <v>774</v>
      </c>
      <c r="X968" s="9" t="s">
        <v>5339</v>
      </c>
      <c r="Y968" s="9" t="s">
        <v>4897</v>
      </c>
      <c r="Z968" s="9" t="s">
        <v>4898</v>
      </c>
      <c r="AA968" s="9" t="s">
        <v>4903</v>
      </c>
    </row>
    <row r="969" customFormat="false" ht="15" hidden="false" customHeight="true" outlineLevel="0" collapsed="false">
      <c r="A969" s="6" t="s">
        <v>3749</v>
      </c>
      <c r="B969" s="6" t="s">
        <v>559</v>
      </c>
      <c r="C969" s="6" t="s">
        <v>564</v>
      </c>
      <c r="D969" s="6" t="n">
        <v>6</v>
      </c>
      <c r="E969" s="9" t="s">
        <v>5206</v>
      </c>
      <c r="F969" s="6" t="n">
        <v>104000</v>
      </c>
      <c r="Q969" s="1" t="str">
        <f aca="false">IF($A779="","",IF(OR(F779="",I779=""),"",F779-I779))</f>
        <v/>
      </c>
      <c r="R969" s="1" t="n">
        <f aca="false">IF($A779="","",IF(Q779="","",Q779+IF(O779="",0,O779)))</f>
        <v>72957</v>
      </c>
      <c r="T969" s="1" t="n">
        <f aca="false">IF($A779="","",IF(R779="","",R779-IF(S779="",0,S779)))</f>
        <v>-19157</v>
      </c>
      <c r="U969" s="1" t="str">
        <f aca="false">IF($A779="","",IF(I779="","",I779-SUM(J779:P779)))</f>
        <v/>
      </c>
      <c r="V969" s="6" t="s">
        <v>5338</v>
      </c>
      <c r="W969" s="9" t="s">
        <v>774</v>
      </c>
      <c r="X969" s="9" t="s">
        <v>5339</v>
      </c>
      <c r="Y969" s="9" t="s">
        <v>4897</v>
      </c>
      <c r="Z969" s="9" t="s">
        <v>4898</v>
      </c>
      <c r="AA969" s="9" t="s">
        <v>4903</v>
      </c>
    </row>
    <row r="970" customFormat="false" ht="15" hidden="false" customHeight="true" outlineLevel="0" collapsed="false">
      <c r="A970" s="6" t="s">
        <v>3751</v>
      </c>
      <c r="B970" s="6" t="s">
        <v>559</v>
      </c>
      <c r="C970" s="6" t="s">
        <v>564</v>
      </c>
      <c r="D970" s="6" t="n">
        <v>6</v>
      </c>
      <c r="E970" s="9" t="s">
        <v>5206</v>
      </c>
      <c r="F970" s="6" t="n">
        <v>118000</v>
      </c>
      <c r="Q970" s="1" t="str">
        <f aca="false">IF($A780="","",IF(OR(F780="",I780=""),"",F780-I780))</f>
        <v/>
      </c>
      <c r="R970" s="1" t="n">
        <f aca="false">IF($A780="","",IF(Q780="","",Q780+IF(O780="",0,O780)))</f>
        <v>88918</v>
      </c>
      <c r="T970" s="1" t="n">
        <f aca="false">IF($A780="","",IF(R780="","",R780-IF(S780="",0,S780)))</f>
        <v>62712</v>
      </c>
      <c r="U970" s="1" t="str">
        <f aca="false">IF($A780="","",IF(I780="","",I780-SUM(J780:P780)))</f>
        <v/>
      </c>
      <c r="V970" s="6" t="s">
        <v>5338</v>
      </c>
      <c r="W970" s="9" t="s">
        <v>774</v>
      </c>
      <c r="X970" s="9" t="s">
        <v>5339</v>
      </c>
      <c r="Y970" s="9" t="s">
        <v>4897</v>
      </c>
      <c r="Z970" s="9" t="s">
        <v>4898</v>
      </c>
      <c r="AA970" s="9" t="s">
        <v>4903</v>
      </c>
    </row>
    <row r="971" customFormat="false" ht="15" hidden="false" customHeight="true" outlineLevel="0" collapsed="false">
      <c r="A971" s="6" t="s">
        <v>3754</v>
      </c>
      <c r="B971" s="6" t="s">
        <v>559</v>
      </c>
      <c r="C971" s="6" t="s">
        <v>564</v>
      </c>
      <c r="D971" s="6" t="n">
        <v>6</v>
      </c>
      <c r="E971" s="9" t="s">
        <v>5206</v>
      </c>
      <c r="F971" s="6" t="n">
        <v>132000</v>
      </c>
      <c r="Q971" s="1" t="str">
        <f aca="false">IF($A781="","",IF(OR(F781="",I781=""),"",F781-I781))</f>
        <v/>
      </c>
      <c r="R971" s="1" t="n">
        <f aca="false">IF($A781="","",IF(Q781="","",Q781+IF(O781="",0,O781)))</f>
        <v>59985</v>
      </c>
      <c r="T971" s="1" t="n">
        <f aca="false">IF($A781="","",IF(R781="","",R781-IF(S781="",0,S781)))</f>
        <v>5293</v>
      </c>
      <c r="U971" s="1" t="str">
        <f aca="false">IF($A781="","",IF(I781="","",I781-SUM(J781:P781)))</f>
        <v/>
      </c>
      <c r="V971" s="6" t="s">
        <v>5338</v>
      </c>
      <c r="W971" s="9" t="s">
        <v>774</v>
      </c>
      <c r="X971" s="9" t="s">
        <v>5339</v>
      </c>
      <c r="Y971" s="9" t="s">
        <v>4897</v>
      </c>
      <c r="Z971" s="9" t="s">
        <v>4898</v>
      </c>
      <c r="AA971" s="9" t="s">
        <v>4903</v>
      </c>
    </row>
    <row r="972" customFormat="false" ht="15" hidden="false" customHeight="true" outlineLevel="0" collapsed="false">
      <c r="A972" s="6" t="s">
        <v>3757</v>
      </c>
      <c r="B972" s="6" t="s">
        <v>559</v>
      </c>
      <c r="C972" s="6" t="s">
        <v>564</v>
      </c>
      <c r="D972" s="6" t="n">
        <v>6</v>
      </c>
      <c r="E972" s="9" t="s">
        <v>5206</v>
      </c>
      <c r="F972" s="6" t="n">
        <v>116000</v>
      </c>
      <c r="Q972" s="1" t="str">
        <f aca="false">IF($A782="","",IF(OR(F782="",I782=""),"",F782-I782))</f>
        <v/>
      </c>
      <c r="R972" s="1" t="n">
        <f aca="false">IF($A782="","",IF(Q782="","",Q782+IF(O782="",0,O782)))</f>
        <v>79674</v>
      </c>
      <c r="T972" s="1" t="n">
        <f aca="false">IF($A782="","",IF(R782="","",R782-IF(S782="",0,S782)))</f>
        <v>99735</v>
      </c>
      <c r="U972" s="1" t="str">
        <f aca="false">IF($A782="","",IF(I782="","",I782-SUM(J782:P782)))</f>
        <v/>
      </c>
      <c r="V972" s="6" t="s">
        <v>5338</v>
      </c>
      <c r="W972" s="9" t="s">
        <v>774</v>
      </c>
      <c r="X972" s="9" t="s">
        <v>5339</v>
      </c>
      <c r="Y972" s="9" t="s">
        <v>4897</v>
      </c>
      <c r="Z972" s="9" t="s">
        <v>4898</v>
      </c>
      <c r="AA972" s="9" t="s">
        <v>4903</v>
      </c>
    </row>
    <row r="973" customFormat="false" ht="15" hidden="false" customHeight="true" outlineLevel="0" collapsed="false">
      <c r="A973" s="6" t="s">
        <v>3760</v>
      </c>
      <c r="B973" s="6" t="s">
        <v>559</v>
      </c>
      <c r="C973" s="6" t="s">
        <v>564</v>
      </c>
      <c r="D973" s="6" t="n">
        <v>6</v>
      </c>
      <c r="E973" s="9" t="s">
        <v>5206</v>
      </c>
      <c r="F973" s="6" t="n">
        <v>209000</v>
      </c>
      <c r="Q973" s="1" t="str">
        <f aca="false">IF($A783="","",IF(OR(F783="",I783=""),"",F783-I783))</f>
        <v/>
      </c>
      <c r="R973" s="1" t="n">
        <f aca="false">IF($A783="","",IF(Q783="","",Q783+IF(O783="",0,O783)))</f>
        <v>183535</v>
      </c>
      <c r="T973" s="1" t="n">
        <f aca="false">IF($A783="","",IF(R783="","",R783-IF(S783="",0,S783)))</f>
        <v>3070</v>
      </c>
      <c r="U973" s="1" t="str">
        <f aca="false">IF($A783="","",IF(I783="","",I783-SUM(J783:P783)))</f>
        <v/>
      </c>
      <c r="V973" s="6" t="s">
        <v>5338</v>
      </c>
      <c r="W973" s="9" t="s">
        <v>774</v>
      </c>
      <c r="X973" s="9" t="s">
        <v>5339</v>
      </c>
      <c r="Y973" s="9" t="s">
        <v>4897</v>
      </c>
      <c r="Z973" s="9" t="s">
        <v>4898</v>
      </c>
      <c r="AA973" s="9" t="s">
        <v>4903</v>
      </c>
    </row>
    <row r="974" customFormat="false" ht="15" hidden="false" customHeight="true" outlineLevel="0" collapsed="false">
      <c r="A974" s="6" t="s">
        <v>3763</v>
      </c>
      <c r="B974" s="6" t="s">
        <v>559</v>
      </c>
      <c r="C974" s="6" t="s">
        <v>564</v>
      </c>
      <c r="D974" s="6" t="n">
        <v>6</v>
      </c>
      <c r="E974" s="9" t="s">
        <v>5206</v>
      </c>
      <c r="F974" s="6" t="n">
        <v>82000</v>
      </c>
      <c r="Q974" s="1" t="str">
        <f aca="false">IF($A784="","",IF(OR(F784="",I784=""),"",F784-I784))</f>
        <v/>
      </c>
      <c r="R974" s="1" t="str">
        <f aca="false">IF($A784="","",IF(Q784="","",Q784+IF(O784="",0,O784)))</f>
        <v/>
      </c>
      <c r="T974" s="1" t="str">
        <f aca="false">IF($A784="","",IF(R784="","",R784-IF(S784="",0,S784)))</f>
        <v/>
      </c>
      <c r="U974" s="1" t="str">
        <f aca="false">IF($A784="","",IF(I784="","",I784-SUM(J784:P784)))</f>
        <v/>
      </c>
      <c r="V974" s="6" t="s">
        <v>5338</v>
      </c>
      <c r="W974" s="9" t="s">
        <v>774</v>
      </c>
      <c r="X974" s="9" t="s">
        <v>5339</v>
      </c>
      <c r="Y974" s="9" t="s">
        <v>4897</v>
      </c>
      <c r="Z974" s="9" t="s">
        <v>4898</v>
      </c>
      <c r="AA974" s="9" t="s">
        <v>4903</v>
      </c>
    </row>
    <row r="975" customFormat="false" ht="15" hidden="false" customHeight="true" outlineLevel="0" collapsed="false">
      <c r="A975" s="6" t="s">
        <v>3766</v>
      </c>
      <c r="B975" s="6" t="s">
        <v>559</v>
      </c>
      <c r="C975" s="6" t="s">
        <v>564</v>
      </c>
      <c r="D975" s="6" t="n">
        <v>6</v>
      </c>
      <c r="E975" s="9" t="s">
        <v>5206</v>
      </c>
      <c r="F975" s="6" t="n">
        <v>189000</v>
      </c>
      <c r="Q975" s="1" t="str">
        <f aca="false">IF($A785="","",IF(OR(F785="",I785=""),"",F785-I785))</f>
        <v/>
      </c>
      <c r="R975" s="1" t="n">
        <f aca="false">IF($A785="","",IF(Q785="","",Q785+IF(O785="",0,O785)))</f>
        <v>114286</v>
      </c>
      <c r="T975" s="1" t="n">
        <f aca="false">IF($A785="","",IF(R785="","",R785-IF(S785="",0,S785)))</f>
        <v>-2669</v>
      </c>
      <c r="U975" s="1" t="str">
        <f aca="false">IF($A785="","",IF(I785="","",I785-SUM(J785:P785)))</f>
        <v/>
      </c>
      <c r="V975" s="6" t="s">
        <v>5338</v>
      </c>
      <c r="W975" s="9" t="s">
        <v>774</v>
      </c>
      <c r="X975" s="9" t="s">
        <v>5339</v>
      </c>
      <c r="Y975" s="9" t="s">
        <v>4897</v>
      </c>
      <c r="Z975" s="9" t="s">
        <v>4898</v>
      </c>
      <c r="AA975" s="9" t="s">
        <v>4903</v>
      </c>
    </row>
    <row r="976" customFormat="false" ht="15" hidden="false" customHeight="true" outlineLevel="0" collapsed="false">
      <c r="A976" s="6" t="s">
        <v>3769</v>
      </c>
      <c r="B976" s="6" t="s">
        <v>559</v>
      </c>
      <c r="C976" s="6" t="s">
        <v>564</v>
      </c>
      <c r="D976" s="6" t="n">
        <v>6</v>
      </c>
      <c r="E976" s="9" t="s">
        <v>5206</v>
      </c>
      <c r="F976" s="6" t="n">
        <v>482000</v>
      </c>
      <c r="Q976" s="1" t="str">
        <f aca="false">IF($A786="","",IF(OR(F786="",I786=""),"",F786-I786))</f>
        <v/>
      </c>
      <c r="R976" s="1" t="n">
        <f aca="false">IF($A786="","",IF(Q786="","",Q786+IF(O786="",0,O786)))</f>
        <v>149093</v>
      </c>
      <c r="T976" s="1" t="n">
        <f aca="false">IF($A786="","",IF(R786="","",R786-IF(S786="",0,S786)))</f>
        <v>-17830</v>
      </c>
      <c r="U976" s="1" t="str">
        <f aca="false">IF($A786="","",IF(I786="","",I786-SUM(J786:P786)))</f>
        <v/>
      </c>
      <c r="V976" s="6" t="s">
        <v>5338</v>
      </c>
      <c r="W976" s="9" t="s">
        <v>774</v>
      </c>
      <c r="X976" s="9" t="s">
        <v>5339</v>
      </c>
      <c r="Y976" s="9" t="s">
        <v>4897</v>
      </c>
      <c r="Z976" s="9" t="s">
        <v>4898</v>
      </c>
      <c r="AA976" s="9" t="s">
        <v>4903</v>
      </c>
    </row>
    <row r="977" customFormat="false" ht="15" hidden="false" customHeight="true" outlineLevel="0" collapsed="false">
      <c r="A977" s="6" t="s">
        <v>3772</v>
      </c>
      <c r="B977" s="6" t="s">
        <v>559</v>
      </c>
      <c r="C977" s="6" t="s">
        <v>564</v>
      </c>
      <c r="D977" s="6" t="n">
        <v>6</v>
      </c>
      <c r="E977" s="9" t="s">
        <v>5206</v>
      </c>
      <c r="F977" s="6" t="n">
        <v>70000</v>
      </c>
      <c r="Q977" s="1" t="str">
        <f aca="false">IF($A787="","",IF(OR(F787="",I787=""),"",F787-I787))</f>
        <v/>
      </c>
      <c r="R977" s="1" t="n">
        <f aca="false">IF($A787="","",IF(Q787="","",Q787+IF(O787="",0,O787)))</f>
        <v>115754</v>
      </c>
      <c r="T977" s="1" t="n">
        <f aca="false">IF($A787="","",IF(R787="","",R787-IF(S787="",0,S787)))</f>
        <v>37322</v>
      </c>
      <c r="U977" s="1" t="str">
        <f aca="false">IF($A787="","",IF(I787="","",I787-SUM(J787:P787)))</f>
        <v/>
      </c>
      <c r="V977" s="6" t="s">
        <v>5338</v>
      </c>
      <c r="W977" s="9" t="s">
        <v>774</v>
      </c>
      <c r="X977" s="9" t="s">
        <v>5339</v>
      </c>
      <c r="Y977" s="9" t="s">
        <v>4897</v>
      </c>
      <c r="Z977" s="9" t="s">
        <v>4898</v>
      </c>
      <c r="AA977" s="9" t="s">
        <v>4903</v>
      </c>
    </row>
    <row r="978" customFormat="false" ht="15" hidden="false" customHeight="true" outlineLevel="0" collapsed="false">
      <c r="A978" s="6" t="s">
        <v>3775</v>
      </c>
      <c r="B978" s="6" t="s">
        <v>559</v>
      </c>
      <c r="C978" s="6" t="s">
        <v>564</v>
      </c>
      <c r="D978" s="6" t="n">
        <v>6</v>
      </c>
      <c r="E978" s="9" t="s">
        <v>5206</v>
      </c>
      <c r="F978" s="6" t="n">
        <v>331000</v>
      </c>
      <c r="Q978" s="1" t="str">
        <f aca="false">IF($A788="","",IF(OR(F788="",I788=""),"",F788-I788))</f>
        <v/>
      </c>
      <c r="R978" s="1" t="n">
        <f aca="false">IF($A788="","",IF(Q788="","",Q788+IF(O788="",0,O788)))</f>
        <v>81112</v>
      </c>
      <c r="T978" s="1" t="n">
        <f aca="false">IF($A788="","",IF(R788="","",R788-IF(S788="",0,S788)))</f>
        <v>-22847</v>
      </c>
      <c r="U978" s="1" t="str">
        <f aca="false">IF($A788="","",IF(I788="","",I788-SUM(J788:P788)))</f>
        <v/>
      </c>
      <c r="V978" s="6" t="s">
        <v>5338</v>
      </c>
      <c r="W978" s="9" t="s">
        <v>774</v>
      </c>
      <c r="X978" s="9" t="s">
        <v>5339</v>
      </c>
      <c r="Y978" s="9" t="s">
        <v>4897</v>
      </c>
      <c r="Z978" s="9" t="s">
        <v>4898</v>
      </c>
      <c r="AA978" s="9" t="s">
        <v>4903</v>
      </c>
    </row>
    <row r="979" customFormat="false" ht="15" hidden="false" customHeight="true" outlineLevel="0" collapsed="false">
      <c r="A979" s="6" t="s">
        <v>3778</v>
      </c>
      <c r="B979" s="6" t="s">
        <v>559</v>
      </c>
      <c r="C979" s="6" t="s">
        <v>564</v>
      </c>
      <c r="D979" s="6" t="n">
        <v>6</v>
      </c>
      <c r="E979" s="9" t="s">
        <v>5206</v>
      </c>
      <c r="F979" s="6" t="n">
        <v>156000</v>
      </c>
      <c r="Q979" s="1" t="str">
        <f aca="false">IF($A789="","",IF(OR(F789="",I789=""),"",F789-I789))</f>
        <v/>
      </c>
      <c r="R979" s="1" t="n">
        <f aca="false">IF($A789="","",IF(Q789="","",Q789+IF(O789="",0,O789)))</f>
        <v>197145</v>
      </c>
      <c r="T979" s="1" t="n">
        <f aca="false">IF($A789="","",IF(R789="","",R789-IF(S789="",0,S789)))</f>
        <v>133859</v>
      </c>
      <c r="U979" s="1" t="str">
        <f aca="false">IF($A789="","",IF(I789="","",I789-SUM(J789:P789)))</f>
        <v/>
      </c>
      <c r="V979" s="6" t="s">
        <v>5338</v>
      </c>
      <c r="W979" s="9" t="s">
        <v>774</v>
      </c>
      <c r="X979" s="9" t="s">
        <v>5339</v>
      </c>
      <c r="Y979" s="9" t="s">
        <v>4897</v>
      </c>
      <c r="Z979" s="9" t="s">
        <v>4898</v>
      </c>
      <c r="AA979" s="9" t="s">
        <v>4903</v>
      </c>
    </row>
    <row r="980" customFormat="false" ht="15" hidden="false" customHeight="true" outlineLevel="0" collapsed="false">
      <c r="A980" s="6" t="s">
        <v>3781</v>
      </c>
      <c r="B980" s="6" t="s">
        <v>559</v>
      </c>
      <c r="C980" s="6" t="s">
        <v>564</v>
      </c>
      <c r="D980" s="6" t="n">
        <v>6</v>
      </c>
      <c r="E980" s="9" t="s">
        <v>5206</v>
      </c>
      <c r="F980" s="6" t="n">
        <v>79000</v>
      </c>
      <c r="Q980" s="1" t="str">
        <f aca="false">IF($A790="","",IF(OR(F790="",I790=""),"",F790-I790))</f>
        <v/>
      </c>
      <c r="R980" s="1" t="str">
        <f aca="false">IF($A790="","",IF(Q790="","",Q790+IF(O790="",0,O790)))</f>
        <v/>
      </c>
      <c r="T980" s="1" t="str">
        <f aca="false">IF($A790="","",IF(R790="","",R790-IF(S790="",0,S790)))</f>
        <v/>
      </c>
      <c r="U980" s="1" t="str">
        <f aca="false">IF($A790="","",IF(I790="","",I790-SUM(J790:P790)))</f>
        <v/>
      </c>
      <c r="V980" s="6" t="s">
        <v>5338</v>
      </c>
      <c r="W980" s="9" t="s">
        <v>774</v>
      </c>
      <c r="X980" s="9" t="s">
        <v>5339</v>
      </c>
      <c r="Y980" s="9" t="s">
        <v>4897</v>
      </c>
      <c r="Z980" s="9" t="s">
        <v>4898</v>
      </c>
      <c r="AA980" s="9" t="s">
        <v>4903</v>
      </c>
    </row>
    <row r="981" customFormat="false" ht="15" hidden="false" customHeight="true" outlineLevel="0" collapsed="false">
      <c r="A981" s="6" t="s">
        <v>3784</v>
      </c>
      <c r="B981" s="6" t="s">
        <v>559</v>
      </c>
      <c r="C981" s="6" t="s">
        <v>564</v>
      </c>
      <c r="D981" s="6" t="n">
        <v>6</v>
      </c>
      <c r="E981" s="9" t="s">
        <v>5206</v>
      </c>
      <c r="F981" s="6" t="n">
        <v>336000</v>
      </c>
      <c r="Q981" s="1" t="str">
        <f aca="false">IF($A791="","",IF(OR(F791="",I791=""),"",F791-I791))</f>
        <v/>
      </c>
      <c r="R981" s="1" t="str">
        <f aca="false">IF($A791="","",IF(Q791="","",Q791+IF(O791="",0,O791)))</f>
        <v/>
      </c>
      <c r="T981" s="1" t="str">
        <f aca="false">IF($A791="","",IF(R791="","",R791-IF(S791="",0,S791)))</f>
        <v/>
      </c>
      <c r="U981" s="1" t="str">
        <f aca="false">IF($A791="","",IF(I791="","",I791-SUM(J791:P791)))</f>
        <v/>
      </c>
      <c r="V981" s="6" t="s">
        <v>5338</v>
      </c>
      <c r="W981" s="9" t="s">
        <v>774</v>
      </c>
      <c r="X981" s="9" t="s">
        <v>5339</v>
      </c>
      <c r="Y981" s="9" t="s">
        <v>4897</v>
      </c>
      <c r="Z981" s="9" t="s">
        <v>4898</v>
      </c>
      <c r="AA981" s="9" t="s">
        <v>4903</v>
      </c>
    </row>
    <row r="982" customFormat="false" ht="15" hidden="false" customHeight="true" outlineLevel="0" collapsed="false">
      <c r="A982" s="6" t="s">
        <v>3787</v>
      </c>
      <c r="B982" s="6" t="s">
        <v>559</v>
      </c>
      <c r="C982" s="6" t="s">
        <v>564</v>
      </c>
      <c r="D982" s="6" t="n">
        <v>6</v>
      </c>
      <c r="E982" s="9" t="s">
        <v>5206</v>
      </c>
      <c r="F982" s="6" t="n">
        <v>133000</v>
      </c>
      <c r="Q982" s="1" t="str">
        <f aca="false">IF($A792="","",IF(OR(F792="",I792=""),"",F792-I792))</f>
        <v/>
      </c>
      <c r="R982" s="1" t="n">
        <f aca="false">IF($A792="","",IF(Q792="","",Q792+IF(O792="",0,O792)))</f>
        <v>400831</v>
      </c>
      <c r="T982" s="1" t="n">
        <f aca="false">IF($A792="","",IF(R792="","",R792-IF(S792="",0,S792)))</f>
        <v>-3309</v>
      </c>
      <c r="U982" s="1" t="str">
        <f aca="false">IF($A792="","",IF(I792="","",I792-SUM(J792:P792)))</f>
        <v/>
      </c>
      <c r="V982" s="6" t="s">
        <v>5338</v>
      </c>
      <c r="W982" s="9" t="s">
        <v>774</v>
      </c>
      <c r="X982" s="9" t="s">
        <v>5339</v>
      </c>
      <c r="Y982" s="9" t="s">
        <v>4897</v>
      </c>
      <c r="Z982" s="9" t="s">
        <v>4898</v>
      </c>
      <c r="AA982" s="9" t="s">
        <v>4903</v>
      </c>
    </row>
    <row r="983" customFormat="false" ht="15" hidden="false" customHeight="true" outlineLevel="0" collapsed="false">
      <c r="A983" s="6" t="s">
        <v>3790</v>
      </c>
      <c r="B983" s="6" t="s">
        <v>559</v>
      </c>
      <c r="C983" s="6" t="s">
        <v>564</v>
      </c>
      <c r="D983" s="6" t="n">
        <v>6</v>
      </c>
      <c r="E983" s="9" t="s">
        <v>5206</v>
      </c>
      <c r="F983" s="6" t="n">
        <v>126000</v>
      </c>
      <c r="Q983" s="1" t="str">
        <f aca="false">IF($A793="","",IF(OR(F793="",I793=""),"",F793-I793))</f>
        <v/>
      </c>
      <c r="R983" s="1" t="n">
        <f aca="false">IF($A793="","",IF(Q793="","",Q793+IF(O793="",0,O793)))</f>
        <v>223318</v>
      </c>
      <c r="T983" s="1" t="n">
        <f aca="false">IF($A793="","",IF(R793="","",R793-IF(S793="",0,S793)))</f>
        <v>-37167</v>
      </c>
      <c r="U983" s="1" t="str">
        <f aca="false">IF($A793="","",IF(I793="","",I793-SUM(J793:P793)))</f>
        <v/>
      </c>
      <c r="V983" s="6" t="s">
        <v>5338</v>
      </c>
      <c r="W983" s="9" t="s">
        <v>774</v>
      </c>
      <c r="X983" s="9" t="s">
        <v>5339</v>
      </c>
      <c r="Y983" s="9" t="s">
        <v>4897</v>
      </c>
      <c r="Z983" s="9" t="s">
        <v>4898</v>
      </c>
      <c r="AA983" s="9" t="s">
        <v>4903</v>
      </c>
    </row>
    <row r="984" customFormat="false" ht="15" hidden="false" customHeight="true" outlineLevel="0" collapsed="false">
      <c r="A984" s="6" t="s">
        <v>3793</v>
      </c>
      <c r="B984" s="6" t="s">
        <v>559</v>
      </c>
      <c r="C984" s="6" t="s">
        <v>564</v>
      </c>
      <c r="D984" s="6" t="n">
        <v>6</v>
      </c>
      <c r="E984" s="9" t="s">
        <v>5206</v>
      </c>
      <c r="F984" s="6" t="n">
        <v>153000</v>
      </c>
      <c r="Q984" s="1" t="str">
        <f aca="false">IF($A794="","",IF(OR(F794="",I794=""),"",F794-I794))</f>
        <v/>
      </c>
      <c r="R984" s="1" t="n">
        <f aca="false">IF($A794="","",IF(Q794="","",Q794+IF(O794="",0,O794)))</f>
        <v>135334</v>
      </c>
      <c r="T984" s="1" t="n">
        <f aca="false">IF($A794="","",IF(R794="","",R794-IF(S794="",0,S794)))</f>
        <v>62425</v>
      </c>
      <c r="U984" s="1" t="str">
        <f aca="false">IF($A794="","",IF(I794="","",I794-SUM(J794:P794)))</f>
        <v/>
      </c>
      <c r="V984" s="6" t="s">
        <v>5338</v>
      </c>
      <c r="W984" s="9" t="s">
        <v>774</v>
      </c>
      <c r="X984" s="9" t="s">
        <v>5339</v>
      </c>
      <c r="Y984" s="9" t="s">
        <v>4897</v>
      </c>
      <c r="Z984" s="9" t="s">
        <v>4898</v>
      </c>
      <c r="AA984" s="9" t="s">
        <v>4903</v>
      </c>
    </row>
    <row r="985" customFormat="false" ht="15" hidden="false" customHeight="true" outlineLevel="0" collapsed="false">
      <c r="A985" s="6" t="s">
        <v>3796</v>
      </c>
      <c r="B985" s="6" t="s">
        <v>559</v>
      </c>
      <c r="C985" s="6" t="s">
        <v>564</v>
      </c>
      <c r="D985" s="6" t="n">
        <v>6</v>
      </c>
      <c r="E985" s="9" t="s">
        <v>5206</v>
      </c>
      <c r="F985" s="6" t="n">
        <v>120000</v>
      </c>
      <c r="Q985" s="1" t="str">
        <f aca="false">IF($A795="","",IF(OR(F795="",I795=""),"",F795-I795))</f>
        <v/>
      </c>
      <c r="R985" s="1" t="n">
        <f aca="false">IF($A795="","",IF(Q795="","",Q795+IF(O795="",0,O795)))</f>
        <v>63892</v>
      </c>
      <c r="T985" s="1" t="n">
        <f aca="false">IF($A795="","",IF(R795="","",R795-IF(S795="",0,S795)))</f>
        <v>62762</v>
      </c>
      <c r="U985" s="1" t="str">
        <f aca="false">IF($A795="","",IF(I795="","",I795-SUM(J795:P795)))</f>
        <v/>
      </c>
      <c r="V985" s="6" t="s">
        <v>5338</v>
      </c>
      <c r="W985" s="9" t="s">
        <v>774</v>
      </c>
      <c r="X985" s="9" t="s">
        <v>5339</v>
      </c>
      <c r="Y985" s="9" t="s">
        <v>4897</v>
      </c>
      <c r="Z985" s="9" t="s">
        <v>4898</v>
      </c>
      <c r="AA985" s="9" t="s">
        <v>4903</v>
      </c>
    </row>
    <row r="986" customFormat="false" ht="15" hidden="false" customHeight="true" outlineLevel="0" collapsed="false">
      <c r="A986" s="6" t="s">
        <v>3799</v>
      </c>
      <c r="B986" s="6" t="s">
        <v>559</v>
      </c>
      <c r="C986" s="6" t="s">
        <v>564</v>
      </c>
      <c r="D986" s="6" t="n">
        <v>6</v>
      </c>
      <c r="E986" s="9" t="s">
        <v>5206</v>
      </c>
      <c r="F986" s="6" t="n">
        <v>511000</v>
      </c>
      <c r="Q986" s="1" t="str">
        <f aca="false">IF($A796="","",IF(OR(F796="",I796=""),"",F796-I796))</f>
        <v/>
      </c>
      <c r="R986" s="1" t="n">
        <f aca="false">IF($A796="","",IF(Q796="","",Q796+IF(O796="",0,O796)))</f>
        <v>30305</v>
      </c>
      <c r="T986" s="1" t="n">
        <f aca="false">IF($A796="","",IF(R796="","",R796-IF(S796="",0,S796)))</f>
        <v>41191</v>
      </c>
      <c r="U986" s="1" t="str">
        <f aca="false">IF($A796="","",IF(I796="","",I796-SUM(J796:P796)))</f>
        <v/>
      </c>
      <c r="V986" s="6" t="s">
        <v>5338</v>
      </c>
      <c r="W986" s="9" t="s">
        <v>774</v>
      </c>
      <c r="X986" s="9" t="s">
        <v>5339</v>
      </c>
      <c r="Y986" s="9" t="s">
        <v>4897</v>
      </c>
      <c r="Z986" s="9" t="s">
        <v>4898</v>
      </c>
      <c r="AA986" s="9" t="s">
        <v>4903</v>
      </c>
    </row>
    <row r="987" customFormat="false" ht="15" hidden="false" customHeight="true" outlineLevel="0" collapsed="false">
      <c r="A987" s="6" t="s">
        <v>3802</v>
      </c>
      <c r="B987" s="6" t="s">
        <v>559</v>
      </c>
      <c r="C987" s="6" t="s">
        <v>564</v>
      </c>
      <c r="D987" s="6" t="n">
        <v>6</v>
      </c>
      <c r="E987" s="9" t="s">
        <v>5206</v>
      </c>
      <c r="F987" s="6" t="n">
        <v>122000</v>
      </c>
      <c r="Q987" s="1" t="str">
        <f aca="false">IF($A797="","",IF(OR(F797="",I797=""),"",F797-I797))</f>
        <v/>
      </c>
      <c r="R987" s="1" t="n">
        <f aca="false">IF($A797="","",IF(Q797="","",Q797+IF(O797="",0,O797)))</f>
        <v>45809</v>
      </c>
      <c r="T987" s="1" t="n">
        <f aca="false">IF($A797="","",IF(R797="","",R797-IF(S797="",0,S797)))</f>
        <v>31467</v>
      </c>
      <c r="U987" s="1" t="str">
        <f aca="false">IF($A797="","",IF(I797="","",I797-SUM(J797:P797)))</f>
        <v/>
      </c>
      <c r="V987" s="6" t="s">
        <v>5338</v>
      </c>
      <c r="W987" s="9" t="s">
        <v>774</v>
      </c>
      <c r="X987" s="9" t="s">
        <v>5339</v>
      </c>
      <c r="Y987" s="9" t="s">
        <v>4897</v>
      </c>
      <c r="Z987" s="9" t="s">
        <v>4898</v>
      </c>
      <c r="AA987" s="9" t="s">
        <v>4903</v>
      </c>
    </row>
    <row r="988" customFormat="false" ht="15" hidden="false" customHeight="true" outlineLevel="0" collapsed="false">
      <c r="A988" s="6" t="s">
        <v>3805</v>
      </c>
      <c r="B988" s="6" t="s">
        <v>559</v>
      </c>
      <c r="C988" s="6" t="s">
        <v>564</v>
      </c>
      <c r="D988" s="6" t="n">
        <v>6</v>
      </c>
      <c r="E988" s="9" t="s">
        <v>5102</v>
      </c>
      <c r="F988" s="1" t="n">
        <v>19000</v>
      </c>
      <c r="Q988" s="1" t="str">
        <f aca="false">IF($A798="","",IF(OR(F798="",I798=""),"",F798-I798))</f>
        <v/>
      </c>
      <c r="R988" s="1" t="n">
        <f aca="false">IF($A798="","",IF(Q798="","",Q798+IF(O798="",0,O798)))</f>
        <v>51839</v>
      </c>
      <c r="T988" s="1" t="n">
        <f aca="false">IF($A798="","",IF(R798="","",R798-IF(S798="",0,S798)))</f>
        <v>22954</v>
      </c>
      <c r="U988" s="1" t="str">
        <f aca="false">IF($A798="","",IF(I798="","",I798-SUM(J798:P798)))</f>
        <v/>
      </c>
      <c r="V988" s="6" t="s">
        <v>3629</v>
      </c>
      <c r="W988" s="9" t="s">
        <v>774</v>
      </c>
      <c r="X988" s="9" t="s">
        <v>5341</v>
      </c>
      <c r="Y988" s="9" t="s">
        <v>4897</v>
      </c>
      <c r="Z988" s="9" t="s">
        <v>4898</v>
      </c>
      <c r="AA988" s="9" t="s">
        <v>4899</v>
      </c>
    </row>
    <row r="989" customFormat="false" ht="15" hidden="false" customHeight="true" outlineLevel="0" collapsed="false">
      <c r="A989" s="6" t="s">
        <v>3807</v>
      </c>
      <c r="B989" s="6" t="s">
        <v>559</v>
      </c>
      <c r="C989" s="6" t="s">
        <v>564</v>
      </c>
      <c r="D989" s="6" t="n">
        <v>6</v>
      </c>
      <c r="E989" s="9" t="s">
        <v>5206</v>
      </c>
      <c r="F989" s="6" t="n">
        <v>220000</v>
      </c>
      <c r="Q989" s="1" t="str">
        <f aca="false">IF($A799="","",IF(OR(F799="",I799=""),"",F799-I799))</f>
        <v/>
      </c>
      <c r="R989" s="1" t="n">
        <f aca="false">IF($A799="","",IF(Q799="","",Q799+IF(O799="",0,O799)))</f>
        <v>111280</v>
      </c>
      <c r="T989" s="1" t="n">
        <f aca="false">IF($A799="","",IF(R799="","",R799-IF(S799="",0,S799)))</f>
        <v>-29227</v>
      </c>
      <c r="U989" s="1" t="str">
        <f aca="false">IF($A799="","",IF(I799="","",I799-SUM(J799:P799)))</f>
        <v/>
      </c>
      <c r="V989" s="6" t="s">
        <v>5338</v>
      </c>
      <c r="W989" s="9" t="s">
        <v>774</v>
      </c>
      <c r="X989" s="9" t="s">
        <v>5339</v>
      </c>
      <c r="Y989" s="9" t="s">
        <v>4897</v>
      </c>
      <c r="Z989" s="9" t="s">
        <v>4898</v>
      </c>
      <c r="AA989" s="9" t="s">
        <v>4903</v>
      </c>
    </row>
    <row r="990" customFormat="false" ht="15" hidden="false" customHeight="true" outlineLevel="0" collapsed="false">
      <c r="A990" s="6" t="s">
        <v>3810</v>
      </c>
      <c r="B990" s="6" t="s">
        <v>559</v>
      </c>
      <c r="C990" s="6" t="s">
        <v>564</v>
      </c>
      <c r="D990" s="6" t="n">
        <v>6</v>
      </c>
      <c r="E990" s="9" t="s">
        <v>5206</v>
      </c>
      <c r="F990" s="6" t="n">
        <v>111000</v>
      </c>
      <c r="Q990" s="1" t="str">
        <f aca="false">IF($A800="","",IF(OR(F800="",I800=""),"",F800-I800))</f>
        <v/>
      </c>
      <c r="R990" s="1" t="n">
        <f aca="false">IF($A800="","",IF(Q800="","",Q800+IF(O800="",0,O800)))</f>
        <v>96347</v>
      </c>
      <c r="T990" s="1" t="n">
        <f aca="false">IF($A800="","",IF(R800="","",R800-IF(S800="",0,S800)))</f>
        <v>56475</v>
      </c>
      <c r="U990" s="1" t="str">
        <f aca="false">IF($A800="","",IF(I800="","",I800-SUM(J800:P800)))</f>
        <v/>
      </c>
      <c r="V990" s="6" t="s">
        <v>5338</v>
      </c>
      <c r="W990" s="9" t="s">
        <v>774</v>
      </c>
      <c r="X990" s="9" t="s">
        <v>5339</v>
      </c>
      <c r="Y990" s="9" t="s">
        <v>4897</v>
      </c>
      <c r="Z990" s="9" t="s">
        <v>4898</v>
      </c>
      <c r="AA990" s="9" t="s">
        <v>4903</v>
      </c>
    </row>
    <row r="991" customFormat="false" ht="15" hidden="false" customHeight="true" outlineLevel="0" collapsed="false">
      <c r="A991" s="6" t="s">
        <v>3813</v>
      </c>
      <c r="B991" s="6" t="s">
        <v>559</v>
      </c>
      <c r="C991" s="6" t="s">
        <v>564</v>
      </c>
      <c r="D991" s="6" t="n">
        <v>6</v>
      </c>
      <c r="E991" s="9" t="s">
        <v>5206</v>
      </c>
      <c r="F991" s="6" t="n">
        <v>102000</v>
      </c>
      <c r="Q991" s="1" t="str">
        <f aca="false">IF($A801="","",IF(OR(F801="",I801=""),"",F801-I801))</f>
        <v/>
      </c>
      <c r="R991" s="1" t="n">
        <f aca="false">IF($A801="","",IF(Q801="","",Q801+IF(O801="",0,O801)))</f>
        <v>328233</v>
      </c>
      <c r="T991" s="1" t="n">
        <f aca="false">IF($A801="","",IF(R801="","",R801-IF(S801="",0,S801)))</f>
        <v>40927</v>
      </c>
      <c r="U991" s="1" t="str">
        <f aca="false">IF($A801="","",IF(I801="","",I801-SUM(J801:P801)))</f>
        <v/>
      </c>
      <c r="V991" s="6" t="s">
        <v>5338</v>
      </c>
      <c r="W991" s="9" t="s">
        <v>774</v>
      </c>
      <c r="X991" s="9" t="s">
        <v>5339</v>
      </c>
      <c r="Y991" s="9" t="s">
        <v>4897</v>
      </c>
      <c r="Z991" s="9" t="s">
        <v>4898</v>
      </c>
      <c r="AA991" s="9" t="s">
        <v>4903</v>
      </c>
    </row>
    <row r="992" customFormat="false" ht="15" hidden="false" customHeight="true" outlineLevel="0" collapsed="false">
      <c r="A992" s="6" t="s">
        <v>3816</v>
      </c>
      <c r="B992" s="6" t="s">
        <v>559</v>
      </c>
      <c r="C992" s="6" t="s">
        <v>564</v>
      </c>
      <c r="D992" s="6" t="n">
        <v>6</v>
      </c>
      <c r="E992" s="9" t="s">
        <v>5206</v>
      </c>
      <c r="F992" s="6" t="n">
        <v>560000</v>
      </c>
      <c r="Q992" s="1" t="str">
        <f aca="false">IF($A802="","",IF(OR(F802="",I802=""),"",F802-I802))</f>
        <v/>
      </c>
      <c r="R992" s="1" t="n">
        <f aca="false">IF($A802="","",IF(Q802="","",Q802+IF(O802="",0,O802)))</f>
        <v>192081</v>
      </c>
      <c r="T992" s="1" t="n">
        <f aca="false">IF($A802="","",IF(R802="","",R802-IF(S802="",0,S802)))</f>
        <v>31921</v>
      </c>
      <c r="U992" s="1" t="str">
        <f aca="false">IF($A802="","",IF(I802="","",I802-SUM(J802:P802)))</f>
        <v/>
      </c>
      <c r="V992" s="6" t="s">
        <v>5338</v>
      </c>
      <c r="W992" s="9" t="s">
        <v>774</v>
      </c>
      <c r="X992" s="9" t="s">
        <v>5339</v>
      </c>
      <c r="Y992" s="9" t="s">
        <v>4897</v>
      </c>
      <c r="Z992" s="9" t="s">
        <v>4898</v>
      </c>
      <c r="AA992" s="9" t="s">
        <v>4903</v>
      </c>
    </row>
    <row r="993" customFormat="false" ht="15" hidden="false" customHeight="true" outlineLevel="0" collapsed="false">
      <c r="A993" s="6" t="s">
        <v>3819</v>
      </c>
      <c r="B993" s="6" t="s">
        <v>559</v>
      </c>
      <c r="C993" s="6" t="s">
        <v>564</v>
      </c>
      <c r="D993" s="6" t="n">
        <v>6</v>
      </c>
      <c r="E993" s="9" t="s">
        <v>5206</v>
      </c>
      <c r="F993" s="6" t="n">
        <v>306000</v>
      </c>
      <c r="Q993" s="1" t="str">
        <f aca="false">IF($A803="","",IF(OR(F803="",I803=""),"",F803-I803))</f>
        <v/>
      </c>
      <c r="R993" s="1" t="str">
        <f aca="false">IF($A803="","",IF(Q803="","",Q803+IF(O803="",0,O803)))</f>
        <v/>
      </c>
      <c r="T993" s="1" t="str">
        <f aca="false">IF($A803="","",IF(R803="","",R803-IF(S803="",0,S803)))</f>
        <v/>
      </c>
      <c r="U993" s="1" t="str">
        <f aca="false">IF($A803="","",IF(I803="","",I803-SUM(J803:P803)))</f>
        <v/>
      </c>
      <c r="V993" s="6" t="s">
        <v>5338</v>
      </c>
      <c r="W993" s="9" t="s">
        <v>774</v>
      </c>
      <c r="X993" s="9" t="s">
        <v>5339</v>
      </c>
      <c r="Y993" s="9" t="s">
        <v>4897</v>
      </c>
      <c r="Z993" s="9" t="s">
        <v>4898</v>
      </c>
      <c r="AA993" s="9" t="s">
        <v>4903</v>
      </c>
    </row>
    <row r="994" customFormat="false" ht="15" hidden="false" customHeight="true" outlineLevel="0" collapsed="false">
      <c r="A994" s="6" t="s">
        <v>3822</v>
      </c>
      <c r="B994" s="6" t="s">
        <v>559</v>
      </c>
      <c r="C994" s="6" t="s">
        <v>564</v>
      </c>
      <c r="D994" s="6" t="n">
        <v>6</v>
      </c>
      <c r="E994" s="9" t="s">
        <v>5206</v>
      </c>
      <c r="F994" s="6" t="n">
        <v>485000</v>
      </c>
      <c r="Q994" s="1" t="str">
        <f aca="false">IF($A804="","",IF(OR(F804="",I804=""),"",F804-I804))</f>
        <v/>
      </c>
      <c r="R994" s="1" t="str">
        <f aca="false">IF($A804="","",IF(Q804="","",Q804+IF(O804="",0,O804)))</f>
        <v/>
      </c>
      <c r="T994" s="1" t="str">
        <f aca="false">IF($A804="","",IF(R804="","",R804-IF(S804="",0,S804)))</f>
        <v/>
      </c>
      <c r="U994" s="1" t="str">
        <f aca="false">IF($A804="","",IF(I804="","",I804-SUM(J804:P804)))</f>
        <v/>
      </c>
      <c r="V994" s="6" t="s">
        <v>5338</v>
      </c>
      <c r="W994" s="9" t="s">
        <v>774</v>
      </c>
      <c r="X994" s="9" t="s">
        <v>5339</v>
      </c>
      <c r="Y994" s="9" t="s">
        <v>4897</v>
      </c>
      <c r="Z994" s="9" t="s">
        <v>4898</v>
      </c>
      <c r="AA994" s="9" t="s">
        <v>4903</v>
      </c>
    </row>
    <row r="995" customFormat="false" ht="15" hidden="false" customHeight="true" outlineLevel="0" collapsed="false">
      <c r="A995" s="6" t="s">
        <v>3825</v>
      </c>
      <c r="B995" s="6" t="s">
        <v>559</v>
      </c>
      <c r="C995" s="6" t="s">
        <v>564</v>
      </c>
      <c r="D995" s="6" t="n">
        <v>6</v>
      </c>
      <c r="E995" s="9" t="s">
        <v>5206</v>
      </c>
      <c r="F995" s="6" t="n">
        <v>419000</v>
      </c>
      <c r="Q995" s="1" t="str">
        <f aca="false">IF($A805="","",IF(OR(F805="",I805=""),"",F805-I805))</f>
        <v/>
      </c>
      <c r="R995" s="1" t="str">
        <f aca="false">IF($A805="","",IF(Q805="","",Q805+IF(O805="",0,O805)))</f>
        <v/>
      </c>
      <c r="T995" s="1" t="str">
        <f aca="false">IF($A805="","",IF(R805="","",R805-IF(S805="",0,S805)))</f>
        <v/>
      </c>
      <c r="U995" s="1" t="str">
        <f aca="false">IF($A805="","",IF(I805="","",I805-SUM(J805:P805)))</f>
        <v/>
      </c>
      <c r="V995" s="6" t="s">
        <v>5338</v>
      </c>
      <c r="W995" s="9" t="s">
        <v>774</v>
      </c>
      <c r="X995" s="9" t="s">
        <v>5339</v>
      </c>
      <c r="Y995" s="9" t="s">
        <v>4897</v>
      </c>
      <c r="Z995" s="9" t="s">
        <v>4898</v>
      </c>
      <c r="AA995" s="9" t="s">
        <v>4903</v>
      </c>
    </row>
    <row r="996" customFormat="false" ht="15" hidden="false" customHeight="true" outlineLevel="0" collapsed="false">
      <c r="A996" s="6" t="s">
        <v>3828</v>
      </c>
      <c r="B996" s="6" t="s">
        <v>559</v>
      </c>
      <c r="C996" s="6" t="s">
        <v>564</v>
      </c>
      <c r="D996" s="6" t="n">
        <v>6</v>
      </c>
      <c r="E996" s="9" t="s">
        <v>5206</v>
      </c>
      <c r="F996" s="6" t="n">
        <v>82000</v>
      </c>
      <c r="Q996" s="1" t="str">
        <f aca="false">IF($A806="","",IF(OR(F806="",I806=""),"",F806-I806))</f>
        <v/>
      </c>
      <c r="R996" s="1" t="str">
        <f aca="false">IF($A806="","",IF(Q806="","",Q806+IF(O806="",0,O806)))</f>
        <v/>
      </c>
      <c r="T996" s="1" t="str">
        <f aca="false">IF($A806="","",IF(R806="","",R806-IF(S806="",0,S806)))</f>
        <v/>
      </c>
      <c r="U996" s="1" t="str">
        <f aca="false">IF($A806="","",IF(I806="","",I806-SUM(J806:P806)))</f>
        <v/>
      </c>
      <c r="V996" s="6" t="s">
        <v>5338</v>
      </c>
      <c r="W996" s="9" t="s">
        <v>774</v>
      </c>
      <c r="X996" s="9" t="s">
        <v>5339</v>
      </c>
      <c r="Y996" s="9" t="s">
        <v>4897</v>
      </c>
      <c r="Z996" s="9" t="s">
        <v>4898</v>
      </c>
      <c r="AA996" s="9" t="s">
        <v>4903</v>
      </c>
    </row>
    <row r="997" customFormat="false" ht="15" hidden="false" customHeight="true" outlineLevel="0" collapsed="false">
      <c r="A997" s="6" t="s">
        <v>3831</v>
      </c>
      <c r="B997" s="6" t="s">
        <v>559</v>
      </c>
      <c r="C997" s="6" t="s">
        <v>564</v>
      </c>
      <c r="D997" s="6" t="n">
        <v>6</v>
      </c>
      <c r="E997" s="9" t="s">
        <v>5206</v>
      </c>
      <c r="F997" s="6" t="n">
        <v>320000</v>
      </c>
      <c r="Q997" s="1" t="str">
        <f aca="false">IF($A807="","",IF(OR(F807="",I807=""),"",F807-I807))</f>
        <v/>
      </c>
      <c r="R997" s="1" t="str">
        <f aca="false">IF($A807="","",IF(Q807="","",Q807+IF(O807="",0,O807)))</f>
        <v/>
      </c>
      <c r="T997" s="1" t="str">
        <f aca="false">IF($A807="","",IF(R807="","",R807-IF(S807="",0,S807)))</f>
        <v/>
      </c>
      <c r="U997" s="1" t="str">
        <f aca="false">IF($A807="","",IF(I807="","",I807-SUM(J807:P807)))</f>
        <v/>
      </c>
      <c r="V997" s="6" t="s">
        <v>5338</v>
      </c>
      <c r="W997" s="9" t="s">
        <v>774</v>
      </c>
      <c r="X997" s="9" t="s">
        <v>5339</v>
      </c>
      <c r="Y997" s="9" t="s">
        <v>4897</v>
      </c>
      <c r="Z997" s="9" t="s">
        <v>4898</v>
      </c>
      <c r="AA997" s="9" t="s">
        <v>4903</v>
      </c>
    </row>
    <row r="998" customFormat="false" ht="15" hidden="false" customHeight="true" outlineLevel="0" collapsed="false">
      <c r="A998" s="6" t="s">
        <v>3834</v>
      </c>
      <c r="B998" s="6" t="s">
        <v>559</v>
      </c>
      <c r="C998" s="6" t="s">
        <v>564</v>
      </c>
      <c r="D998" s="6" t="n">
        <v>6</v>
      </c>
      <c r="E998" s="9" t="s">
        <v>5206</v>
      </c>
      <c r="F998" s="6" t="n">
        <v>211000</v>
      </c>
      <c r="Q998" s="1" t="str">
        <f aca="false">IF($A808="","",IF(OR(F808="",I808=""),"",F808-I808))</f>
        <v/>
      </c>
      <c r="R998" s="1" t="str">
        <f aca="false">IF($A808="","",IF(Q808="","",Q808+IF(O808="",0,O808)))</f>
        <v/>
      </c>
      <c r="T998" s="1" t="str">
        <f aca="false">IF($A808="","",IF(R808="","",R808-IF(S808="",0,S808)))</f>
        <v/>
      </c>
      <c r="U998" s="1" t="str">
        <f aca="false">IF($A808="","",IF(I808="","",I808-SUM(J808:P808)))</f>
        <v/>
      </c>
      <c r="V998" s="6" t="s">
        <v>5338</v>
      </c>
      <c r="W998" s="9" t="s">
        <v>774</v>
      </c>
      <c r="X998" s="9" t="s">
        <v>5339</v>
      </c>
      <c r="Y998" s="9" t="s">
        <v>4897</v>
      </c>
      <c r="Z998" s="9" t="s">
        <v>4898</v>
      </c>
      <c r="AA998" s="9" t="s">
        <v>4903</v>
      </c>
    </row>
    <row r="999" customFormat="false" ht="15" hidden="false" customHeight="true" outlineLevel="0" collapsed="false">
      <c r="A999" s="6" t="s">
        <v>3837</v>
      </c>
      <c r="B999" s="6" t="s">
        <v>559</v>
      </c>
      <c r="C999" s="6" t="s">
        <v>564</v>
      </c>
      <c r="D999" s="6" t="n">
        <v>6</v>
      </c>
      <c r="E999" s="9" t="s">
        <v>5206</v>
      </c>
      <c r="F999" s="6" t="n">
        <v>268000</v>
      </c>
      <c r="Q999" s="1" t="str">
        <f aca="false">IF($A809="","",IF(OR(F809="",I809=""),"",F809-I809))</f>
        <v/>
      </c>
      <c r="R999" s="1" t="str">
        <f aca="false">IF($A809="","",IF(Q809="","",Q809+IF(O809="",0,O809)))</f>
        <v/>
      </c>
      <c r="T999" s="1" t="str">
        <f aca="false">IF($A809="","",IF(R809="","",R809-IF(S809="",0,S809)))</f>
        <v/>
      </c>
      <c r="U999" s="1" t="str">
        <f aca="false">IF($A809="","",IF(I809="","",I809-SUM(J809:P809)))</f>
        <v/>
      </c>
      <c r="V999" s="6" t="s">
        <v>5338</v>
      </c>
      <c r="W999" s="9" t="s">
        <v>774</v>
      </c>
      <c r="X999" s="9" t="s">
        <v>5339</v>
      </c>
      <c r="Y999" s="9" t="s">
        <v>4897</v>
      </c>
      <c r="Z999" s="9" t="s">
        <v>4898</v>
      </c>
      <c r="AA999" s="9" t="s">
        <v>4903</v>
      </c>
    </row>
    <row r="1000" customFormat="false" ht="15" hidden="false" customHeight="true" outlineLevel="0" collapsed="false">
      <c r="A1000" s="6" t="s">
        <v>3841</v>
      </c>
      <c r="B1000" s="6" t="s">
        <v>559</v>
      </c>
      <c r="C1000" s="6" t="s">
        <v>564</v>
      </c>
      <c r="D1000" s="6" t="n">
        <v>6</v>
      </c>
      <c r="E1000" s="9" t="s">
        <v>5206</v>
      </c>
      <c r="F1000" s="6" t="n">
        <v>247000</v>
      </c>
      <c r="Q1000" s="1" t="str">
        <f aca="false">IF($A810="","",IF(OR(F810="",I810=""),"",F810-I810))</f>
        <v/>
      </c>
      <c r="R1000" s="1" t="str">
        <f aca="false">IF($A810="","",IF(Q810="","",Q810+IF(O810="",0,O810)))</f>
        <v/>
      </c>
      <c r="T1000" s="1" t="str">
        <f aca="false">IF($A810="","",IF(R810="","",R810-IF(S810="",0,S810)))</f>
        <v/>
      </c>
      <c r="U1000" s="1" t="str">
        <f aca="false">IF($A810="","",IF(I810="","",I810-SUM(J810:P810)))</f>
        <v/>
      </c>
      <c r="V1000" s="6" t="s">
        <v>5338</v>
      </c>
      <c r="W1000" s="9" t="s">
        <v>774</v>
      </c>
      <c r="X1000" s="9" t="s">
        <v>5339</v>
      </c>
      <c r="Y1000" s="9" t="s">
        <v>4897</v>
      </c>
      <c r="Z1000" s="9" t="s">
        <v>4898</v>
      </c>
      <c r="AA1000" s="9" t="s">
        <v>4903</v>
      </c>
    </row>
    <row r="1001" customFormat="false" ht="15" hidden="false" customHeight="true" outlineLevel="0" collapsed="false">
      <c r="A1001" s="6" t="s">
        <v>3844</v>
      </c>
      <c r="B1001" s="6" t="s">
        <v>559</v>
      </c>
      <c r="C1001" s="6" t="s">
        <v>564</v>
      </c>
      <c r="D1001" s="6" t="n">
        <v>6</v>
      </c>
      <c r="E1001" s="9" t="s">
        <v>5206</v>
      </c>
      <c r="F1001" s="6" t="n">
        <v>101000</v>
      </c>
      <c r="Q1001" s="1" t="str">
        <f aca="false">IF($A811="","",IF(OR(F811="",I811=""),"",F811-I811))</f>
        <v/>
      </c>
      <c r="R1001" s="1" t="str">
        <f aca="false">IF($A811="","",IF(Q811="","",Q811+IF(O811="",0,O811)))</f>
        <v/>
      </c>
      <c r="T1001" s="1" t="str">
        <f aca="false">IF($A811="","",IF(R811="","",R811-IF(S811="",0,S811)))</f>
        <v/>
      </c>
      <c r="U1001" s="1" t="str">
        <f aca="false">IF($A811="","",IF(I811="","",I811-SUM(J811:P811)))</f>
        <v/>
      </c>
      <c r="V1001" s="6" t="s">
        <v>5338</v>
      </c>
      <c r="W1001" s="9" t="s">
        <v>774</v>
      </c>
      <c r="X1001" s="9" t="s">
        <v>5339</v>
      </c>
      <c r="Y1001" s="9" t="s">
        <v>4897</v>
      </c>
      <c r="Z1001" s="9" t="s">
        <v>4898</v>
      </c>
      <c r="AA1001" s="9" t="s">
        <v>4903</v>
      </c>
    </row>
    <row r="1002" customFormat="false" ht="15" hidden="false" customHeight="true" outlineLevel="0" collapsed="false">
      <c r="A1002" s="6" t="s">
        <v>3847</v>
      </c>
      <c r="B1002" s="6" t="s">
        <v>559</v>
      </c>
      <c r="C1002" s="6" t="s">
        <v>564</v>
      </c>
      <c r="D1002" s="6" t="n">
        <v>6</v>
      </c>
      <c r="E1002" s="9" t="s">
        <v>5206</v>
      </c>
      <c r="F1002" s="6" t="n">
        <v>236000</v>
      </c>
      <c r="Q1002" s="1" t="str">
        <f aca="false">IF($A812="","",IF(OR(F812="",I812=""),"",F812-I812))</f>
        <v/>
      </c>
      <c r="R1002" s="1" t="str">
        <f aca="false">IF($A812="","",IF(Q812="","",Q812+IF(O812="",0,O812)))</f>
        <v/>
      </c>
      <c r="T1002" s="1" t="str">
        <f aca="false">IF($A812="","",IF(R812="","",R812-IF(S812="",0,S812)))</f>
        <v/>
      </c>
      <c r="U1002" s="1" t="str">
        <f aca="false">IF($A812="","",IF(I812="","",I812-SUM(J812:P812)))</f>
        <v/>
      </c>
      <c r="V1002" s="6" t="s">
        <v>5338</v>
      </c>
      <c r="W1002" s="9" t="s">
        <v>774</v>
      </c>
      <c r="X1002" s="9" t="s">
        <v>5339</v>
      </c>
      <c r="Y1002" s="9" t="s">
        <v>4897</v>
      </c>
      <c r="Z1002" s="9" t="s">
        <v>4898</v>
      </c>
      <c r="AA1002" s="9" t="s">
        <v>4903</v>
      </c>
    </row>
    <row r="1003" customFormat="false" ht="15" hidden="false" customHeight="true" outlineLevel="0" collapsed="false">
      <c r="A1003" s="6" t="s">
        <v>3850</v>
      </c>
      <c r="B1003" s="6" t="s">
        <v>559</v>
      </c>
      <c r="C1003" s="6" t="s">
        <v>564</v>
      </c>
      <c r="D1003" s="6" t="n">
        <v>6</v>
      </c>
      <c r="E1003" s="9" t="s">
        <v>5206</v>
      </c>
      <c r="F1003" s="6" t="n">
        <v>207000</v>
      </c>
      <c r="Q1003" s="1" t="str">
        <f aca="false">IF($A813="","",IF(OR(F813="",I813=""),"",F813-I813))</f>
        <v/>
      </c>
      <c r="R1003" s="1" t="str">
        <f aca="false">IF($A813="","",IF(Q813="","",Q813+IF(O813="",0,O813)))</f>
        <v/>
      </c>
      <c r="T1003" s="1" t="str">
        <f aca="false">IF($A813="","",IF(R813="","",R813-IF(S813="",0,S813)))</f>
        <v/>
      </c>
      <c r="U1003" s="1" t="str">
        <f aca="false">IF($A813="","",IF(I813="","",I813-SUM(J813:P813)))</f>
        <v/>
      </c>
      <c r="V1003" s="6" t="s">
        <v>5338</v>
      </c>
      <c r="W1003" s="9" t="s">
        <v>774</v>
      </c>
      <c r="X1003" s="9" t="s">
        <v>5339</v>
      </c>
      <c r="Y1003" s="9" t="s">
        <v>4897</v>
      </c>
      <c r="Z1003" s="9" t="s">
        <v>4898</v>
      </c>
      <c r="AA1003" s="9" t="s">
        <v>4903</v>
      </c>
    </row>
    <row r="1004" customFormat="false" ht="15" hidden="false" customHeight="true" outlineLevel="0" collapsed="false">
      <c r="A1004" s="6" t="s">
        <v>3853</v>
      </c>
      <c r="B1004" s="6" t="s">
        <v>559</v>
      </c>
      <c r="C1004" s="6" t="s">
        <v>564</v>
      </c>
      <c r="D1004" s="6" t="n">
        <v>6</v>
      </c>
      <c r="E1004" s="9" t="s">
        <v>5206</v>
      </c>
      <c r="F1004" s="6" t="n">
        <v>124000</v>
      </c>
      <c r="Q1004" s="1" t="str">
        <f aca="false">IF($A814="","",IF(OR(F814="",I814=""),"",F814-I814))</f>
        <v/>
      </c>
      <c r="R1004" s="1" t="str">
        <f aca="false">IF($A814="","",IF(Q814="","",Q814+IF(O814="",0,O814)))</f>
        <v/>
      </c>
      <c r="T1004" s="1" t="str">
        <f aca="false">IF($A814="","",IF(R814="","",R814-IF(S814="",0,S814)))</f>
        <v/>
      </c>
      <c r="U1004" s="1" t="str">
        <f aca="false">IF($A814="","",IF(I814="","",I814-SUM(J814:P814)))</f>
        <v/>
      </c>
      <c r="V1004" s="6" t="s">
        <v>5338</v>
      </c>
      <c r="W1004" s="9" t="s">
        <v>774</v>
      </c>
      <c r="X1004" s="9" t="s">
        <v>5339</v>
      </c>
      <c r="Y1004" s="9" t="s">
        <v>4897</v>
      </c>
      <c r="Z1004" s="9" t="s">
        <v>4898</v>
      </c>
      <c r="AA1004" s="9" t="s">
        <v>4903</v>
      </c>
    </row>
    <row r="1005" customFormat="false" ht="15" hidden="false" customHeight="true" outlineLevel="0" collapsed="false">
      <c r="A1005" s="6" t="s">
        <v>3856</v>
      </c>
      <c r="B1005" s="6" t="s">
        <v>559</v>
      </c>
      <c r="C1005" s="6" t="s">
        <v>564</v>
      </c>
      <c r="D1005" s="6" t="n">
        <v>6</v>
      </c>
      <c r="E1005" s="9" t="s">
        <v>5206</v>
      </c>
      <c r="F1005" s="6" t="n">
        <v>344000</v>
      </c>
      <c r="Q1005" s="1" t="str">
        <f aca="false">IF($A815="","",IF(OR(F815="",I815=""),"",F815-I815))</f>
        <v/>
      </c>
      <c r="R1005" s="1" t="n">
        <f aca="false">IF($A815="","",IF(Q815="","",Q815+IF(O815="",0,O815)))</f>
        <v>57664</v>
      </c>
      <c r="T1005" s="1" t="n">
        <f aca="false">IF($A815="","",IF(R815="","",R815-IF(S815="",0,S815)))</f>
        <v>91141</v>
      </c>
      <c r="U1005" s="1" t="str">
        <f aca="false">IF($A815="","",IF(I815="","",I815-SUM(J815:P815)))</f>
        <v/>
      </c>
      <c r="V1005" s="6" t="s">
        <v>5338</v>
      </c>
      <c r="W1005" s="9" t="s">
        <v>774</v>
      </c>
      <c r="X1005" s="9" t="s">
        <v>5339</v>
      </c>
      <c r="Y1005" s="9" t="s">
        <v>4897</v>
      </c>
      <c r="Z1005" s="9" t="s">
        <v>4898</v>
      </c>
      <c r="AA1005" s="9" t="s">
        <v>4903</v>
      </c>
    </row>
    <row r="1006" customFormat="false" ht="15" hidden="false" customHeight="true" outlineLevel="0" collapsed="false">
      <c r="A1006" s="6" t="s">
        <v>3859</v>
      </c>
      <c r="B1006" s="6" t="s">
        <v>559</v>
      </c>
      <c r="C1006" s="6" t="s">
        <v>564</v>
      </c>
      <c r="D1006" s="6" t="n">
        <v>6</v>
      </c>
      <c r="E1006" s="9" t="s">
        <v>5206</v>
      </c>
      <c r="F1006" s="6" t="n">
        <v>151000</v>
      </c>
      <c r="Q1006" s="1" t="str">
        <f aca="false">IF($A816="","",IF(OR(F816="",I816=""),"",F816-I816))</f>
        <v/>
      </c>
      <c r="R1006" s="1" t="str">
        <f aca="false">IF($A816="","",IF(Q816="","",Q816+IF(O816="",0,O816)))</f>
        <v/>
      </c>
      <c r="T1006" s="1" t="str">
        <f aca="false">IF($A816="","",IF(R816="","",R816-IF(S816="",0,S816)))</f>
        <v/>
      </c>
      <c r="U1006" s="1" t="str">
        <f aca="false">IF($A816="","",IF(I816="","",I816-SUM(J816:P816)))</f>
        <v/>
      </c>
      <c r="V1006" s="6" t="s">
        <v>5338</v>
      </c>
      <c r="W1006" s="9" t="s">
        <v>774</v>
      </c>
      <c r="X1006" s="9" t="s">
        <v>5339</v>
      </c>
      <c r="Y1006" s="9" t="s">
        <v>4897</v>
      </c>
      <c r="Z1006" s="9" t="s">
        <v>4898</v>
      </c>
      <c r="AA1006" s="9" t="s">
        <v>4903</v>
      </c>
    </row>
    <row r="1007" customFormat="false" ht="15" hidden="false" customHeight="true" outlineLevel="0" collapsed="false">
      <c r="A1007" s="6" t="s">
        <v>3862</v>
      </c>
      <c r="B1007" s="6" t="s">
        <v>559</v>
      </c>
      <c r="C1007" s="6" t="s">
        <v>564</v>
      </c>
      <c r="D1007" s="6" t="n">
        <v>6</v>
      </c>
      <c r="E1007" s="9" t="s">
        <v>5211</v>
      </c>
      <c r="F1007" s="6" t="n">
        <v>134000</v>
      </c>
      <c r="Q1007" s="1" t="str">
        <f aca="false">IF($A817="","",IF(OR(F817="",I817=""),"",F817-I817))</f>
        <v/>
      </c>
      <c r="R1007" s="1" t="str">
        <f aca="false">IF($A817="","",IF(Q817="","",Q817+IF(O817="",0,O817)))</f>
        <v/>
      </c>
      <c r="T1007" s="1" t="str">
        <f aca="false">IF($A817="","",IF(R817="","",R817-IF(S817="",0,S817)))</f>
        <v/>
      </c>
      <c r="U1007" s="1" t="str">
        <f aca="false">IF($A817="","",IF(I817="","",I817-SUM(J817:P817)))</f>
        <v/>
      </c>
      <c r="V1007" s="6" t="s">
        <v>5338</v>
      </c>
      <c r="W1007" s="9" t="s">
        <v>774</v>
      </c>
      <c r="X1007" s="9" t="s">
        <v>5340</v>
      </c>
      <c r="Y1007" s="6" t="s">
        <v>4920</v>
      </c>
      <c r="Z1007" s="9" t="s">
        <v>4981</v>
      </c>
      <c r="AA1007" s="9" t="s">
        <v>4903</v>
      </c>
    </row>
    <row r="1008" customFormat="false" ht="15" hidden="false" customHeight="true" outlineLevel="0" collapsed="false">
      <c r="A1008" s="6" t="s">
        <v>3865</v>
      </c>
      <c r="B1008" s="6" t="s">
        <v>559</v>
      </c>
      <c r="C1008" s="6" t="s">
        <v>564</v>
      </c>
      <c r="D1008" s="6" t="n">
        <v>6</v>
      </c>
      <c r="E1008" s="9" t="s">
        <v>5206</v>
      </c>
      <c r="F1008" s="6" t="n">
        <v>88000</v>
      </c>
      <c r="Q1008" s="1" t="str">
        <f aca="false">IF($A818="","",IF(OR(F818="",I818=""),"",F818-I818))</f>
        <v/>
      </c>
      <c r="R1008" s="1" t="str">
        <f aca="false">IF($A818="","",IF(Q818="","",Q818+IF(O818="",0,O818)))</f>
        <v/>
      </c>
      <c r="T1008" s="1" t="str">
        <f aca="false">IF($A818="","",IF(R818="","",R818-IF(S818="",0,S818)))</f>
        <v/>
      </c>
      <c r="U1008" s="1" t="str">
        <f aca="false">IF($A818="","",IF(I818="","",I818-SUM(J818:P818)))</f>
        <v/>
      </c>
      <c r="V1008" s="6" t="s">
        <v>5338</v>
      </c>
      <c r="W1008" s="9" t="s">
        <v>774</v>
      </c>
      <c r="X1008" s="9" t="s">
        <v>5339</v>
      </c>
      <c r="Y1008" s="9" t="s">
        <v>4897</v>
      </c>
      <c r="Z1008" s="9" t="s">
        <v>4898</v>
      </c>
      <c r="AA1008" s="9" t="s">
        <v>4903</v>
      </c>
    </row>
    <row r="1009" customFormat="false" ht="15" hidden="false" customHeight="true" outlineLevel="0" collapsed="false">
      <c r="A1009" s="6" t="s">
        <v>3868</v>
      </c>
      <c r="B1009" s="6" t="s">
        <v>559</v>
      </c>
      <c r="C1009" s="6" t="s">
        <v>564</v>
      </c>
      <c r="D1009" s="6" t="n">
        <v>6</v>
      </c>
      <c r="E1009" s="9" t="s">
        <v>5206</v>
      </c>
      <c r="F1009" s="6" t="n">
        <v>706000</v>
      </c>
      <c r="Q1009" s="1" t="str">
        <f aca="false">IF($A819="","",IF(OR(F819="",I819=""),"",F819-I819))</f>
        <v/>
      </c>
      <c r="R1009" s="1" t="str">
        <f aca="false">IF($A819="","",IF(Q819="","",Q819+IF(O819="",0,O819)))</f>
        <v/>
      </c>
      <c r="T1009" s="1" t="str">
        <f aca="false">IF($A819="","",IF(R819="","",R819-IF(S819="",0,S819)))</f>
        <v/>
      </c>
      <c r="U1009" s="1" t="str">
        <f aca="false">IF($A819="","",IF(I819="","",I819-SUM(J819:P819)))</f>
        <v/>
      </c>
      <c r="V1009" s="6" t="s">
        <v>5338</v>
      </c>
      <c r="W1009" s="9" t="s">
        <v>774</v>
      </c>
      <c r="X1009" s="9" t="s">
        <v>5339</v>
      </c>
      <c r="Y1009" s="9" t="s">
        <v>4897</v>
      </c>
      <c r="Z1009" s="9" t="s">
        <v>4898</v>
      </c>
      <c r="AA1009" s="9" t="s">
        <v>4903</v>
      </c>
    </row>
    <row r="1010" customFormat="false" ht="15" hidden="false" customHeight="true" outlineLevel="0" collapsed="false">
      <c r="A1010" s="6" t="s">
        <v>3871</v>
      </c>
      <c r="B1010" s="6" t="s">
        <v>559</v>
      </c>
      <c r="C1010" s="6" t="s">
        <v>564</v>
      </c>
      <c r="D1010" s="6" t="n">
        <v>6</v>
      </c>
      <c r="E1010" s="9" t="s">
        <v>5206</v>
      </c>
      <c r="F1010" s="6" t="n">
        <v>113000</v>
      </c>
      <c r="Q1010" s="1" t="str">
        <f aca="false">IF($A820="","",IF(OR(F820="",I820=""),"",F820-I820))</f>
        <v/>
      </c>
      <c r="R1010" s="1" t="str">
        <f aca="false">IF($A820="","",IF(Q820="","",Q820+IF(O820="",0,O820)))</f>
        <v/>
      </c>
      <c r="T1010" s="1" t="str">
        <f aca="false">IF($A820="","",IF(R820="","",R820-IF(S820="",0,S820)))</f>
        <v/>
      </c>
      <c r="U1010" s="1" t="str">
        <f aca="false">IF($A820="","",IF(I820="","",I820-SUM(J820:P820)))</f>
        <v/>
      </c>
      <c r="V1010" s="6" t="s">
        <v>5338</v>
      </c>
      <c r="W1010" s="9" t="s">
        <v>774</v>
      </c>
      <c r="X1010" s="9" t="s">
        <v>5339</v>
      </c>
      <c r="Y1010" s="9" t="s">
        <v>4897</v>
      </c>
      <c r="Z1010" s="9" t="s">
        <v>4898</v>
      </c>
      <c r="AA1010" s="9" t="s">
        <v>4903</v>
      </c>
    </row>
    <row r="1011" customFormat="false" ht="15" hidden="false" customHeight="true" outlineLevel="0" collapsed="false">
      <c r="A1011" s="6" t="s">
        <v>3874</v>
      </c>
      <c r="B1011" s="6" t="s">
        <v>559</v>
      </c>
      <c r="C1011" s="6" t="s">
        <v>564</v>
      </c>
      <c r="D1011" s="6" t="n">
        <v>6</v>
      </c>
      <c r="E1011" s="9" t="s">
        <v>5206</v>
      </c>
      <c r="F1011" s="6" t="n">
        <v>389000</v>
      </c>
      <c r="Q1011" s="1" t="str">
        <f aca="false">IF($A821="","",IF(OR(F821="",I821=""),"",F821-I821))</f>
        <v/>
      </c>
      <c r="R1011" s="1" t="n">
        <f aca="false">IF($A821="","",IF(Q821="","",Q821+IF(O821="",0,O821)))</f>
        <v>3175</v>
      </c>
      <c r="T1011" s="1" t="n">
        <f aca="false">IF($A821="","",IF(R821="","",R821-IF(S821="",0,S821)))</f>
        <v>61902</v>
      </c>
      <c r="U1011" s="1" t="str">
        <f aca="false">IF($A821="","",IF(I821="","",I821-SUM(J821:P821)))</f>
        <v/>
      </c>
      <c r="V1011" s="6" t="s">
        <v>5338</v>
      </c>
      <c r="W1011" s="9" t="s">
        <v>774</v>
      </c>
      <c r="X1011" s="9" t="s">
        <v>5339</v>
      </c>
      <c r="Y1011" s="9" t="s">
        <v>4897</v>
      </c>
      <c r="Z1011" s="9" t="s">
        <v>4898</v>
      </c>
      <c r="AA1011" s="9" t="s">
        <v>4903</v>
      </c>
    </row>
    <row r="1012" customFormat="false" ht="15" hidden="false" customHeight="true" outlineLevel="0" collapsed="false">
      <c r="A1012" s="6" t="s">
        <v>3877</v>
      </c>
      <c r="B1012" s="6" t="s">
        <v>559</v>
      </c>
      <c r="C1012" s="6" t="s">
        <v>564</v>
      </c>
      <c r="D1012" s="6" t="n">
        <v>6</v>
      </c>
      <c r="E1012" s="9" t="s">
        <v>5206</v>
      </c>
      <c r="F1012" s="6" t="n">
        <v>180000</v>
      </c>
      <c r="Q1012" s="1" t="str">
        <f aca="false">IF($A822="","",IF(OR(F822="",I822=""),"",F822-I822))</f>
        <v/>
      </c>
      <c r="R1012" s="1" t="n">
        <f aca="false">IF($A822="","",IF(Q822="","",Q822+IF(O822="",0,O822)))</f>
        <v>32446</v>
      </c>
      <c r="T1012" s="1" t="n">
        <f aca="false">IF($A822="","",IF(R822="","",R822-IF(S822="",0,S822)))</f>
        <v>221263</v>
      </c>
      <c r="U1012" s="1" t="str">
        <f aca="false">IF($A822="","",IF(I822="","",I822-SUM(J822:P822)))</f>
        <v/>
      </c>
      <c r="V1012" s="6" t="s">
        <v>5338</v>
      </c>
      <c r="W1012" s="9" t="s">
        <v>774</v>
      </c>
      <c r="X1012" s="9" t="s">
        <v>5339</v>
      </c>
      <c r="Y1012" s="9" t="s">
        <v>4897</v>
      </c>
      <c r="Z1012" s="9" t="s">
        <v>4898</v>
      </c>
      <c r="AA1012" s="9" t="s">
        <v>4903</v>
      </c>
    </row>
    <row r="1013" customFormat="false" ht="15" hidden="false" customHeight="true" outlineLevel="0" collapsed="false">
      <c r="A1013" s="6" t="s">
        <v>3880</v>
      </c>
      <c r="B1013" s="6" t="s">
        <v>559</v>
      </c>
      <c r="C1013" s="6" t="s">
        <v>564</v>
      </c>
      <c r="D1013" s="6" t="n">
        <v>6</v>
      </c>
      <c r="E1013" s="9" t="s">
        <v>5206</v>
      </c>
      <c r="F1013" s="6" t="n">
        <v>108000</v>
      </c>
      <c r="Q1013" s="1" t="str">
        <f aca="false">IF($A823="","",IF(OR(F823="",I823=""),"",F823-I823))</f>
        <v/>
      </c>
      <c r="R1013" s="1" t="n">
        <f aca="false">IF($A823="","",IF(Q823="","",Q823+IF(O823="",0,O823)))</f>
        <v>19255</v>
      </c>
      <c r="T1013" s="1" t="n">
        <f aca="false">IF($A823="","",IF(R823="","",R823-IF(S823="",0,S823)))</f>
        <v>62293</v>
      </c>
      <c r="U1013" s="1" t="str">
        <f aca="false">IF($A823="","",IF(I823="","",I823-SUM(J823:P823)))</f>
        <v/>
      </c>
      <c r="V1013" s="6" t="s">
        <v>5338</v>
      </c>
      <c r="W1013" s="9" t="s">
        <v>774</v>
      </c>
      <c r="X1013" s="9" t="s">
        <v>5339</v>
      </c>
      <c r="Y1013" s="9" t="s">
        <v>4897</v>
      </c>
      <c r="Z1013" s="9" t="s">
        <v>4898</v>
      </c>
      <c r="AA1013" s="9" t="s">
        <v>4903</v>
      </c>
    </row>
    <row r="1014" customFormat="false" ht="15" hidden="false" customHeight="true" outlineLevel="0" collapsed="false">
      <c r="A1014" s="6" t="s">
        <v>3883</v>
      </c>
      <c r="B1014" s="6" t="s">
        <v>559</v>
      </c>
      <c r="C1014" s="6" t="s">
        <v>564</v>
      </c>
      <c r="D1014" s="6" t="n">
        <v>6</v>
      </c>
      <c r="E1014" s="9" t="s">
        <v>5206</v>
      </c>
      <c r="F1014" s="6" t="n">
        <v>107000</v>
      </c>
      <c r="Q1014" s="1" t="str">
        <f aca="false">IF($A824="","",IF(OR(F824="",I824=""),"",F824-I824))</f>
        <v/>
      </c>
      <c r="R1014" s="1" t="n">
        <f aca="false">IF($A824="","",IF(Q824="","",Q824+IF(O824="",0,O824)))</f>
        <v>23283</v>
      </c>
      <c r="T1014" s="1" t="n">
        <f aca="false">IF($A824="","",IF(R824="","",R824-IF(S824="",0,S824)))</f>
        <v>32939</v>
      </c>
      <c r="U1014" s="1" t="str">
        <f aca="false">IF($A824="","",IF(I824="","",I824-SUM(J824:P824)))</f>
        <v/>
      </c>
      <c r="V1014" s="6" t="s">
        <v>5338</v>
      </c>
      <c r="W1014" s="9" t="s">
        <v>774</v>
      </c>
      <c r="X1014" s="9" t="s">
        <v>5339</v>
      </c>
      <c r="Y1014" s="9" t="s">
        <v>4897</v>
      </c>
      <c r="Z1014" s="9" t="s">
        <v>4898</v>
      </c>
      <c r="AA1014" s="9" t="s">
        <v>4903</v>
      </c>
    </row>
    <row r="1015" customFormat="false" ht="15" hidden="false" customHeight="true" outlineLevel="0" collapsed="false">
      <c r="A1015" s="6" t="s">
        <v>3886</v>
      </c>
      <c r="B1015" s="6" t="s">
        <v>559</v>
      </c>
      <c r="C1015" s="6" t="s">
        <v>564</v>
      </c>
      <c r="D1015" s="6" t="n">
        <v>6</v>
      </c>
      <c r="E1015" s="9" t="s">
        <v>5206</v>
      </c>
      <c r="F1015" s="6" t="n">
        <v>136000</v>
      </c>
      <c r="Q1015" s="1" t="str">
        <f aca="false">IF($A825="","",IF(OR(F825="",I825=""),"",F825-I825))</f>
        <v/>
      </c>
      <c r="R1015" s="1" t="n">
        <f aca="false">IF($A825="","",IF(Q825="","",Q825+IF(O825="",0,O825)))</f>
        <v>25</v>
      </c>
      <c r="T1015" s="1" t="n">
        <f aca="false">IF($A825="","",IF(R825="","",R825-IF(S825="",0,S825)))</f>
        <v>26934</v>
      </c>
      <c r="U1015" s="1" t="str">
        <f aca="false">IF($A825="","",IF(I825="","",I825-SUM(J825:P825)))</f>
        <v/>
      </c>
      <c r="V1015" s="6" t="s">
        <v>5338</v>
      </c>
      <c r="W1015" s="9" t="s">
        <v>774</v>
      </c>
      <c r="X1015" s="9" t="s">
        <v>5339</v>
      </c>
      <c r="Y1015" s="9" t="s">
        <v>4897</v>
      </c>
      <c r="Z1015" s="9" t="s">
        <v>4898</v>
      </c>
      <c r="AA1015" s="9" t="s">
        <v>4903</v>
      </c>
    </row>
    <row r="1016" customFormat="false" ht="15" hidden="false" customHeight="true" outlineLevel="0" collapsed="false">
      <c r="A1016" s="6" t="s">
        <v>3889</v>
      </c>
      <c r="B1016" s="6" t="s">
        <v>559</v>
      </c>
      <c r="C1016" s="6" t="s">
        <v>564</v>
      </c>
      <c r="D1016" s="6" t="n">
        <v>6</v>
      </c>
      <c r="E1016" s="9" t="s">
        <v>5206</v>
      </c>
      <c r="F1016" s="6" t="n">
        <v>224000</v>
      </c>
      <c r="Q1016" s="1" t="str">
        <f aca="false">IF($A826="","",IF(OR(F826="",I826=""),"",F826-I826))</f>
        <v/>
      </c>
      <c r="R1016" s="1" t="n">
        <f aca="false">IF($A826="","",IF(Q826="","",Q826+IF(O826="",0,O826)))</f>
        <v>54114</v>
      </c>
      <c r="T1016" s="1" t="n">
        <f aca="false">IF($A826="","",IF(R826="","",R826-IF(S826="",0,S826)))</f>
        <v>292020</v>
      </c>
      <c r="U1016" s="1" t="str">
        <f aca="false">IF($A826="","",IF(I826="","",I826-SUM(J826:P826)))</f>
        <v/>
      </c>
      <c r="V1016" s="6" t="s">
        <v>5338</v>
      </c>
      <c r="W1016" s="9" t="s">
        <v>774</v>
      </c>
      <c r="X1016" s="9" t="s">
        <v>5339</v>
      </c>
      <c r="Y1016" s="9" t="s">
        <v>4897</v>
      </c>
      <c r="Z1016" s="9" t="s">
        <v>4898</v>
      </c>
      <c r="AA1016" s="9" t="s">
        <v>4903</v>
      </c>
    </row>
    <row r="1017" customFormat="false" ht="15" hidden="false" customHeight="true" outlineLevel="0" collapsed="false">
      <c r="A1017" s="6" t="s">
        <v>3892</v>
      </c>
      <c r="B1017" s="6" t="s">
        <v>559</v>
      </c>
      <c r="C1017" s="6" t="s">
        <v>564</v>
      </c>
      <c r="D1017" s="6" t="n">
        <v>6</v>
      </c>
      <c r="E1017" s="9" t="s">
        <v>5206</v>
      </c>
      <c r="F1017" s="6" t="n">
        <v>115000</v>
      </c>
      <c r="Q1017" s="1" t="str">
        <f aca="false">IF($A827="","",IF(OR(F827="",I827=""),"",F827-I827))</f>
        <v/>
      </c>
      <c r="R1017" s="1" t="n">
        <f aca="false">IF($A827="","",IF(Q827="","",Q827+IF(O827="",0,O827)))</f>
        <v>24836</v>
      </c>
      <c r="T1017" s="1" t="n">
        <f aca="false">IF($A827="","",IF(R827="","",R827-IF(S827="",0,S827)))</f>
        <v>532263</v>
      </c>
      <c r="U1017" s="1" t="str">
        <f aca="false">IF($A827="","",IF(I827="","",I827-SUM(J827:P827)))</f>
        <v/>
      </c>
      <c r="V1017" s="6" t="s">
        <v>5338</v>
      </c>
      <c r="W1017" s="9" t="s">
        <v>774</v>
      </c>
      <c r="X1017" s="9" t="s">
        <v>5339</v>
      </c>
      <c r="Y1017" s="9" t="s">
        <v>4897</v>
      </c>
      <c r="Z1017" s="9" t="s">
        <v>4898</v>
      </c>
      <c r="AA1017" s="9" t="s">
        <v>4903</v>
      </c>
    </row>
    <row r="1018" customFormat="false" ht="15" hidden="false" customHeight="true" outlineLevel="0" collapsed="false">
      <c r="A1018" s="6" t="s">
        <v>3895</v>
      </c>
      <c r="B1018" s="6" t="s">
        <v>559</v>
      </c>
      <c r="C1018" s="6" t="s">
        <v>564</v>
      </c>
      <c r="D1018" s="6" t="n">
        <v>6</v>
      </c>
      <c r="E1018" s="9" t="s">
        <v>5206</v>
      </c>
      <c r="F1018" s="6" t="n">
        <v>173000</v>
      </c>
      <c r="Q1018" s="1" t="str">
        <f aca="false">IF($A829="","",IF(OR(F829="",I829=""),"",F829-I829))</f>
        <v/>
      </c>
      <c r="R1018" s="1" t="n">
        <f aca="false">IF($A829="","",IF(Q829="","",Q829+IF(O829="",0,O829)))</f>
        <v>121000</v>
      </c>
      <c r="T1018" s="1" t="n">
        <f aca="false">IF($A829="","",IF(R829="","",R829-IF(S829="",0,S829)))</f>
        <v>64830</v>
      </c>
      <c r="U1018" s="1" t="str">
        <f aca="false">IF($A829="","",IF(I829="","",I829-SUM(J829:P829)))</f>
        <v/>
      </c>
      <c r="V1018" s="6" t="s">
        <v>5342</v>
      </c>
      <c r="W1018" s="9" t="s">
        <v>774</v>
      </c>
      <c r="X1018" s="9" t="s">
        <v>5343</v>
      </c>
      <c r="Y1018" s="9" t="s">
        <v>4897</v>
      </c>
      <c r="Z1018" s="9" t="s">
        <v>4898</v>
      </c>
      <c r="AA1018" s="9" t="s">
        <v>4903</v>
      </c>
    </row>
    <row r="1019" customFormat="false" ht="15" hidden="false" customHeight="true" outlineLevel="0" collapsed="false">
      <c r="A1019" s="6" t="s">
        <v>3898</v>
      </c>
      <c r="B1019" s="6" t="s">
        <v>559</v>
      </c>
      <c r="C1019" s="6" t="s">
        <v>564</v>
      </c>
      <c r="D1019" s="6" t="n">
        <v>6</v>
      </c>
      <c r="E1019" s="9" t="s">
        <v>5206</v>
      </c>
      <c r="F1019" s="6" t="n">
        <v>112000</v>
      </c>
      <c r="Q1019" s="1" t="str">
        <f aca="false">IF($A830="","",IF(OR(F830="",I830=""),"",F830-I830))</f>
        <v/>
      </c>
      <c r="R1019" s="1" t="n">
        <f aca="false">IF($A830="","",IF(Q830="","",Q830+IF(O830="",0,O830)))</f>
        <v>7000</v>
      </c>
      <c r="T1019" s="1" t="n">
        <f aca="false">IF($A830="","",IF(R830="","",R830-IF(S830="",0,S830)))</f>
        <v>1825000</v>
      </c>
      <c r="U1019" s="1" t="str">
        <f aca="false">IF($A830="","",IF(I830="","",I830-SUM(J830:P830)))</f>
        <v/>
      </c>
      <c r="V1019" s="6" t="s">
        <v>5342</v>
      </c>
      <c r="W1019" s="9" t="s">
        <v>774</v>
      </c>
      <c r="X1019" s="9" t="s">
        <v>5343</v>
      </c>
      <c r="Y1019" s="9" t="s">
        <v>4897</v>
      </c>
      <c r="Z1019" s="9" t="s">
        <v>4898</v>
      </c>
      <c r="AA1019" s="9" t="s">
        <v>4903</v>
      </c>
    </row>
    <row r="1020" customFormat="false" ht="15" hidden="false" customHeight="true" outlineLevel="0" collapsed="false">
      <c r="A1020" s="6" t="s">
        <v>3901</v>
      </c>
      <c r="B1020" s="6" t="s">
        <v>559</v>
      </c>
      <c r="C1020" s="6" t="s">
        <v>564</v>
      </c>
      <c r="D1020" s="6" t="n">
        <v>6</v>
      </c>
      <c r="E1020" s="9" t="s">
        <v>5206</v>
      </c>
      <c r="F1020" s="6" t="n">
        <v>62000</v>
      </c>
      <c r="Q1020" s="1" t="str">
        <f aca="false">IF($A831="","",IF(OR(F831="",I831=""),"",F831-I831))</f>
        <v/>
      </c>
      <c r="R1020" s="1" t="n">
        <f aca="false">IF($A831="","",IF(Q831="","",Q831+IF(O831="",0,O831)))</f>
        <v>68000</v>
      </c>
      <c r="T1020" s="1" t="n">
        <f aca="false">IF($A831="","",IF(R831="","",R831-IF(S831="",0,S831)))</f>
        <v>100679</v>
      </c>
      <c r="U1020" s="1" t="str">
        <f aca="false">IF($A831="","",IF(I831="","",I831-SUM(J831:P831)))</f>
        <v/>
      </c>
      <c r="V1020" s="6" t="s">
        <v>5342</v>
      </c>
      <c r="W1020" s="9" t="s">
        <v>774</v>
      </c>
      <c r="X1020" s="9" t="s">
        <v>5343</v>
      </c>
      <c r="Y1020" s="9" t="s">
        <v>4897</v>
      </c>
      <c r="Z1020" s="9" t="s">
        <v>4898</v>
      </c>
      <c r="AA1020" s="9" t="s">
        <v>4903</v>
      </c>
    </row>
    <row r="1021" customFormat="false" ht="15" hidden="false" customHeight="true" outlineLevel="0" collapsed="false">
      <c r="A1021" s="6" t="s">
        <v>3904</v>
      </c>
      <c r="B1021" s="6" t="s">
        <v>559</v>
      </c>
      <c r="C1021" s="6" t="s">
        <v>564</v>
      </c>
      <c r="D1021" s="6" t="n">
        <v>6</v>
      </c>
      <c r="E1021" s="9" t="s">
        <v>5206</v>
      </c>
      <c r="F1021" s="6" t="n">
        <v>54000</v>
      </c>
      <c r="Q1021" s="1" t="str">
        <f aca="false">IF($A832="","",IF(OR(F832="",I832=""),"",F832-I832))</f>
        <v/>
      </c>
      <c r="R1021" s="1" t="n">
        <f aca="false">IF($A832="","",IF(Q832="","",Q832+IF(O832="",0,O832)))</f>
        <v>191000</v>
      </c>
      <c r="T1021" s="1" t="n">
        <f aca="false">IF($A832="","",IF(R832="","",R832-IF(S832="",0,S832)))</f>
        <v>104356</v>
      </c>
      <c r="U1021" s="1" t="str">
        <f aca="false">IF($A832="","",IF(I832="","",I832-SUM(J832:P832)))</f>
        <v/>
      </c>
      <c r="V1021" s="6" t="s">
        <v>5342</v>
      </c>
      <c r="W1021" s="9" t="s">
        <v>774</v>
      </c>
      <c r="X1021" s="9" t="s">
        <v>5343</v>
      </c>
      <c r="Y1021" s="9" t="s">
        <v>4897</v>
      </c>
      <c r="Z1021" s="9" t="s">
        <v>4898</v>
      </c>
      <c r="AA1021" s="9" t="s">
        <v>4903</v>
      </c>
    </row>
    <row r="1022" customFormat="false" ht="15" hidden="false" customHeight="true" outlineLevel="0" collapsed="false">
      <c r="A1022" s="6" t="s">
        <v>3907</v>
      </c>
      <c r="B1022" s="6" t="s">
        <v>559</v>
      </c>
      <c r="C1022" s="6" t="s">
        <v>564</v>
      </c>
      <c r="D1022" s="6" t="n">
        <v>6</v>
      </c>
      <c r="E1022" s="9" t="s">
        <v>5206</v>
      </c>
      <c r="F1022" s="6" t="n">
        <v>66000</v>
      </c>
      <c r="Q1022" s="1" t="str">
        <f aca="false">IF($A833="","",IF(OR(F833="",I833=""),"",F833-I833))</f>
        <v/>
      </c>
      <c r="R1022" s="1" t="n">
        <f aca="false">IF($A833="","",IF(Q833="","",Q833+IF(O833="",0,O833)))</f>
        <v>146000</v>
      </c>
      <c r="T1022" s="1" t="n">
        <f aca="false">IF($A833="","",IF(R833="","",R833-IF(S833="",0,S833)))</f>
        <v>347034</v>
      </c>
      <c r="U1022" s="1" t="str">
        <f aca="false">IF($A833="","",IF(I833="","",I833-SUM(J833:P833)))</f>
        <v/>
      </c>
      <c r="V1022" s="6" t="s">
        <v>5342</v>
      </c>
      <c r="W1022" s="9" t="s">
        <v>774</v>
      </c>
      <c r="X1022" s="9" t="s">
        <v>5343</v>
      </c>
      <c r="Y1022" s="9" t="s">
        <v>4897</v>
      </c>
      <c r="Z1022" s="9" t="s">
        <v>4898</v>
      </c>
      <c r="AA1022" s="9" t="s">
        <v>4903</v>
      </c>
    </row>
    <row r="1023" customFormat="false" ht="15" hidden="false" customHeight="true" outlineLevel="0" collapsed="false">
      <c r="A1023" s="6" t="s">
        <v>3910</v>
      </c>
      <c r="B1023" s="6" t="s">
        <v>559</v>
      </c>
      <c r="C1023" s="6" t="s">
        <v>564</v>
      </c>
      <c r="D1023" s="6" t="n">
        <v>6</v>
      </c>
      <c r="E1023" s="9" t="s">
        <v>5206</v>
      </c>
      <c r="F1023" s="6" t="n">
        <v>52000</v>
      </c>
      <c r="Q1023" s="1" t="str">
        <f aca="false">IF($A834="","",IF(OR(F834="",I834=""),"",F834-I834))</f>
        <v/>
      </c>
      <c r="R1023" s="1" t="n">
        <f aca="false">IF($A834="","",IF(Q834="","",Q834+IF(O834="",0,O834)))</f>
        <v>169000</v>
      </c>
      <c r="T1023" s="1" t="n">
        <f aca="false">IF($A834="","",IF(R834="","",R834-IF(S834="",0,S834)))</f>
        <v>16923</v>
      </c>
      <c r="U1023" s="1" t="str">
        <f aca="false">IF($A834="","",IF(I834="","",I834-SUM(J834:P834)))</f>
        <v/>
      </c>
      <c r="V1023" s="6" t="s">
        <v>5342</v>
      </c>
      <c r="W1023" s="9" t="s">
        <v>774</v>
      </c>
      <c r="X1023" s="9" t="s">
        <v>5343</v>
      </c>
      <c r="Y1023" s="9" t="s">
        <v>4897</v>
      </c>
      <c r="Z1023" s="9" t="s">
        <v>4898</v>
      </c>
      <c r="AA1023" s="9" t="s">
        <v>4903</v>
      </c>
    </row>
    <row r="1024" customFormat="false" ht="15" hidden="false" customHeight="true" outlineLevel="0" collapsed="false">
      <c r="A1024" s="6" t="s">
        <v>3913</v>
      </c>
      <c r="B1024" s="6" t="s">
        <v>559</v>
      </c>
      <c r="C1024" s="6" t="s">
        <v>564</v>
      </c>
      <c r="D1024" s="6" t="n">
        <v>6</v>
      </c>
      <c r="E1024" s="9" t="s">
        <v>5206</v>
      </c>
      <c r="F1024" s="6" t="n">
        <v>30000</v>
      </c>
      <c r="Q1024" s="1" t="str">
        <f aca="false">IF($A835="","",IF(OR(F835="",I835=""),"",F835-I835))</f>
        <v/>
      </c>
      <c r="R1024" s="1" t="str">
        <f aca="false">IF($A835="","",IF(Q835="","",Q835+IF(O835="",0,O835)))</f>
        <v/>
      </c>
      <c r="T1024" s="1" t="str">
        <f aca="false">IF($A835="","",IF(R835="","",R835-IF(S835="",0,S835)))</f>
        <v/>
      </c>
      <c r="U1024" s="1" t="str">
        <f aca="false">IF($A835="","",IF(I835="","",I835-SUM(J835:P835)))</f>
        <v/>
      </c>
      <c r="V1024" s="6" t="s">
        <v>5342</v>
      </c>
      <c r="W1024" s="9" t="s">
        <v>774</v>
      </c>
      <c r="X1024" s="9" t="s">
        <v>5343</v>
      </c>
      <c r="Y1024" s="9" t="s">
        <v>4897</v>
      </c>
      <c r="Z1024" s="9" t="s">
        <v>4898</v>
      </c>
      <c r="AA1024" s="9" t="s">
        <v>4943</v>
      </c>
    </row>
    <row r="1025" customFormat="false" ht="15" hidden="false" customHeight="true" outlineLevel="0" collapsed="false">
      <c r="A1025" s="6" t="s">
        <v>3916</v>
      </c>
      <c r="B1025" s="6" t="s">
        <v>559</v>
      </c>
      <c r="C1025" s="6" t="s">
        <v>564</v>
      </c>
      <c r="D1025" s="6" t="n">
        <v>6</v>
      </c>
      <c r="E1025" s="9" t="s">
        <v>5206</v>
      </c>
      <c r="F1025" s="6" t="n">
        <v>28000</v>
      </c>
      <c r="Q1025" s="1" t="str">
        <f aca="false">IF($A836="","",IF(OR(F836="",I836=""),"",F836-I836))</f>
        <v/>
      </c>
      <c r="R1025" s="1" t="n">
        <f aca="false">IF($A836="","",IF(Q836="","",Q836+IF(O836="",0,O836)))</f>
        <v>460000</v>
      </c>
      <c r="T1025" s="1" t="n">
        <f aca="false">IF($A836="","",IF(R836="","",R836-IF(S836="",0,S836)))</f>
        <v>-143746</v>
      </c>
      <c r="U1025" s="1" t="str">
        <f aca="false">IF($A836="","",IF(I836="","",I836-SUM(J836:P836)))</f>
        <v/>
      </c>
      <c r="V1025" s="6" t="s">
        <v>5342</v>
      </c>
      <c r="W1025" s="9" t="s">
        <v>774</v>
      </c>
      <c r="X1025" s="9" t="s">
        <v>5343</v>
      </c>
      <c r="Y1025" s="9" t="s">
        <v>4897</v>
      </c>
      <c r="Z1025" s="9" t="s">
        <v>4898</v>
      </c>
      <c r="AA1025" s="9" t="s">
        <v>4943</v>
      </c>
    </row>
    <row r="1026" customFormat="false" ht="15" hidden="false" customHeight="true" outlineLevel="0" collapsed="false">
      <c r="A1026" s="6" t="s">
        <v>3919</v>
      </c>
      <c r="B1026" s="6" t="s">
        <v>559</v>
      </c>
      <c r="C1026" s="6" t="s">
        <v>564</v>
      </c>
      <c r="D1026" s="6" t="n">
        <v>6</v>
      </c>
      <c r="E1026" s="9" t="s">
        <v>5206</v>
      </c>
      <c r="F1026" s="6" t="n">
        <v>118000</v>
      </c>
      <c r="Q1026" s="1" t="str">
        <f aca="false">IF($A837="","",IF(OR(F837="",I837=""),"",F837-I837))</f>
        <v/>
      </c>
      <c r="R1026" s="1" t="str">
        <f aca="false">IF($A837="","",IF(Q837="","",Q837+IF(O837="",0,O837)))</f>
        <v/>
      </c>
      <c r="T1026" s="1" t="str">
        <f aca="false">IF($A837="","",IF(R837="","",R837-IF(S837="",0,S837)))</f>
        <v/>
      </c>
      <c r="U1026" s="1" t="str">
        <f aca="false">IF($A837="","",IF(I837="","",I837-SUM(J837:P837)))</f>
        <v/>
      </c>
      <c r="V1026" s="6" t="s">
        <v>5342</v>
      </c>
      <c r="W1026" s="9" t="s">
        <v>774</v>
      </c>
      <c r="X1026" s="9" t="s">
        <v>5343</v>
      </c>
      <c r="Y1026" s="9" t="s">
        <v>4897</v>
      </c>
      <c r="Z1026" s="9" t="s">
        <v>4898</v>
      </c>
      <c r="AA1026" s="9" t="s">
        <v>4903</v>
      </c>
    </row>
    <row r="1027" customFormat="false" ht="15" hidden="false" customHeight="true" outlineLevel="0" collapsed="false">
      <c r="A1027" s="6" t="s">
        <v>3922</v>
      </c>
      <c r="B1027" s="6" t="s">
        <v>559</v>
      </c>
      <c r="C1027" s="6" t="s">
        <v>564</v>
      </c>
      <c r="D1027" s="6" t="n">
        <v>6</v>
      </c>
      <c r="E1027" s="9" t="s">
        <v>5206</v>
      </c>
      <c r="F1027" s="6" t="n">
        <v>110000</v>
      </c>
      <c r="Q1027" s="1" t="str">
        <f aca="false">IF($A838="","",IF(OR(F838="",I838=""),"",F838-I838))</f>
        <v/>
      </c>
      <c r="R1027" s="1" t="str">
        <f aca="false">IF($A838="","",IF(Q838="","",Q838+IF(O838="",0,O838)))</f>
        <v/>
      </c>
      <c r="T1027" s="1" t="str">
        <f aca="false">IF($A838="","",IF(R838="","",R838-IF(S838="",0,S838)))</f>
        <v/>
      </c>
      <c r="U1027" s="1" t="str">
        <f aca="false">IF($A838="","",IF(I838="","",I838-SUM(J838:P838)))</f>
        <v/>
      </c>
      <c r="V1027" s="6" t="s">
        <v>5342</v>
      </c>
      <c r="W1027" s="9" t="s">
        <v>774</v>
      </c>
      <c r="X1027" s="9" t="s">
        <v>5343</v>
      </c>
      <c r="Y1027" s="9" t="s">
        <v>4897</v>
      </c>
      <c r="Z1027" s="9" t="s">
        <v>4898</v>
      </c>
      <c r="AA1027" s="9" t="s">
        <v>4903</v>
      </c>
    </row>
    <row r="1028" customFormat="false" ht="15" hidden="false" customHeight="true" outlineLevel="0" collapsed="false">
      <c r="A1028" s="6" t="s">
        <v>3925</v>
      </c>
      <c r="B1028" s="6" t="s">
        <v>559</v>
      </c>
      <c r="C1028" s="6" t="s">
        <v>564</v>
      </c>
      <c r="D1028" s="6" t="n">
        <v>6</v>
      </c>
      <c r="E1028" s="9" t="s">
        <v>5206</v>
      </c>
      <c r="F1028" s="6" t="n">
        <v>117000</v>
      </c>
      <c r="Q1028" s="1" t="str">
        <f aca="false">IF($A839="","",IF(OR(F839="",I839=""),"",F839-I839))</f>
        <v/>
      </c>
      <c r="R1028" s="1" t="str">
        <f aca="false">IF($A839="","",IF(Q839="","",Q839+IF(O839="",0,O839)))</f>
        <v/>
      </c>
      <c r="T1028" s="1" t="str">
        <f aca="false">IF($A839="","",IF(R839="","",R839-IF(S839="",0,S839)))</f>
        <v/>
      </c>
      <c r="U1028" s="1" t="str">
        <f aca="false">IF($A839="","",IF(I839="","",I839-SUM(J839:P839)))</f>
        <v/>
      </c>
      <c r="V1028" s="6" t="s">
        <v>5342</v>
      </c>
      <c r="W1028" s="9" t="s">
        <v>774</v>
      </c>
      <c r="X1028" s="9" t="s">
        <v>5343</v>
      </c>
      <c r="Y1028" s="9" t="s">
        <v>4897</v>
      </c>
      <c r="Z1028" s="9" t="s">
        <v>4898</v>
      </c>
      <c r="AA1028" s="9" t="s">
        <v>4903</v>
      </c>
    </row>
    <row r="1029" customFormat="false" ht="15" hidden="false" customHeight="true" outlineLevel="0" collapsed="false">
      <c r="A1029" s="6" t="s">
        <v>3928</v>
      </c>
      <c r="B1029" s="6" t="s">
        <v>559</v>
      </c>
      <c r="C1029" s="6" t="s">
        <v>564</v>
      </c>
      <c r="D1029" s="6" t="n">
        <v>6</v>
      </c>
      <c r="E1029" s="9" t="s">
        <v>5206</v>
      </c>
      <c r="F1029" s="6" t="n">
        <v>98000</v>
      </c>
      <c r="Q1029" s="1" t="str">
        <f aca="false">IF($A840="","",IF(OR(F840="",I840=""),"",F840-I840))</f>
        <v/>
      </c>
      <c r="R1029" s="1" t="str">
        <f aca="false">IF($A840="","",IF(Q840="","",Q840+IF(O840="",0,O840)))</f>
        <v/>
      </c>
      <c r="T1029" s="1" t="str">
        <f aca="false">IF($A840="","",IF(R840="","",R840-IF(S840="",0,S840)))</f>
        <v/>
      </c>
      <c r="U1029" s="1" t="str">
        <f aca="false">IF($A840="","",IF(I840="","",I840-SUM(J840:P840)))</f>
        <v/>
      </c>
      <c r="V1029" s="6" t="s">
        <v>5342</v>
      </c>
      <c r="W1029" s="9" t="s">
        <v>774</v>
      </c>
      <c r="X1029" s="9" t="s">
        <v>5343</v>
      </c>
      <c r="Y1029" s="9" t="s">
        <v>4897</v>
      </c>
      <c r="Z1029" s="9" t="s">
        <v>4898</v>
      </c>
      <c r="AA1029" s="9" t="s">
        <v>4903</v>
      </c>
    </row>
    <row r="1030" customFormat="false" ht="15" hidden="false" customHeight="true" outlineLevel="0" collapsed="false">
      <c r="A1030" s="6" t="s">
        <v>3931</v>
      </c>
      <c r="B1030" s="6" t="s">
        <v>559</v>
      </c>
      <c r="C1030" s="6" t="s">
        <v>564</v>
      </c>
      <c r="D1030" s="6" t="n">
        <v>6</v>
      </c>
      <c r="E1030" s="9" t="s">
        <v>5206</v>
      </c>
      <c r="F1030" s="6" t="n">
        <v>90000</v>
      </c>
      <c r="Q1030" s="1" t="str">
        <f aca="false">IF($A841="","",IF(OR(F841="",I841=""),"",F841-I841))</f>
        <v/>
      </c>
      <c r="R1030" s="1" t="n">
        <f aca="false">IF($A841="","",IF(Q841="","",Q841+IF(O841="",0,O841)))</f>
        <v>53000</v>
      </c>
      <c r="T1030" s="1" t="n">
        <f aca="false">IF($A841="","",IF(R841="","",R841-IF(S841="",0,S841)))</f>
        <v>68000</v>
      </c>
      <c r="U1030" s="1" t="str">
        <f aca="false">IF($A841="","",IF(I841="","",I841-SUM(J841:P841)))</f>
        <v/>
      </c>
      <c r="V1030" s="6" t="s">
        <v>5342</v>
      </c>
      <c r="W1030" s="9" t="s">
        <v>774</v>
      </c>
      <c r="X1030" s="9" t="s">
        <v>5343</v>
      </c>
      <c r="Y1030" s="9" t="s">
        <v>4897</v>
      </c>
      <c r="Z1030" s="9" t="s">
        <v>4898</v>
      </c>
      <c r="AA1030" s="9" t="s">
        <v>4903</v>
      </c>
    </row>
    <row r="1031" customFormat="false" ht="15" hidden="false" customHeight="true" outlineLevel="0" collapsed="false">
      <c r="A1031" s="6" t="s">
        <v>3934</v>
      </c>
      <c r="B1031" s="6" t="s">
        <v>559</v>
      </c>
      <c r="C1031" s="6" t="s">
        <v>564</v>
      </c>
      <c r="D1031" s="6" t="n">
        <v>6</v>
      </c>
      <c r="E1031" s="9" t="s">
        <v>5206</v>
      </c>
      <c r="F1031" s="6" t="n">
        <v>79000</v>
      </c>
      <c r="Q1031" s="1" t="str">
        <f aca="false">IF($A842="","",IF(OR(F842="",I842=""),"",F842-I842))</f>
        <v/>
      </c>
      <c r="R1031" s="1" t="n">
        <f aca="false">IF($A842="","",IF(Q842="","",Q842+IF(O842="",0,O842)))</f>
        <v>64000</v>
      </c>
      <c r="T1031" s="1" t="n">
        <f aca="false">IF($A842="","",IF(R842="","",R842-IF(S842="",0,S842)))</f>
        <v>150859</v>
      </c>
      <c r="U1031" s="1" t="str">
        <f aca="false">IF($A842="","",IF(I842="","",I842-SUM(J842:P842)))</f>
        <v/>
      </c>
      <c r="V1031" s="6" t="s">
        <v>5342</v>
      </c>
      <c r="W1031" s="9" t="s">
        <v>774</v>
      </c>
      <c r="X1031" s="9" t="s">
        <v>5343</v>
      </c>
      <c r="Y1031" s="9" t="s">
        <v>4897</v>
      </c>
      <c r="Z1031" s="9" t="s">
        <v>4898</v>
      </c>
      <c r="AA1031" s="9" t="s">
        <v>4903</v>
      </c>
    </row>
    <row r="1032" customFormat="false" ht="15" hidden="false" customHeight="true" outlineLevel="0" collapsed="false">
      <c r="A1032" s="6" t="s">
        <v>3937</v>
      </c>
      <c r="B1032" s="6" t="s">
        <v>559</v>
      </c>
      <c r="C1032" s="6" t="s">
        <v>564</v>
      </c>
      <c r="D1032" s="6" t="n">
        <v>6</v>
      </c>
      <c r="E1032" s="9" t="s">
        <v>5206</v>
      </c>
      <c r="F1032" s="6" t="n">
        <v>63000</v>
      </c>
      <c r="Q1032" s="1" t="str">
        <f aca="false">IF($A843="","",IF(OR(F843="",I843=""),"",F843-I843))</f>
        <v/>
      </c>
      <c r="R1032" s="1" t="n">
        <f aca="false">IF($A843="","",IF(Q843="","",Q843+IF(O843="",0,O843)))</f>
        <v>56000</v>
      </c>
      <c r="T1032" s="1" t="n">
        <f aca="false">IF($A843="","",IF(R843="","",R843-IF(S843="",0,S843)))</f>
        <v>51804</v>
      </c>
      <c r="U1032" s="1" t="str">
        <f aca="false">IF($A843="","",IF(I843="","",I843-SUM(J843:P843)))</f>
        <v/>
      </c>
      <c r="V1032" s="6" t="s">
        <v>5342</v>
      </c>
      <c r="W1032" s="9" t="s">
        <v>774</v>
      </c>
      <c r="X1032" s="9" t="s">
        <v>5343</v>
      </c>
      <c r="Y1032" s="9" t="s">
        <v>4897</v>
      </c>
      <c r="Z1032" s="9" t="s">
        <v>4898</v>
      </c>
      <c r="AA1032" s="9" t="s">
        <v>4903</v>
      </c>
    </row>
    <row r="1033" customFormat="false" ht="15" hidden="false" customHeight="true" outlineLevel="0" collapsed="false">
      <c r="A1033" s="6" t="s">
        <v>3940</v>
      </c>
      <c r="B1033" s="6" t="s">
        <v>559</v>
      </c>
      <c r="C1033" s="6" t="s">
        <v>564</v>
      </c>
      <c r="D1033" s="6" t="n">
        <v>6</v>
      </c>
      <c r="E1033" s="9" t="s">
        <v>5206</v>
      </c>
      <c r="F1033" s="6" t="n">
        <v>71000</v>
      </c>
      <c r="Q1033" s="1" t="str">
        <f aca="false">IF($A844="","",IF(OR(F844="",I844=""),"",F844-I844))</f>
        <v/>
      </c>
      <c r="R1033" s="1" t="n">
        <f aca="false">IF($A844="","",IF(Q844="","",Q844+IF(O844="",0,O844)))</f>
        <v>149000</v>
      </c>
      <c r="T1033" s="1" t="n">
        <f aca="false">IF($A844="","",IF(R844="","",R844-IF(S844="",0,S844)))</f>
        <v>228348</v>
      </c>
      <c r="U1033" s="1" t="str">
        <f aca="false">IF($A844="","",IF(I844="","",I844-SUM(J844:P844)))</f>
        <v/>
      </c>
      <c r="V1033" s="6" t="s">
        <v>5342</v>
      </c>
      <c r="W1033" s="9" t="s">
        <v>774</v>
      </c>
      <c r="X1033" s="9" t="s">
        <v>5343</v>
      </c>
      <c r="Y1033" s="9" t="s">
        <v>4897</v>
      </c>
      <c r="Z1033" s="9" t="s">
        <v>4898</v>
      </c>
      <c r="AA1033" s="9" t="s">
        <v>4903</v>
      </c>
    </row>
    <row r="1034" customFormat="false" ht="15" hidden="false" customHeight="true" outlineLevel="0" collapsed="false">
      <c r="A1034" s="6" t="s">
        <v>3943</v>
      </c>
      <c r="B1034" s="6" t="s">
        <v>559</v>
      </c>
      <c r="C1034" s="6" t="s">
        <v>564</v>
      </c>
      <c r="D1034" s="6" t="n">
        <v>6</v>
      </c>
      <c r="E1034" s="9" t="s">
        <v>5206</v>
      </c>
      <c r="F1034" s="6" t="n">
        <v>72000</v>
      </c>
      <c r="Q1034" s="1" t="str">
        <f aca="false">IF($A845="","",IF(OR(F845="",I845=""),"",F845-I845))</f>
        <v/>
      </c>
      <c r="R1034" s="1" t="n">
        <f aca="false">IF($A845="","",IF(Q845="","",Q845+IF(O845="",0,O845)))</f>
        <v>394000</v>
      </c>
      <c r="T1034" s="1" t="n">
        <f aca="false">IF($A845="","",IF(R845="","",R845-IF(S845="",0,S845)))</f>
        <v>-60653</v>
      </c>
      <c r="U1034" s="1" t="str">
        <f aca="false">IF($A845="","",IF(I845="","",I845-SUM(J845:P845)))</f>
        <v/>
      </c>
      <c r="V1034" s="6" t="s">
        <v>5342</v>
      </c>
      <c r="W1034" s="9" t="s">
        <v>774</v>
      </c>
      <c r="X1034" s="9" t="s">
        <v>5343</v>
      </c>
      <c r="Y1034" s="9" t="s">
        <v>4897</v>
      </c>
      <c r="Z1034" s="9" t="s">
        <v>4898</v>
      </c>
      <c r="AA1034" s="9" t="s">
        <v>4903</v>
      </c>
    </row>
    <row r="1035" customFormat="false" ht="15" hidden="false" customHeight="true" outlineLevel="0" collapsed="false">
      <c r="A1035" s="6" t="s">
        <v>3946</v>
      </c>
      <c r="B1035" s="6" t="s">
        <v>559</v>
      </c>
      <c r="C1035" s="6" t="s">
        <v>564</v>
      </c>
      <c r="D1035" s="6" t="n">
        <v>6</v>
      </c>
      <c r="E1035" s="9" t="s">
        <v>5206</v>
      </c>
      <c r="F1035" s="6" t="n">
        <v>61000</v>
      </c>
      <c r="Q1035" s="1" t="str">
        <f aca="false">IF($A846="","",IF(OR(F846="",I846=""),"",F846-I846))</f>
        <v/>
      </c>
      <c r="R1035" s="1" t="n">
        <f aca="false">IF($A846="","",IF(Q846="","",Q846+IF(O846="",0,O846)))</f>
        <v>129000</v>
      </c>
      <c r="T1035" s="1" t="n">
        <f aca="false">IF($A846="","",IF(R846="","",R846-IF(S846="",0,S846)))</f>
        <v>62043</v>
      </c>
      <c r="U1035" s="1" t="str">
        <f aca="false">IF($A846="","",IF(I846="","",I846-SUM(J846:P846)))</f>
        <v/>
      </c>
      <c r="V1035" s="6" t="s">
        <v>5342</v>
      </c>
      <c r="W1035" s="9" t="s">
        <v>774</v>
      </c>
      <c r="X1035" s="9" t="s">
        <v>5343</v>
      </c>
      <c r="Y1035" s="9" t="s">
        <v>4897</v>
      </c>
      <c r="Z1035" s="9" t="s">
        <v>4898</v>
      </c>
      <c r="AA1035" s="9" t="s">
        <v>4903</v>
      </c>
    </row>
    <row r="1036" customFormat="false" ht="15" hidden="false" customHeight="true" outlineLevel="0" collapsed="false">
      <c r="A1036" s="6" t="s">
        <v>3949</v>
      </c>
      <c r="B1036" s="6" t="s">
        <v>559</v>
      </c>
      <c r="C1036" s="6" t="s">
        <v>564</v>
      </c>
      <c r="D1036" s="6" t="n">
        <v>6</v>
      </c>
      <c r="E1036" s="9" t="s">
        <v>5206</v>
      </c>
      <c r="F1036" s="6" t="n">
        <v>56000</v>
      </c>
      <c r="Q1036" s="1" t="str">
        <f aca="false">IF($A847="","",IF(OR(F847="",I847=""),"",F847-I847))</f>
        <v/>
      </c>
      <c r="R1036" s="1" t="n">
        <f aca="false">IF($A847="","",IF(Q847="","",Q847+IF(O847="",0,O847)))</f>
        <v>102000</v>
      </c>
      <c r="T1036" s="1" t="n">
        <f aca="false">IF($A847="","",IF(R847="","",R847-IF(S847="",0,S847)))</f>
        <v>55848</v>
      </c>
      <c r="U1036" s="1" t="str">
        <f aca="false">IF($A847="","",IF(I847="","",I847-SUM(J847:P847)))</f>
        <v/>
      </c>
      <c r="V1036" s="6" t="s">
        <v>5342</v>
      </c>
      <c r="W1036" s="9" t="s">
        <v>774</v>
      </c>
      <c r="X1036" s="9" t="s">
        <v>5343</v>
      </c>
      <c r="Y1036" s="9" t="s">
        <v>4897</v>
      </c>
      <c r="Z1036" s="9" t="s">
        <v>4898</v>
      </c>
      <c r="AA1036" s="9" t="s">
        <v>4903</v>
      </c>
    </row>
    <row r="1037" customFormat="false" ht="15" hidden="false" customHeight="true" outlineLevel="0" collapsed="false">
      <c r="A1037" s="6" t="s">
        <v>3952</v>
      </c>
      <c r="B1037" s="6" t="s">
        <v>559</v>
      </c>
      <c r="C1037" s="6" t="s">
        <v>564</v>
      </c>
      <c r="D1037" s="6" t="n">
        <v>6</v>
      </c>
      <c r="E1037" s="9" t="s">
        <v>5206</v>
      </c>
      <c r="F1037" s="6" t="n">
        <v>47000</v>
      </c>
      <c r="Q1037" s="1" t="str">
        <f aca="false">IF($A848="","",IF(OR(F848="",I848=""),"",F848-I848))</f>
        <v/>
      </c>
      <c r="R1037" s="1" t="str">
        <f aca="false">IF($A848="","",IF(Q848="","",Q848+IF(O848="",0,O848)))</f>
        <v/>
      </c>
      <c r="T1037" s="1" t="str">
        <f aca="false">IF($A848="","",IF(R848="","",R848-IF(S848="",0,S848)))</f>
        <v/>
      </c>
      <c r="U1037" s="1" t="str">
        <f aca="false">IF($A848="","",IF(I848="","",I848-SUM(J848:P848)))</f>
        <v/>
      </c>
      <c r="V1037" s="6" t="s">
        <v>5342</v>
      </c>
      <c r="W1037" s="9" t="s">
        <v>774</v>
      </c>
      <c r="X1037" s="9" t="s">
        <v>5343</v>
      </c>
      <c r="Y1037" s="9" t="s">
        <v>4897</v>
      </c>
      <c r="Z1037" s="9" t="s">
        <v>4898</v>
      </c>
      <c r="AA1037" s="9" t="s">
        <v>4943</v>
      </c>
    </row>
    <row r="1038" customFormat="false" ht="15" hidden="false" customHeight="true" outlineLevel="0" collapsed="false">
      <c r="A1038" s="6" t="s">
        <v>3955</v>
      </c>
      <c r="B1038" s="6" t="s">
        <v>559</v>
      </c>
      <c r="C1038" s="6" t="s">
        <v>564</v>
      </c>
      <c r="D1038" s="6" t="n">
        <v>6</v>
      </c>
      <c r="E1038" s="9" t="s">
        <v>5206</v>
      </c>
      <c r="F1038" s="6" t="n">
        <v>39000</v>
      </c>
      <c r="Q1038" s="1" t="str">
        <f aca="false">IF($A849="","",IF(OR(F849="",I849=""),"",F849-I849))</f>
        <v/>
      </c>
      <c r="R1038" s="1" t="n">
        <f aca="false">IF($A849="","",IF(Q849="","",Q849+IF(O849="",0,O849)))</f>
        <v>83000</v>
      </c>
      <c r="T1038" s="1" t="n">
        <f aca="false">IF($A849="","",IF(R849="","",R849-IF(S849="",0,S849)))</f>
        <v>113825</v>
      </c>
      <c r="U1038" s="1" t="str">
        <f aca="false">IF($A849="","",IF(I849="","",I849-SUM(J849:P849)))</f>
        <v/>
      </c>
      <c r="V1038" s="6" t="s">
        <v>5342</v>
      </c>
      <c r="W1038" s="9" t="s">
        <v>774</v>
      </c>
      <c r="X1038" s="9" t="s">
        <v>5343</v>
      </c>
      <c r="Y1038" s="9" t="s">
        <v>4897</v>
      </c>
      <c r="Z1038" s="9" t="s">
        <v>4898</v>
      </c>
      <c r="AA1038" s="9" t="s">
        <v>4943</v>
      </c>
    </row>
    <row r="1039" customFormat="false" ht="15" hidden="false" customHeight="true" outlineLevel="0" collapsed="false">
      <c r="A1039" s="6" t="s">
        <v>3958</v>
      </c>
      <c r="B1039" s="6" t="s">
        <v>559</v>
      </c>
      <c r="C1039" s="6" t="s">
        <v>564</v>
      </c>
      <c r="D1039" s="6" t="n">
        <v>6</v>
      </c>
      <c r="E1039" s="9" t="s">
        <v>5206</v>
      </c>
      <c r="F1039" s="6" t="n">
        <v>41000</v>
      </c>
      <c r="Q1039" s="1" t="str">
        <f aca="false">IF($A850="","",IF(OR(F850="",I850=""),"",F850-I850))</f>
        <v/>
      </c>
      <c r="R1039" s="1" t="n">
        <f aca="false">IF($A850="","",IF(Q850="","",Q850+IF(O850="",0,O850)))</f>
        <v>55000</v>
      </c>
      <c r="T1039" s="1" t="n">
        <f aca="false">IF($A850="","",IF(R850="","",R850-IF(S850="",0,S850)))</f>
        <v>483199</v>
      </c>
      <c r="U1039" s="1" t="str">
        <f aca="false">IF($A850="","",IF(I850="","",I850-SUM(J850:P850)))</f>
        <v/>
      </c>
      <c r="V1039" s="6" t="s">
        <v>5342</v>
      </c>
      <c r="W1039" s="9" t="s">
        <v>774</v>
      </c>
      <c r="X1039" s="9" t="s">
        <v>5343</v>
      </c>
      <c r="Y1039" s="9" t="s">
        <v>4897</v>
      </c>
      <c r="Z1039" s="9" t="s">
        <v>4898</v>
      </c>
      <c r="AA1039" s="9" t="s">
        <v>4943</v>
      </c>
    </row>
    <row r="1040" customFormat="false" ht="15" hidden="false" customHeight="true" outlineLevel="0" collapsed="false">
      <c r="A1040" s="6" t="s">
        <v>3961</v>
      </c>
      <c r="B1040" s="6" t="s">
        <v>559</v>
      </c>
      <c r="C1040" s="6" t="s">
        <v>564</v>
      </c>
      <c r="D1040" s="6" t="n">
        <v>6</v>
      </c>
      <c r="E1040" s="9" t="s">
        <v>5206</v>
      </c>
      <c r="F1040" s="6" t="n">
        <v>41000</v>
      </c>
      <c r="Q1040" s="1" t="str">
        <f aca="false">IF($A851="","",IF(OR(F851="",I851=""),"",F851-I851))</f>
        <v/>
      </c>
      <c r="R1040" s="1" t="n">
        <f aca="false">IF($A851="","",IF(Q851="","",Q851+IF(O851="",0,O851)))</f>
        <v>40000</v>
      </c>
      <c r="T1040" s="1" t="n">
        <f aca="false">IF($A851="","",IF(R851="","",R851-IF(S851="",0,S851)))</f>
        <v>317713</v>
      </c>
      <c r="U1040" s="1" t="str">
        <f aca="false">IF($A851="","",IF(I851="","",I851-SUM(J851:P851)))</f>
        <v/>
      </c>
      <c r="V1040" s="6" t="s">
        <v>5342</v>
      </c>
      <c r="W1040" s="9" t="s">
        <v>774</v>
      </c>
      <c r="X1040" s="9" t="s">
        <v>5343</v>
      </c>
      <c r="Y1040" s="9" t="s">
        <v>4897</v>
      </c>
      <c r="Z1040" s="9" t="s">
        <v>4898</v>
      </c>
      <c r="AA1040" s="9" t="s">
        <v>4943</v>
      </c>
    </row>
    <row r="1041" customFormat="false" ht="15" hidden="false" customHeight="true" outlineLevel="0" collapsed="false">
      <c r="A1041" s="6" t="s">
        <v>3964</v>
      </c>
      <c r="B1041" s="6" t="s">
        <v>559</v>
      </c>
      <c r="C1041" s="6" t="s">
        <v>564</v>
      </c>
      <c r="D1041" s="6" t="n">
        <v>6</v>
      </c>
      <c r="E1041" s="9" t="s">
        <v>5206</v>
      </c>
      <c r="F1041" s="6" t="n">
        <v>45000</v>
      </c>
      <c r="Q1041" s="1" t="str">
        <f aca="false">IF($A852="","",IF(OR(F852="",I852=""),"",F852-I852))</f>
        <v/>
      </c>
      <c r="R1041" s="1" t="n">
        <f aca="false">IF($A852="","",IF(Q852="","",Q852+IF(O852="",0,O852)))</f>
        <v>108000</v>
      </c>
      <c r="T1041" s="1" t="n">
        <f aca="false">IF($A852="","",IF(R852="","",R852-IF(S852="",0,S852)))</f>
        <v>911074</v>
      </c>
      <c r="U1041" s="1" t="str">
        <f aca="false">IF($A852="","",IF(I852="","",I852-SUM(J852:P852)))</f>
        <v/>
      </c>
      <c r="V1041" s="6" t="s">
        <v>5342</v>
      </c>
      <c r="W1041" s="9" t="s">
        <v>774</v>
      </c>
      <c r="X1041" s="9" t="s">
        <v>5343</v>
      </c>
      <c r="Y1041" s="9" t="s">
        <v>4897</v>
      </c>
      <c r="Z1041" s="9" t="s">
        <v>4898</v>
      </c>
      <c r="AA1041" s="9" t="s">
        <v>4943</v>
      </c>
    </row>
    <row r="1042" customFormat="false" ht="15" hidden="false" customHeight="true" outlineLevel="0" collapsed="false">
      <c r="A1042" s="6" t="s">
        <v>3967</v>
      </c>
      <c r="B1042" s="6" t="s">
        <v>559</v>
      </c>
      <c r="C1042" s="6" t="s">
        <v>564</v>
      </c>
      <c r="D1042" s="6" t="n">
        <v>6</v>
      </c>
      <c r="E1042" s="9" t="s">
        <v>5206</v>
      </c>
      <c r="F1042" s="6" t="n">
        <v>42000</v>
      </c>
      <c r="Q1042" s="1" t="str">
        <f aca="false">IF($A853="","",IF(OR(F853="",I853=""),"",F853-I853))</f>
        <v/>
      </c>
      <c r="R1042" s="1" t="n">
        <f aca="false">IF($A853="","",IF(Q853="","",Q853+IF(O853="",0,O853)))</f>
        <v>182000</v>
      </c>
      <c r="T1042" s="1" t="n">
        <f aca="false">IF($A853="","",IF(R853="","",R853-IF(S853="",0,S853)))</f>
        <v>56314</v>
      </c>
      <c r="U1042" s="1" t="str">
        <f aca="false">IF($A853="","",IF(I853="","",I853-SUM(J853:P853)))</f>
        <v/>
      </c>
      <c r="V1042" s="6" t="s">
        <v>5342</v>
      </c>
      <c r="W1042" s="9" t="s">
        <v>774</v>
      </c>
      <c r="X1042" s="9" t="s">
        <v>5343</v>
      </c>
      <c r="Y1042" s="9" t="s">
        <v>4897</v>
      </c>
      <c r="Z1042" s="9" t="s">
        <v>4898</v>
      </c>
      <c r="AA1042" s="9" t="s">
        <v>4943</v>
      </c>
    </row>
    <row r="1043" customFormat="false" ht="15" hidden="false" customHeight="true" outlineLevel="0" collapsed="false">
      <c r="A1043" s="6" t="s">
        <v>3970</v>
      </c>
      <c r="B1043" s="6" t="s">
        <v>559</v>
      </c>
      <c r="C1043" s="6" t="s">
        <v>564</v>
      </c>
      <c r="D1043" s="6" t="n">
        <v>6</v>
      </c>
      <c r="E1043" s="9" t="s">
        <v>5206</v>
      </c>
      <c r="F1043" s="6" t="n">
        <v>30000</v>
      </c>
      <c r="Q1043" s="1" t="str">
        <f aca="false">IF($A854="","",IF(OR(F854="",I854=""),"",F854-I854))</f>
        <v/>
      </c>
      <c r="R1043" s="1" t="n">
        <f aca="false">IF($A854="","",IF(Q854="","",Q854+IF(O854="",0,O854)))</f>
        <v>148000</v>
      </c>
      <c r="T1043" s="1" t="n">
        <f aca="false">IF($A854="","",IF(R854="","",R854-IF(S854="",0,S854)))</f>
        <v>133546</v>
      </c>
      <c r="U1043" s="1" t="str">
        <f aca="false">IF($A854="","",IF(I854="","",I854-SUM(J854:P854)))</f>
        <v/>
      </c>
      <c r="V1043" s="6" t="s">
        <v>5342</v>
      </c>
      <c r="W1043" s="9" t="s">
        <v>774</v>
      </c>
      <c r="X1043" s="9" t="s">
        <v>5343</v>
      </c>
      <c r="Y1043" s="9" t="s">
        <v>4897</v>
      </c>
      <c r="Z1043" s="9" t="s">
        <v>4898</v>
      </c>
      <c r="AA1043" s="9" t="s">
        <v>4943</v>
      </c>
    </row>
    <row r="1044" customFormat="false" ht="15" hidden="false" customHeight="true" outlineLevel="0" collapsed="false">
      <c r="A1044" s="6" t="s">
        <v>3973</v>
      </c>
      <c r="B1044" s="6" t="s">
        <v>559</v>
      </c>
      <c r="C1044" s="6" t="s">
        <v>564</v>
      </c>
      <c r="D1044" s="6" t="n">
        <v>6</v>
      </c>
      <c r="E1044" s="9" t="s">
        <v>5206</v>
      </c>
      <c r="F1044" s="6" t="n">
        <v>34000</v>
      </c>
      <c r="Q1044" s="1" t="str">
        <f aca="false">IF($A855="","",IF(OR(F855="",I855=""),"",F855-I855))</f>
        <v/>
      </c>
      <c r="R1044" s="1" t="n">
        <f aca="false">IF($A855="","",IF(Q855="","",Q855+IF(O855="",0,O855)))</f>
        <v>105000</v>
      </c>
      <c r="T1044" s="1" t="n">
        <f aca="false">IF($A855="","",IF(R855="","",R855-IF(S855="",0,S855)))</f>
        <v>392066</v>
      </c>
      <c r="U1044" s="1" t="str">
        <f aca="false">IF($A855="","",IF(I855="","",I855-SUM(J855:P855)))</f>
        <v/>
      </c>
      <c r="V1044" s="6" t="s">
        <v>5342</v>
      </c>
      <c r="W1044" s="9" t="s">
        <v>774</v>
      </c>
      <c r="X1044" s="9" t="s">
        <v>5343</v>
      </c>
      <c r="Y1044" s="9" t="s">
        <v>4897</v>
      </c>
      <c r="Z1044" s="9" t="s">
        <v>4898</v>
      </c>
      <c r="AA1044" s="9" t="s">
        <v>4943</v>
      </c>
    </row>
    <row r="1045" customFormat="false" ht="15" hidden="false" customHeight="true" outlineLevel="0" collapsed="false">
      <c r="A1045" s="6" t="s">
        <v>3976</v>
      </c>
      <c r="B1045" s="6" t="s">
        <v>559</v>
      </c>
      <c r="C1045" s="6" t="s">
        <v>564</v>
      </c>
      <c r="D1045" s="6" t="n">
        <v>6</v>
      </c>
      <c r="E1045" s="9" t="s">
        <v>5206</v>
      </c>
      <c r="F1045" s="6" t="n">
        <v>29000</v>
      </c>
      <c r="Q1045" s="1" t="str">
        <f aca="false">IF($A856="","",IF(OR(F856="",I856=""),"",F856-I856))</f>
        <v/>
      </c>
      <c r="R1045" s="1" t="n">
        <f aca="false">IF($A856="","",IF(Q856="","",Q856+IF(O856="",0,O856)))</f>
        <v>43000</v>
      </c>
      <c r="T1045" s="1" t="n">
        <f aca="false">IF($A856="","",IF(R856="","",R856-IF(S856="",0,S856)))</f>
        <v>1181667</v>
      </c>
      <c r="U1045" s="1" t="str">
        <f aca="false">IF($A856="","",IF(I856="","",I856-SUM(J856:P856)))</f>
        <v/>
      </c>
      <c r="V1045" s="6" t="s">
        <v>5342</v>
      </c>
      <c r="W1045" s="9" t="s">
        <v>774</v>
      </c>
      <c r="X1045" s="9" t="s">
        <v>5343</v>
      </c>
      <c r="Y1045" s="9" t="s">
        <v>4897</v>
      </c>
      <c r="Z1045" s="9" t="s">
        <v>4898</v>
      </c>
      <c r="AA1045" s="9" t="s">
        <v>4943</v>
      </c>
    </row>
    <row r="1046" customFormat="false" ht="15" hidden="false" customHeight="true" outlineLevel="0" collapsed="false">
      <c r="A1046" s="6" t="s">
        <v>3979</v>
      </c>
      <c r="B1046" s="6" t="s">
        <v>559</v>
      </c>
      <c r="C1046" s="6" t="s">
        <v>564</v>
      </c>
      <c r="D1046" s="6" t="n">
        <v>6</v>
      </c>
      <c r="E1046" s="9" t="s">
        <v>5206</v>
      </c>
      <c r="F1046" s="6" t="n">
        <v>39000</v>
      </c>
      <c r="Q1046" s="1" t="str">
        <f aca="false">IF($A857="","",IF(OR(F857="",I857=""),"",F857-I857))</f>
        <v/>
      </c>
      <c r="R1046" s="1" t="n">
        <f aca="false">IF($A857="","",IF(Q857="","",Q857+IF(O857="",0,O857)))</f>
        <v>-4000</v>
      </c>
      <c r="T1046" s="1" t="n">
        <f aca="false">IF($A857="","",IF(R857="","",R857-IF(S857="",0,S857)))</f>
        <v>1000</v>
      </c>
      <c r="U1046" s="1" t="str">
        <f aca="false">IF($A857="","",IF(I857="","",I857-SUM(J857:P857)))</f>
        <v/>
      </c>
      <c r="V1046" s="6" t="s">
        <v>5342</v>
      </c>
      <c r="W1046" s="9" t="s">
        <v>774</v>
      </c>
      <c r="X1046" s="9" t="s">
        <v>5343</v>
      </c>
      <c r="Y1046" s="9" t="s">
        <v>4897</v>
      </c>
      <c r="Z1046" s="9" t="s">
        <v>4898</v>
      </c>
      <c r="AA1046" s="9" t="s">
        <v>4943</v>
      </c>
    </row>
    <row r="1047" customFormat="false" ht="15" hidden="false" customHeight="true" outlineLevel="0" collapsed="false">
      <c r="A1047" s="6" t="s">
        <v>3982</v>
      </c>
      <c r="B1047" s="6" t="s">
        <v>559</v>
      </c>
      <c r="C1047" s="6" t="s">
        <v>564</v>
      </c>
      <c r="D1047" s="6" t="n">
        <v>6</v>
      </c>
      <c r="E1047" s="9" t="s">
        <v>5206</v>
      </c>
      <c r="F1047" s="6" t="n">
        <v>34000</v>
      </c>
      <c r="Q1047" s="1" t="str">
        <f aca="false">IF($A858="","",IF(OR(F858="",I858=""),"",F858-I858))</f>
        <v/>
      </c>
      <c r="R1047" s="1" t="n">
        <f aca="false">IF($A858="","",IF(Q858="","",Q858+IF(O858="",0,O858)))</f>
        <v>3000</v>
      </c>
      <c r="T1047" s="1" t="n">
        <f aca="false">IF($A858="","",IF(R858="","",R858-IF(S858="",0,S858)))</f>
        <v>10000</v>
      </c>
      <c r="U1047" s="1" t="str">
        <f aca="false">IF($A858="","",IF(I858="","",I858-SUM(J858:P858)))</f>
        <v/>
      </c>
      <c r="V1047" s="6" t="s">
        <v>5342</v>
      </c>
      <c r="W1047" s="9" t="s">
        <v>774</v>
      </c>
      <c r="X1047" s="9" t="s">
        <v>5343</v>
      </c>
      <c r="Y1047" s="9" t="s">
        <v>4897</v>
      </c>
      <c r="Z1047" s="9" t="s">
        <v>4898</v>
      </c>
      <c r="AA1047" s="9" t="s">
        <v>4943</v>
      </c>
    </row>
    <row r="1048" customFormat="false" ht="15" hidden="false" customHeight="true" outlineLevel="0" collapsed="false">
      <c r="A1048" s="6" t="s">
        <v>3985</v>
      </c>
      <c r="B1048" s="6" t="s">
        <v>559</v>
      </c>
      <c r="C1048" s="6" t="s">
        <v>564</v>
      </c>
      <c r="D1048" s="6" t="n">
        <v>6</v>
      </c>
      <c r="E1048" s="9" t="s">
        <v>5206</v>
      </c>
      <c r="F1048" s="6" t="n">
        <v>31000</v>
      </c>
      <c r="Q1048" s="1" t="str">
        <f aca="false">IF($A859="","",IF(OR(F859="",I859=""),"",F859-I859))</f>
        <v/>
      </c>
      <c r="R1048" s="1" t="n">
        <f aca="false">IF($A859="","",IF(Q859="","",Q859+IF(O859="",0,O859)))</f>
        <v>72000</v>
      </c>
      <c r="T1048" s="1" t="n">
        <f aca="false">IF($A859="","",IF(R859="","",R859-IF(S859="",0,S859)))</f>
        <v>98000</v>
      </c>
      <c r="U1048" s="1" t="str">
        <f aca="false">IF($A859="","",IF(I859="","",I859-SUM(J859:P859)))</f>
        <v/>
      </c>
      <c r="V1048" s="6" t="s">
        <v>5342</v>
      </c>
      <c r="W1048" s="9" t="s">
        <v>774</v>
      </c>
      <c r="X1048" s="9" t="s">
        <v>5343</v>
      </c>
      <c r="Y1048" s="9" t="s">
        <v>4897</v>
      </c>
      <c r="Z1048" s="9" t="s">
        <v>4898</v>
      </c>
      <c r="AA1048" s="9" t="s">
        <v>4943</v>
      </c>
    </row>
    <row r="1049" customFormat="false" ht="15" hidden="false" customHeight="true" outlineLevel="0" collapsed="false">
      <c r="A1049" s="6" t="s">
        <v>3988</v>
      </c>
      <c r="B1049" s="6" t="s">
        <v>559</v>
      </c>
      <c r="C1049" s="6" t="s">
        <v>564</v>
      </c>
      <c r="D1049" s="6" t="n">
        <v>6</v>
      </c>
      <c r="E1049" s="9" t="s">
        <v>5206</v>
      </c>
      <c r="F1049" s="6" t="n">
        <v>29000</v>
      </c>
      <c r="Q1049" s="1" t="str">
        <f aca="false">IF($A860="","",IF(OR(F860="",I860=""),"",F860-I860))</f>
        <v/>
      </c>
      <c r="R1049" s="1" t="n">
        <f aca="false">IF($A860="","",IF(Q860="","",Q860+IF(O860="",0,O860)))</f>
        <v>6000</v>
      </c>
      <c r="T1049" s="1" t="n">
        <f aca="false">IF($A860="","",IF(R860="","",R860-IF(S860="",0,S860)))</f>
        <v>81071</v>
      </c>
      <c r="U1049" s="1" t="str">
        <f aca="false">IF($A860="","",IF(I860="","",I860-SUM(J860:P860)))</f>
        <v/>
      </c>
      <c r="V1049" s="6" t="s">
        <v>5342</v>
      </c>
      <c r="W1049" s="9" t="s">
        <v>774</v>
      </c>
      <c r="X1049" s="9" t="s">
        <v>5343</v>
      </c>
      <c r="Y1049" s="9" t="s">
        <v>4897</v>
      </c>
      <c r="Z1049" s="9" t="s">
        <v>4898</v>
      </c>
      <c r="AA1049" s="9" t="s">
        <v>4943</v>
      </c>
    </row>
    <row r="1050" customFormat="false" ht="15" hidden="false" customHeight="true" outlineLevel="0" collapsed="false">
      <c r="A1050" s="6" t="s">
        <v>3991</v>
      </c>
      <c r="B1050" s="6" t="s">
        <v>559</v>
      </c>
      <c r="C1050" s="6" t="s">
        <v>564</v>
      </c>
      <c r="D1050" s="6" t="n">
        <v>6</v>
      </c>
      <c r="E1050" s="9" t="s">
        <v>5206</v>
      </c>
      <c r="F1050" s="6" t="n">
        <v>28000</v>
      </c>
      <c r="Q1050" s="1" t="str">
        <f aca="false">IF($A861="","",IF(OR(F861="",I861=""),"",F861-I861))</f>
        <v/>
      </c>
      <c r="R1050" s="1" t="n">
        <f aca="false">IF($A861="","",IF(Q861="","",Q861+IF(O861="",0,O861)))</f>
        <v>21000</v>
      </c>
      <c r="T1050" s="1" t="n">
        <f aca="false">IF($A861="","",IF(R861="","",R861-IF(S861="",0,S861)))</f>
        <v>420208</v>
      </c>
      <c r="U1050" s="1" t="str">
        <f aca="false">IF($A861="","",IF(I861="","",I861-SUM(J861:P861)))</f>
        <v/>
      </c>
      <c r="V1050" s="6" t="s">
        <v>5342</v>
      </c>
      <c r="W1050" s="9" t="s">
        <v>774</v>
      </c>
      <c r="X1050" s="9" t="s">
        <v>5343</v>
      </c>
      <c r="Y1050" s="9" t="s">
        <v>4897</v>
      </c>
      <c r="Z1050" s="9" t="s">
        <v>4898</v>
      </c>
      <c r="AA1050" s="9" t="s">
        <v>4943</v>
      </c>
    </row>
    <row r="1051" customFormat="false" ht="15" hidden="false" customHeight="true" outlineLevel="0" collapsed="false">
      <c r="A1051" s="6" t="s">
        <v>3994</v>
      </c>
      <c r="B1051" s="6" t="s">
        <v>559</v>
      </c>
      <c r="C1051" s="6" t="s">
        <v>564</v>
      </c>
      <c r="D1051" s="6" t="n">
        <v>6</v>
      </c>
      <c r="E1051" s="9" t="s">
        <v>5206</v>
      </c>
      <c r="F1051" s="6" t="n">
        <v>38000</v>
      </c>
      <c r="Q1051" s="1" t="str">
        <f aca="false">IF($A862="","",IF(OR(F862="",I862=""),"",F862-I862))</f>
        <v/>
      </c>
      <c r="R1051" s="1" t="n">
        <f aca="false">IF($A862="","",IF(Q862="","",Q862+IF(O862="",0,O862)))</f>
        <v>38000</v>
      </c>
      <c r="T1051" s="1" t="n">
        <f aca="false">IF($A862="","",IF(R862="","",R862-IF(S862="",0,S862)))</f>
        <v>131809</v>
      </c>
      <c r="U1051" s="1" t="str">
        <f aca="false">IF($A862="","",IF(I862="","",I862-SUM(J862:P862)))</f>
        <v/>
      </c>
      <c r="V1051" s="6" t="s">
        <v>5342</v>
      </c>
      <c r="W1051" s="9" t="s">
        <v>774</v>
      </c>
      <c r="X1051" s="9" t="s">
        <v>5343</v>
      </c>
      <c r="Y1051" s="9" t="s">
        <v>4897</v>
      </c>
      <c r="Z1051" s="9" t="s">
        <v>4898</v>
      </c>
      <c r="AA1051" s="9" t="s">
        <v>4943</v>
      </c>
    </row>
    <row r="1052" customFormat="false" ht="15" hidden="false" customHeight="true" outlineLevel="0" collapsed="false">
      <c r="A1052" s="6" t="s">
        <v>3997</v>
      </c>
      <c r="B1052" s="6" t="s">
        <v>559</v>
      </c>
      <c r="C1052" s="6" t="s">
        <v>564</v>
      </c>
      <c r="D1052" s="6" t="n">
        <v>6</v>
      </c>
      <c r="E1052" s="9" t="s">
        <v>5206</v>
      </c>
      <c r="F1052" s="6" t="n">
        <v>26000</v>
      </c>
      <c r="Q1052" s="1" t="str">
        <f aca="false">IF($A863="","",IF(OR(F863="",I863=""),"",F863-I863))</f>
        <v/>
      </c>
      <c r="R1052" s="1" t="n">
        <f aca="false">IF($A863="","",IF(Q863="","",Q863+IF(O863="",0,O863)))</f>
        <v>39000</v>
      </c>
      <c r="T1052" s="1" t="n">
        <f aca="false">IF($A863="","",IF(R863="","",R863-IF(S863="",0,S863)))</f>
        <v>1394</v>
      </c>
      <c r="U1052" s="1" t="str">
        <f aca="false">IF($A863="","",IF(I863="","",I863-SUM(J863:P863)))</f>
        <v/>
      </c>
      <c r="V1052" s="6" t="s">
        <v>5342</v>
      </c>
      <c r="W1052" s="9" t="s">
        <v>774</v>
      </c>
      <c r="X1052" s="9" t="s">
        <v>5343</v>
      </c>
      <c r="Y1052" s="9" t="s">
        <v>4897</v>
      </c>
      <c r="Z1052" s="9" t="s">
        <v>4898</v>
      </c>
      <c r="AA1052" s="9" t="s">
        <v>4943</v>
      </c>
    </row>
    <row r="1053" customFormat="false" ht="15" hidden="false" customHeight="true" outlineLevel="0" collapsed="false">
      <c r="A1053" s="6" t="s">
        <v>4000</v>
      </c>
      <c r="B1053" s="6" t="s">
        <v>559</v>
      </c>
      <c r="C1053" s="6" t="s">
        <v>564</v>
      </c>
      <c r="D1053" s="6" t="n">
        <v>6</v>
      </c>
      <c r="E1053" s="9" t="s">
        <v>5206</v>
      </c>
      <c r="F1053" s="6" t="n">
        <v>30000</v>
      </c>
      <c r="Q1053" s="1" t="str">
        <f aca="false">IF($A864="","",IF(OR(F864="",I864=""),"",F864-I864))</f>
        <v/>
      </c>
      <c r="R1053" s="1" t="n">
        <f aca="false">IF($A864="","",IF(Q864="","",Q864+IF(O864="",0,O864)))</f>
        <v>44000</v>
      </c>
      <c r="T1053" s="1" t="n">
        <f aca="false">IF($A864="","",IF(R864="","",R864-IF(S864="",0,S864)))</f>
        <v>59000</v>
      </c>
      <c r="U1053" s="1" t="str">
        <f aca="false">IF($A864="","",IF(I864="","",I864-SUM(J864:P864)))</f>
        <v/>
      </c>
      <c r="V1053" s="6" t="s">
        <v>5342</v>
      </c>
      <c r="W1053" s="9" t="s">
        <v>774</v>
      </c>
      <c r="X1053" s="9" t="s">
        <v>5343</v>
      </c>
      <c r="Y1053" s="9" t="s">
        <v>4897</v>
      </c>
      <c r="Z1053" s="9" t="s">
        <v>4898</v>
      </c>
      <c r="AA1053" s="9" t="s">
        <v>4943</v>
      </c>
    </row>
    <row r="1054" customFormat="false" ht="15" hidden="false" customHeight="true" outlineLevel="0" collapsed="false">
      <c r="A1054" s="6" t="s">
        <v>4003</v>
      </c>
      <c r="B1054" s="6" t="s">
        <v>559</v>
      </c>
      <c r="C1054" s="6" t="s">
        <v>564</v>
      </c>
      <c r="D1054" s="6" t="n">
        <v>6</v>
      </c>
      <c r="E1054" s="9" t="s">
        <v>5206</v>
      </c>
      <c r="F1054" s="6" t="n">
        <v>28000</v>
      </c>
      <c r="Q1054" s="1" t="str">
        <f aca="false">IF($A865="","",IF(OR(F865="",I865=""),"",F865-I865))</f>
        <v/>
      </c>
      <c r="R1054" s="1" t="n">
        <f aca="false">IF($A865="","",IF(Q865="","",Q865+IF(O865="",0,O865)))</f>
        <v>44000</v>
      </c>
      <c r="T1054" s="1" t="n">
        <f aca="false">IF($A865="","",IF(R865="","",R865-IF(S865="",0,S865)))</f>
        <v>116555</v>
      </c>
      <c r="U1054" s="1" t="str">
        <f aca="false">IF($A865="","",IF(I865="","",I865-SUM(J865:P865)))</f>
        <v/>
      </c>
      <c r="V1054" s="6" t="s">
        <v>5342</v>
      </c>
      <c r="W1054" s="9" t="s">
        <v>774</v>
      </c>
      <c r="X1054" s="9" t="s">
        <v>5343</v>
      </c>
      <c r="Y1054" s="9" t="s">
        <v>4897</v>
      </c>
      <c r="Z1054" s="9" t="s">
        <v>4898</v>
      </c>
      <c r="AA1054" s="9" t="s">
        <v>4943</v>
      </c>
    </row>
    <row r="1055" customFormat="false" ht="15" hidden="false" customHeight="true" outlineLevel="0" collapsed="false">
      <c r="A1055" s="6" t="s">
        <v>4006</v>
      </c>
      <c r="B1055" s="6" t="s">
        <v>559</v>
      </c>
      <c r="C1055" s="6" t="s">
        <v>564</v>
      </c>
      <c r="D1055" s="6" t="n">
        <v>6</v>
      </c>
      <c r="E1055" s="9" t="s">
        <v>5206</v>
      </c>
      <c r="F1055" s="6" t="n">
        <v>27000</v>
      </c>
      <c r="Q1055" s="1" t="str">
        <f aca="false">IF($A866="","",IF(OR(F866="",I866=""),"",F866-I866))</f>
        <v/>
      </c>
      <c r="R1055" s="1" t="n">
        <f aca="false">IF($A866="","",IF(Q866="","",Q866+IF(O866="",0,O866)))</f>
        <v>-20000</v>
      </c>
      <c r="T1055" s="1" t="n">
        <f aca="false">IF($A866="","",IF(R866="","",R866-IF(S866="",0,S866)))</f>
        <v>54117</v>
      </c>
      <c r="U1055" s="1" t="str">
        <f aca="false">IF($A866="","",IF(I866="","",I866-SUM(J866:P866)))</f>
        <v/>
      </c>
      <c r="V1055" s="6" t="s">
        <v>5342</v>
      </c>
      <c r="W1055" s="9" t="s">
        <v>774</v>
      </c>
      <c r="X1055" s="9" t="s">
        <v>5343</v>
      </c>
      <c r="Y1055" s="9" t="s">
        <v>4897</v>
      </c>
      <c r="Z1055" s="9" t="s">
        <v>4898</v>
      </c>
      <c r="AA1055" s="9" t="s">
        <v>4943</v>
      </c>
    </row>
    <row r="1056" customFormat="false" ht="15" hidden="false" customHeight="true" outlineLevel="0" collapsed="false">
      <c r="A1056" s="6" t="s">
        <v>4009</v>
      </c>
      <c r="B1056" s="6" t="s">
        <v>559</v>
      </c>
      <c r="C1056" s="6" t="s">
        <v>564</v>
      </c>
      <c r="D1056" s="6" t="n">
        <v>6</v>
      </c>
      <c r="E1056" s="9" t="s">
        <v>5206</v>
      </c>
      <c r="F1056" s="6" t="n">
        <v>49000</v>
      </c>
      <c r="Q1056" s="1" t="str">
        <f aca="false">IF($A867="","",IF(OR(F867="",I867=""),"",F867-I867))</f>
        <v/>
      </c>
      <c r="R1056" s="1" t="n">
        <f aca="false">IF($A867="","",IF(Q867="","",Q867+IF(O867="",0,O867)))</f>
        <v>21000</v>
      </c>
      <c r="T1056" s="1" t="n">
        <f aca="false">IF($A867="","",IF(R867="","",R867-IF(S867="",0,S867)))</f>
        <v>171245</v>
      </c>
      <c r="U1056" s="1" t="str">
        <f aca="false">IF($A867="","",IF(I867="","",I867-SUM(J867:P867)))</f>
        <v/>
      </c>
      <c r="V1056" s="6" t="s">
        <v>5342</v>
      </c>
      <c r="W1056" s="9" t="s">
        <v>774</v>
      </c>
      <c r="X1056" s="9" t="s">
        <v>5343</v>
      </c>
      <c r="Y1056" s="9" t="s">
        <v>4897</v>
      </c>
      <c r="Z1056" s="9" t="s">
        <v>4898</v>
      </c>
      <c r="AA1056" s="9" t="s">
        <v>4943</v>
      </c>
    </row>
    <row r="1057" customFormat="false" ht="15" hidden="false" customHeight="true" outlineLevel="0" collapsed="false">
      <c r="A1057" s="6" t="s">
        <v>4012</v>
      </c>
      <c r="B1057" s="6" t="s">
        <v>559</v>
      </c>
      <c r="C1057" s="6" t="s">
        <v>564</v>
      </c>
      <c r="D1057" s="6" t="n">
        <v>6</v>
      </c>
      <c r="E1057" s="9" t="s">
        <v>5206</v>
      </c>
      <c r="F1057" s="6" t="n">
        <v>131000</v>
      </c>
      <c r="Q1057" s="1" t="str">
        <f aca="false">IF($A868="","",IF(OR(F868="",I868=""),"",F868-I868))</f>
        <v/>
      </c>
      <c r="R1057" s="1" t="n">
        <f aca="false">IF($A868="","",IF(Q868="","",Q868+IF(O868="",0,O868)))</f>
        <v>22000</v>
      </c>
      <c r="T1057" s="1" t="n">
        <f aca="false">IF($A868="","",IF(R868="","",R868-IF(S868="",0,S868)))</f>
        <v>89755</v>
      </c>
      <c r="U1057" s="1" t="str">
        <f aca="false">IF($A868="","",IF(I868="","",I868-SUM(J868:P868)))</f>
        <v/>
      </c>
      <c r="V1057" s="6" t="s">
        <v>5342</v>
      </c>
      <c r="W1057" s="9" t="s">
        <v>774</v>
      </c>
      <c r="X1057" s="9" t="s">
        <v>5343</v>
      </c>
      <c r="Y1057" s="9" t="s">
        <v>4897</v>
      </c>
      <c r="Z1057" s="9" t="s">
        <v>4898</v>
      </c>
      <c r="AA1057" s="9" t="s">
        <v>4903</v>
      </c>
    </row>
    <row r="1058" customFormat="false" ht="15" hidden="false" customHeight="true" outlineLevel="0" collapsed="false">
      <c r="A1058" s="6" t="s">
        <v>4015</v>
      </c>
      <c r="B1058" s="6" t="s">
        <v>559</v>
      </c>
      <c r="C1058" s="6" t="s">
        <v>564</v>
      </c>
      <c r="D1058" s="6" t="n">
        <v>6</v>
      </c>
      <c r="E1058" s="9" t="s">
        <v>5206</v>
      </c>
      <c r="F1058" s="6" t="n">
        <v>102000</v>
      </c>
      <c r="Q1058" s="1" t="str">
        <f aca="false">IF($A869="","",IF(OR(F869="",I869=""),"",F869-I869))</f>
        <v/>
      </c>
      <c r="R1058" s="1" t="n">
        <f aca="false">IF($A869="","",IF(Q869="","",Q869+IF(O869="",0,O869)))</f>
        <v>-88000</v>
      </c>
      <c r="T1058" s="1" t="n">
        <f aca="false">IF($A869="","",IF(R869="","",R869-IF(S869="",0,S869)))</f>
        <v>9844</v>
      </c>
      <c r="U1058" s="1" t="str">
        <f aca="false">IF($A869="","",IF(I869="","",I869-SUM(J869:P869)))</f>
        <v/>
      </c>
      <c r="V1058" s="6" t="s">
        <v>5342</v>
      </c>
      <c r="W1058" s="9" t="s">
        <v>774</v>
      </c>
      <c r="X1058" s="9" t="s">
        <v>5343</v>
      </c>
      <c r="Y1058" s="9" t="s">
        <v>4897</v>
      </c>
      <c r="Z1058" s="9" t="s">
        <v>4898</v>
      </c>
      <c r="AA1058" s="9" t="s">
        <v>4903</v>
      </c>
    </row>
    <row r="1059" customFormat="false" ht="15" hidden="false" customHeight="true" outlineLevel="0" collapsed="false">
      <c r="A1059" s="6" t="s">
        <v>4018</v>
      </c>
      <c r="B1059" s="6" t="s">
        <v>559</v>
      </c>
      <c r="C1059" s="6" t="s">
        <v>564</v>
      </c>
      <c r="D1059" s="6" t="n">
        <v>6</v>
      </c>
      <c r="E1059" s="9" t="s">
        <v>5206</v>
      </c>
      <c r="F1059" s="6" t="n">
        <v>90000</v>
      </c>
      <c r="Q1059" s="1" t="str">
        <f aca="false">IF($A870="","",IF(OR(F870="",I870=""),"",F870-I870))</f>
        <v/>
      </c>
      <c r="R1059" s="1" t="n">
        <f aca="false">IF($A870="","",IF(Q870="","",Q870+IF(O870="",0,O870)))</f>
        <v>96000</v>
      </c>
      <c r="T1059" s="1" t="n">
        <f aca="false">IF($A870="","",IF(R870="","",R870-IF(S870="",0,S870)))</f>
        <v>-77107</v>
      </c>
      <c r="U1059" s="1" t="str">
        <f aca="false">IF($A870="","",IF(I870="","",I870-SUM(J870:P870)))</f>
        <v/>
      </c>
      <c r="V1059" s="6" t="s">
        <v>5342</v>
      </c>
      <c r="W1059" s="9" t="s">
        <v>774</v>
      </c>
      <c r="X1059" s="9" t="s">
        <v>5343</v>
      </c>
      <c r="Y1059" s="9" t="s">
        <v>4897</v>
      </c>
      <c r="Z1059" s="9" t="s">
        <v>4898</v>
      </c>
      <c r="AA1059" s="9" t="s">
        <v>4903</v>
      </c>
    </row>
    <row r="1060" customFormat="false" ht="15" hidden="false" customHeight="true" outlineLevel="0" collapsed="false">
      <c r="A1060" s="6" t="s">
        <v>4021</v>
      </c>
      <c r="B1060" s="6" t="s">
        <v>559</v>
      </c>
      <c r="C1060" s="6" t="s">
        <v>564</v>
      </c>
      <c r="D1060" s="6" t="n">
        <v>6</v>
      </c>
      <c r="E1060" s="9" t="s">
        <v>5206</v>
      </c>
      <c r="F1060" s="6" t="n">
        <v>69000</v>
      </c>
      <c r="Q1060" s="1" t="str">
        <f aca="false">IF($A871="","",IF(OR(F871="",I871=""),"",F871-I871))</f>
        <v/>
      </c>
      <c r="R1060" s="1" t="n">
        <f aca="false">IF($A871="","",IF(Q871="","",Q871+IF(O871="",0,O871)))</f>
        <v>52000</v>
      </c>
      <c r="T1060" s="1" t="n">
        <f aca="false">IF($A871="","",IF(R871="","",R871-IF(S871="",0,S871)))</f>
        <v>572639</v>
      </c>
      <c r="U1060" s="1" t="str">
        <f aca="false">IF($A871="","",IF(I871="","",I871-SUM(J871:P871)))</f>
        <v/>
      </c>
      <c r="V1060" s="6" t="s">
        <v>5342</v>
      </c>
      <c r="W1060" s="9" t="s">
        <v>774</v>
      </c>
      <c r="X1060" s="9" t="s">
        <v>5343</v>
      </c>
      <c r="Y1060" s="9" t="s">
        <v>4897</v>
      </c>
      <c r="Z1060" s="9" t="s">
        <v>4898</v>
      </c>
      <c r="AA1060" s="9" t="s">
        <v>4903</v>
      </c>
    </row>
    <row r="1061" customFormat="false" ht="15" hidden="false" customHeight="true" outlineLevel="0" collapsed="false">
      <c r="A1061" s="6" t="s">
        <v>4024</v>
      </c>
      <c r="B1061" s="6" t="s">
        <v>559</v>
      </c>
      <c r="C1061" s="6" t="s">
        <v>564</v>
      </c>
      <c r="D1061" s="6" t="n">
        <v>6</v>
      </c>
      <c r="E1061" s="9" t="s">
        <v>5206</v>
      </c>
      <c r="F1061" s="6" t="n">
        <v>42000</v>
      </c>
      <c r="Q1061" s="1" t="str">
        <f aca="false">IF($A872="","",IF(OR(F872="",I872=""),"",F872-I872))</f>
        <v/>
      </c>
      <c r="R1061" s="1" t="n">
        <f aca="false">IF($A872="","",IF(Q872="","",Q872+IF(O872="",0,O872)))</f>
        <v>55000</v>
      </c>
      <c r="T1061" s="1" t="n">
        <f aca="false">IF($A872="","",IF(R872="","",R872-IF(S872="",0,S872)))</f>
        <v>41914</v>
      </c>
      <c r="U1061" s="1" t="str">
        <f aca="false">IF($A872="","",IF(I872="","",I872-SUM(J872:P872)))</f>
        <v/>
      </c>
      <c r="V1061" s="6" t="s">
        <v>5342</v>
      </c>
      <c r="W1061" s="9" t="s">
        <v>774</v>
      </c>
      <c r="X1061" s="9" t="s">
        <v>5343</v>
      </c>
      <c r="Y1061" s="9" t="s">
        <v>4897</v>
      </c>
      <c r="Z1061" s="9" t="s">
        <v>4898</v>
      </c>
      <c r="AA1061" s="9" t="s">
        <v>4943</v>
      </c>
    </row>
    <row r="1062" customFormat="false" ht="15" hidden="false" customHeight="true" outlineLevel="0" collapsed="false">
      <c r="A1062" s="6" t="s">
        <v>4027</v>
      </c>
      <c r="B1062" s="6" t="s">
        <v>559</v>
      </c>
      <c r="C1062" s="6" t="s">
        <v>564</v>
      </c>
      <c r="D1062" s="6" t="n">
        <v>6</v>
      </c>
      <c r="E1062" s="9" t="s">
        <v>5206</v>
      </c>
      <c r="F1062" s="6" t="n">
        <v>38000</v>
      </c>
      <c r="Q1062" s="1" t="str">
        <f aca="false">IF($A873="","",IF(OR(F873="",I873=""),"",F873-I873))</f>
        <v/>
      </c>
      <c r="R1062" s="1" t="n">
        <f aca="false">IF($A873="","",IF(Q873="","",Q873+IF(O873="",0,O873)))</f>
        <v>109000</v>
      </c>
      <c r="T1062" s="1" t="n">
        <f aca="false">IF($A873="","",IF(R873="","",R873-IF(S873="",0,S873)))</f>
        <v>15746</v>
      </c>
      <c r="U1062" s="1" t="str">
        <f aca="false">IF($A873="","",IF(I873="","",I873-SUM(J873:P873)))</f>
        <v/>
      </c>
      <c r="V1062" s="6" t="s">
        <v>5342</v>
      </c>
      <c r="W1062" s="9" t="s">
        <v>774</v>
      </c>
      <c r="X1062" s="9" t="s">
        <v>5343</v>
      </c>
      <c r="Y1062" s="9" t="s">
        <v>4897</v>
      </c>
      <c r="Z1062" s="9" t="s">
        <v>4898</v>
      </c>
      <c r="AA1062" s="9" t="s">
        <v>4943</v>
      </c>
    </row>
    <row r="1063" customFormat="false" ht="15" hidden="false" customHeight="true" outlineLevel="0" collapsed="false">
      <c r="A1063" s="6" t="s">
        <v>4030</v>
      </c>
      <c r="B1063" s="6" t="s">
        <v>559</v>
      </c>
      <c r="C1063" s="6" t="s">
        <v>564</v>
      </c>
      <c r="D1063" s="6" t="n">
        <v>6</v>
      </c>
      <c r="E1063" s="9" t="s">
        <v>5206</v>
      </c>
      <c r="F1063" s="6" t="n">
        <v>21000</v>
      </c>
      <c r="Q1063" s="1" t="str">
        <f aca="false">IF($A874="","",IF(OR(F874="",I874=""),"",F874-I874))</f>
        <v/>
      </c>
      <c r="R1063" s="1" t="n">
        <f aca="false">IF($A874="","",IF(Q874="","",Q874+IF(O874="",0,O874)))</f>
        <v>106000</v>
      </c>
      <c r="T1063" s="1" t="n">
        <f aca="false">IF($A874="","",IF(R874="","",R874-IF(S874="",0,S874)))</f>
        <v>128000</v>
      </c>
      <c r="U1063" s="1" t="str">
        <f aca="false">IF($A874="","",IF(I874="","",I874-SUM(J874:P874)))</f>
        <v/>
      </c>
      <c r="V1063" s="6" t="s">
        <v>5342</v>
      </c>
      <c r="W1063" s="9" t="s">
        <v>774</v>
      </c>
      <c r="X1063" s="9" t="s">
        <v>5343</v>
      </c>
      <c r="Y1063" s="9" t="s">
        <v>4897</v>
      </c>
      <c r="Z1063" s="9" t="s">
        <v>4898</v>
      </c>
      <c r="AA1063" s="9" t="s">
        <v>4943</v>
      </c>
    </row>
    <row r="1064" customFormat="false" ht="15" hidden="false" customHeight="true" outlineLevel="0" collapsed="false">
      <c r="A1064" s="6" t="s">
        <v>4033</v>
      </c>
      <c r="B1064" s="6" t="s">
        <v>559</v>
      </c>
      <c r="C1064" s="6" t="s">
        <v>564</v>
      </c>
      <c r="D1064" s="6" t="n">
        <v>6</v>
      </c>
      <c r="E1064" s="9" t="s">
        <v>5206</v>
      </c>
      <c r="F1064" s="6" t="n">
        <v>141000</v>
      </c>
      <c r="Q1064" s="1" t="str">
        <f aca="false">IF($A875="","",IF(OR(F875="",I875=""),"",F875-I875))</f>
        <v/>
      </c>
      <c r="R1064" s="1" t="n">
        <f aca="false">IF($A875="","",IF(Q875="","",Q875+IF(O875="",0,O875)))</f>
        <v>40000</v>
      </c>
      <c r="T1064" s="1" t="n">
        <f aca="false">IF($A875="","",IF(R875="","",R875-IF(S875="",0,S875)))</f>
        <v>52000</v>
      </c>
      <c r="U1064" s="1" t="str">
        <f aca="false">IF($A875="","",IF(I875="","",I875-SUM(J875:P875)))</f>
        <v/>
      </c>
      <c r="V1064" s="6" t="s">
        <v>5342</v>
      </c>
      <c r="W1064" s="9" t="s">
        <v>774</v>
      </c>
      <c r="X1064" s="9" t="s">
        <v>5343</v>
      </c>
      <c r="Y1064" s="9" t="s">
        <v>4897</v>
      </c>
      <c r="Z1064" s="9" t="s">
        <v>4898</v>
      </c>
      <c r="AA1064" s="9" t="s">
        <v>4903</v>
      </c>
    </row>
    <row r="1065" customFormat="false" ht="15" hidden="false" customHeight="true" outlineLevel="0" collapsed="false">
      <c r="A1065" s="6" t="s">
        <v>4036</v>
      </c>
      <c r="B1065" s="6" t="s">
        <v>559</v>
      </c>
      <c r="C1065" s="6" t="s">
        <v>564</v>
      </c>
      <c r="D1065" s="6" t="n">
        <v>6</v>
      </c>
      <c r="E1065" s="9" t="s">
        <v>5206</v>
      </c>
      <c r="F1065" s="6" t="n">
        <v>111000</v>
      </c>
      <c r="Q1065" s="1" t="str">
        <f aca="false">IF($A876="","",IF(OR(F876="",I876=""),"",F876-I876))</f>
        <v/>
      </c>
      <c r="R1065" s="1" t="n">
        <f aca="false">IF($A876="","",IF(Q876="","",Q876+IF(O876="",0,O876)))</f>
        <v>26000</v>
      </c>
      <c r="T1065" s="1" t="n">
        <f aca="false">IF($A876="","",IF(R876="","",R876-IF(S876="",0,S876)))</f>
        <v>73074</v>
      </c>
      <c r="U1065" s="1" t="str">
        <f aca="false">IF($A876="","",IF(I876="","",I876-SUM(J876:P876)))</f>
        <v/>
      </c>
      <c r="V1065" s="6" t="s">
        <v>5342</v>
      </c>
      <c r="W1065" s="9" t="s">
        <v>774</v>
      </c>
      <c r="X1065" s="9" t="s">
        <v>5343</v>
      </c>
      <c r="Y1065" s="9" t="s">
        <v>4897</v>
      </c>
      <c r="Z1065" s="9" t="s">
        <v>4898</v>
      </c>
      <c r="AA1065" s="9" t="s">
        <v>4903</v>
      </c>
    </row>
    <row r="1066" customFormat="false" ht="15" hidden="false" customHeight="true" outlineLevel="0" collapsed="false">
      <c r="A1066" s="6" t="s">
        <v>4039</v>
      </c>
      <c r="B1066" s="6" t="s">
        <v>559</v>
      </c>
      <c r="C1066" s="6" t="s">
        <v>564</v>
      </c>
      <c r="D1066" s="6" t="n">
        <v>6</v>
      </c>
      <c r="E1066" s="9" t="s">
        <v>5206</v>
      </c>
      <c r="F1066" s="6" t="n">
        <v>73000</v>
      </c>
      <c r="Q1066" s="1" t="str">
        <f aca="false">IF($A877="","",IF(OR(F877="",I877=""),"",F877-I877))</f>
        <v/>
      </c>
      <c r="R1066" s="1" t="n">
        <f aca="false">IF($A877="","",IF(Q877="","",Q877+IF(O877="",0,O877)))</f>
        <v>21000</v>
      </c>
      <c r="T1066" s="1" t="n">
        <f aca="false">IF($A877="","",IF(R877="","",R877-IF(S877="",0,S877)))</f>
        <v>211454</v>
      </c>
      <c r="U1066" s="1" t="str">
        <f aca="false">IF($A877="","",IF(I877="","",I877-SUM(J877:P877)))</f>
        <v/>
      </c>
      <c r="V1066" s="6" t="s">
        <v>5342</v>
      </c>
      <c r="W1066" s="9" t="s">
        <v>774</v>
      </c>
      <c r="X1066" s="9" t="s">
        <v>5343</v>
      </c>
      <c r="Y1066" s="9" t="s">
        <v>4897</v>
      </c>
      <c r="Z1066" s="9" t="s">
        <v>4898</v>
      </c>
      <c r="AA1066" s="9" t="s">
        <v>4903</v>
      </c>
    </row>
    <row r="1067" customFormat="false" ht="15" hidden="false" customHeight="true" outlineLevel="0" collapsed="false">
      <c r="A1067" s="6" t="s">
        <v>4042</v>
      </c>
      <c r="B1067" s="6" t="s">
        <v>559</v>
      </c>
      <c r="C1067" s="6" t="s">
        <v>564</v>
      </c>
      <c r="D1067" s="6" t="n">
        <v>6</v>
      </c>
      <c r="E1067" s="9" t="s">
        <v>5206</v>
      </c>
      <c r="F1067" s="6" t="n">
        <v>55000</v>
      </c>
      <c r="Q1067" s="1" t="str">
        <f aca="false">IF($A878="","",IF(OR(F878="",I878=""),"",F878-I878))</f>
        <v/>
      </c>
      <c r="R1067" s="1" t="n">
        <f aca="false">IF($A878="","",IF(Q878="","",Q878+IF(O878="",0,O878)))</f>
        <v>23000</v>
      </c>
      <c r="T1067" s="1" t="n">
        <f aca="false">IF($A878="","",IF(R878="","",R878-IF(S878="",0,S878)))</f>
        <v>64759</v>
      </c>
      <c r="U1067" s="1" t="str">
        <f aca="false">IF($A878="","",IF(I878="","",I878-SUM(J878:P878)))</f>
        <v/>
      </c>
      <c r="V1067" s="6" t="s">
        <v>5342</v>
      </c>
      <c r="W1067" s="9" t="s">
        <v>774</v>
      </c>
      <c r="X1067" s="9" t="s">
        <v>5343</v>
      </c>
      <c r="Y1067" s="9" t="s">
        <v>4897</v>
      </c>
      <c r="Z1067" s="9" t="s">
        <v>4898</v>
      </c>
      <c r="AA1067" s="9" t="s">
        <v>4903</v>
      </c>
    </row>
    <row r="1068" customFormat="false" ht="15" hidden="false" customHeight="true" outlineLevel="0" collapsed="false">
      <c r="A1068" s="6" t="s">
        <v>4045</v>
      </c>
      <c r="B1068" s="6" t="s">
        <v>559</v>
      </c>
      <c r="C1068" s="6" t="s">
        <v>564</v>
      </c>
      <c r="D1068" s="6" t="n">
        <v>6</v>
      </c>
      <c r="E1068" s="9" t="s">
        <v>5206</v>
      </c>
      <c r="F1068" s="6" t="n">
        <v>46000</v>
      </c>
      <c r="Q1068" s="1" t="str">
        <f aca="false">IF($A879="","",IF(OR(F879="",I879=""),"",F879-I879))</f>
        <v/>
      </c>
      <c r="R1068" s="1" t="n">
        <f aca="false">IF($A879="","",IF(Q879="","",Q879+IF(O879="",0,O879)))</f>
        <v>-13000</v>
      </c>
      <c r="T1068" s="1" t="n">
        <f aca="false">IF($A879="","",IF(R879="","",R879-IF(S879="",0,S879)))</f>
        <v>-9000</v>
      </c>
      <c r="U1068" s="1" t="str">
        <f aca="false">IF($A879="","",IF(I879="","",I879-SUM(J879:P879)))</f>
        <v/>
      </c>
      <c r="V1068" s="6" t="s">
        <v>5342</v>
      </c>
      <c r="W1068" s="9" t="s">
        <v>774</v>
      </c>
      <c r="X1068" s="9" t="s">
        <v>5343</v>
      </c>
      <c r="Y1068" s="9" t="s">
        <v>4897</v>
      </c>
      <c r="Z1068" s="9" t="s">
        <v>4898</v>
      </c>
      <c r="AA1068" s="9" t="s">
        <v>4943</v>
      </c>
    </row>
    <row r="1069" customFormat="false" ht="15" hidden="false" customHeight="true" outlineLevel="0" collapsed="false">
      <c r="A1069" s="6" t="s">
        <v>4048</v>
      </c>
      <c r="B1069" s="6" t="s">
        <v>559</v>
      </c>
      <c r="C1069" s="6" t="s">
        <v>564</v>
      </c>
      <c r="D1069" s="6" t="n">
        <v>6</v>
      </c>
      <c r="E1069" s="9" t="s">
        <v>5206</v>
      </c>
      <c r="F1069" s="6" t="n">
        <v>47000</v>
      </c>
      <c r="Q1069" s="1" t="str">
        <f aca="false">IF($A880="","",IF(OR(F880="",I880=""),"",F880-I880))</f>
        <v/>
      </c>
      <c r="R1069" s="1" t="n">
        <f aca="false">IF($A880="","",IF(Q880="","",Q880+IF(O880="",0,O880)))</f>
        <v>28000</v>
      </c>
      <c r="T1069" s="1" t="n">
        <f aca="false">IF($A880="","",IF(R880="","",R880-IF(S880="",0,S880)))</f>
        <v>36000</v>
      </c>
      <c r="U1069" s="1" t="str">
        <f aca="false">IF($A880="","",IF(I880="","",I880-SUM(J880:P880)))</f>
        <v/>
      </c>
      <c r="V1069" s="6" t="s">
        <v>5342</v>
      </c>
      <c r="W1069" s="9" t="s">
        <v>774</v>
      </c>
      <c r="X1069" s="9" t="s">
        <v>5343</v>
      </c>
      <c r="Y1069" s="9" t="s">
        <v>4897</v>
      </c>
      <c r="Z1069" s="9" t="s">
        <v>4898</v>
      </c>
      <c r="AA1069" s="9" t="s">
        <v>4943</v>
      </c>
    </row>
    <row r="1070" customFormat="false" ht="15" hidden="false" customHeight="true" outlineLevel="0" collapsed="false">
      <c r="A1070" s="6" t="s">
        <v>4051</v>
      </c>
      <c r="B1070" s="6" t="s">
        <v>559</v>
      </c>
      <c r="C1070" s="6" t="s">
        <v>564</v>
      </c>
      <c r="D1070" s="6" t="n">
        <v>6</v>
      </c>
      <c r="E1070" s="9" t="s">
        <v>5206</v>
      </c>
      <c r="F1070" s="6" t="n">
        <v>56000</v>
      </c>
      <c r="Q1070" s="1" t="str">
        <f aca="false">IF($A881="","",IF(OR(F881="",I881=""),"",F881-I881))</f>
        <v/>
      </c>
      <c r="R1070" s="1" t="n">
        <f aca="false">IF($A881="","",IF(Q881="","",Q881+IF(O881="",0,O881)))</f>
        <v>20000</v>
      </c>
      <c r="T1070" s="1" t="n">
        <f aca="false">IF($A881="","",IF(R881="","",R881-IF(S881="",0,S881)))</f>
        <v>4092035</v>
      </c>
      <c r="U1070" s="1" t="str">
        <f aca="false">IF($A881="","",IF(I881="","",I881-SUM(J881:P881)))</f>
        <v/>
      </c>
      <c r="V1070" s="6" t="s">
        <v>5342</v>
      </c>
      <c r="W1070" s="9" t="s">
        <v>774</v>
      </c>
      <c r="X1070" s="9" t="s">
        <v>5343</v>
      </c>
      <c r="Y1070" s="9" t="s">
        <v>4897</v>
      </c>
      <c r="Z1070" s="9" t="s">
        <v>4898</v>
      </c>
      <c r="AA1070" s="9" t="s">
        <v>4903</v>
      </c>
    </row>
    <row r="1071" customFormat="false" ht="15" hidden="false" customHeight="true" outlineLevel="0" collapsed="false">
      <c r="A1071" s="6" t="s">
        <v>4054</v>
      </c>
      <c r="B1071" s="6" t="s">
        <v>559</v>
      </c>
      <c r="C1071" s="6" t="s">
        <v>564</v>
      </c>
      <c r="D1071" s="6" t="n">
        <v>6</v>
      </c>
      <c r="E1071" s="9" t="s">
        <v>5206</v>
      </c>
      <c r="F1071" s="6" t="n">
        <v>43000</v>
      </c>
      <c r="Q1071" s="1" t="str">
        <f aca="false">IF($A882="","",IF(OR(F882="",I882=""),"",F882-I882))</f>
        <v/>
      </c>
      <c r="R1071" s="1" t="n">
        <f aca="false">IF($A882="","",IF(Q882="","",Q882+IF(O882="",0,O882)))</f>
        <v>30000</v>
      </c>
      <c r="T1071" s="1" t="n">
        <f aca="false">IF($A882="","",IF(R882="","",R882-IF(S882="",0,S882)))</f>
        <v>42000</v>
      </c>
      <c r="U1071" s="1" t="str">
        <f aca="false">IF($A882="","",IF(I882="","",I882-SUM(J882:P882)))</f>
        <v/>
      </c>
      <c r="V1071" s="6" t="s">
        <v>5342</v>
      </c>
      <c r="W1071" s="9" t="s">
        <v>774</v>
      </c>
      <c r="X1071" s="9" t="s">
        <v>5343</v>
      </c>
      <c r="Y1071" s="9" t="s">
        <v>4897</v>
      </c>
      <c r="Z1071" s="9" t="s">
        <v>4898</v>
      </c>
      <c r="AA1071" s="9" t="s">
        <v>4943</v>
      </c>
    </row>
    <row r="1072" customFormat="false" ht="15" hidden="false" customHeight="true" outlineLevel="0" collapsed="false">
      <c r="A1072" s="6" t="s">
        <v>4057</v>
      </c>
      <c r="B1072" s="6" t="s">
        <v>559</v>
      </c>
      <c r="C1072" s="6" t="s">
        <v>564</v>
      </c>
      <c r="D1072" s="6" t="n">
        <v>6</v>
      </c>
      <c r="E1072" s="9" t="s">
        <v>5206</v>
      </c>
      <c r="F1072" s="6" t="n">
        <v>35000</v>
      </c>
      <c r="Q1072" s="1" t="str">
        <f aca="false">IF($A883="","",IF(OR(F883="",I883=""),"",F883-I883))</f>
        <v/>
      </c>
      <c r="R1072" s="1" t="n">
        <f aca="false">IF($A883="","",IF(Q883="","",Q883+IF(O883="",0,O883)))</f>
        <v>32000</v>
      </c>
      <c r="T1072" s="1" t="n">
        <f aca="false">IF($A883="","",IF(R883="","",R883-IF(S883="",0,S883)))</f>
        <v>43000</v>
      </c>
      <c r="U1072" s="1" t="str">
        <f aca="false">IF($A883="","",IF(I883="","",I883-SUM(J883:P883)))</f>
        <v/>
      </c>
      <c r="V1072" s="6" t="s">
        <v>5342</v>
      </c>
      <c r="W1072" s="9" t="s">
        <v>774</v>
      </c>
      <c r="X1072" s="9" t="s">
        <v>5343</v>
      </c>
      <c r="Y1072" s="9" t="s">
        <v>4897</v>
      </c>
      <c r="Z1072" s="9" t="s">
        <v>4898</v>
      </c>
      <c r="AA1072" s="9" t="s">
        <v>4943</v>
      </c>
    </row>
    <row r="1073" customFormat="false" ht="15" hidden="false" customHeight="true" outlineLevel="0" collapsed="false">
      <c r="A1073" s="6" t="s">
        <v>4060</v>
      </c>
      <c r="B1073" s="6" t="s">
        <v>559</v>
      </c>
      <c r="C1073" s="6" t="s">
        <v>564</v>
      </c>
      <c r="D1073" s="6" t="n">
        <v>6</v>
      </c>
      <c r="E1073" s="9" t="s">
        <v>5206</v>
      </c>
      <c r="F1073" s="6" t="n">
        <v>42000</v>
      </c>
      <c r="Q1073" s="1" t="str">
        <f aca="false">IF($A884="","",IF(OR(F884="",I884=""),"",F884-I884))</f>
        <v/>
      </c>
      <c r="R1073" s="1" t="n">
        <f aca="false">IF($A884="","",IF(Q884="","",Q884+IF(O884="",0,O884)))</f>
        <v>28000</v>
      </c>
      <c r="T1073" s="1" t="n">
        <f aca="false">IF($A884="","",IF(R884="","",R884-IF(S884="",0,S884)))</f>
        <v>35000</v>
      </c>
      <c r="U1073" s="1" t="str">
        <f aca="false">IF($A884="","",IF(I884="","",I884-SUM(J884:P884)))</f>
        <v/>
      </c>
      <c r="V1073" s="6" t="s">
        <v>5342</v>
      </c>
      <c r="W1073" s="9" t="s">
        <v>774</v>
      </c>
      <c r="X1073" s="9" t="s">
        <v>5343</v>
      </c>
      <c r="Y1073" s="9" t="s">
        <v>4897</v>
      </c>
      <c r="Z1073" s="9" t="s">
        <v>4898</v>
      </c>
      <c r="AA1073" s="9" t="s">
        <v>4943</v>
      </c>
    </row>
    <row r="1074" customFormat="false" ht="15" hidden="false" customHeight="true" outlineLevel="0" collapsed="false">
      <c r="A1074" s="6" t="s">
        <v>4063</v>
      </c>
      <c r="B1074" s="6" t="s">
        <v>559</v>
      </c>
      <c r="C1074" s="6" t="s">
        <v>564</v>
      </c>
      <c r="D1074" s="6" t="n">
        <v>6</v>
      </c>
      <c r="E1074" s="9" t="s">
        <v>5206</v>
      </c>
      <c r="F1074" s="6" t="n">
        <v>45000</v>
      </c>
      <c r="Q1074" s="1" t="str">
        <f aca="false">IF($A885="","",IF(OR(F885="",I885=""),"",F885-I885))</f>
        <v/>
      </c>
      <c r="R1074" s="1" t="n">
        <f aca="false">IF($A885="","",IF(Q885="","",Q885+IF(O885="",0,O885)))</f>
        <v>56000</v>
      </c>
      <c r="T1074" s="1" t="n">
        <f aca="false">IF($A885="","",IF(R885="","",R885-IF(S885="",0,S885)))</f>
        <v>71000</v>
      </c>
      <c r="U1074" s="1" t="str">
        <f aca="false">IF($A885="","",IF(I885="","",I885-SUM(J885:P885)))</f>
        <v/>
      </c>
      <c r="V1074" s="6" t="s">
        <v>5342</v>
      </c>
      <c r="W1074" s="9" t="s">
        <v>774</v>
      </c>
      <c r="X1074" s="9" t="s">
        <v>5343</v>
      </c>
      <c r="Y1074" s="9" t="s">
        <v>4897</v>
      </c>
      <c r="Z1074" s="9" t="s">
        <v>4898</v>
      </c>
      <c r="AA1074" s="9" t="s">
        <v>4943</v>
      </c>
    </row>
    <row r="1075" customFormat="false" ht="15" hidden="false" customHeight="true" outlineLevel="0" collapsed="false">
      <c r="A1075" s="6" t="s">
        <v>4066</v>
      </c>
      <c r="B1075" s="6" t="s">
        <v>559</v>
      </c>
      <c r="C1075" s="6" t="s">
        <v>564</v>
      </c>
      <c r="D1075" s="6" t="n">
        <v>6</v>
      </c>
      <c r="E1075" s="9" t="s">
        <v>5206</v>
      </c>
      <c r="F1075" s="6" t="n">
        <v>31000</v>
      </c>
      <c r="Q1075" s="1" t="str">
        <f aca="false">IF($A886="","",IF(OR(F886="",I886=""),"",F886-I886))</f>
        <v/>
      </c>
      <c r="R1075" s="1" t="n">
        <f aca="false">IF($A886="","",IF(Q886="","",Q886+IF(O886="",0,O886)))</f>
        <v>32000</v>
      </c>
      <c r="T1075" s="1" t="n">
        <f aca="false">IF($A886="","",IF(R886="","",R886-IF(S886="",0,S886)))</f>
        <v>41000</v>
      </c>
      <c r="U1075" s="1" t="str">
        <f aca="false">IF($A886="","",IF(I886="","",I886-SUM(J886:P886)))</f>
        <v/>
      </c>
      <c r="V1075" s="6" t="s">
        <v>5342</v>
      </c>
      <c r="W1075" s="9" t="s">
        <v>774</v>
      </c>
      <c r="X1075" s="9" t="s">
        <v>5343</v>
      </c>
      <c r="Y1075" s="9" t="s">
        <v>4897</v>
      </c>
      <c r="Z1075" s="9" t="s">
        <v>4898</v>
      </c>
      <c r="AA1075" s="9" t="s">
        <v>4943</v>
      </c>
    </row>
    <row r="1076" customFormat="false" ht="15" hidden="false" customHeight="true" outlineLevel="0" collapsed="false">
      <c r="A1076" s="6" t="s">
        <v>4069</v>
      </c>
      <c r="B1076" s="6" t="s">
        <v>559</v>
      </c>
      <c r="C1076" s="6" t="s">
        <v>564</v>
      </c>
      <c r="D1076" s="6" t="n">
        <v>6</v>
      </c>
      <c r="E1076" s="9" t="s">
        <v>5206</v>
      </c>
      <c r="F1076" s="6" t="n">
        <v>93000</v>
      </c>
      <c r="Q1076" s="1" t="str">
        <f aca="false">IF($A887="","",IF(OR(F887="",I887=""),"",F887-I887))</f>
        <v/>
      </c>
      <c r="R1076" s="1" t="n">
        <f aca="false">IF($A887="","",IF(Q887="","",Q887+IF(O887="",0,O887)))</f>
        <v>51000</v>
      </c>
      <c r="T1076" s="1" t="n">
        <f aca="false">IF($A887="","",IF(R887="","",R887-IF(S887="",0,S887)))</f>
        <v>64000</v>
      </c>
      <c r="U1076" s="1" t="str">
        <f aca="false">IF($A887="","",IF(I887="","",I887-SUM(J887:P887)))</f>
        <v/>
      </c>
      <c r="V1076" s="6" t="s">
        <v>5342</v>
      </c>
      <c r="W1076" s="9" t="s">
        <v>774</v>
      </c>
      <c r="X1076" s="9" t="s">
        <v>5343</v>
      </c>
      <c r="Y1076" s="9" t="s">
        <v>4897</v>
      </c>
      <c r="Z1076" s="9" t="s">
        <v>4898</v>
      </c>
      <c r="AA1076" s="9" t="s">
        <v>4903</v>
      </c>
    </row>
    <row r="1077" customFormat="false" ht="15" hidden="false" customHeight="true" outlineLevel="0" collapsed="false">
      <c r="A1077" s="6" t="s">
        <v>4072</v>
      </c>
      <c r="B1077" s="6" t="s">
        <v>559</v>
      </c>
      <c r="C1077" s="6" t="s">
        <v>564</v>
      </c>
      <c r="D1077" s="6" t="n">
        <v>6</v>
      </c>
      <c r="E1077" s="9" t="s">
        <v>5206</v>
      </c>
      <c r="F1077" s="6" t="n">
        <v>42000</v>
      </c>
      <c r="Q1077" s="1" t="str">
        <f aca="false">IF($A888="","",IF(OR(F888="",I888=""),"",F888-I888))</f>
        <v/>
      </c>
      <c r="R1077" s="1" t="n">
        <f aca="false">IF($A888="","",IF(Q888="","",Q888+IF(O888="",0,O888)))</f>
        <v>38000</v>
      </c>
      <c r="T1077" s="1" t="n">
        <f aca="false">IF($A888="","",IF(R888="","",R888-IF(S888="",0,S888)))</f>
        <v>55000</v>
      </c>
      <c r="U1077" s="1" t="str">
        <f aca="false">IF($A888="","",IF(I888="","",I888-SUM(J888:P888)))</f>
        <v/>
      </c>
      <c r="V1077" s="6" t="s">
        <v>5342</v>
      </c>
      <c r="W1077" s="9" t="s">
        <v>774</v>
      </c>
      <c r="X1077" s="9" t="s">
        <v>5343</v>
      </c>
      <c r="Y1077" s="9" t="s">
        <v>4897</v>
      </c>
      <c r="Z1077" s="9" t="s">
        <v>4898</v>
      </c>
      <c r="AA1077" s="9" t="s">
        <v>4943</v>
      </c>
    </row>
    <row r="1078" customFormat="false" ht="15" hidden="false" customHeight="true" outlineLevel="0" collapsed="false">
      <c r="A1078" s="6" t="s">
        <v>4075</v>
      </c>
      <c r="B1078" s="6" t="s">
        <v>559</v>
      </c>
      <c r="C1078" s="6" t="s">
        <v>564</v>
      </c>
      <c r="D1078" s="6" t="n">
        <v>6</v>
      </c>
      <c r="E1078" s="9" t="s">
        <v>5206</v>
      </c>
      <c r="F1078" s="6" t="n">
        <v>28000</v>
      </c>
      <c r="Q1078" s="1" t="str">
        <f aca="false">IF($A889="","",IF(OR(F889="",I889=""),"",F889-I889))</f>
        <v/>
      </c>
      <c r="R1078" s="1" t="n">
        <f aca="false">IF($A889="","",IF(Q889="","",Q889+IF(O889="",0,O889)))</f>
        <v>27000</v>
      </c>
      <c r="T1078" s="1" t="n">
        <f aca="false">IF($A889="","",IF(R889="","",R889-IF(S889="",0,S889)))</f>
        <v>46000</v>
      </c>
      <c r="U1078" s="1" t="str">
        <f aca="false">IF($A889="","",IF(I889="","",I889-SUM(J889:P889)))</f>
        <v/>
      </c>
      <c r="V1078" s="6" t="s">
        <v>5342</v>
      </c>
      <c r="W1078" s="9" t="s">
        <v>774</v>
      </c>
      <c r="X1078" s="9" t="s">
        <v>5343</v>
      </c>
      <c r="Y1078" s="9" t="s">
        <v>4897</v>
      </c>
      <c r="Z1078" s="9" t="s">
        <v>4898</v>
      </c>
      <c r="AA1078" s="9" t="s">
        <v>4943</v>
      </c>
    </row>
    <row r="1079" customFormat="false" ht="15" hidden="false" customHeight="true" outlineLevel="0" collapsed="false">
      <c r="A1079" s="6" t="s">
        <v>4078</v>
      </c>
      <c r="B1079" s="6" t="s">
        <v>559</v>
      </c>
      <c r="C1079" s="6" t="s">
        <v>564</v>
      </c>
      <c r="D1079" s="6" t="n">
        <v>6</v>
      </c>
      <c r="E1079" s="9" t="s">
        <v>5206</v>
      </c>
      <c r="F1079" s="6" t="n">
        <v>28000</v>
      </c>
      <c r="Q1079" s="1" t="str">
        <f aca="false">IF($A890="","",IF(OR(F890="",I890=""),"",F890-I890))</f>
        <v/>
      </c>
      <c r="R1079" s="1" t="n">
        <f aca="false">IF($A890="","",IF(Q890="","",Q890+IF(O890="",0,O890)))</f>
        <v>5000</v>
      </c>
      <c r="T1079" s="1" t="n">
        <f aca="false">IF($A890="","",IF(R890="","",R890-IF(S890="",0,S890)))</f>
        <v>9000</v>
      </c>
      <c r="U1079" s="1" t="str">
        <f aca="false">IF($A890="","",IF(I890="","",I890-SUM(J890:P890)))</f>
        <v/>
      </c>
      <c r="V1079" s="6" t="s">
        <v>5342</v>
      </c>
      <c r="W1079" s="9" t="s">
        <v>774</v>
      </c>
      <c r="X1079" s="9" t="s">
        <v>5343</v>
      </c>
      <c r="Y1079" s="9" t="s">
        <v>4897</v>
      </c>
      <c r="Z1079" s="9" t="s">
        <v>4898</v>
      </c>
      <c r="AA1079" s="9" t="s">
        <v>4943</v>
      </c>
    </row>
    <row r="1080" customFormat="false" ht="15" hidden="false" customHeight="true" outlineLevel="0" collapsed="false">
      <c r="A1080" s="6" t="s">
        <v>4081</v>
      </c>
      <c r="B1080" s="6" t="s">
        <v>559</v>
      </c>
      <c r="C1080" s="6" t="s">
        <v>564</v>
      </c>
      <c r="D1080" s="6" t="n">
        <v>6</v>
      </c>
      <c r="E1080" s="9" t="s">
        <v>5206</v>
      </c>
      <c r="F1080" s="6" t="n">
        <v>24000</v>
      </c>
      <c r="Q1080" s="1" t="n">
        <f aca="false">IF($A891="","",IF(OR(F891="",I891=""),"",F891-I891))</f>
        <v>8026214</v>
      </c>
      <c r="R1080" s="1" t="n">
        <f aca="false">IF($A891="","",IF(Q891="","",Q891+IF(O891="",0,O891)))</f>
        <v>9042533</v>
      </c>
      <c r="T1080" s="1" t="str">
        <f aca="false">IF($A891="","",IF(R891="","",R891-IF(S891="",0,S891)))</f>
        <v/>
      </c>
      <c r="U1080" s="1" t="n">
        <f aca="false">IF($A891="","",IF(I891="","",I891-SUM(J891:P891)))</f>
        <v>2</v>
      </c>
      <c r="V1080" s="6" t="s">
        <v>5342</v>
      </c>
      <c r="W1080" s="9" t="s">
        <v>774</v>
      </c>
      <c r="X1080" s="9" t="s">
        <v>5343</v>
      </c>
      <c r="Y1080" s="9" t="s">
        <v>4897</v>
      </c>
      <c r="Z1080" s="9" t="s">
        <v>4898</v>
      </c>
      <c r="AA1080" s="9" t="s">
        <v>4943</v>
      </c>
    </row>
    <row r="1081" customFormat="false" ht="15" hidden="false" customHeight="true" outlineLevel="0" collapsed="false">
      <c r="A1081" s="6" t="s">
        <v>4084</v>
      </c>
      <c r="B1081" s="6" t="s">
        <v>559</v>
      </c>
      <c r="C1081" s="6" t="s">
        <v>564</v>
      </c>
      <c r="D1081" s="6" t="n">
        <v>6</v>
      </c>
      <c r="E1081" s="9" t="s">
        <v>5206</v>
      </c>
      <c r="F1081" s="6" t="n">
        <v>25000</v>
      </c>
      <c r="Q1081" s="1" t="n">
        <f aca="false">IF($A892="","",IF(OR(F892="",I892=""),"",F892-I892))</f>
        <v>1041352</v>
      </c>
      <c r="R1081" s="1" t="n">
        <f aca="false">IF($A892="","",IF(Q892="","",Q892+IF(O892="",0,O892)))</f>
        <v>1114034</v>
      </c>
      <c r="T1081" s="1" t="str">
        <f aca="false">IF($A892="","",IF(R892="","",R892-IF(S892="",0,S892)))</f>
        <v/>
      </c>
      <c r="U1081" s="1" t="n">
        <f aca="false">IF($A892="","",IF(I892="","",I892-SUM(J892:P892)))</f>
        <v>3</v>
      </c>
      <c r="V1081" s="6" t="s">
        <v>5342</v>
      </c>
      <c r="W1081" s="9" t="s">
        <v>774</v>
      </c>
      <c r="X1081" s="9" t="s">
        <v>5343</v>
      </c>
      <c r="Y1081" s="9" t="s">
        <v>4897</v>
      </c>
      <c r="Z1081" s="9" t="s">
        <v>4898</v>
      </c>
      <c r="AA1081" s="9" t="s">
        <v>4943</v>
      </c>
    </row>
    <row r="1082" customFormat="false" ht="15" hidden="false" customHeight="true" outlineLevel="0" collapsed="false">
      <c r="A1082" s="6" t="s">
        <v>4087</v>
      </c>
      <c r="B1082" s="6" t="s">
        <v>559</v>
      </c>
      <c r="C1082" s="6" t="s">
        <v>564</v>
      </c>
      <c r="D1082" s="6" t="n">
        <v>6</v>
      </c>
      <c r="E1082" s="9" t="s">
        <v>5206</v>
      </c>
      <c r="F1082" s="6" t="n">
        <v>33000</v>
      </c>
      <c r="Q1082" s="1" t="n">
        <f aca="false">IF($A893="","",IF(OR(F893="",I893=""),"",F893-I893))</f>
        <v>586664</v>
      </c>
      <c r="R1082" s="1" t="n">
        <f aca="false">IF($A893="","",IF(Q893="","",Q893+IF(O893="",0,O893)))</f>
        <v>742899</v>
      </c>
      <c r="T1082" s="1" t="str">
        <f aca="false">IF($A893="","",IF(R893="","",R893-IF(S893="",0,S893)))</f>
        <v/>
      </c>
      <c r="U1082" s="1" t="n">
        <f aca="false">IF($A893="","",IF(I893="","",I893-SUM(J893:P893)))</f>
        <v>2</v>
      </c>
      <c r="V1082" s="6" t="s">
        <v>5342</v>
      </c>
      <c r="W1082" s="9" t="s">
        <v>774</v>
      </c>
      <c r="X1082" s="9" t="s">
        <v>5343</v>
      </c>
      <c r="Y1082" s="9" t="s">
        <v>4897</v>
      </c>
      <c r="Z1082" s="9" t="s">
        <v>4898</v>
      </c>
      <c r="AA1082" s="9" t="s">
        <v>4943</v>
      </c>
    </row>
    <row r="1083" customFormat="false" ht="15" hidden="false" customHeight="true" outlineLevel="0" collapsed="false">
      <c r="A1083" s="6" t="s">
        <v>4090</v>
      </c>
      <c r="B1083" s="6" t="s">
        <v>559</v>
      </c>
      <c r="C1083" s="6" t="s">
        <v>564</v>
      </c>
      <c r="D1083" s="6" t="n">
        <v>6</v>
      </c>
      <c r="E1083" s="9" t="s">
        <v>5206</v>
      </c>
      <c r="F1083" s="6" t="n">
        <v>32000</v>
      </c>
      <c r="Q1083" s="1" t="str">
        <f aca="false">IF($A894="","",IF(OR(F894="",I894=""),"",F894-I894))</f>
        <v/>
      </c>
      <c r="R1083" s="1" t="str">
        <f aca="false">IF($A894="","",IF(Q894="","",Q894+IF(O894="",0,O894)))</f>
        <v/>
      </c>
      <c r="T1083" s="1" t="str">
        <f aca="false">IF($A894="","",IF(R894="","",R894-IF(S894="",0,S894)))</f>
        <v/>
      </c>
      <c r="U1083" s="1" t="str">
        <f aca="false">IF($A894="","",IF(I894="","",I894-SUM(J894:P894)))</f>
        <v/>
      </c>
      <c r="V1083" s="6" t="s">
        <v>5342</v>
      </c>
      <c r="W1083" s="9" t="s">
        <v>774</v>
      </c>
      <c r="X1083" s="9" t="s">
        <v>5343</v>
      </c>
      <c r="Y1083" s="9" t="s">
        <v>4897</v>
      </c>
      <c r="Z1083" s="9" t="s">
        <v>4898</v>
      </c>
      <c r="AA1083" s="9" t="s">
        <v>4943</v>
      </c>
    </row>
    <row r="1084" customFormat="false" ht="15" hidden="false" customHeight="true" outlineLevel="0" collapsed="false">
      <c r="A1084" s="6" t="s">
        <v>4093</v>
      </c>
      <c r="B1084" s="6" t="s">
        <v>559</v>
      </c>
      <c r="C1084" s="6" t="s">
        <v>564</v>
      </c>
      <c r="D1084" s="6" t="n">
        <v>6</v>
      </c>
      <c r="E1084" s="9" t="s">
        <v>5206</v>
      </c>
      <c r="F1084" s="6" t="n">
        <v>31000</v>
      </c>
      <c r="Q1084" s="1" t="n">
        <f aca="false">IF($A895="","",IF(OR(F895="",I895=""),"",F895-I895))</f>
        <v>586487</v>
      </c>
      <c r="R1084" s="1" t="n">
        <f aca="false">IF($A895="","",IF(Q895="","",Q895+IF(O895="",0,O895)))</f>
        <v>651960</v>
      </c>
      <c r="T1084" s="1" t="str">
        <f aca="false">IF($A895="","",IF(R895="","",R895-IF(S895="",0,S895)))</f>
        <v/>
      </c>
      <c r="U1084" s="1" t="n">
        <f aca="false">IF($A895="","",IF(I895="","",I895-SUM(J895:P895)))</f>
        <v>4</v>
      </c>
      <c r="V1084" s="6" t="s">
        <v>5342</v>
      </c>
      <c r="W1084" s="9" t="s">
        <v>774</v>
      </c>
      <c r="X1084" s="9" t="s">
        <v>5343</v>
      </c>
      <c r="Y1084" s="9" t="s">
        <v>4897</v>
      </c>
      <c r="Z1084" s="9" t="s">
        <v>4898</v>
      </c>
      <c r="AA1084" s="9" t="s">
        <v>4943</v>
      </c>
    </row>
    <row r="1085" customFormat="false" ht="15" hidden="false" customHeight="true" outlineLevel="0" collapsed="false">
      <c r="A1085" s="6" t="s">
        <v>4096</v>
      </c>
      <c r="B1085" s="6" t="s">
        <v>559</v>
      </c>
      <c r="C1085" s="6" t="s">
        <v>564</v>
      </c>
      <c r="D1085" s="6" t="n">
        <v>6</v>
      </c>
      <c r="E1085" s="9" t="s">
        <v>5206</v>
      </c>
      <c r="F1085" s="6" t="n">
        <v>26000</v>
      </c>
      <c r="Q1085" s="1" t="n">
        <f aca="false">IF($A896="","",IF(OR(F896="",I896=""),"",F896-I896))</f>
        <v>253359</v>
      </c>
      <c r="R1085" s="1" t="n">
        <f aca="false">IF($A896="","",IF(Q896="","",Q896+IF(O896="",0,O896)))</f>
        <v>292397</v>
      </c>
      <c r="T1085" s="1" t="str">
        <f aca="false">IF($A896="","",IF(R896="","",R896-IF(S896="",0,S896)))</f>
        <v/>
      </c>
      <c r="U1085" s="1" t="n">
        <f aca="false">IF($A896="","",IF(I896="","",I896-SUM(J896:P896)))</f>
        <v>2</v>
      </c>
      <c r="V1085" s="6" t="s">
        <v>5342</v>
      </c>
      <c r="W1085" s="9" t="s">
        <v>774</v>
      </c>
      <c r="X1085" s="9" t="s">
        <v>5343</v>
      </c>
      <c r="Y1085" s="9" t="s">
        <v>4897</v>
      </c>
      <c r="Z1085" s="9" t="s">
        <v>4898</v>
      </c>
      <c r="AA1085" s="9" t="s">
        <v>4943</v>
      </c>
    </row>
    <row r="1086" customFormat="false" ht="15" hidden="false" customHeight="true" outlineLevel="0" collapsed="false">
      <c r="A1086" s="6" t="s">
        <v>4099</v>
      </c>
      <c r="B1086" s="6" t="s">
        <v>559</v>
      </c>
      <c r="C1086" s="6" t="s">
        <v>564</v>
      </c>
      <c r="D1086" s="6" t="n">
        <v>6</v>
      </c>
      <c r="E1086" s="9" t="s">
        <v>5206</v>
      </c>
      <c r="F1086" s="6" t="n">
        <v>180000</v>
      </c>
      <c r="G1086" s="1" t="n">
        <v>212348</v>
      </c>
      <c r="H1086" s="1" t="n">
        <v>34461</v>
      </c>
      <c r="I1086" s="1" t="n">
        <v>78047</v>
      </c>
      <c r="J1086" s="1" t="n">
        <v>17765</v>
      </c>
      <c r="K1086" s="1" t="n">
        <v>19094</v>
      </c>
      <c r="L1086" s="1" t="n">
        <v>17295</v>
      </c>
      <c r="M1086" s="1" t="n">
        <v>309</v>
      </c>
      <c r="N1086" s="1" t="n">
        <v>5601</v>
      </c>
      <c r="O1086" s="1" t="n">
        <v>16242</v>
      </c>
      <c r="P1086" s="1" t="n">
        <v>1738</v>
      </c>
      <c r="Q1086" s="1" t="n">
        <f aca="false">IF($A897="","",IF(OR(F897="",I897=""),"",F897-I897))</f>
        <v>128633</v>
      </c>
      <c r="R1086" s="1" t="n">
        <f aca="false">IF($A897="","",IF(Q897="","",Q897+IF(O897="",0,O897)))</f>
        <v>141660</v>
      </c>
      <c r="T1086" s="1" t="str">
        <f aca="false">IF($A897="","",IF(R897="","",R897-IF(S897="",0,S897)))</f>
        <v/>
      </c>
      <c r="U1086" s="1" t="n">
        <f aca="false">IF($A897="","",IF(I897="","",I897-SUM(J897:P897)))</f>
        <v>3</v>
      </c>
      <c r="V1086" s="6" t="s">
        <v>5342</v>
      </c>
      <c r="W1086" s="9" t="s">
        <v>774</v>
      </c>
      <c r="X1086" s="9" t="s">
        <v>5343</v>
      </c>
      <c r="Y1086" s="9" t="s">
        <v>4897</v>
      </c>
      <c r="Z1086" s="9" t="s">
        <v>4898</v>
      </c>
      <c r="AA1086" s="9" t="s">
        <v>4903</v>
      </c>
    </row>
    <row r="1087" customFormat="false" ht="15" hidden="false" customHeight="true" outlineLevel="0" collapsed="false">
      <c r="A1087" s="6" t="s">
        <v>4102</v>
      </c>
      <c r="B1087" s="6" t="s">
        <v>559</v>
      </c>
      <c r="C1087" s="6" t="s">
        <v>564</v>
      </c>
      <c r="D1087" s="6" t="n">
        <v>6</v>
      </c>
      <c r="E1087" s="9" t="s">
        <v>5206</v>
      </c>
      <c r="F1087" s="6" t="n">
        <v>85000</v>
      </c>
      <c r="G1087" s="1" t="n">
        <v>265002</v>
      </c>
      <c r="H1087" s="1" t="n">
        <v>0</v>
      </c>
      <c r="I1087" s="1" t="n">
        <v>40584</v>
      </c>
      <c r="J1087" s="1" t="n">
        <v>1325</v>
      </c>
      <c r="K1087" s="1" t="n">
        <v>0</v>
      </c>
      <c r="L1087" s="1" t="n">
        <v>38702</v>
      </c>
      <c r="M1087" s="1" t="n">
        <v>49</v>
      </c>
      <c r="N1087" s="1" t="n">
        <v>0</v>
      </c>
      <c r="O1087" s="1" t="n">
        <v>0</v>
      </c>
      <c r="P1087" s="1" t="n">
        <v>506</v>
      </c>
      <c r="Q1087" s="1" t="n">
        <f aca="false">IF($A898="","",IF(OR(F898="",I898=""),"",F898-I898))</f>
        <v>446692</v>
      </c>
      <c r="R1087" s="1" t="n">
        <f aca="false">IF($A898="","",IF(Q898="","",Q898+IF(O898="",0,O898)))</f>
        <v>509546</v>
      </c>
      <c r="T1087" s="1" t="str">
        <f aca="false">IF($A898="","",IF(R898="","",R898-IF(S898="",0,S898)))</f>
        <v/>
      </c>
      <c r="U1087" s="1" t="n">
        <f aca="false">IF($A898="","",IF(I898="","",I898-SUM(J898:P898)))</f>
        <v>2</v>
      </c>
      <c r="V1087" s="6" t="s">
        <v>5342</v>
      </c>
      <c r="W1087" s="9" t="s">
        <v>774</v>
      </c>
      <c r="X1087" s="9" t="s">
        <v>5343</v>
      </c>
      <c r="Y1087" s="9" t="s">
        <v>4897</v>
      </c>
      <c r="Z1087" s="9" t="s">
        <v>4898</v>
      </c>
      <c r="AA1087" s="9" t="s">
        <v>4903</v>
      </c>
    </row>
    <row r="1088" customFormat="false" ht="15" hidden="false" customHeight="true" outlineLevel="0" collapsed="false">
      <c r="A1088" s="6" t="s">
        <v>4105</v>
      </c>
      <c r="B1088" s="6" t="s">
        <v>559</v>
      </c>
      <c r="C1088" s="6" t="s">
        <v>564</v>
      </c>
      <c r="D1088" s="6" t="n">
        <v>6</v>
      </c>
      <c r="E1088" s="9" t="s">
        <v>5206</v>
      </c>
      <c r="F1088" s="6" t="n">
        <v>54000</v>
      </c>
      <c r="G1088" s="1" t="n">
        <v>271549</v>
      </c>
      <c r="H1088" s="1" t="n">
        <v>21831</v>
      </c>
      <c r="I1088" s="1" t="n">
        <v>143412</v>
      </c>
      <c r="J1088" s="1" t="n">
        <v>5116</v>
      </c>
      <c r="K1088" s="1" t="n">
        <v>17891</v>
      </c>
      <c r="L1088" s="1" t="n">
        <v>49442</v>
      </c>
      <c r="M1088" s="1" t="n">
        <v>294</v>
      </c>
      <c r="N1088" s="1" t="n">
        <v>9957</v>
      </c>
      <c r="O1088" s="1" t="n">
        <v>34017</v>
      </c>
      <c r="P1088" s="1" t="n">
        <v>26693</v>
      </c>
      <c r="Q1088" s="1" t="n">
        <f aca="false">IF($A899="","",IF(OR(F899="",I899=""),"",F899-I899))</f>
        <v>187190</v>
      </c>
      <c r="R1088" s="1" t="n">
        <f aca="false">IF($A899="","",IF(Q899="","",Q899+IF(O899="",0,O899)))</f>
        <v>213204</v>
      </c>
      <c r="T1088" s="1" t="str">
        <f aca="false">IF($A899="","",IF(R899="","",R899-IF(S899="",0,S899)))</f>
        <v/>
      </c>
      <c r="U1088" s="1" t="n">
        <f aca="false">IF($A899="","",IF(I899="","",I899-SUM(J899:P899)))</f>
        <v>2</v>
      </c>
      <c r="V1088" s="6" t="s">
        <v>5342</v>
      </c>
      <c r="W1088" s="9" t="s">
        <v>774</v>
      </c>
      <c r="X1088" s="9" t="s">
        <v>5343</v>
      </c>
      <c r="Y1088" s="9" t="s">
        <v>4897</v>
      </c>
      <c r="Z1088" s="9" t="s">
        <v>4898</v>
      </c>
      <c r="AA1088" s="9" t="s">
        <v>4903</v>
      </c>
    </row>
    <row r="1089" customFormat="false" ht="15" hidden="false" customHeight="true" outlineLevel="0" collapsed="false">
      <c r="A1089" s="6" t="s">
        <v>4108</v>
      </c>
      <c r="B1089" s="6" t="s">
        <v>559</v>
      </c>
      <c r="C1089" s="6" t="s">
        <v>564</v>
      </c>
      <c r="D1089" s="6" t="n">
        <v>6</v>
      </c>
      <c r="E1089" s="9" t="s">
        <v>5206</v>
      </c>
      <c r="F1089" s="6" t="n">
        <v>42000</v>
      </c>
      <c r="G1089" s="1" t="n">
        <v>251876</v>
      </c>
      <c r="H1089" s="1" t="n">
        <v>22440</v>
      </c>
      <c r="I1089" s="1" t="n">
        <v>164482</v>
      </c>
      <c r="J1089" s="1" t="n">
        <v>4999</v>
      </c>
      <c r="K1089" s="1" t="n">
        <v>19418</v>
      </c>
      <c r="L1089" s="1" t="n">
        <v>56170</v>
      </c>
      <c r="M1089" s="1" t="n">
        <v>818</v>
      </c>
      <c r="N1089" s="1" t="n">
        <v>1268</v>
      </c>
      <c r="O1089" s="1" t="n">
        <v>19286</v>
      </c>
      <c r="P1089" s="1" t="n">
        <v>62522</v>
      </c>
      <c r="Q1089" s="1" t="n">
        <f aca="false">IF($A900="","",IF(OR(F900="",I900=""),"",F900-I900))</f>
        <v>135363</v>
      </c>
      <c r="R1089" s="1" t="n">
        <f aca="false">IF($A900="","",IF(Q900="","",Q900+IF(O900="",0,O900)))</f>
        <v>150314</v>
      </c>
      <c r="T1089" s="1" t="str">
        <f aca="false">IF($A900="","",IF(R900="","",R900-IF(S900="",0,S900)))</f>
        <v/>
      </c>
      <c r="U1089" s="1" t="n">
        <f aca="false">IF($A900="","",IF(I900="","",I900-SUM(J900:P900)))</f>
        <v>2</v>
      </c>
      <c r="V1089" s="6" t="s">
        <v>5342</v>
      </c>
      <c r="W1089" s="9" t="s">
        <v>774</v>
      </c>
      <c r="X1089" s="9" t="s">
        <v>5343</v>
      </c>
      <c r="Y1089" s="9" t="s">
        <v>4897</v>
      </c>
      <c r="Z1089" s="9" t="s">
        <v>4898</v>
      </c>
      <c r="AA1089" s="9" t="s">
        <v>4943</v>
      </c>
    </row>
    <row r="1090" customFormat="false" ht="15" hidden="false" customHeight="true" outlineLevel="0" collapsed="false">
      <c r="A1090" s="6" t="s">
        <v>4111</v>
      </c>
      <c r="B1090" s="6" t="s">
        <v>559</v>
      </c>
      <c r="C1090" s="6" t="s">
        <v>564</v>
      </c>
      <c r="D1090" s="6" t="n">
        <v>6</v>
      </c>
      <c r="E1090" s="9" t="s">
        <v>5206</v>
      </c>
      <c r="F1090" s="6" t="n">
        <v>26000</v>
      </c>
      <c r="G1090" s="1" t="n">
        <v>157952</v>
      </c>
      <c r="H1090" s="1" t="n">
        <v>17388</v>
      </c>
      <c r="I1090" s="1" t="n">
        <v>73597</v>
      </c>
      <c r="J1090" s="1" t="n">
        <v>14442</v>
      </c>
      <c r="K1090" s="1" t="n">
        <v>14568</v>
      </c>
      <c r="L1090" s="1" t="n">
        <v>14846</v>
      </c>
      <c r="M1090" s="1" t="n">
        <v>271</v>
      </c>
      <c r="N1090" s="1" t="n">
        <v>3937</v>
      </c>
      <c r="O1090" s="1" t="n">
        <v>23724</v>
      </c>
      <c r="P1090" s="1" t="n">
        <v>1808</v>
      </c>
      <c r="Q1090" s="1" t="n">
        <f aca="false">IF($A901="","",IF(OR(F901="",I901=""),"",F901-I901))</f>
        <v>198902</v>
      </c>
      <c r="R1090" s="1" t="n">
        <f aca="false">IF($A901="","",IF(Q901="","",Q901+IF(O901="",0,O901)))</f>
        <v>251809</v>
      </c>
      <c r="T1090" s="1" t="str">
        <f aca="false">IF($A901="","",IF(R901="","",R901-IF(S901="",0,S901)))</f>
        <v/>
      </c>
      <c r="U1090" s="1" t="n">
        <f aca="false">IF($A901="","",IF(I901="","",I901-SUM(J901:P901)))</f>
        <v>3</v>
      </c>
      <c r="V1090" s="6" t="s">
        <v>5342</v>
      </c>
      <c r="W1090" s="9" t="s">
        <v>774</v>
      </c>
      <c r="X1090" s="9" t="s">
        <v>5343</v>
      </c>
      <c r="Y1090" s="9" t="s">
        <v>4897</v>
      </c>
      <c r="Z1090" s="9" t="s">
        <v>4898</v>
      </c>
      <c r="AA1090" s="9" t="s">
        <v>4943</v>
      </c>
    </row>
    <row r="1091" customFormat="false" ht="15" hidden="false" customHeight="true" outlineLevel="0" collapsed="false">
      <c r="A1091" s="6" t="s">
        <v>4114</v>
      </c>
      <c r="B1091" s="6" t="s">
        <v>559</v>
      </c>
      <c r="C1091" s="6" t="s">
        <v>564</v>
      </c>
      <c r="D1091" s="6" t="n">
        <v>6</v>
      </c>
      <c r="E1091" s="9" t="s">
        <v>5206</v>
      </c>
      <c r="F1091" s="6" t="n">
        <v>20000</v>
      </c>
      <c r="G1091" s="1" t="n">
        <v>141641</v>
      </c>
      <c r="H1091" s="1" t="n">
        <v>12055</v>
      </c>
      <c r="I1091" s="1" t="n">
        <v>71171</v>
      </c>
      <c r="J1091" s="1" t="n">
        <v>7785</v>
      </c>
      <c r="K1091" s="1" t="n">
        <v>9976</v>
      </c>
      <c r="L1091" s="1" t="n">
        <v>4074</v>
      </c>
      <c r="M1091" s="1" t="n">
        <v>137</v>
      </c>
      <c r="N1091" s="1" t="n">
        <v>2373</v>
      </c>
      <c r="O1091" s="1" t="n">
        <v>11951</v>
      </c>
      <c r="P1091" s="1" t="n">
        <v>34872</v>
      </c>
      <c r="Q1091" s="1" t="n">
        <f aca="false">IF($A902="","",IF(OR(F902="",I902=""),"",F902-I902))</f>
        <v>869156</v>
      </c>
      <c r="R1091" s="1" t="n">
        <f aca="false">IF($A902="","",IF(Q902="","",Q902+IF(O902="",0,O902)))</f>
        <v>936595</v>
      </c>
      <c r="T1091" s="1" t="str">
        <f aca="false">IF($A902="","",IF(R902="","",R902-IF(S902="",0,S902)))</f>
        <v/>
      </c>
      <c r="U1091" s="1" t="n">
        <f aca="false">IF($A902="","",IF(I902="","",I902-SUM(J902:P902)))</f>
        <v>1</v>
      </c>
      <c r="V1091" s="6" t="s">
        <v>5342</v>
      </c>
      <c r="W1091" s="9" t="s">
        <v>774</v>
      </c>
      <c r="X1091" s="9" t="s">
        <v>5343</v>
      </c>
      <c r="Y1091" s="9" t="s">
        <v>4897</v>
      </c>
      <c r="Z1091" s="9" t="s">
        <v>4898</v>
      </c>
      <c r="AA1091" s="9" t="s">
        <v>4943</v>
      </c>
    </row>
    <row r="1092" customFormat="false" ht="15" hidden="false" customHeight="true" outlineLevel="0" collapsed="false">
      <c r="A1092" s="6" t="s">
        <v>4117</v>
      </c>
      <c r="B1092" s="6" t="s">
        <v>559</v>
      </c>
      <c r="C1092" s="6" t="s">
        <v>564</v>
      </c>
      <c r="D1092" s="6" t="n">
        <v>6</v>
      </c>
      <c r="E1092" s="9" t="s">
        <v>5206</v>
      </c>
      <c r="F1092" s="6" t="n">
        <v>29000</v>
      </c>
      <c r="G1092" s="1" t="n">
        <v>84126</v>
      </c>
      <c r="H1092" s="1" t="n">
        <v>8530</v>
      </c>
      <c r="I1092" s="1" t="n">
        <v>42835</v>
      </c>
      <c r="J1092" s="1" t="n">
        <v>5848</v>
      </c>
      <c r="K1092" s="1" t="n">
        <v>8047</v>
      </c>
      <c r="L1092" s="1" t="n">
        <v>11376</v>
      </c>
      <c r="M1092" s="1" t="n">
        <v>114</v>
      </c>
      <c r="N1092" s="1" t="n">
        <v>4442</v>
      </c>
      <c r="O1092" s="1" t="n">
        <v>11718</v>
      </c>
      <c r="P1092" s="1" t="n">
        <v>1288</v>
      </c>
      <c r="Q1092" s="1" t="n">
        <f aca="false">IF($A903="","",IF(OR(F903="",I903=""),"",F903-I903))</f>
        <v>443859</v>
      </c>
      <c r="R1092" s="1" t="n">
        <f aca="false">IF($A903="","",IF(Q903="","",Q903+IF(O903="",0,O903)))</f>
        <v>535604</v>
      </c>
      <c r="T1092" s="1" t="str">
        <f aca="false">IF($A903="","",IF(R903="","",R903-IF(S903="",0,S903)))</f>
        <v/>
      </c>
      <c r="U1092" s="1" t="n">
        <f aca="false">IF($A903="","",IF(I903="","",I903-SUM(J903:P903)))</f>
        <v>2</v>
      </c>
      <c r="V1092" s="6" t="s">
        <v>5342</v>
      </c>
      <c r="W1092" s="9" t="s">
        <v>774</v>
      </c>
      <c r="X1092" s="9" t="s">
        <v>5343</v>
      </c>
      <c r="Y1092" s="9" t="s">
        <v>4897</v>
      </c>
      <c r="Z1092" s="9" t="s">
        <v>4898</v>
      </c>
      <c r="AA1092" s="9" t="s">
        <v>4943</v>
      </c>
    </row>
    <row r="1093" customFormat="false" ht="15" hidden="false" customHeight="true" outlineLevel="0" collapsed="false">
      <c r="A1093" s="6" t="s">
        <v>4120</v>
      </c>
      <c r="B1093" s="6" t="s">
        <v>559</v>
      </c>
      <c r="C1093" s="6" t="s">
        <v>564</v>
      </c>
      <c r="D1093" s="6" t="n">
        <v>6</v>
      </c>
      <c r="E1093" s="9" t="s">
        <v>5206</v>
      </c>
      <c r="F1093" s="6" t="n">
        <v>25000</v>
      </c>
      <c r="G1093" s="1" t="n">
        <v>94668</v>
      </c>
      <c r="H1093" s="1" t="n">
        <v>13612</v>
      </c>
      <c r="I1093" s="1" t="n">
        <v>43660</v>
      </c>
      <c r="J1093" s="1" t="n">
        <v>10995</v>
      </c>
      <c r="K1093" s="1" t="n">
        <v>8636</v>
      </c>
      <c r="L1093" s="1" t="n">
        <v>10995</v>
      </c>
      <c r="M1093" s="1" t="n">
        <v>130</v>
      </c>
      <c r="N1093" s="1" t="n">
        <v>960</v>
      </c>
      <c r="O1093" s="1" t="n">
        <v>9741</v>
      </c>
      <c r="P1093" s="1" t="n">
        <v>2200</v>
      </c>
      <c r="Q1093" s="1" t="n">
        <f aca="false">IF($A904="","",IF(OR(F904="",I904=""),"",F904-I904))</f>
        <v>90480</v>
      </c>
      <c r="R1093" s="1" t="n">
        <f aca="false">IF($A904="","",IF(Q904="","",Q904+IF(O904="",0,O904)))</f>
        <v>156305</v>
      </c>
      <c r="T1093" s="1" t="str">
        <f aca="false">IF($A904="","",IF(R904="","",R904-IF(S904="",0,S904)))</f>
        <v/>
      </c>
      <c r="U1093" s="1" t="n">
        <f aca="false">IF($A904="","",IF(I904="","",I904-SUM(J904:P904)))</f>
        <v>2</v>
      </c>
      <c r="V1093" s="6" t="s">
        <v>5342</v>
      </c>
      <c r="W1093" s="9" t="s">
        <v>774</v>
      </c>
      <c r="X1093" s="9" t="s">
        <v>5343</v>
      </c>
      <c r="Y1093" s="9" t="s">
        <v>4897</v>
      </c>
      <c r="Z1093" s="9" t="s">
        <v>4898</v>
      </c>
      <c r="AA1093" s="9" t="s">
        <v>4943</v>
      </c>
    </row>
    <row r="1094" customFormat="false" ht="15" hidden="false" customHeight="true" outlineLevel="0" collapsed="false">
      <c r="A1094" s="6" t="s">
        <v>4123</v>
      </c>
      <c r="B1094" s="6" t="s">
        <v>559</v>
      </c>
      <c r="C1094" s="6" t="s">
        <v>564</v>
      </c>
      <c r="D1094" s="6" t="n">
        <v>6</v>
      </c>
      <c r="E1094" s="9" t="s">
        <v>5206</v>
      </c>
      <c r="F1094" s="6" t="n">
        <v>68000</v>
      </c>
      <c r="Q1094" s="1" t="n">
        <f aca="false">IF($A905="","",IF(OR(F905="",I905=""),"",F905-I905))</f>
        <v>411515</v>
      </c>
      <c r="R1094" s="1" t="n">
        <f aca="false">IF($A905="","",IF(Q905="","",Q905+IF(O905="",0,O905)))</f>
        <v>480641</v>
      </c>
      <c r="T1094" s="1" t="str">
        <f aca="false">IF($A905="","",IF(R905="","",R905-IF(S905="",0,S905)))</f>
        <v/>
      </c>
      <c r="U1094" s="1" t="n">
        <f aca="false">IF($A905="","",IF(I905="","",I905-SUM(J905:P905)))</f>
        <v>2</v>
      </c>
      <c r="V1094" s="6" t="s">
        <v>5342</v>
      </c>
      <c r="W1094" s="9" t="s">
        <v>774</v>
      </c>
      <c r="X1094" s="9" t="s">
        <v>5343</v>
      </c>
      <c r="Y1094" s="9" t="s">
        <v>4897</v>
      </c>
      <c r="Z1094" s="9" t="s">
        <v>4898</v>
      </c>
      <c r="AA1094" s="9" t="s">
        <v>4903</v>
      </c>
    </row>
    <row r="1095" customFormat="false" ht="15" hidden="false" customHeight="true" outlineLevel="0" collapsed="false">
      <c r="A1095" s="6" t="s">
        <v>4126</v>
      </c>
      <c r="B1095" s="6" t="s">
        <v>559</v>
      </c>
      <c r="C1095" s="6" t="s">
        <v>564</v>
      </c>
      <c r="D1095" s="6" t="n">
        <v>6</v>
      </c>
      <c r="E1095" s="9" t="s">
        <v>5206</v>
      </c>
      <c r="F1095" s="6" t="n">
        <v>51000</v>
      </c>
      <c r="G1095" s="1" t="n">
        <v>89701</v>
      </c>
      <c r="H1095" s="1" t="n">
        <v>10928</v>
      </c>
      <c r="I1095" s="1" t="n">
        <v>48361</v>
      </c>
      <c r="J1095" s="1" t="n">
        <v>10328</v>
      </c>
      <c r="K1095" s="1" t="n">
        <v>7969</v>
      </c>
      <c r="L1095" s="1" t="n">
        <v>9376</v>
      </c>
      <c r="M1095" s="1" t="n">
        <v>133</v>
      </c>
      <c r="N1095" s="1" t="n">
        <v>1956</v>
      </c>
      <c r="O1095" s="1" t="n">
        <v>16709</v>
      </c>
      <c r="P1095" s="1" t="n">
        <v>1887</v>
      </c>
      <c r="Q1095" s="1" t="n">
        <f aca="false">IF($A906="","",IF(OR(F906="",I906=""),"",F906-I906))</f>
        <v>433919</v>
      </c>
      <c r="R1095" s="1" t="n">
        <f aca="false">IF($A906="","",IF(Q906="","",Q906+IF(O906="",0,O906)))</f>
        <v>474419</v>
      </c>
      <c r="T1095" s="1" t="str">
        <f aca="false">IF($A906="","",IF(R906="","",R906-IF(S906="",0,S906)))</f>
        <v/>
      </c>
      <c r="U1095" s="1" t="n">
        <f aca="false">IF($A906="","",IF(I906="","",I906-SUM(J906:P906)))</f>
        <v>2</v>
      </c>
      <c r="V1095" s="6" t="s">
        <v>5342</v>
      </c>
      <c r="W1095" s="9" t="s">
        <v>774</v>
      </c>
      <c r="X1095" s="9" t="s">
        <v>5343</v>
      </c>
      <c r="Y1095" s="9" t="s">
        <v>4897</v>
      </c>
      <c r="Z1095" s="9" t="s">
        <v>4898</v>
      </c>
      <c r="AA1095" s="9" t="s">
        <v>4903</v>
      </c>
    </row>
    <row r="1096" customFormat="false" ht="15" hidden="false" customHeight="true" outlineLevel="0" collapsed="false">
      <c r="A1096" s="6" t="s">
        <v>4129</v>
      </c>
      <c r="B1096" s="6" t="s">
        <v>559</v>
      </c>
      <c r="C1096" s="6" t="s">
        <v>564</v>
      </c>
      <c r="D1096" s="6" t="n">
        <v>6</v>
      </c>
      <c r="E1096" s="9" t="s">
        <v>5206</v>
      </c>
      <c r="F1096" s="6" t="n">
        <v>70000</v>
      </c>
      <c r="G1096" s="1" t="n">
        <v>56182</v>
      </c>
      <c r="H1096" s="1" t="n">
        <v>720</v>
      </c>
      <c r="I1096" s="1" t="n">
        <v>20750</v>
      </c>
      <c r="J1096" s="1" t="n">
        <v>9790</v>
      </c>
      <c r="K1096" s="1" t="n">
        <v>0</v>
      </c>
      <c r="L1096" s="1" t="n">
        <v>2536</v>
      </c>
      <c r="M1096" s="1" t="n">
        <v>180</v>
      </c>
      <c r="N1096" s="1" t="n">
        <v>0</v>
      </c>
      <c r="O1096" s="1" t="n">
        <v>4719</v>
      </c>
      <c r="P1096" s="1" t="n">
        <v>3523</v>
      </c>
      <c r="Q1096" s="1" t="n">
        <f aca="false">IF($A907="","",IF(OR(F907="",I907=""),"",F907-I907))</f>
        <v>523444</v>
      </c>
      <c r="R1096" s="1" t="n">
        <f aca="false">IF($A907="","",IF(Q907="","",Q907+IF(O907="",0,O907)))</f>
        <v>575603</v>
      </c>
      <c r="T1096" s="1" t="str">
        <f aca="false">IF($A907="","",IF(R907="","",R907-IF(S907="",0,S907)))</f>
        <v/>
      </c>
      <c r="U1096" s="1" t="n">
        <f aca="false">IF($A907="","",IF(I907="","",I907-SUM(J907:P907)))</f>
        <v>1</v>
      </c>
      <c r="V1096" s="6" t="s">
        <v>5342</v>
      </c>
      <c r="W1096" s="9" t="s">
        <v>774</v>
      </c>
      <c r="X1096" s="9" t="s">
        <v>5343</v>
      </c>
      <c r="Y1096" s="9" t="s">
        <v>4897</v>
      </c>
      <c r="Z1096" s="9" t="s">
        <v>4898</v>
      </c>
      <c r="AA1096" s="9" t="s">
        <v>4903</v>
      </c>
    </row>
    <row r="1097" customFormat="false" ht="15" hidden="false" customHeight="true" outlineLevel="0" collapsed="false">
      <c r="A1097" s="6" t="s">
        <v>4132</v>
      </c>
      <c r="B1097" s="6" t="s">
        <v>559</v>
      </c>
      <c r="C1097" s="6" t="s">
        <v>564</v>
      </c>
      <c r="D1097" s="6" t="n">
        <v>6</v>
      </c>
      <c r="E1097" s="9" t="s">
        <v>5206</v>
      </c>
      <c r="F1097" s="6" t="n">
        <v>25000</v>
      </c>
      <c r="G1097" s="1" t="n">
        <v>403199</v>
      </c>
      <c r="H1097" s="1" t="n">
        <v>28039</v>
      </c>
      <c r="I1097" s="1" t="n">
        <v>199123</v>
      </c>
      <c r="J1097" s="1" t="n">
        <v>40344</v>
      </c>
      <c r="K1097" s="1" t="n">
        <v>23692</v>
      </c>
      <c r="L1097" s="1" t="n">
        <v>76145</v>
      </c>
      <c r="M1097" s="1" t="n">
        <v>371</v>
      </c>
      <c r="N1097" s="1" t="n">
        <v>5599</v>
      </c>
      <c r="O1097" s="1" t="n">
        <v>51656</v>
      </c>
      <c r="P1097" s="1" t="n">
        <v>1313</v>
      </c>
      <c r="Q1097" s="1" t="str">
        <f aca="false">IF($A908="","",IF(OR(F908="",I908=""),"",F908-I908))</f>
        <v/>
      </c>
      <c r="R1097" s="1" t="str">
        <f aca="false">IF($A908="","",IF(Q908="","",Q908+IF(O908="",0,O908)))</f>
        <v/>
      </c>
      <c r="T1097" s="1" t="str">
        <f aca="false">IF($A908="","",IF(R908="","",R908-IF(S908="",0,S908)))</f>
        <v/>
      </c>
      <c r="U1097" s="1" t="str">
        <f aca="false">IF($A908="","",IF(I908="","",I908-SUM(J908:P908)))</f>
        <v/>
      </c>
      <c r="V1097" s="6" t="s">
        <v>5342</v>
      </c>
      <c r="W1097" s="9" t="s">
        <v>774</v>
      </c>
      <c r="X1097" s="9" t="s">
        <v>5343</v>
      </c>
      <c r="Y1097" s="9" t="s">
        <v>4897</v>
      </c>
      <c r="Z1097" s="9" t="s">
        <v>4898</v>
      </c>
      <c r="AA1097" s="9" t="s">
        <v>4943</v>
      </c>
    </row>
    <row r="1098" customFormat="false" ht="15" hidden="false" customHeight="true" outlineLevel="0" collapsed="false">
      <c r="A1098" s="6" t="s">
        <v>4135</v>
      </c>
      <c r="B1098" s="6" t="s">
        <v>559</v>
      </c>
      <c r="C1098" s="6" t="s">
        <v>564</v>
      </c>
      <c r="D1098" s="6" t="n">
        <v>6</v>
      </c>
      <c r="E1098" s="9" t="s">
        <v>5206</v>
      </c>
      <c r="F1098" s="6" t="n">
        <v>24000</v>
      </c>
      <c r="G1098" s="1" t="n">
        <v>128318</v>
      </c>
      <c r="H1098" s="1" t="n">
        <v>9878</v>
      </c>
      <c r="I1098" s="1" t="n">
        <v>49090</v>
      </c>
      <c r="J1098" s="1" t="n">
        <v>7988</v>
      </c>
      <c r="K1098" s="1" t="n">
        <v>7283</v>
      </c>
      <c r="L1098" s="1" t="n">
        <v>10465</v>
      </c>
      <c r="M1098" s="1" t="n">
        <v>147</v>
      </c>
      <c r="N1098" s="1" t="n">
        <v>5478</v>
      </c>
      <c r="O1098" s="1" t="n">
        <v>16042</v>
      </c>
      <c r="P1098" s="1" t="n">
        <v>1685</v>
      </c>
      <c r="Q1098" s="1" t="n">
        <f aca="false">IF($A909="","",IF(OR(F909="",I909=""),"",F909-I909))</f>
        <v>297743</v>
      </c>
      <c r="R1098" s="1" t="n">
        <f aca="false">IF($A909="","",IF(Q909="","",Q909+IF(O909="",0,O909)))</f>
        <v>333743</v>
      </c>
      <c r="T1098" s="1" t="str">
        <f aca="false">IF($A909="","",IF(R909="","",R909-IF(S909="",0,S909)))</f>
        <v/>
      </c>
      <c r="U1098" s="1" t="n">
        <f aca="false">IF($A909="","",IF(I909="","",I909-SUM(J909:P909)))</f>
        <v>1</v>
      </c>
      <c r="V1098" s="6" t="s">
        <v>5342</v>
      </c>
      <c r="W1098" s="9" t="s">
        <v>774</v>
      </c>
      <c r="X1098" s="9" t="s">
        <v>5343</v>
      </c>
      <c r="Y1098" s="9" t="s">
        <v>4897</v>
      </c>
      <c r="Z1098" s="9" t="s">
        <v>4898</v>
      </c>
      <c r="AA1098" s="9" t="s">
        <v>4943</v>
      </c>
    </row>
    <row r="1099" customFormat="false" ht="15" hidden="false" customHeight="true" outlineLevel="0" collapsed="false">
      <c r="A1099" s="6" t="s">
        <v>4138</v>
      </c>
      <c r="B1099" s="6" t="s">
        <v>559</v>
      </c>
      <c r="C1099" s="6" t="s">
        <v>564</v>
      </c>
      <c r="D1099" s="6" t="n">
        <v>6</v>
      </c>
      <c r="E1099" s="9" t="s">
        <v>5206</v>
      </c>
      <c r="F1099" s="6" t="n">
        <v>86000</v>
      </c>
      <c r="G1099" s="1" t="n">
        <v>39646</v>
      </c>
      <c r="H1099" s="1" t="n">
        <v>6904</v>
      </c>
      <c r="I1099" s="1" t="n">
        <v>18120</v>
      </c>
      <c r="J1099" s="1" t="n">
        <v>3793</v>
      </c>
      <c r="K1099" s="1" t="n">
        <v>3026</v>
      </c>
      <c r="L1099" s="1" t="n">
        <v>3754</v>
      </c>
      <c r="M1099" s="1" t="n">
        <v>64</v>
      </c>
      <c r="N1099" s="1" t="n">
        <v>1206</v>
      </c>
      <c r="O1099" s="1" t="n">
        <v>5600</v>
      </c>
      <c r="P1099" s="1" t="n">
        <v>675</v>
      </c>
      <c r="Q1099" s="1" t="n">
        <f aca="false">IF($A910="","",IF(OR(F910="",I910=""),"",F910-I910))</f>
        <v>115590</v>
      </c>
      <c r="R1099" s="1" t="n">
        <f aca="false">IF($A910="","",IF(Q910="","",Q910+IF(O910="",0,O910)))</f>
        <v>115590</v>
      </c>
      <c r="T1099" s="1" t="str">
        <f aca="false">IF($A910="","",IF(R910="","",R910-IF(S910="",0,S910)))</f>
        <v/>
      </c>
      <c r="U1099" s="1" t="n">
        <f aca="false">IF($A910="","",IF(I910="","",I910-SUM(J910:P910)))</f>
        <v>0</v>
      </c>
      <c r="V1099" s="6" t="s">
        <v>5342</v>
      </c>
      <c r="W1099" s="9" t="s">
        <v>774</v>
      </c>
      <c r="X1099" s="9" t="s">
        <v>5343</v>
      </c>
      <c r="Y1099" s="9" t="s">
        <v>4897</v>
      </c>
      <c r="Z1099" s="9" t="s">
        <v>4898</v>
      </c>
      <c r="AA1099" s="9" t="s">
        <v>4903</v>
      </c>
    </row>
    <row r="1100" customFormat="false" ht="15" hidden="false" customHeight="true" outlineLevel="0" collapsed="false">
      <c r="A1100" s="6" t="s">
        <v>4141</v>
      </c>
      <c r="B1100" s="6" t="s">
        <v>559</v>
      </c>
      <c r="C1100" s="6" t="s">
        <v>564</v>
      </c>
      <c r="D1100" s="6" t="n">
        <v>6</v>
      </c>
      <c r="E1100" s="9" t="s">
        <v>5206</v>
      </c>
      <c r="F1100" s="6" t="n">
        <v>49000</v>
      </c>
      <c r="G1100" s="1" t="n">
        <v>93419</v>
      </c>
      <c r="H1100" s="1" t="n">
        <v>13186</v>
      </c>
      <c r="I1100" s="1" t="n">
        <v>61532</v>
      </c>
      <c r="J1100" s="1" t="n">
        <v>5858</v>
      </c>
      <c r="K1100" s="1" t="n">
        <v>9510</v>
      </c>
      <c r="L1100" s="1" t="n">
        <v>6030</v>
      </c>
      <c r="M1100" s="1" t="n">
        <v>162</v>
      </c>
      <c r="N1100" s="1" t="n">
        <v>2486</v>
      </c>
      <c r="O1100" s="1" t="n">
        <v>12626</v>
      </c>
      <c r="P1100" s="1" t="n">
        <v>24858</v>
      </c>
      <c r="Q1100" s="1" t="n">
        <f aca="false">IF($A911="","",IF(OR(F911="",I911=""),"",F911-I911))</f>
        <v>67898</v>
      </c>
      <c r="R1100" s="1" t="n">
        <f aca="false">IF($A911="","",IF(Q911="","",Q911+IF(O911="",0,O911)))</f>
        <v>75674</v>
      </c>
      <c r="T1100" s="1" t="str">
        <f aca="false">IF($A911="","",IF(R911="","",R911-IF(S911="",0,S911)))</f>
        <v/>
      </c>
      <c r="U1100" s="1" t="n">
        <f aca="false">IF($A911="","",IF(I911="","",I911-SUM(J911:P911)))</f>
        <v>2</v>
      </c>
      <c r="V1100" s="6" t="s">
        <v>5342</v>
      </c>
      <c r="W1100" s="9" t="s">
        <v>774</v>
      </c>
      <c r="X1100" s="9" t="s">
        <v>5343</v>
      </c>
      <c r="Y1100" s="9" t="s">
        <v>4897</v>
      </c>
      <c r="Z1100" s="9" t="s">
        <v>4898</v>
      </c>
      <c r="AA1100" s="9" t="s">
        <v>4943</v>
      </c>
    </row>
    <row r="1101" customFormat="false" ht="15" hidden="false" customHeight="true" outlineLevel="0" collapsed="false">
      <c r="A1101" s="6" t="s">
        <v>4144</v>
      </c>
      <c r="B1101" s="6" t="s">
        <v>559</v>
      </c>
      <c r="C1101" s="6" t="s">
        <v>564</v>
      </c>
      <c r="D1101" s="6" t="n">
        <v>6</v>
      </c>
      <c r="E1101" s="9" t="s">
        <v>5206</v>
      </c>
      <c r="F1101" s="6" t="n">
        <v>77000</v>
      </c>
      <c r="Q1101" s="1" t="n">
        <f aca="false">IF($A912="","",IF(OR(F912="",I912=""),"",F912-I912))</f>
        <v>1934280</v>
      </c>
      <c r="R1101" s="1" t="n">
        <f aca="false">IF($A912="","",IF(Q912="","",Q912+IF(O912="",0,O912)))</f>
        <v>-519871</v>
      </c>
      <c r="T1101" s="1" t="str">
        <f aca="false">IF($A912="","",IF(R912="","",R912-IF(S912="",0,S912)))</f>
        <v/>
      </c>
      <c r="U1101" s="1" t="n">
        <f aca="false">IF($A912="","",IF(I912="","",I912-SUM(J912:P912)))</f>
        <v>2</v>
      </c>
      <c r="V1101" s="6" t="s">
        <v>5342</v>
      </c>
      <c r="W1101" s="9" t="s">
        <v>774</v>
      </c>
      <c r="X1101" s="9" t="s">
        <v>5343</v>
      </c>
      <c r="Y1101" s="9" t="s">
        <v>4897</v>
      </c>
      <c r="Z1101" s="9" t="s">
        <v>4898</v>
      </c>
      <c r="AA1101" s="9" t="s">
        <v>4903</v>
      </c>
    </row>
    <row r="1102" customFormat="false" ht="15" hidden="false" customHeight="true" outlineLevel="0" collapsed="false">
      <c r="A1102" s="6" t="s">
        <v>4147</v>
      </c>
      <c r="B1102" s="6" t="s">
        <v>559</v>
      </c>
      <c r="C1102" s="6" t="s">
        <v>564</v>
      </c>
      <c r="D1102" s="6" t="n">
        <v>6</v>
      </c>
      <c r="E1102" s="9" t="s">
        <v>5206</v>
      </c>
      <c r="F1102" s="6" t="n">
        <v>53000</v>
      </c>
      <c r="Q1102" s="1" t="str">
        <f aca="false">IF($A913="","",IF(OR(F913="",I913=""),"",F913-I913))</f>
        <v/>
      </c>
      <c r="R1102" s="1" t="str">
        <f aca="false">IF($A913="","",IF(Q913="","",Q913+IF(O913="",0,O913)))</f>
        <v/>
      </c>
      <c r="T1102" s="1" t="str">
        <f aca="false">IF($A913="","",IF(R913="","",R913-IF(S913="",0,S913)))</f>
        <v/>
      </c>
      <c r="U1102" s="1" t="str">
        <f aca="false">IF($A913="","",IF(I913="","",I913-SUM(J913:P913)))</f>
        <v/>
      </c>
      <c r="V1102" s="6" t="s">
        <v>5342</v>
      </c>
      <c r="W1102" s="9" t="s">
        <v>774</v>
      </c>
      <c r="X1102" s="9" t="s">
        <v>5343</v>
      </c>
      <c r="Y1102" s="9" t="s">
        <v>4897</v>
      </c>
      <c r="Z1102" s="9" t="s">
        <v>4898</v>
      </c>
      <c r="AA1102" s="9" t="s">
        <v>4903</v>
      </c>
    </row>
    <row r="1103" customFormat="false" ht="15" hidden="false" customHeight="true" outlineLevel="0" collapsed="false">
      <c r="A1103" s="6" t="s">
        <v>4150</v>
      </c>
      <c r="B1103" s="6" t="s">
        <v>559</v>
      </c>
      <c r="C1103" s="6" t="s">
        <v>564</v>
      </c>
      <c r="D1103" s="6" t="n">
        <v>6</v>
      </c>
      <c r="E1103" s="9" t="s">
        <v>5206</v>
      </c>
      <c r="F1103" s="6" t="n">
        <v>55000</v>
      </c>
      <c r="G1103" s="1" t="n">
        <v>40625</v>
      </c>
      <c r="H1103" s="1" t="n">
        <v>5186</v>
      </c>
      <c r="I1103" s="1" t="n">
        <v>22881</v>
      </c>
      <c r="J1103" s="1" t="n">
        <v>4064</v>
      </c>
      <c r="K1103" s="1" t="n">
        <v>4835</v>
      </c>
      <c r="L1103" s="1" t="n">
        <v>4075</v>
      </c>
      <c r="M1103" s="1" t="n">
        <v>66</v>
      </c>
      <c r="N1103" s="1" t="n">
        <v>1660</v>
      </c>
      <c r="O1103" s="1" t="n">
        <v>7253</v>
      </c>
      <c r="P1103" s="1" t="n">
        <v>925</v>
      </c>
      <c r="Q1103" s="1" t="str">
        <f aca="false">IF($A914="","",IF(OR(F914="",I914=""),"",F914-I914))</f>
        <v/>
      </c>
      <c r="R1103" s="1" t="str">
        <f aca="false">IF($A914="","",IF(Q914="","",Q914+IF(O914="",0,O914)))</f>
        <v/>
      </c>
      <c r="T1103" s="1" t="str">
        <f aca="false">IF($A914="","",IF(R914="","",R914-IF(S914="",0,S914)))</f>
        <v/>
      </c>
      <c r="U1103" s="1" t="str">
        <f aca="false">IF($A914="","",IF(I914="","",I914-SUM(J914:P914)))</f>
        <v/>
      </c>
      <c r="V1103" s="6" t="s">
        <v>5342</v>
      </c>
      <c r="W1103" s="9" t="s">
        <v>774</v>
      </c>
      <c r="X1103" s="9" t="s">
        <v>5343</v>
      </c>
      <c r="Y1103" s="9" t="s">
        <v>4897</v>
      </c>
      <c r="Z1103" s="9" t="s">
        <v>4898</v>
      </c>
      <c r="AA1103" s="9" t="s">
        <v>4903</v>
      </c>
    </row>
    <row r="1104" customFormat="false" ht="15" hidden="false" customHeight="true" outlineLevel="0" collapsed="false">
      <c r="A1104" s="6" t="s">
        <v>4153</v>
      </c>
      <c r="B1104" s="6" t="s">
        <v>559</v>
      </c>
      <c r="C1104" s="6" t="s">
        <v>564</v>
      </c>
      <c r="D1104" s="6" t="n">
        <v>6</v>
      </c>
      <c r="E1104" s="9" t="s">
        <v>5206</v>
      </c>
      <c r="F1104" s="6" t="n">
        <v>24000</v>
      </c>
      <c r="G1104" s="1" t="n">
        <v>268650</v>
      </c>
      <c r="H1104" s="1" t="n">
        <v>17045</v>
      </c>
      <c r="I1104" s="1" t="n">
        <v>212982</v>
      </c>
      <c r="J1104" s="1" t="n">
        <v>60220</v>
      </c>
      <c r="K1104" s="1" t="n">
        <v>24772</v>
      </c>
      <c r="L1104" s="1" t="n">
        <v>12639</v>
      </c>
      <c r="M1104" s="1" t="n">
        <v>436</v>
      </c>
      <c r="N1104" s="1" t="n">
        <v>7371</v>
      </c>
      <c r="O1104" s="1" t="n">
        <v>92890</v>
      </c>
      <c r="P1104" s="1" t="n">
        <v>14650</v>
      </c>
      <c r="Q1104" s="1" t="str">
        <f aca="false">IF($A915="","",IF(OR(F915="",I915=""),"",F915-I915))</f>
        <v/>
      </c>
      <c r="R1104" s="1" t="str">
        <f aca="false">IF($A915="","",IF(Q915="","",Q915+IF(O915="",0,O915)))</f>
        <v/>
      </c>
      <c r="T1104" s="1" t="str">
        <f aca="false">IF($A915="","",IF(R915="","",R915-IF(S915="",0,S915)))</f>
        <v/>
      </c>
      <c r="U1104" s="1" t="str">
        <f aca="false">IF($A915="","",IF(I915="","",I915-SUM(J915:P915)))</f>
        <v/>
      </c>
      <c r="V1104" s="6" t="s">
        <v>5342</v>
      </c>
      <c r="W1104" s="9" t="s">
        <v>774</v>
      </c>
      <c r="X1104" s="9" t="s">
        <v>5343</v>
      </c>
      <c r="Y1104" s="9" t="s">
        <v>4897</v>
      </c>
      <c r="Z1104" s="9" t="s">
        <v>4898</v>
      </c>
      <c r="AA1104" s="9" t="s">
        <v>4943</v>
      </c>
    </row>
    <row r="1105" customFormat="false" ht="15" hidden="false" customHeight="true" outlineLevel="0" collapsed="false">
      <c r="A1105" s="6" t="s">
        <v>4156</v>
      </c>
      <c r="B1105" s="6" t="s">
        <v>559</v>
      </c>
      <c r="C1105" s="6" t="s">
        <v>564</v>
      </c>
      <c r="D1105" s="6" t="n">
        <v>6</v>
      </c>
      <c r="E1105" s="9" t="s">
        <v>5206</v>
      </c>
      <c r="F1105" s="6" t="n">
        <v>26000</v>
      </c>
      <c r="G1105" s="1" t="n">
        <v>37034</v>
      </c>
      <c r="H1105" s="1" t="n">
        <v>2777</v>
      </c>
      <c r="I1105" s="1" t="n">
        <v>12215</v>
      </c>
      <c r="J1105" s="1" t="n">
        <v>2979</v>
      </c>
      <c r="K1105" s="1" t="n">
        <v>2782</v>
      </c>
      <c r="L1105" s="1" t="n">
        <v>3169</v>
      </c>
      <c r="M1105" s="1" t="n">
        <v>38</v>
      </c>
      <c r="N1105" s="1" t="n">
        <v>732</v>
      </c>
      <c r="O1105" s="1" t="n">
        <v>1811</v>
      </c>
      <c r="P1105" s="1" t="n">
        <v>702</v>
      </c>
      <c r="Q1105" s="1" t="str">
        <f aca="false">IF($A916="","",IF(OR(F916="",I916=""),"",F916-I916))</f>
        <v/>
      </c>
      <c r="R1105" s="1" t="str">
        <f aca="false">IF($A916="","",IF(Q916="","",Q916+IF(O916="",0,O916)))</f>
        <v/>
      </c>
      <c r="T1105" s="1" t="str">
        <f aca="false">IF($A916="","",IF(R916="","",R916-IF(S916="",0,S916)))</f>
        <v/>
      </c>
      <c r="U1105" s="1" t="str">
        <f aca="false">IF($A916="","",IF(I916="","",I916-SUM(J916:P916)))</f>
        <v/>
      </c>
      <c r="V1105" s="6" t="s">
        <v>5342</v>
      </c>
      <c r="W1105" s="9" t="s">
        <v>774</v>
      </c>
      <c r="X1105" s="9" t="s">
        <v>5343</v>
      </c>
      <c r="Y1105" s="9" t="s">
        <v>4897</v>
      </c>
      <c r="Z1105" s="9" t="s">
        <v>4898</v>
      </c>
      <c r="AA1105" s="9" t="s">
        <v>4943</v>
      </c>
    </row>
    <row r="1106" customFormat="false" ht="15" hidden="false" customHeight="true" outlineLevel="0" collapsed="false">
      <c r="A1106" s="6" t="s">
        <v>4159</v>
      </c>
      <c r="B1106" s="6" t="s">
        <v>559</v>
      </c>
      <c r="C1106" s="6" t="s">
        <v>564</v>
      </c>
      <c r="D1106" s="6" t="n">
        <v>6</v>
      </c>
      <c r="E1106" s="9" t="s">
        <v>5206</v>
      </c>
      <c r="F1106" s="6" t="n">
        <v>21000</v>
      </c>
      <c r="G1106" s="1" t="n">
        <v>130112</v>
      </c>
      <c r="H1106" s="1" t="n">
        <v>15968</v>
      </c>
      <c r="I1106" s="1" t="n">
        <v>73124</v>
      </c>
      <c r="J1106" s="1" t="n">
        <v>11584</v>
      </c>
      <c r="K1106" s="1" t="n">
        <v>15589</v>
      </c>
      <c r="L1106" s="1" t="n">
        <v>10580</v>
      </c>
      <c r="M1106" s="1" t="n">
        <v>227</v>
      </c>
      <c r="N1106" s="1" t="n">
        <v>1040</v>
      </c>
      <c r="O1106" s="1" t="n">
        <v>32967</v>
      </c>
      <c r="P1106" s="1" t="n">
        <v>1133</v>
      </c>
      <c r="Q1106" s="1" t="str">
        <f aca="false">IF($A917="","",IF(OR(F917="",I917=""),"",F917-I917))</f>
        <v/>
      </c>
      <c r="R1106" s="1" t="str">
        <f aca="false">IF($A917="","",IF(Q917="","",Q917+IF(O917="",0,O917)))</f>
        <v/>
      </c>
      <c r="T1106" s="1" t="str">
        <f aca="false">IF($A917="","",IF(R917="","",R917-IF(S917="",0,S917)))</f>
        <v/>
      </c>
      <c r="U1106" s="1" t="str">
        <f aca="false">IF($A917="","",IF(I917="","",I917-SUM(J917:P917)))</f>
        <v/>
      </c>
      <c r="V1106" s="6" t="s">
        <v>5342</v>
      </c>
      <c r="W1106" s="9" t="s">
        <v>774</v>
      </c>
      <c r="X1106" s="9" t="s">
        <v>5343</v>
      </c>
      <c r="Y1106" s="9" t="s">
        <v>4897</v>
      </c>
      <c r="Z1106" s="9" t="s">
        <v>4898</v>
      </c>
      <c r="AA1106" s="9" t="s">
        <v>4943</v>
      </c>
    </row>
    <row r="1107" customFormat="false" ht="15" hidden="false" customHeight="true" outlineLevel="0" collapsed="false">
      <c r="A1107" s="6" t="s">
        <v>4162</v>
      </c>
      <c r="B1107" s="6" t="s">
        <v>559</v>
      </c>
      <c r="C1107" s="6" t="s">
        <v>564</v>
      </c>
      <c r="D1107" s="6" t="n">
        <v>6</v>
      </c>
      <c r="E1107" s="9" t="s">
        <v>5206</v>
      </c>
      <c r="F1107" s="6" t="n">
        <v>92000</v>
      </c>
      <c r="G1107" s="1" t="n">
        <v>135775</v>
      </c>
      <c r="H1107" s="1" t="n">
        <v>10634</v>
      </c>
      <c r="I1107" s="1" t="n">
        <v>57492</v>
      </c>
      <c r="J1107" s="1" t="n">
        <v>9443</v>
      </c>
      <c r="K1107" s="1" t="n">
        <v>8312</v>
      </c>
      <c r="L1107" s="1" t="n">
        <v>8852</v>
      </c>
      <c r="M1107" s="1" t="n">
        <v>200</v>
      </c>
      <c r="N1107" s="1" t="n">
        <v>815</v>
      </c>
      <c r="O1107" s="1" t="n">
        <v>28204</v>
      </c>
      <c r="P1107" s="1" t="n">
        <v>1663</v>
      </c>
      <c r="Q1107" s="1" t="str">
        <f aca="false">IF($A918="","",IF(OR(F918="",I918=""),"",F918-I918))</f>
        <v/>
      </c>
      <c r="R1107" s="1" t="str">
        <f aca="false">IF($A918="","",IF(Q918="","",Q918+IF(O918="",0,O918)))</f>
        <v/>
      </c>
      <c r="T1107" s="1" t="str">
        <f aca="false">IF($A918="","",IF(R918="","",R918-IF(S918="",0,S918)))</f>
        <v/>
      </c>
      <c r="U1107" s="1" t="str">
        <f aca="false">IF($A918="","",IF(I918="","",I918-SUM(J918:P918)))</f>
        <v/>
      </c>
      <c r="V1107" s="6" t="s">
        <v>5342</v>
      </c>
      <c r="W1107" s="9" t="s">
        <v>774</v>
      </c>
      <c r="X1107" s="9" t="s">
        <v>5343</v>
      </c>
      <c r="Y1107" s="9" t="s">
        <v>4897</v>
      </c>
      <c r="Z1107" s="9" t="s">
        <v>4898</v>
      </c>
      <c r="AA1107" s="9" t="s">
        <v>4903</v>
      </c>
    </row>
    <row r="1108" customFormat="false" ht="15" hidden="false" customHeight="true" outlineLevel="0" collapsed="false">
      <c r="A1108" s="6" t="s">
        <v>4165</v>
      </c>
      <c r="B1108" s="6" t="s">
        <v>559</v>
      </c>
      <c r="C1108" s="6" t="s">
        <v>564</v>
      </c>
      <c r="D1108" s="6" t="n">
        <v>6</v>
      </c>
      <c r="E1108" s="9" t="s">
        <v>5206</v>
      </c>
      <c r="F1108" s="6" t="n">
        <v>33000</v>
      </c>
      <c r="G1108" s="1" t="n">
        <v>85032</v>
      </c>
      <c r="H1108" s="1" t="n">
        <v>11893</v>
      </c>
      <c r="I1108" s="1" t="n">
        <v>36941</v>
      </c>
      <c r="J1108" s="1" t="n">
        <v>9527</v>
      </c>
      <c r="K1108" s="1" t="n">
        <v>7077</v>
      </c>
      <c r="L1108" s="1" t="n">
        <v>7207</v>
      </c>
      <c r="M1108" s="1" t="n">
        <v>147</v>
      </c>
      <c r="N1108" s="1" t="n">
        <v>2939</v>
      </c>
      <c r="O1108" s="1" t="n">
        <v>9234</v>
      </c>
      <c r="P1108" s="1" t="n">
        <v>807</v>
      </c>
      <c r="Q1108" s="1" t="str">
        <f aca="false">IF($A919="","",IF(OR(F919="",I919=""),"",F919-I919))</f>
        <v/>
      </c>
      <c r="R1108" s="1" t="str">
        <f aca="false">IF($A919="","",IF(Q919="","",Q919+IF(O919="",0,O919)))</f>
        <v/>
      </c>
      <c r="T1108" s="1" t="str">
        <f aca="false">IF($A919="","",IF(R919="","",R919-IF(S919="",0,S919)))</f>
        <v/>
      </c>
      <c r="U1108" s="1" t="str">
        <f aca="false">IF($A919="","",IF(I919="","",I919-SUM(J919:P919)))</f>
        <v/>
      </c>
      <c r="V1108" s="6" t="s">
        <v>5342</v>
      </c>
      <c r="W1108" s="9" t="s">
        <v>774</v>
      </c>
      <c r="X1108" s="9" t="s">
        <v>5343</v>
      </c>
      <c r="Y1108" s="9" t="s">
        <v>4897</v>
      </c>
      <c r="Z1108" s="9" t="s">
        <v>4898</v>
      </c>
      <c r="AA1108" s="9" t="s">
        <v>4943</v>
      </c>
    </row>
    <row r="1109" customFormat="false" ht="15" hidden="false" customHeight="true" outlineLevel="0" collapsed="false">
      <c r="A1109" s="6" t="s">
        <v>4168</v>
      </c>
      <c r="B1109" s="6" t="s">
        <v>559</v>
      </c>
      <c r="C1109" s="6" t="s">
        <v>564</v>
      </c>
      <c r="D1109" s="6" t="n">
        <v>6</v>
      </c>
      <c r="E1109" s="9" t="s">
        <v>5206</v>
      </c>
      <c r="F1109" s="6" t="n">
        <v>136000</v>
      </c>
      <c r="G1109" s="1" t="n">
        <v>106604</v>
      </c>
      <c r="H1109" s="1" t="n">
        <v>14870</v>
      </c>
      <c r="I1109" s="1" t="n">
        <v>41801</v>
      </c>
      <c r="J1109" s="1" t="n">
        <v>8734</v>
      </c>
      <c r="K1109" s="1" t="n">
        <v>10756</v>
      </c>
      <c r="L1109" s="1" t="n">
        <v>12045</v>
      </c>
      <c r="M1109" s="1" t="n">
        <v>148</v>
      </c>
      <c r="N1109" s="1" t="n">
        <v>1987</v>
      </c>
      <c r="O1109" s="1" t="n">
        <v>5536</v>
      </c>
      <c r="P1109" s="1" t="n">
        <v>2592</v>
      </c>
      <c r="Q1109" s="1" t="str">
        <f aca="false">IF($A920="","",IF(OR(F920="",I920=""),"",F920-I920))</f>
        <v/>
      </c>
      <c r="R1109" s="1" t="str">
        <f aca="false">IF($A920="","",IF(Q920="","",Q920+IF(O920="",0,O920)))</f>
        <v/>
      </c>
      <c r="T1109" s="1" t="str">
        <f aca="false">IF($A920="","",IF(R920="","",R920-IF(S920="",0,S920)))</f>
        <v/>
      </c>
      <c r="U1109" s="1" t="str">
        <f aca="false">IF($A920="","",IF(I920="","",I920-SUM(J920:P920)))</f>
        <v/>
      </c>
      <c r="V1109" s="6" t="s">
        <v>5342</v>
      </c>
      <c r="W1109" s="9" t="s">
        <v>774</v>
      </c>
      <c r="X1109" s="9" t="s">
        <v>5343</v>
      </c>
      <c r="Y1109" s="9" t="s">
        <v>4897</v>
      </c>
      <c r="Z1109" s="9" t="s">
        <v>4898</v>
      </c>
      <c r="AA1109" s="9" t="s">
        <v>4903</v>
      </c>
    </row>
    <row r="1110" customFormat="false" ht="15" hidden="false" customHeight="true" outlineLevel="0" collapsed="false">
      <c r="A1110" s="6" t="s">
        <v>4171</v>
      </c>
      <c r="B1110" s="6" t="s">
        <v>559</v>
      </c>
      <c r="C1110" s="6" t="s">
        <v>564</v>
      </c>
      <c r="D1110" s="6" t="n">
        <v>6</v>
      </c>
      <c r="E1110" s="9" t="s">
        <v>5206</v>
      </c>
      <c r="F1110" s="6" t="n">
        <v>70000</v>
      </c>
      <c r="G1110" s="1" t="n">
        <v>263856</v>
      </c>
      <c r="H1110" s="1" t="n">
        <v>15554</v>
      </c>
      <c r="I1110" s="1" t="n">
        <v>95875</v>
      </c>
      <c r="J1110" s="1" t="n">
        <v>22149</v>
      </c>
      <c r="K1110" s="1" t="n">
        <v>13045</v>
      </c>
      <c r="L1110" s="1" t="n">
        <v>28791</v>
      </c>
      <c r="M1110" s="1" t="n">
        <v>284</v>
      </c>
      <c r="N1110" s="1" t="n">
        <v>985</v>
      </c>
      <c r="O1110" s="1" t="n">
        <v>28945</v>
      </c>
      <c r="P1110" s="1" t="n">
        <v>1672</v>
      </c>
      <c r="Q1110" s="1" t="str">
        <f aca="false">IF($A921="","",IF(OR(F921="",I921=""),"",F921-I921))</f>
        <v/>
      </c>
      <c r="R1110" s="1" t="str">
        <f aca="false">IF($A921="","",IF(Q921="","",Q921+IF(O921="",0,O921)))</f>
        <v/>
      </c>
      <c r="T1110" s="1" t="str">
        <f aca="false">IF($A921="","",IF(R921="","",R921-IF(S921="",0,S921)))</f>
        <v/>
      </c>
      <c r="U1110" s="1" t="str">
        <f aca="false">IF($A921="","",IF(I921="","",I921-SUM(J921:P921)))</f>
        <v/>
      </c>
      <c r="V1110" s="6" t="s">
        <v>5342</v>
      </c>
      <c r="W1110" s="9" t="s">
        <v>774</v>
      </c>
      <c r="X1110" s="9" t="s">
        <v>5343</v>
      </c>
      <c r="Y1110" s="9" t="s">
        <v>4897</v>
      </c>
      <c r="Z1110" s="9" t="s">
        <v>4898</v>
      </c>
      <c r="AA1110" s="9" t="s">
        <v>4903</v>
      </c>
    </row>
    <row r="1111" customFormat="false" ht="15" hidden="false" customHeight="true" outlineLevel="0" collapsed="false">
      <c r="A1111" s="6" t="s">
        <v>4174</v>
      </c>
      <c r="B1111" s="6" t="s">
        <v>559</v>
      </c>
      <c r="C1111" s="6" t="s">
        <v>564</v>
      </c>
      <c r="D1111" s="6" t="n">
        <v>6</v>
      </c>
      <c r="E1111" s="9" t="s">
        <v>5206</v>
      </c>
      <c r="F1111" s="6" t="n">
        <v>75000</v>
      </c>
      <c r="Q1111" s="1" t="str">
        <f aca="false">IF($A922="","",IF(OR(F922="",I922=""),"",F922-I922))</f>
        <v/>
      </c>
      <c r="R1111" s="1" t="str">
        <f aca="false">IF($A922="","",IF(Q922="","",Q922+IF(O922="",0,O922)))</f>
        <v/>
      </c>
      <c r="T1111" s="1" t="str">
        <f aca="false">IF($A922="","",IF(R922="","",R922-IF(S922="",0,S922)))</f>
        <v/>
      </c>
      <c r="U1111" s="1" t="str">
        <f aca="false">IF($A922="","",IF(I922="","",I922-SUM(J922:P922)))</f>
        <v/>
      </c>
      <c r="V1111" s="6" t="s">
        <v>5342</v>
      </c>
      <c r="W1111" s="9" t="s">
        <v>774</v>
      </c>
      <c r="X1111" s="9" t="s">
        <v>5343</v>
      </c>
      <c r="Y1111" s="9" t="s">
        <v>4897</v>
      </c>
      <c r="Z1111" s="9" t="s">
        <v>4898</v>
      </c>
      <c r="AA1111" s="9" t="s">
        <v>4903</v>
      </c>
    </row>
    <row r="1112" customFormat="false" ht="15" hidden="false" customHeight="true" outlineLevel="0" collapsed="false">
      <c r="A1112" s="6" t="s">
        <v>4177</v>
      </c>
      <c r="B1112" s="6" t="s">
        <v>559</v>
      </c>
      <c r="C1112" s="6" t="s">
        <v>564</v>
      </c>
      <c r="D1112" s="6" t="n">
        <v>6</v>
      </c>
      <c r="E1112" s="9" t="s">
        <v>5206</v>
      </c>
      <c r="F1112" s="6" t="n">
        <v>25000</v>
      </c>
      <c r="G1112" s="1" t="n">
        <v>142312</v>
      </c>
      <c r="H1112" s="1" t="n">
        <v>14460</v>
      </c>
      <c r="I1112" s="1" t="n">
        <v>42486</v>
      </c>
      <c r="J1112" s="1" t="n">
        <v>8263</v>
      </c>
      <c r="K1112" s="1" t="n">
        <v>11248</v>
      </c>
      <c r="L1112" s="1" t="n">
        <v>6667</v>
      </c>
      <c r="M1112" s="1" t="n">
        <v>169</v>
      </c>
      <c r="N1112" s="1" t="n">
        <v>449</v>
      </c>
      <c r="O1112" s="1" t="n">
        <v>14817</v>
      </c>
      <c r="P1112" s="1" t="n">
        <v>872</v>
      </c>
      <c r="Q1112" s="1" t="str">
        <f aca="false">IF($A923="","",IF(OR(F923="",I923=""),"",F923-I923))</f>
        <v/>
      </c>
      <c r="R1112" s="1" t="str">
        <f aca="false">IF($A923="","",IF(Q923="","",Q923+IF(O923="",0,O923)))</f>
        <v/>
      </c>
      <c r="T1112" s="1" t="str">
        <f aca="false">IF($A923="","",IF(R923="","",R923-IF(S923="",0,S923)))</f>
        <v/>
      </c>
      <c r="U1112" s="1" t="str">
        <f aca="false">IF($A923="","",IF(I923="","",I923-SUM(J923:P923)))</f>
        <v/>
      </c>
      <c r="V1112" s="6" t="s">
        <v>5342</v>
      </c>
      <c r="W1112" s="9" t="s">
        <v>774</v>
      </c>
      <c r="X1112" s="9" t="s">
        <v>5343</v>
      </c>
      <c r="Y1112" s="9" t="s">
        <v>4897</v>
      </c>
      <c r="Z1112" s="9" t="s">
        <v>4898</v>
      </c>
      <c r="AA1112" s="9" t="s">
        <v>4943</v>
      </c>
    </row>
    <row r="1113" customFormat="false" ht="15" hidden="false" customHeight="true" outlineLevel="0" collapsed="false">
      <c r="A1113" s="6" t="s">
        <v>4180</v>
      </c>
      <c r="B1113" s="6" t="s">
        <v>559</v>
      </c>
      <c r="C1113" s="6" t="s">
        <v>564</v>
      </c>
      <c r="D1113" s="6" t="n">
        <v>6</v>
      </c>
      <c r="E1113" s="9" t="s">
        <v>5206</v>
      </c>
      <c r="F1113" s="6" t="n">
        <v>39000</v>
      </c>
      <c r="G1113" s="1" t="n">
        <v>198548</v>
      </c>
      <c r="H1113" s="1" t="n">
        <v>18279</v>
      </c>
      <c r="I1113" s="1" t="n">
        <v>67734</v>
      </c>
      <c r="J1113" s="1" t="n">
        <v>21387</v>
      </c>
      <c r="K1113" s="1" t="n">
        <v>12587</v>
      </c>
      <c r="L1113" s="1" t="n">
        <v>18029</v>
      </c>
      <c r="M1113" s="1" t="n">
        <v>224</v>
      </c>
      <c r="N1113" s="1" t="n">
        <v>3381</v>
      </c>
      <c r="O1113" s="1" t="n">
        <v>10904</v>
      </c>
      <c r="P1113" s="1" t="n">
        <v>1219</v>
      </c>
      <c r="Q1113" s="1" t="str">
        <f aca="false">IF($A924="","",IF(OR(F924="",I924=""),"",F924-I924))</f>
        <v/>
      </c>
      <c r="R1113" s="1" t="str">
        <f aca="false">IF($A924="","",IF(Q924="","",Q924+IF(O924="",0,O924)))</f>
        <v/>
      </c>
      <c r="T1113" s="1" t="str">
        <f aca="false">IF($A924="","",IF(R924="","",R924-IF(S924="",0,S924)))</f>
        <v/>
      </c>
      <c r="U1113" s="1" t="str">
        <f aca="false">IF($A924="","",IF(I924="","",I924-SUM(J924:P924)))</f>
        <v/>
      </c>
      <c r="V1113" s="6" t="s">
        <v>5342</v>
      </c>
      <c r="W1113" s="9" t="s">
        <v>774</v>
      </c>
      <c r="X1113" s="9" t="s">
        <v>5343</v>
      </c>
      <c r="Y1113" s="9" t="s">
        <v>4897</v>
      </c>
      <c r="Z1113" s="9" t="s">
        <v>4898</v>
      </c>
      <c r="AA1113" s="9" t="s">
        <v>4943</v>
      </c>
    </row>
    <row r="1114" customFormat="false" ht="15" hidden="false" customHeight="true" outlineLevel="0" collapsed="false">
      <c r="A1114" s="6" t="s">
        <v>4183</v>
      </c>
      <c r="B1114" s="6" t="s">
        <v>559</v>
      </c>
      <c r="C1114" s="6" t="s">
        <v>564</v>
      </c>
      <c r="D1114" s="6" t="n">
        <v>6</v>
      </c>
      <c r="E1114" s="9" t="s">
        <v>5206</v>
      </c>
      <c r="F1114" s="6" t="n">
        <v>72000</v>
      </c>
      <c r="G1114" s="1" t="n">
        <v>148991</v>
      </c>
      <c r="H1114" s="1" t="n">
        <v>12319</v>
      </c>
      <c r="I1114" s="1" t="n">
        <v>45557</v>
      </c>
      <c r="J1114" s="1" t="n">
        <v>8686</v>
      </c>
      <c r="K1114" s="1" t="n">
        <v>10185</v>
      </c>
      <c r="L1114" s="1" t="n">
        <v>14443</v>
      </c>
      <c r="M1114" s="1" t="n">
        <v>193</v>
      </c>
      <c r="N1114" s="1" t="n">
        <v>452</v>
      </c>
      <c r="O1114" s="1" t="n">
        <v>10879</v>
      </c>
      <c r="P1114" s="1" t="n">
        <v>715</v>
      </c>
      <c r="Q1114" s="1" t="str">
        <f aca="false">IF($A925="","",IF(OR(F925="",I925=""),"",F925-I925))</f>
        <v/>
      </c>
      <c r="R1114" s="1" t="str">
        <f aca="false">IF($A925="","",IF(Q925="","",Q925+IF(O925="",0,O925)))</f>
        <v/>
      </c>
      <c r="T1114" s="1" t="str">
        <f aca="false">IF($A925="","",IF(R925="","",R925-IF(S925="",0,S925)))</f>
        <v/>
      </c>
      <c r="U1114" s="1" t="str">
        <f aca="false">IF($A925="","",IF(I925="","",I925-SUM(J925:P925)))</f>
        <v/>
      </c>
      <c r="V1114" s="6" t="s">
        <v>5342</v>
      </c>
      <c r="W1114" s="9" t="s">
        <v>774</v>
      </c>
      <c r="X1114" s="9" t="s">
        <v>5343</v>
      </c>
      <c r="Y1114" s="9" t="s">
        <v>4897</v>
      </c>
      <c r="Z1114" s="9" t="s">
        <v>4898</v>
      </c>
      <c r="AA1114" s="9" t="s">
        <v>4903</v>
      </c>
    </row>
    <row r="1115" customFormat="false" ht="15" hidden="false" customHeight="true" outlineLevel="0" collapsed="false">
      <c r="A1115" s="6" t="s">
        <v>4186</v>
      </c>
      <c r="B1115" s="6" t="s">
        <v>559</v>
      </c>
      <c r="C1115" s="6" t="s">
        <v>564</v>
      </c>
      <c r="D1115" s="6" t="n">
        <v>6</v>
      </c>
      <c r="E1115" s="9" t="s">
        <v>5206</v>
      </c>
      <c r="F1115" s="6" t="n">
        <v>25000</v>
      </c>
      <c r="G1115" s="1" t="n">
        <v>131678</v>
      </c>
      <c r="H1115" s="1" t="n">
        <v>19017</v>
      </c>
      <c r="I1115" s="1" t="n">
        <v>69584</v>
      </c>
      <c r="J1115" s="1" t="n">
        <v>10481</v>
      </c>
      <c r="K1115" s="1" t="n">
        <v>14617</v>
      </c>
      <c r="L1115" s="1" t="n">
        <v>11111</v>
      </c>
      <c r="M1115" s="1" t="n">
        <v>170</v>
      </c>
      <c r="N1115" s="1" t="n">
        <v>10864</v>
      </c>
      <c r="O1115" s="1" t="n">
        <v>21737</v>
      </c>
      <c r="P1115" s="1" t="n">
        <v>600</v>
      </c>
      <c r="Q1115" s="1" t="str">
        <f aca="false">IF($A926="","",IF(OR(F926="",I926=""),"",F926-I926))</f>
        <v/>
      </c>
      <c r="R1115" s="1" t="str">
        <f aca="false">IF($A926="","",IF(Q926="","",Q926+IF(O926="",0,O926)))</f>
        <v/>
      </c>
      <c r="T1115" s="1" t="str">
        <f aca="false">IF($A926="","",IF(R926="","",R926-IF(S926="",0,S926)))</f>
        <v/>
      </c>
      <c r="U1115" s="1" t="str">
        <f aca="false">IF($A926="","",IF(I926="","",I926-SUM(J926:P926)))</f>
        <v/>
      </c>
      <c r="V1115" s="6" t="s">
        <v>5342</v>
      </c>
      <c r="W1115" s="9" t="s">
        <v>774</v>
      </c>
      <c r="X1115" s="9" t="s">
        <v>5343</v>
      </c>
      <c r="Y1115" s="9" t="s">
        <v>4897</v>
      </c>
      <c r="Z1115" s="9" t="s">
        <v>4898</v>
      </c>
      <c r="AA1115" s="9" t="s">
        <v>4943</v>
      </c>
    </row>
    <row r="1116" customFormat="false" ht="15" hidden="false" customHeight="true" outlineLevel="0" collapsed="false">
      <c r="A1116" s="6" t="s">
        <v>4189</v>
      </c>
      <c r="B1116" s="6" t="s">
        <v>559</v>
      </c>
      <c r="C1116" s="6" t="s">
        <v>564</v>
      </c>
      <c r="D1116" s="6" t="n">
        <v>6</v>
      </c>
      <c r="E1116" s="9" t="s">
        <v>5206</v>
      </c>
      <c r="F1116" s="6" t="n">
        <v>230000</v>
      </c>
      <c r="G1116" s="1" t="n">
        <v>292017</v>
      </c>
      <c r="H1116" s="1" t="n">
        <v>28153</v>
      </c>
      <c r="I1116" s="1" t="n">
        <v>123025</v>
      </c>
      <c r="J1116" s="1" t="n">
        <v>32021</v>
      </c>
      <c r="K1116" s="1" t="n">
        <v>21530</v>
      </c>
      <c r="L1116" s="1" t="n">
        <v>35123</v>
      </c>
      <c r="M1116" s="1" t="n">
        <v>578</v>
      </c>
      <c r="N1116" s="1" t="n">
        <v>4779</v>
      </c>
      <c r="O1116" s="1" t="n">
        <v>26884</v>
      </c>
      <c r="P1116" s="1" t="n">
        <v>2108</v>
      </c>
      <c r="Q1116" s="1" t="str">
        <f aca="false">IF($A927="","",IF(OR(F927="",I927=""),"",F927-I927))</f>
        <v/>
      </c>
      <c r="R1116" s="1" t="str">
        <f aca="false">IF($A927="","",IF(Q927="","",Q927+IF(O927="",0,O927)))</f>
        <v/>
      </c>
      <c r="T1116" s="1" t="str">
        <f aca="false">IF($A927="","",IF(R927="","",R927-IF(S927="",0,S927)))</f>
        <v/>
      </c>
      <c r="U1116" s="1" t="str">
        <f aca="false">IF($A927="","",IF(I927="","",I927-SUM(J927:P927)))</f>
        <v/>
      </c>
      <c r="V1116" s="6" t="s">
        <v>5342</v>
      </c>
      <c r="W1116" s="9" t="s">
        <v>774</v>
      </c>
      <c r="X1116" s="9" t="s">
        <v>5343</v>
      </c>
      <c r="Y1116" s="9" t="s">
        <v>4897</v>
      </c>
      <c r="Z1116" s="9" t="s">
        <v>4898</v>
      </c>
      <c r="AA1116" s="9" t="s">
        <v>4903</v>
      </c>
    </row>
    <row r="1117" customFormat="false" ht="15" hidden="false" customHeight="true" outlineLevel="0" collapsed="false">
      <c r="A1117" s="6" t="s">
        <v>4192</v>
      </c>
      <c r="B1117" s="6" t="s">
        <v>559</v>
      </c>
      <c r="C1117" s="6" t="s">
        <v>564</v>
      </c>
      <c r="D1117" s="6" t="n">
        <v>6</v>
      </c>
      <c r="E1117" s="9" t="s">
        <v>5206</v>
      </c>
      <c r="F1117" s="6" t="n">
        <v>40000</v>
      </c>
      <c r="Q1117" s="1" t="str">
        <f aca="false">IF($A928="","",IF(OR(F928="",I928=""),"",F928-I928))</f>
        <v/>
      </c>
      <c r="R1117" s="1" t="str">
        <f aca="false">IF($A928="","",IF(Q928="","",Q928+IF(O928="",0,O928)))</f>
        <v/>
      </c>
      <c r="T1117" s="1" t="str">
        <f aca="false">IF($A928="","",IF(R928="","",R928-IF(S928="",0,S928)))</f>
        <v/>
      </c>
      <c r="U1117" s="1" t="str">
        <f aca="false">IF($A928="","",IF(I928="","",I928-SUM(J928:P928)))</f>
        <v/>
      </c>
      <c r="V1117" s="6" t="s">
        <v>5342</v>
      </c>
      <c r="W1117" s="9" t="s">
        <v>774</v>
      </c>
      <c r="X1117" s="9" t="s">
        <v>5343</v>
      </c>
      <c r="Y1117" s="9" t="s">
        <v>4897</v>
      </c>
      <c r="Z1117" s="9" t="s">
        <v>4898</v>
      </c>
      <c r="AA1117" s="9" t="s">
        <v>4943</v>
      </c>
    </row>
    <row r="1118" customFormat="false" ht="15" hidden="false" customHeight="true" outlineLevel="0" collapsed="false">
      <c r="A1118" s="6" t="s">
        <v>4195</v>
      </c>
      <c r="B1118" s="6" t="s">
        <v>559</v>
      </c>
      <c r="C1118" s="6" t="s">
        <v>564</v>
      </c>
      <c r="D1118" s="6" t="n">
        <v>6</v>
      </c>
      <c r="E1118" s="9" t="s">
        <v>5206</v>
      </c>
      <c r="F1118" s="6" t="n">
        <v>63000</v>
      </c>
      <c r="Q1118" s="1" t="n">
        <f aca="false">IF($A929="","",IF(OR(F929="",I929=""),"",F929-I929))</f>
        <v>23004035</v>
      </c>
      <c r="R1118" s="1" t="n">
        <f aca="false">IF($A929="","",IF(Q929="","",Q929+IF(O929="",0,O929)))</f>
        <v>-10574027</v>
      </c>
      <c r="T1118" s="1" t="n">
        <f aca="false">IF($A929="","",IF(R929="","",R929-IF(S929="",0,S929)))</f>
        <v>6212301</v>
      </c>
      <c r="U1118" s="1" t="n">
        <f aca="false">IF($A929="","",IF(I929="","",I929-SUM(J929:P929)))</f>
        <v>3</v>
      </c>
      <c r="V1118" s="6" t="s">
        <v>5342</v>
      </c>
      <c r="W1118" s="9" t="s">
        <v>774</v>
      </c>
      <c r="X1118" s="9" t="s">
        <v>5343</v>
      </c>
      <c r="Y1118" s="9" t="s">
        <v>4897</v>
      </c>
      <c r="Z1118" s="9" t="s">
        <v>4898</v>
      </c>
      <c r="AA1118" s="9" t="s">
        <v>4903</v>
      </c>
    </row>
    <row r="1119" customFormat="false" ht="15" hidden="false" customHeight="true" outlineLevel="0" collapsed="false">
      <c r="A1119" s="6" t="s">
        <v>4198</v>
      </c>
      <c r="B1119" s="6" t="s">
        <v>559</v>
      </c>
      <c r="C1119" s="6" t="s">
        <v>564</v>
      </c>
      <c r="D1119" s="6" t="n">
        <v>6</v>
      </c>
      <c r="E1119" s="9" t="s">
        <v>5206</v>
      </c>
      <c r="F1119" s="6" t="n">
        <v>29000</v>
      </c>
      <c r="G1119" s="1" t="n">
        <v>430895</v>
      </c>
      <c r="H1119" s="1" t="n">
        <v>16283</v>
      </c>
      <c r="I1119" s="1" t="n">
        <v>46348</v>
      </c>
      <c r="J1119" s="1" t="n">
        <v>16953</v>
      </c>
      <c r="K1119" s="1" t="n">
        <v>11885</v>
      </c>
      <c r="L1119" s="1" t="n">
        <v>0</v>
      </c>
      <c r="M1119" s="1" t="n">
        <v>318</v>
      </c>
      <c r="N1119" s="1" t="n">
        <v>1532</v>
      </c>
      <c r="O1119" s="1" t="n">
        <v>14039</v>
      </c>
      <c r="P1119" s="1" t="n">
        <v>1618</v>
      </c>
      <c r="Q1119" s="1" t="str">
        <f aca="false">IF($A930="","",IF(OR(F930="",I930=""),"",F930-I930))</f>
        <v/>
      </c>
      <c r="R1119" s="1" t="n">
        <f aca="false">IF($A930="","",IF(Q930="","",Q930+IF(O930="",0,O930)))</f>
        <v>7136801</v>
      </c>
      <c r="T1119" s="1" t="n">
        <f aca="false">IF($A930="","",IF(R930="","",R930-IF(S930="",0,S930)))</f>
        <v>9450827</v>
      </c>
      <c r="U1119" s="1" t="str">
        <f aca="false">IF($A930="","",IF(I930="","",I930-SUM(J930:P930)))</f>
        <v/>
      </c>
      <c r="V1119" s="6" t="s">
        <v>5342</v>
      </c>
      <c r="W1119" s="9" t="s">
        <v>774</v>
      </c>
      <c r="X1119" s="9" t="s">
        <v>5343</v>
      </c>
      <c r="Y1119" s="9" t="s">
        <v>4897</v>
      </c>
      <c r="Z1119" s="9" t="s">
        <v>4898</v>
      </c>
      <c r="AA1119" s="9" t="s">
        <v>4943</v>
      </c>
    </row>
    <row r="1120" customFormat="false" ht="15" hidden="false" customHeight="true" outlineLevel="0" collapsed="false">
      <c r="A1120" s="6" t="s">
        <v>4201</v>
      </c>
      <c r="B1120" s="6" t="s">
        <v>559</v>
      </c>
      <c r="C1120" s="6" t="s">
        <v>564</v>
      </c>
      <c r="D1120" s="6" t="n">
        <v>6</v>
      </c>
      <c r="E1120" s="9" t="s">
        <v>5206</v>
      </c>
      <c r="F1120" s="6" t="n">
        <v>8000</v>
      </c>
      <c r="G1120" s="1" t="n">
        <v>312000</v>
      </c>
      <c r="H1120" s="1" t="n">
        <v>0</v>
      </c>
      <c r="I1120" s="1" t="n">
        <v>88682</v>
      </c>
      <c r="J1120" s="1" t="n">
        <v>6240</v>
      </c>
      <c r="K1120" s="1" t="n">
        <v>0</v>
      </c>
      <c r="L1120" s="1" t="n">
        <v>37996</v>
      </c>
      <c r="M1120" s="1" t="n">
        <v>425</v>
      </c>
      <c r="N1120" s="1" t="n">
        <v>0</v>
      </c>
      <c r="O1120" s="1" t="n">
        <v>43515</v>
      </c>
      <c r="P1120" s="1" t="n">
        <v>505</v>
      </c>
      <c r="Q1120" s="1" t="str">
        <f aca="false">IF($A931="","",IF(OR(F931="",I931=""),"",F931-I931))</f>
        <v/>
      </c>
      <c r="R1120" s="1" t="str">
        <f aca="false">IF($A931="","",IF(Q931="","",Q931+IF(O931="",0,O931)))</f>
        <v/>
      </c>
      <c r="T1120" s="1" t="str">
        <f aca="false">IF($A931="","",IF(R931="","",R931-IF(S931="",0,S931)))</f>
        <v/>
      </c>
      <c r="U1120" s="1" t="str">
        <f aca="false">IF($A931="","",IF(I931="","",I931-SUM(J931:P931)))</f>
        <v/>
      </c>
      <c r="V1120" s="6" t="s">
        <v>5342</v>
      </c>
      <c r="W1120" s="9" t="s">
        <v>774</v>
      </c>
      <c r="X1120" s="9" t="s">
        <v>5344</v>
      </c>
      <c r="Y1120" s="6" t="s">
        <v>4920</v>
      </c>
      <c r="Z1120" s="9" t="s">
        <v>4961</v>
      </c>
      <c r="AA1120" s="9" t="s">
        <v>4943</v>
      </c>
    </row>
    <row r="1121" customFormat="false" ht="15" hidden="false" customHeight="true" outlineLevel="0" collapsed="false">
      <c r="A1121" s="6" t="s">
        <v>4204</v>
      </c>
      <c r="B1121" s="6" t="s">
        <v>559</v>
      </c>
      <c r="C1121" s="6" t="s">
        <v>564</v>
      </c>
      <c r="D1121" s="6" t="n">
        <v>6</v>
      </c>
      <c r="E1121" s="9" t="s">
        <v>5206</v>
      </c>
      <c r="F1121" s="6" t="n">
        <v>119000</v>
      </c>
      <c r="G1121" s="1" t="n">
        <v>218931</v>
      </c>
      <c r="H1121" s="1" t="n">
        <v>0</v>
      </c>
      <c r="I1121" s="1" t="n">
        <v>83597</v>
      </c>
      <c r="J1121" s="1" t="n">
        <v>4378</v>
      </c>
      <c r="K1121" s="1" t="n">
        <v>0</v>
      </c>
      <c r="L1121" s="1" t="n">
        <v>41723</v>
      </c>
      <c r="M1121" s="1" t="n">
        <v>1722</v>
      </c>
      <c r="N1121" s="1" t="n">
        <v>824</v>
      </c>
      <c r="O1121" s="1" t="n">
        <v>27022</v>
      </c>
      <c r="P1121" s="1" t="n">
        <v>7925</v>
      </c>
      <c r="Q1121" s="1" t="str">
        <f aca="false">IF($A932="","",IF(OR(F932="",I932=""),"",F932-I932))</f>
        <v/>
      </c>
      <c r="R1121" s="1" t="str">
        <f aca="false">IF($A932="","",IF(Q932="","",Q932+IF(O932="",0,O932)))</f>
        <v/>
      </c>
      <c r="T1121" s="1" t="str">
        <f aca="false">IF($A932="","",IF(R932="","",R932-IF(S932="",0,S932)))</f>
        <v/>
      </c>
      <c r="U1121" s="1" t="str">
        <f aca="false">IF($A932="","",IF(I932="","",I932-SUM(J932:P932)))</f>
        <v/>
      </c>
      <c r="V1121" s="6" t="s">
        <v>5342</v>
      </c>
      <c r="W1121" s="9" t="s">
        <v>774</v>
      </c>
      <c r="X1121" s="9" t="s">
        <v>5343</v>
      </c>
      <c r="Y1121" s="9" t="s">
        <v>4897</v>
      </c>
      <c r="Z1121" s="9" t="s">
        <v>4898</v>
      </c>
      <c r="AA1121" s="9" t="s">
        <v>4903</v>
      </c>
    </row>
    <row r="1122" customFormat="false" ht="15" hidden="false" customHeight="true" outlineLevel="0" collapsed="false">
      <c r="A1122" s="6" t="s">
        <v>4207</v>
      </c>
      <c r="B1122" s="6" t="s">
        <v>559</v>
      </c>
      <c r="C1122" s="6" t="s">
        <v>564</v>
      </c>
      <c r="D1122" s="6" t="n">
        <v>6</v>
      </c>
      <c r="E1122" s="9" t="s">
        <v>5206</v>
      </c>
      <c r="F1122" s="6" t="n">
        <v>82000</v>
      </c>
      <c r="G1122" s="1" t="n">
        <v>82246</v>
      </c>
      <c r="H1122" s="1" t="n">
        <v>6698</v>
      </c>
      <c r="I1122" s="1" t="n">
        <v>25053</v>
      </c>
      <c r="J1122" s="1" t="n">
        <v>3237</v>
      </c>
      <c r="K1122" s="1" t="n">
        <v>5144</v>
      </c>
      <c r="L1122" s="1" t="n">
        <v>8297</v>
      </c>
      <c r="M1122" s="1" t="n">
        <v>62</v>
      </c>
      <c r="N1122" s="1" t="n">
        <v>1241</v>
      </c>
      <c r="O1122" s="1" t="n">
        <v>5815</v>
      </c>
      <c r="P1122" s="1" t="n">
        <v>1254</v>
      </c>
      <c r="Q1122" s="1" t="str">
        <f aca="false">IF($A933="","",IF(OR(F933="",I933=""),"",F933-I933))</f>
        <v/>
      </c>
      <c r="R1122" s="1" t="str">
        <f aca="false">IF($A933="","",IF(Q933="","",Q933+IF(O933="",0,O933)))</f>
        <v/>
      </c>
      <c r="T1122" s="1" t="str">
        <f aca="false">IF($A933="","",IF(R933="","",R933-IF(S933="",0,S933)))</f>
        <v/>
      </c>
      <c r="U1122" s="1" t="str">
        <f aca="false">IF($A933="","",IF(I933="","",I933-SUM(J933:P933)))</f>
        <v/>
      </c>
      <c r="V1122" s="6" t="s">
        <v>5342</v>
      </c>
      <c r="W1122" s="9" t="s">
        <v>774</v>
      </c>
      <c r="X1122" s="9" t="s">
        <v>5343</v>
      </c>
      <c r="Y1122" s="9" t="s">
        <v>4897</v>
      </c>
      <c r="Z1122" s="9" t="s">
        <v>4898</v>
      </c>
      <c r="AA1122" s="9" t="s">
        <v>4903</v>
      </c>
    </row>
    <row r="1123" customFormat="false" ht="15" hidden="false" customHeight="true" outlineLevel="0" collapsed="false">
      <c r="A1123" s="6" t="s">
        <v>4210</v>
      </c>
      <c r="B1123" s="6" t="s">
        <v>559</v>
      </c>
      <c r="C1123" s="6" t="s">
        <v>564</v>
      </c>
      <c r="D1123" s="6" t="n">
        <v>6</v>
      </c>
      <c r="E1123" s="9" t="s">
        <v>5206</v>
      </c>
      <c r="F1123" s="6" t="n">
        <v>61000</v>
      </c>
      <c r="G1123" s="1" t="n">
        <v>47506</v>
      </c>
      <c r="H1123" s="1" t="n">
        <v>8314</v>
      </c>
      <c r="I1123" s="1" t="n">
        <v>25516</v>
      </c>
      <c r="J1123" s="1" t="n">
        <v>4576</v>
      </c>
      <c r="K1123" s="1" t="n">
        <v>6660</v>
      </c>
      <c r="L1123" s="1" t="n">
        <v>4670</v>
      </c>
      <c r="M1123" s="1" t="n">
        <v>74</v>
      </c>
      <c r="N1123" s="1" t="n">
        <v>2652</v>
      </c>
      <c r="O1123" s="1" t="n">
        <v>5707</v>
      </c>
      <c r="P1123" s="1" t="n">
        <v>1175</v>
      </c>
      <c r="Q1123" s="1" t="str">
        <f aca="false">IF($A934="","",IF(OR(F934="",I934=""),"",F934-I934))</f>
        <v/>
      </c>
      <c r="R1123" s="1" t="str">
        <f aca="false">IF($A934="","",IF(Q934="","",Q934+IF(O934="",0,O934)))</f>
        <v/>
      </c>
      <c r="T1123" s="1" t="str">
        <f aca="false">IF($A934="","",IF(R934="","",R934-IF(S934="",0,S934)))</f>
        <v/>
      </c>
      <c r="U1123" s="1" t="str">
        <f aca="false">IF($A934="","",IF(I934="","",I934-SUM(J934:P934)))</f>
        <v/>
      </c>
      <c r="V1123" s="6" t="s">
        <v>5342</v>
      </c>
      <c r="W1123" s="9" t="s">
        <v>774</v>
      </c>
      <c r="X1123" s="9" t="s">
        <v>5343</v>
      </c>
      <c r="Y1123" s="9" t="s">
        <v>4897</v>
      </c>
      <c r="Z1123" s="9" t="s">
        <v>4898</v>
      </c>
      <c r="AA1123" s="9" t="s">
        <v>4903</v>
      </c>
    </row>
    <row r="1124" customFormat="false" ht="15" hidden="false" customHeight="true" outlineLevel="0" collapsed="false">
      <c r="A1124" s="6" t="s">
        <v>4213</v>
      </c>
      <c r="B1124" s="6" t="s">
        <v>559</v>
      </c>
      <c r="C1124" s="6" t="s">
        <v>564</v>
      </c>
      <c r="D1124" s="6" t="n">
        <v>6</v>
      </c>
      <c r="E1124" s="9" t="s">
        <v>5206</v>
      </c>
      <c r="F1124" s="6" t="n">
        <v>48000</v>
      </c>
      <c r="G1124" s="1" t="n">
        <v>63599</v>
      </c>
      <c r="H1124" s="1" t="n">
        <v>7438</v>
      </c>
      <c r="I1124" s="1" t="n">
        <v>25229</v>
      </c>
      <c r="J1124" s="1" t="n">
        <v>2989</v>
      </c>
      <c r="K1124" s="1" t="n">
        <v>6247</v>
      </c>
      <c r="L1124" s="1" t="n">
        <v>4852</v>
      </c>
      <c r="M1124" s="1" t="n">
        <v>50</v>
      </c>
      <c r="N1124" s="1" t="n">
        <v>1149</v>
      </c>
      <c r="O1124" s="1" t="n">
        <v>8696</v>
      </c>
      <c r="P1124" s="1" t="n">
        <v>1241</v>
      </c>
      <c r="Q1124" s="1" t="str">
        <f aca="false">IF($A935="","",IF(OR(F935="",I935=""),"",F935-I935))</f>
        <v/>
      </c>
      <c r="R1124" s="1" t="str">
        <f aca="false">IF($A935="","",IF(Q935="","",Q935+IF(O935="",0,O935)))</f>
        <v/>
      </c>
      <c r="T1124" s="1" t="str">
        <f aca="false">IF($A935="","",IF(R935="","",R935-IF(S935="",0,S935)))</f>
        <v/>
      </c>
      <c r="U1124" s="1" t="str">
        <f aca="false">IF($A935="","",IF(I935="","",I935-SUM(J935:P935)))</f>
        <v/>
      </c>
      <c r="V1124" s="6" t="s">
        <v>5342</v>
      </c>
      <c r="W1124" s="9" t="s">
        <v>774</v>
      </c>
      <c r="X1124" s="9" t="s">
        <v>5343</v>
      </c>
      <c r="Y1124" s="9" t="s">
        <v>4897</v>
      </c>
      <c r="Z1124" s="9" t="s">
        <v>4898</v>
      </c>
      <c r="AA1124" s="9" t="s">
        <v>4943</v>
      </c>
    </row>
    <row r="1125" customFormat="false" ht="15" hidden="false" customHeight="true" outlineLevel="0" collapsed="false">
      <c r="A1125" s="6" t="s">
        <v>4216</v>
      </c>
      <c r="B1125" s="6" t="s">
        <v>559</v>
      </c>
      <c r="C1125" s="6" t="s">
        <v>564</v>
      </c>
      <c r="D1125" s="6" t="n">
        <v>6</v>
      </c>
      <c r="E1125" s="9" t="s">
        <v>5206</v>
      </c>
      <c r="F1125" s="6" t="n">
        <v>43000</v>
      </c>
      <c r="G1125" s="1" t="n">
        <v>77020</v>
      </c>
      <c r="H1125" s="1" t="n">
        <v>7946</v>
      </c>
      <c r="I1125" s="1" t="n">
        <v>33127</v>
      </c>
      <c r="J1125" s="1" t="n">
        <v>5887</v>
      </c>
      <c r="K1125" s="1" t="n">
        <v>6800</v>
      </c>
      <c r="L1125" s="1" t="n">
        <v>5702</v>
      </c>
      <c r="M1125" s="1" t="n">
        <v>92</v>
      </c>
      <c r="N1125" s="1" t="n">
        <v>511</v>
      </c>
      <c r="O1125" s="1" t="n">
        <v>13081</v>
      </c>
      <c r="P1125" s="1" t="n">
        <v>1050</v>
      </c>
      <c r="Q1125" s="1" t="str">
        <f aca="false">IF($A936="","",IF(OR(F936="",I936=""),"",F936-I936))</f>
        <v/>
      </c>
      <c r="R1125" s="1" t="str">
        <f aca="false">IF($A936="","",IF(Q936="","",Q936+IF(O936="",0,O936)))</f>
        <v/>
      </c>
      <c r="T1125" s="1" t="str">
        <f aca="false">IF($A936="","",IF(R936="","",R936-IF(S936="",0,S936)))</f>
        <v/>
      </c>
      <c r="U1125" s="1" t="str">
        <f aca="false">IF($A936="","",IF(I936="","",I936-SUM(J936:P936)))</f>
        <v/>
      </c>
      <c r="V1125" s="6" t="s">
        <v>5342</v>
      </c>
      <c r="W1125" s="9" t="s">
        <v>774</v>
      </c>
      <c r="X1125" s="9" t="s">
        <v>5343</v>
      </c>
      <c r="Y1125" s="9" t="s">
        <v>4897</v>
      </c>
      <c r="Z1125" s="9" t="s">
        <v>4898</v>
      </c>
      <c r="AA1125" s="9" t="s">
        <v>4943</v>
      </c>
    </row>
    <row r="1126" customFormat="false" ht="15" hidden="false" customHeight="true" outlineLevel="0" collapsed="false">
      <c r="A1126" s="6" t="s">
        <v>4219</v>
      </c>
      <c r="B1126" s="6" t="s">
        <v>559</v>
      </c>
      <c r="C1126" s="6" t="s">
        <v>564</v>
      </c>
      <c r="D1126" s="6" t="n">
        <v>6</v>
      </c>
      <c r="E1126" s="9" t="s">
        <v>5206</v>
      </c>
      <c r="F1126" s="6" t="n">
        <v>53000</v>
      </c>
      <c r="G1126" s="1" t="n">
        <v>219172</v>
      </c>
      <c r="H1126" s="1" t="n">
        <v>27273</v>
      </c>
      <c r="I1126" s="1" t="n">
        <v>135165</v>
      </c>
      <c r="J1126" s="1" t="n">
        <v>27137</v>
      </c>
      <c r="K1126" s="1" t="n">
        <v>24181</v>
      </c>
      <c r="L1126" s="1" t="n">
        <v>22644</v>
      </c>
      <c r="M1126" s="1" t="n">
        <v>369</v>
      </c>
      <c r="N1126" s="1" t="n">
        <v>1177</v>
      </c>
      <c r="O1126" s="1" t="n">
        <v>52938</v>
      </c>
      <c r="P1126" s="1" t="n">
        <v>6717</v>
      </c>
      <c r="Q1126" s="1" t="str">
        <f aca="false">IF($A937="","",IF(OR(F937="",I937=""),"",F937-I937))</f>
        <v/>
      </c>
      <c r="R1126" s="1" t="str">
        <f aca="false">IF($A937="","",IF(Q937="","",Q937+IF(O937="",0,O937)))</f>
        <v/>
      </c>
      <c r="T1126" s="1" t="str">
        <f aca="false">IF($A937="","",IF(R937="","",R937-IF(S937="",0,S937)))</f>
        <v/>
      </c>
      <c r="U1126" s="1" t="str">
        <f aca="false">IF($A937="","",IF(I937="","",I937-SUM(J937:P937)))</f>
        <v/>
      </c>
      <c r="V1126" s="6" t="s">
        <v>5342</v>
      </c>
      <c r="W1126" s="9" t="s">
        <v>774</v>
      </c>
      <c r="X1126" s="9" t="s">
        <v>5343</v>
      </c>
      <c r="Y1126" s="9" t="s">
        <v>4897</v>
      </c>
      <c r="Z1126" s="9" t="s">
        <v>4898</v>
      </c>
      <c r="AA1126" s="9" t="s">
        <v>4903</v>
      </c>
    </row>
    <row r="1127" customFormat="false" ht="15" hidden="false" customHeight="true" outlineLevel="0" collapsed="false">
      <c r="A1127" s="6" t="s">
        <v>4222</v>
      </c>
      <c r="B1127" s="6" t="s">
        <v>559</v>
      </c>
      <c r="C1127" s="6" t="s">
        <v>564</v>
      </c>
      <c r="D1127" s="6" t="n">
        <v>6</v>
      </c>
      <c r="E1127" s="9" t="s">
        <v>5206</v>
      </c>
      <c r="F1127" s="6" t="n">
        <v>89000</v>
      </c>
      <c r="G1127" s="1" t="n">
        <v>140213</v>
      </c>
      <c r="H1127" s="1" t="n">
        <v>12359</v>
      </c>
      <c r="I1127" s="1" t="n">
        <v>56226</v>
      </c>
      <c r="J1127" s="1" t="n">
        <v>10685</v>
      </c>
      <c r="K1127" s="1" t="n">
        <v>8254</v>
      </c>
      <c r="L1127" s="1" t="n">
        <v>10888</v>
      </c>
      <c r="M1127" s="1" t="n">
        <v>184</v>
      </c>
      <c r="N1127" s="1" t="n">
        <v>1517</v>
      </c>
      <c r="O1127" s="1" t="n">
        <v>23701</v>
      </c>
      <c r="P1127" s="1" t="n">
        <v>994</v>
      </c>
      <c r="Q1127" s="1" t="str">
        <f aca="false">IF($A938="","",IF(OR(F938="",I938=""),"",F938-I938))</f>
        <v/>
      </c>
      <c r="R1127" s="1" t="str">
        <f aca="false">IF($A938="","",IF(Q938="","",Q938+IF(O938="",0,O938)))</f>
        <v/>
      </c>
      <c r="T1127" s="1" t="str">
        <f aca="false">IF($A938="","",IF(R938="","",R938-IF(S938="",0,S938)))</f>
        <v/>
      </c>
      <c r="U1127" s="1" t="str">
        <f aca="false">IF($A938="","",IF(I938="","",I938-SUM(J938:P938)))</f>
        <v/>
      </c>
      <c r="V1127" s="6" t="s">
        <v>5342</v>
      </c>
      <c r="W1127" s="9" t="s">
        <v>774</v>
      </c>
      <c r="X1127" s="9" t="s">
        <v>5343</v>
      </c>
      <c r="Y1127" s="9" t="s">
        <v>4897</v>
      </c>
      <c r="Z1127" s="9" t="s">
        <v>4898</v>
      </c>
      <c r="AA1127" s="9" t="s">
        <v>4903</v>
      </c>
    </row>
    <row r="1128" customFormat="false" ht="15" hidden="false" customHeight="true" outlineLevel="0" collapsed="false">
      <c r="A1128" s="6" t="s">
        <v>4225</v>
      </c>
      <c r="B1128" s="6" t="s">
        <v>559</v>
      </c>
      <c r="C1128" s="6" t="s">
        <v>564</v>
      </c>
      <c r="D1128" s="6" t="n">
        <v>6</v>
      </c>
      <c r="E1128" s="9" t="s">
        <v>5206</v>
      </c>
      <c r="F1128" s="6" t="n">
        <v>73000</v>
      </c>
      <c r="G1128" s="1" t="n">
        <v>388810</v>
      </c>
      <c r="H1128" s="1" t="n">
        <v>0</v>
      </c>
      <c r="I1128" s="1" t="n">
        <v>60577</v>
      </c>
      <c r="J1128" s="1" t="n">
        <v>2400</v>
      </c>
      <c r="K1128" s="1" t="n">
        <v>0</v>
      </c>
      <c r="L1128" s="1" t="n">
        <v>28601</v>
      </c>
      <c r="M1128" s="1" t="n">
        <v>267</v>
      </c>
      <c r="N1128" s="1" t="n">
        <v>200</v>
      </c>
      <c r="O1128" s="1" t="n">
        <v>28504</v>
      </c>
      <c r="P1128" s="1" t="n">
        <v>605</v>
      </c>
      <c r="Q1128" s="1" t="str">
        <f aca="false">IF($A939="","",IF(OR(F939="",I939=""),"",F939-I939))</f>
        <v/>
      </c>
      <c r="R1128" s="1" t="str">
        <f aca="false">IF($A939="","",IF(Q939="","",Q939+IF(O939="",0,O939)))</f>
        <v/>
      </c>
      <c r="T1128" s="1" t="str">
        <f aca="false">IF($A939="","",IF(R939="","",R939-IF(S939="",0,S939)))</f>
        <v/>
      </c>
      <c r="U1128" s="1" t="str">
        <f aca="false">IF($A939="","",IF(I939="","",I939-SUM(J939:P939)))</f>
        <v/>
      </c>
      <c r="V1128" s="6" t="s">
        <v>5342</v>
      </c>
      <c r="W1128" s="9" t="s">
        <v>774</v>
      </c>
      <c r="X1128" s="9" t="s">
        <v>5343</v>
      </c>
      <c r="Y1128" s="9" t="s">
        <v>4897</v>
      </c>
      <c r="Z1128" s="9" t="s">
        <v>4898</v>
      </c>
      <c r="AA1128" s="9" t="s">
        <v>4903</v>
      </c>
    </row>
    <row r="1129" customFormat="false" ht="15" hidden="false" customHeight="true" outlineLevel="0" collapsed="false">
      <c r="A1129" s="6" t="s">
        <v>4228</v>
      </c>
      <c r="B1129" s="6" t="s">
        <v>559</v>
      </c>
      <c r="C1129" s="6" t="s">
        <v>564</v>
      </c>
      <c r="D1129" s="6" t="n">
        <v>6</v>
      </c>
      <c r="E1129" s="9" t="s">
        <v>5206</v>
      </c>
      <c r="F1129" s="6" t="n">
        <v>60000</v>
      </c>
      <c r="G1129" s="1" t="n">
        <v>255875</v>
      </c>
      <c r="H1129" s="1" t="n">
        <v>2718</v>
      </c>
      <c r="I1129" s="1" t="n">
        <v>66512</v>
      </c>
      <c r="J1129" s="1" t="n">
        <v>2160</v>
      </c>
      <c r="K1129" s="1" t="n">
        <v>0</v>
      </c>
      <c r="L1129" s="1" t="n">
        <v>25180</v>
      </c>
      <c r="M1129" s="1" t="n">
        <v>233</v>
      </c>
      <c r="N1129" s="1" t="n">
        <v>0</v>
      </c>
      <c r="O1129" s="1" t="n">
        <v>38433</v>
      </c>
      <c r="P1129" s="1" t="n">
        <v>505</v>
      </c>
      <c r="Q1129" s="1" t="str">
        <f aca="false">IF($A940="","",IF(OR(F940="",I940=""),"",F940-I940))</f>
        <v/>
      </c>
      <c r="R1129" s="1" t="str">
        <f aca="false">IF($A940="","",IF(Q940="","",Q940+IF(O940="",0,O940)))</f>
        <v/>
      </c>
      <c r="T1129" s="1" t="str">
        <f aca="false">IF($A940="","",IF(R940="","",R940-IF(S940="",0,S940)))</f>
        <v/>
      </c>
      <c r="U1129" s="1" t="str">
        <f aca="false">IF($A940="","",IF(I940="","",I940-SUM(J940:P940)))</f>
        <v/>
      </c>
      <c r="V1129" s="6" t="s">
        <v>5342</v>
      </c>
      <c r="W1129" s="9" t="s">
        <v>774</v>
      </c>
      <c r="X1129" s="9" t="s">
        <v>5343</v>
      </c>
      <c r="Y1129" s="9" t="s">
        <v>4897</v>
      </c>
      <c r="Z1129" s="9" t="s">
        <v>4898</v>
      </c>
      <c r="AA1129" s="9" t="s">
        <v>4903</v>
      </c>
    </row>
    <row r="1130" customFormat="false" ht="15" hidden="false" customHeight="true" outlineLevel="0" collapsed="false">
      <c r="A1130" s="6" t="s">
        <v>4231</v>
      </c>
      <c r="B1130" s="6" t="s">
        <v>559</v>
      </c>
      <c r="C1130" s="6" t="s">
        <v>564</v>
      </c>
      <c r="D1130" s="6" t="n">
        <v>6</v>
      </c>
      <c r="E1130" s="9" t="s">
        <v>5206</v>
      </c>
      <c r="F1130" s="6" t="n">
        <v>58000</v>
      </c>
      <c r="Q1130" s="1" t="str">
        <f aca="false">IF($A941="","",IF(OR(F941="",I941=""),"",F941-I941))</f>
        <v/>
      </c>
      <c r="R1130" s="1" t="str">
        <f aca="false">IF($A941="","",IF(Q941="","",Q941+IF(O941="",0,O941)))</f>
        <v/>
      </c>
      <c r="T1130" s="1" t="str">
        <f aca="false">IF($A941="","",IF(R941="","",R941-IF(S941="",0,S941)))</f>
        <v/>
      </c>
      <c r="U1130" s="1" t="str">
        <f aca="false">IF($A941="","",IF(I941="","",I941-SUM(J941:P941)))</f>
        <v/>
      </c>
      <c r="V1130" s="6" t="s">
        <v>5342</v>
      </c>
      <c r="W1130" s="9" t="s">
        <v>774</v>
      </c>
      <c r="X1130" s="9" t="s">
        <v>5343</v>
      </c>
      <c r="Y1130" s="9" t="s">
        <v>4897</v>
      </c>
      <c r="Z1130" s="9" t="s">
        <v>4898</v>
      </c>
      <c r="AA1130" s="9" t="s">
        <v>4903</v>
      </c>
    </row>
    <row r="1131" customFormat="false" ht="15" hidden="false" customHeight="true" outlineLevel="0" collapsed="false">
      <c r="A1131" s="6" t="s">
        <v>4234</v>
      </c>
      <c r="B1131" s="6" t="s">
        <v>559</v>
      </c>
      <c r="C1131" s="6" t="s">
        <v>564</v>
      </c>
      <c r="D1131" s="6" t="n">
        <v>6</v>
      </c>
      <c r="E1131" s="9" t="s">
        <v>5206</v>
      </c>
      <c r="F1131" s="6" t="n">
        <v>58000</v>
      </c>
      <c r="Q1131" s="1" t="str">
        <f aca="false">IF($A942="","",IF(OR(F942="",I942=""),"",F942-I942))</f>
        <v/>
      </c>
      <c r="R1131" s="1" t="str">
        <f aca="false">IF($A942="","",IF(Q942="","",Q942+IF(O942="",0,O942)))</f>
        <v/>
      </c>
      <c r="T1131" s="1" t="str">
        <f aca="false">IF($A942="","",IF(R942="","",R942-IF(S942="",0,S942)))</f>
        <v/>
      </c>
      <c r="U1131" s="1" t="str">
        <f aca="false">IF($A942="","",IF(I942="","",I942-SUM(J942:P942)))</f>
        <v/>
      </c>
      <c r="V1131" s="6" t="s">
        <v>5342</v>
      </c>
      <c r="W1131" s="9" t="s">
        <v>774</v>
      </c>
      <c r="X1131" s="9" t="s">
        <v>5343</v>
      </c>
      <c r="Y1131" s="9" t="s">
        <v>4897</v>
      </c>
      <c r="Z1131" s="9" t="s">
        <v>4898</v>
      </c>
      <c r="AA1131" s="9" t="s">
        <v>4903</v>
      </c>
    </row>
    <row r="1132" customFormat="false" ht="15" hidden="false" customHeight="true" outlineLevel="0" collapsed="false">
      <c r="A1132" s="6" t="s">
        <v>4237</v>
      </c>
      <c r="B1132" s="6" t="s">
        <v>559</v>
      </c>
      <c r="C1132" s="6" t="s">
        <v>564</v>
      </c>
      <c r="D1132" s="6" t="n">
        <v>6</v>
      </c>
      <c r="E1132" s="9" t="s">
        <v>5206</v>
      </c>
      <c r="F1132" s="6" t="n">
        <v>42000</v>
      </c>
      <c r="Q1132" s="1" t="str">
        <f aca="false">IF($A943="","",IF(OR(F943="",I943=""),"",F943-I943))</f>
        <v/>
      </c>
      <c r="R1132" s="1" t="str">
        <f aca="false">IF($A943="","",IF(Q943="","",Q943+IF(O943="",0,O943)))</f>
        <v/>
      </c>
      <c r="T1132" s="1" t="str">
        <f aca="false">IF($A943="","",IF(R943="","",R943-IF(S943="",0,S943)))</f>
        <v/>
      </c>
      <c r="U1132" s="1" t="str">
        <f aca="false">IF($A943="","",IF(I943="","",I943-SUM(J943:P943)))</f>
        <v/>
      </c>
      <c r="V1132" s="6" t="s">
        <v>5342</v>
      </c>
      <c r="W1132" s="9" t="s">
        <v>774</v>
      </c>
      <c r="X1132" s="9" t="s">
        <v>5343</v>
      </c>
      <c r="Y1132" s="9" t="s">
        <v>4897</v>
      </c>
      <c r="Z1132" s="9" t="s">
        <v>4898</v>
      </c>
      <c r="AA1132" s="9" t="s">
        <v>4943</v>
      </c>
    </row>
    <row r="1133" customFormat="false" ht="15" hidden="false" customHeight="true" outlineLevel="0" collapsed="false">
      <c r="A1133" s="6" t="s">
        <v>4240</v>
      </c>
      <c r="B1133" s="6" t="s">
        <v>559</v>
      </c>
      <c r="C1133" s="6" t="s">
        <v>564</v>
      </c>
      <c r="D1133" s="6" t="n">
        <v>6</v>
      </c>
      <c r="E1133" s="9" t="s">
        <v>5206</v>
      </c>
      <c r="F1133" s="6" t="n">
        <v>40000</v>
      </c>
      <c r="Q1133" s="1" t="str">
        <f aca="false">IF($A944="","",IF(OR(F944="",I944=""),"",F944-I944))</f>
        <v/>
      </c>
      <c r="R1133" s="1" t="str">
        <f aca="false">IF($A944="","",IF(Q944="","",Q944+IF(O944="",0,O944)))</f>
        <v/>
      </c>
      <c r="T1133" s="1" t="str">
        <f aca="false">IF($A944="","",IF(R944="","",R944-IF(S944="",0,S944)))</f>
        <v/>
      </c>
      <c r="U1133" s="1" t="str">
        <f aca="false">IF($A944="","",IF(I944="","",I944-SUM(J944:P944)))</f>
        <v/>
      </c>
      <c r="V1133" s="6" t="s">
        <v>5342</v>
      </c>
      <c r="W1133" s="9" t="s">
        <v>774</v>
      </c>
      <c r="X1133" s="9" t="s">
        <v>5343</v>
      </c>
      <c r="Y1133" s="9" t="s">
        <v>4897</v>
      </c>
      <c r="Z1133" s="9" t="s">
        <v>4898</v>
      </c>
      <c r="AA1133" s="9" t="s">
        <v>4943</v>
      </c>
    </row>
    <row r="1134" customFormat="false" ht="15" hidden="false" customHeight="true" outlineLevel="0" collapsed="false">
      <c r="A1134" s="6" t="s">
        <v>4243</v>
      </c>
      <c r="B1134" s="6" t="s">
        <v>559</v>
      </c>
      <c r="C1134" s="6" t="s">
        <v>564</v>
      </c>
      <c r="D1134" s="6" t="n">
        <v>6</v>
      </c>
      <c r="E1134" s="9" t="s">
        <v>5206</v>
      </c>
      <c r="F1134" s="6" t="n">
        <v>35000</v>
      </c>
      <c r="Q1134" s="1" t="str">
        <f aca="false">IF($A945="","",IF(OR(F945="",I945=""),"",F945-I945))</f>
        <v/>
      </c>
      <c r="R1134" s="1" t="str">
        <f aca="false">IF($A945="","",IF(Q945="","",Q945+IF(O945="",0,O945)))</f>
        <v/>
      </c>
      <c r="T1134" s="1" t="str">
        <f aca="false">IF($A945="","",IF(R945="","",R945-IF(S945="",0,S945)))</f>
        <v/>
      </c>
      <c r="U1134" s="1" t="str">
        <f aca="false">IF($A945="","",IF(I945="","",I945-SUM(J945:P945)))</f>
        <v/>
      </c>
      <c r="V1134" s="6" t="s">
        <v>5342</v>
      </c>
      <c r="W1134" s="9" t="s">
        <v>774</v>
      </c>
      <c r="X1134" s="9" t="s">
        <v>5343</v>
      </c>
      <c r="Y1134" s="9" t="s">
        <v>4897</v>
      </c>
      <c r="Z1134" s="9" t="s">
        <v>4898</v>
      </c>
      <c r="AA1134" s="9" t="s">
        <v>4943</v>
      </c>
    </row>
    <row r="1135" customFormat="false" ht="15" hidden="false" customHeight="true" outlineLevel="0" collapsed="false">
      <c r="A1135" s="6" t="s">
        <v>4246</v>
      </c>
      <c r="B1135" s="6" t="s">
        <v>559</v>
      </c>
      <c r="C1135" s="6" t="s">
        <v>564</v>
      </c>
      <c r="D1135" s="6" t="n">
        <v>6</v>
      </c>
      <c r="E1135" s="9" t="s">
        <v>5206</v>
      </c>
      <c r="F1135" s="6" t="n">
        <v>39000</v>
      </c>
      <c r="Q1135" s="1" t="str">
        <f aca="false">IF($A946="","",IF(OR(F946="",I946=""),"",F946-I946))</f>
        <v/>
      </c>
      <c r="R1135" s="1" t="str">
        <f aca="false">IF($A946="","",IF(Q946="","",Q946+IF(O946="",0,O946)))</f>
        <v/>
      </c>
      <c r="T1135" s="1" t="str">
        <f aca="false">IF($A946="","",IF(R946="","",R946-IF(S946="",0,S946)))</f>
        <v/>
      </c>
      <c r="U1135" s="1" t="str">
        <f aca="false">IF($A946="","",IF(I946="","",I946-SUM(J946:P946)))</f>
        <v/>
      </c>
      <c r="V1135" s="6" t="s">
        <v>5342</v>
      </c>
      <c r="W1135" s="9" t="s">
        <v>774</v>
      </c>
      <c r="X1135" s="9" t="s">
        <v>5343</v>
      </c>
      <c r="Y1135" s="9" t="s">
        <v>4897</v>
      </c>
      <c r="Z1135" s="9" t="s">
        <v>4898</v>
      </c>
      <c r="AA1135" s="9" t="s">
        <v>4943</v>
      </c>
    </row>
    <row r="1136" customFormat="false" ht="15" hidden="false" customHeight="true" outlineLevel="0" collapsed="false">
      <c r="A1136" s="6" t="s">
        <v>4249</v>
      </c>
      <c r="B1136" s="6" t="s">
        <v>559</v>
      </c>
      <c r="C1136" s="6" t="s">
        <v>564</v>
      </c>
      <c r="D1136" s="6" t="n">
        <v>6</v>
      </c>
      <c r="E1136" s="9" t="s">
        <v>5206</v>
      </c>
      <c r="F1136" s="6" t="n">
        <v>34000</v>
      </c>
      <c r="Q1136" s="1" t="str">
        <f aca="false">IF($A947="","",IF(OR(F947="",I947=""),"",F947-I947))</f>
        <v/>
      </c>
      <c r="R1136" s="1" t="str">
        <f aca="false">IF($A947="","",IF(Q947="","",Q947+IF(O947="",0,O947)))</f>
        <v/>
      </c>
      <c r="T1136" s="1" t="str">
        <f aca="false">IF($A947="","",IF(R947="","",R947-IF(S947="",0,S947)))</f>
        <v/>
      </c>
      <c r="U1136" s="1" t="str">
        <f aca="false">IF($A947="","",IF(I947="","",I947-SUM(J947:P947)))</f>
        <v/>
      </c>
      <c r="V1136" s="6" t="s">
        <v>5342</v>
      </c>
      <c r="W1136" s="9" t="s">
        <v>774</v>
      </c>
      <c r="X1136" s="9" t="s">
        <v>5343</v>
      </c>
      <c r="Y1136" s="9" t="s">
        <v>4897</v>
      </c>
      <c r="Z1136" s="9" t="s">
        <v>4898</v>
      </c>
      <c r="AA1136" s="9" t="s">
        <v>4943</v>
      </c>
    </row>
    <row r="1137" customFormat="false" ht="15" hidden="false" customHeight="true" outlineLevel="0" collapsed="false">
      <c r="A1137" s="6" t="s">
        <v>4252</v>
      </c>
      <c r="B1137" s="6" t="s">
        <v>559</v>
      </c>
      <c r="C1137" s="6" t="s">
        <v>564</v>
      </c>
      <c r="D1137" s="6" t="n">
        <v>6</v>
      </c>
      <c r="E1137" s="9" t="s">
        <v>5206</v>
      </c>
      <c r="F1137" s="6" t="n">
        <v>32000</v>
      </c>
      <c r="Q1137" s="1" t="str">
        <f aca="false">IF($A948="","",IF(OR(F948="",I948=""),"",F948-I948))</f>
        <v/>
      </c>
      <c r="R1137" s="1" t="str">
        <f aca="false">IF($A948="","",IF(Q948="","",Q948+IF(O948="",0,O948)))</f>
        <v/>
      </c>
      <c r="T1137" s="1" t="n">
        <f aca="false">IF($A948="","",IF(R948="","",R948-IF(S948="",0,S948)))</f>
        <v>7566736</v>
      </c>
      <c r="U1137" s="1" t="str">
        <f aca="false">IF($A948="","",IF(I948="","",I948-SUM(J948:P948)))</f>
        <v/>
      </c>
      <c r="V1137" s="6" t="s">
        <v>5342</v>
      </c>
      <c r="W1137" s="9" t="s">
        <v>774</v>
      </c>
      <c r="X1137" s="9" t="s">
        <v>5343</v>
      </c>
      <c r="Y1137" s="9" t="s">
        <v>4897</v>
      </c>
      <c r="Z1137" s="9" t="s">
        <v>4898</v>
      </c>
      <c r="AA1137" s="9" t="s">
        <v>4943</v>
      </c>
    </row>
    <row r="1138" customFormat="false" ht="15" hidden="false" customHeight="true" outlineLevel="0" collapsed="false">
      <c r="A1138" s="6" t="s">
        <v>4255</v>
      </c>
      <c r="B1138" s="6" t="s">
        <v>559</v>
      </c>
      <c r="C1138" s="6" t="s">
        <v>564</v>
      </c>
      <c r="D1138" s="6" t="n">
        <v>6</v>
      </c>
      <c r="E1138" s="9" t="s">
        <v>5206</v>
      </c>
      <c r="F1138" s="6" t="n">
        <v>33000</v>
      </c>
      <c r="Q1138" s="1" t="str">
        <f aca="false">IF($A949="","",IF(OR(F949="",I949=""),"",F949-I949))</f>
        <v/>
      </c>
      <c r="R1138" s="1" t="str">
        <f aca="false">IF($A949="","",IF(Q949="","",Q949+IF(O949="",0,O949)))</f>
        <v/>
      </c>
      <c r="T1138" s="1" t="n">
        <f aca="false">IF($A949="","",IF(R949="","",R949-IF(S949="",0,S949)))</f>
        <v>168763</v>
      </c>
      <c r="U1138" s="1" t="str">
        <f aca="false">IF($A949="","",IF(I949="","",I949-SUM(J949:P949)))</f>
        <v/>
      </c>
      <c r="V1138" s="6" t="s">
        <v>5342</v>
      </c>
      <c r="W1138" s="9" t="s">
        <v>774</v>
      </c>
      <c r="X1138" s="9" t="s">
        <v>5343</v>
      </c>
      <c r="Y1138" s="9" t="s">
        <v>4897</v>
      </c>
      <c r="Z1138" s="9" t="s">
        <v>4898</v>
      </c>
      <c r="AA1138" s="9" t="s">
        <v>4943</v>
      </c>
    </row>
    <row r="1139" customFormat="false" ht="15" hidden="false" customHeight="true" outlineLevel="0" collapsed="false">
      <c r="A1139" s="6" t="s">
        <v>4258</v>
      </c>
      <c r="B1139" s="6" t="s">
        <v>559</v>
      </c>
      <c r="C1139" s="6" t="s">
        <v>564</v>
      </c>
      <c r="D1139" s="6" t="n">
        <v>6</v>
      </c>
      <c r="E1139" s="9" t="s">
        <v>5206</v>
      </c>
      <c r="F1139" s="6" t="n">
        <v>31000</v>
      </c>
      <c r="Q1139" s="1" t="str">
        <f aca="false">IF($A950="","",IF(OR(F950="",I950=""),"",F950-I950))</f>
        <v/>
      </c>
      <c r="R1139" s="1" t="str">
        <f aca="false">IF($A950="","",IF(Q950="","",Q950+IF(O950="",0,O950)))</f>
        <v/>
      </c>
      <c r="T1139" s="1" t="n">
        <f aca="false">IF($A950="","",IF(R950="","",R950-IF(S950="",0,S950)))</f>
        <v>224418</v>
      </c>
      <c r="U1139" s="1" t="str">
        <f aca="false">IF($A950="","",IF(I950="","",I950-SUM(J950:P950)))</f>
        <v/>
      </c>
      <c r="V1139" s="6" t="s">
        <v>5342</v>
      </c>
      <c r="W1139" s="9" t="s">
        <v>774</v>
      </c>
      <c r="X1139" s="9" t="s">
        <v>5343</v>
      </c>
      <c r="Y1139" s="9" t="s">
        <v>4897</v>
      </c>
      <c r="Z1139" s="9" t="s">
        <v>4898</v>
      </c>
      <c r="AA1139" s="9" t="s">
        <v>4943</v>
      </c>
    </row>
    <row r="1140" customFormat="false" ht="15" hidden="false" customHeight="true" outlineLevel="0" collapsed="false">
      <c r="A1140" s="6" t="s">
        <v>4261</v>
      </c>
      <c r="B1140" s="6" t="s">
        <v>559</v>
      </c>
      <c r="C1140" s="6" t="s">
        <v>564</v>
      </c>
      <c r="D1140" s="6" t="n">
        <v>6</v>
      </c>
      <c r="E1140" s="9" t="s">
        <v>5206</v>
      </c>
      <c r="F1140" s="6" t="n">
        <v>35000</v>
      </c>
      <c r="Q1140" s="1" t="str">
        <f aca="false">IF($A951="","",IF(OR(F951="",I951=""),"",F951-I951))</f>
        <v/>
      </c>
      <c r="R1140" s="1" t="str">
        <f aca="false">IF($A951="","",IF(Q951="","",Q951+IF(O951="",0,O951)))</f>
        <v/>
      </c>
      <c r="T1140" s="1" t="n">
        <f aca="false">IF($A951="","",IF(R951="","",R951-IF(S951="",0,S951)))</f>
        <v>149968</v>
      </c>
      <c r="U1140" s="1" t="str">
        <f aca="false">IF($A951="","",IF(I951="","",I951-SUM(J951:P951)))</f>
        <v/>
      </c>
      <c r="V1140" s="6" t="s">
        <v>5342</v>
      </c>
      <c r="W1140" s="9" t="s">
        <v>774</v>
      </c>
      <c r="X1140" s="9" t="s">
        <v>5343</v>
      </c>
      <c r="Y1140" s="9" t="s">
        <v>4897</v>
      </c>
      <c r="Z1140" s="9" t="s">
        <v>4898</v>
      </c>
      <c r="AA1140" s="9" t="s">
        <v>4943</v>
      </c>
    </row>
    <row r="1141" customFormat="false" ht="15" hidden="false" customHeight="true" outlineLevel="0" collapsed="false">
      <c r="A1141" s="6" t="s">
        <v>4264</v>
      </c>
      <c r="B1141" s="6" t="s">
        <v>559</v>
      </c>
      <c r="C1141" s="6" t="s">
        <v>564</v>
      </c>
      <c r="D1141" s="6" t="n">
        <v>6</v>
      </c>
      <c r="E1141" s="9" t="s">
        <v>5206</v>
      </c>
      <c r="F1141" s="6" t="n">
        <v>33000</v>
      </c>
      <c r="Q1141" s="1" t="str">
        <f aca="false">IF($A952="","",IF(OR(F952="",I952=""),"",F952-I952))</f>
        <v/>
      </c>
      <c r="R1141" s="1" t="str">
        <f aca="false">IF($A952="","",IF(Q952="","",Q952+IF(O952="",0,O952)))</f>
        <v/>
      </c>
      <c r="T1141" s="1" t="n">
        <f aca="false">IF($A952="","",IF(R952="","",R952-IF(S952="",0,S952)))</f>
        <v>109834</v>
      </c>
      <c r="U1141" s="1" t="str">
        <f aca="false">IF($A952="","",IF(I952="","",I952-SUM(J952:P952)))</f>
        <v/>
      </c>
      <c r="V1141" s="6" t="s">
        <v>5342</v>
      </c>
      <c r="W1141" s="9" t="s">
        <v>774</v>
      </c>
      <c r="X1141" s="9" t="s">
        <v>5343</v>
      </c>
      <c r="Y1141" s="9" t="s">
        <v>4897</v>
      </c>
      <c r="Z1141" s="9" t="s">
        <v>4898</v>
      </c>
      <c r="AA1141" s="9" t="s">
        <v>4943</v>
      </c>
    </row>
    <row r="1142" customFormat="false" ht="15" hidden="false" customHeight="true" outlineLevel="0" collapsed="false">
      <c r="A1142" s="6" t="s">
        <v>4267</v>
      </c>
      <c r="B1142" s="6" t="s">
        <v>559</v>
      </c>
      <c r="C1142" s="6" t="s">
        <v>564</v>
      </c>
      <c r="D1142" s="6" t="n">
        <v>6</v>
      </c>
      <c r="E1142" s="9" t="s">
        <v>5206</v>
      </c>
      <c r="F1142" s="6" t="n">
        <v>109000</v>
      </c>
      <c r="G1142" s="1" t="n">
        <v>86368</v>
      </c>
      <c r="H1142" s="1" t="n">
        <v>8416</v>
      </c>
      <c r="I1142" s="1" t="n">
        <v>37121</v>
      </c>
      <c r="J1142" s="1" t="n">
        <v>2167</v>
      </c>
      <c r="K1142" s="1" t="n">
        <v>7602</v>
      </c>
      <c r="L1142" s="1" t="n">
        <v>6866</v>
      </c>
      <c r="M1142" s="1" t="n">
        <v>119</v>
      </c>
      <c r="N1142" s="1" t="n">
        <v>595</v>
      </c>
      <c r="O1142" s="1" t="n">
        <v>19262</v>
      </c>
      <c r="P1142" s="1" t="n">
        <v>508</v>
      </c>
      <c r="Q1142" s="1" t="str">
        <f aca="false">IF($A953="","",IF(OR(F953="",I953=""),"",F953-I953))</f>
        <v/>
      </c>
      <c r="R1142" s="1" t="str">
        <f aca="false">IF($A953="","",IF(Q953="","",Q953+IF(O953="",0,O953)))</f>
        <v/>
      </c>
      <c r="T1142" s="1" t="n">
        <f aca="false">IF($A953="","",IF(R953="","",R953-IF(S953="",0,S953)))</f>
        <v>101744</v>
      </c>
      <c r="U1142" s="1" t="str">
        <f aca="false">IF($A953="","",IF(I953="","",I953-SUM(J953:P953)))</f>
        <v/>
      </c>
      <c r="V1142" s="6" t="s">
        <v>5342</v>
      </c>
      <c r="W1142" s="9" t="s">
        <v>774</v>
      </c>
      <c r="X1142" s="9" t="s">
        <v>5343</v>
      </c>
      <c r="Y1142" s="9" t="s">
        <v>4897</v>
      </c>
      <c r="Z1142" s="9" t="s">
        <v>4898</v>
      </c>
      <c r="AA1142" s="9" t="s">
        <v>4903</v>
      </c>
    </row>
    <row r="1143" customFormat="false" ht="15" hidden="false" customHeight="true" outlineLevel="0" collapsed="false">
      <c r="A1143" s="6" t="s">
        <v>4270</v>
      </c>
      <c r="B1143" s="6" t="s">
        <v>559</v>
      </c>
      <c r="C1143" s="6" t="s">
        <v>564</v>
      </c>
      <c r="D1143" s="6" t="n">
        <v>6</v>
      </c>
      <c r="E1143" s="9" t="s">
        <v>5206</v>
      </c>
      <c r="F1143" s="6" t="n">
        <v>188000</v>
      </c>
      <c r="Q1143" s="1" t="str">
        <f aca="false">IF($A954="","",IF(OR(F954="",I954=""),"",F954-I954))</f>
        <v/>
      </c>
      <c r="R1143" s="1" t="str">
        <f aca="false">IF($A954="","",IF(Q954="","",Q954+IF(O954="",0,O954)))</f>
        <v/>
      </c>
      <c r="T1143" s="1" t="n">
        <f aca="false">IF($A954="","",IF(R954="","",R954-IF(S954="",0,S954)))</f>
        <v>82525</v>
      </c>
      <c r="U1143" s="1" t="str">
        <f aca="false">IF($A954="","",IF(I954="","",I954-SUM(J954:P954)))</f>
        <v/>
      </c>
      <c r="V1143" s="6" t="s">
        <v>5342</v>
      </c>
      <c r="W1143" s="9" t="s">
        <v>774</v>
      </c>
      <c r="X1143" s="9" t="s">
        <v>5343</v>
      </c>
      <c r="Y1143" s="9" t="s">
        <v>4897</v>
      </c>
      <c r="Z1143" s="9" t="s">
        <v>4898</v>
      </c>
      <c r="AA1143" s="9" t="s">
        <v>4903</v>
      </c>
    </row>
    <row r="1144" customFormat="false" ht="15" hidden="false" customHeight="true" outlineLevel="0" collapsed="false">
      <c r="A1144" s="6" t="s">
        <v>4273</v>
      </c>
      <c r="B1144" s="6" t="s">
        <v>559</v>
      </c>
      <c r="C1144" s="6" t="s">
        <v>564</v>
      </c>
      <c r="D1144" s="6" t="n">
        <v>6</v>
      </c>
      <c r="E1144" s="9" t="s">
        <v>5206</v>
      </c>
      <c r="F1144" s="6" t="n">
        <v>102000</v>
      </c>
      <c r="Q1144" s="1" t="str">
        <f aca="false">IF($A955="","",IF(OR(F955="",I955=""),"",F955-I955))</f>
        <v/>
      </c>
      <c r="R1144" s="1" t="str">
        <f aca="false">IF($A955="","",IF(Q955="","",Q955+IF(O955="",0,O955)))</f>
        <v/>
      </c>
      <c r="T1144" s="1" t="n">
        <f aca="false">IF($A955="","",IF(R955="","",R955-IF(S955="",0,S955)))</f>
        <v>49821</v>
      </c>
      <c r="U1144" s="1" t="str">
        <f aca="false">IF($A955="","",IF(I955="","",I955-SUM(J955:P955)))</f>
        <v/>
      </c>
      <c r="V1144" s="6" t="s">
        <v>5342</v>
      </c>
      <c r="W1144" s="9" t="s">
        <v>774</v>
      </c>
      <c r="X1144" s="9" t="s">
        <v>5343</v>
      </c>
      <c r="Y1144" s="9" t="s">
        <v>4897</v>
      </c>
      <c r="Z1144" s="9" t="s">
        <v>4898</v>
      </c>
      <c r="AA1144" s="9" t="s">
        <v>4903</v>
      </c>
    </row>
    <row r="1145" customFormat="false" ht="15" hidden="false" customHeight="true" outlineLevel="0" collapsed="false">
      <c r="A1145" s="6" t="s">
        <v>4276</v>
      </c>
      <c r="B1145" s="6" t="s">
        <v>559</v>
      </c>
      <c r="C1145" s="6" t="s">
        <v>564</v>
      </c>
      <c r="D1145" s="6" t="n">
        <v>6</v>
      </c>
      <c r="E1145" s="9" t="s">
        <v>5206</v>
      </c>
      <c r="F1145" s="6" t="n">
        <v>60000</v>
      </c>
      <c r="Q1145" s="1" t="str">
        <f aca="false">IF($A956="","",IF(OR(F956="",I956=""),"",F956-I956))</f>
        <v/>
      </c>
      <c r="R1145" s="1" t="str">
        <f aca="false">IF($A956="","",IF(Q956="","",Q956+IF(O956="",0,O956)))</f>
        <v/>
      </c>
      <c r="T1145" s="1" t="n">
        <f aca="false">IF($A956="","",IF(R956="","",R956-IF(S956="",0,S956)))</f>
        <v>64621</v>
      </c>
      <c r="U1145" s="1" t="str">
        <f aca="false">IF($A956="","",IF(I956="","",I956-SUM(J956:P956)))</f>
        <v/>
      </c>
      <c r="V1145" s="6" t="s">
        <v>5342</v>
      </c>
      <c r="W1145" s="9" t="s">
        <v>774</v>
      </c>
      <c r="X1145" s="9" t="s">
        <v>5343</v>
      </c>
      <c r="Y1145" s="9" t="s">
        <v>4897</v>
      </c>
      <c r="Z1145" s="9" t="s">
        <v>4898</v>
      </c>
      <c r="AA1145" s="9" t="s">
        <v>4903</v>
      </c>
    </row>
    <row r="1146" customFormat="false" ht="15" hidden="false" customHeight="true" outlineLevel="0" collapsed="false">
      <c r="A1146" s="6" t="s">
        <v>4279</v>
      </c>
      <c r="B1146" s="6" t="s">
        <v>559</v>
      </c>
      <c r="C1146" s="6" t="s">
        <v>564</v>
      </c>
      <c r="D1146" s="6" t="n">
        <v>6</v>
      </c>
      <c r="E1146" s="9" t="s">
        <v>5206</v>
      </c>
      <c r="F1146" s="6" t="n">
        <v>45000</v>
      </c>
      <c r="Q1146" s="1" t="str">
        <f aca="false">IF($A957="","",IF(OR(F957="",I957=""),"",F957-I957))</f>
        <v/>
      </c>
      <c r="R1146" s="1" t="str">
        <f aca="false">IF($A957="","",IF(Q957="","",Q957+IF(O957="",0,O957)))</f>
        <v/>
      </c>
      <c r="T1146" s="1" t="str">
        <f aca="false">IF($A957="","",IF(R957="","",R957-IF(S957="",0,S957)))</f>
        <v/>
      </c>
      <c r="U1146" s="1" t="str">
        <f aca="false">IF($A957="","",IF(I957="","",I957-SUM(J957:P957)))</f>
        <v/>
      </c>
      <c r="V1146" s="6" t="s">
        <v>5342</v>
      </c>
      <c r="W1146" s="9" t="s">
        <v>774</v>
      </c>
      <c r="X1146" s="9" t="s">
        <v>5343</v>
      </c>
      <c r="Y1146" s="9" t="s">
        <v>4897</v>
      </c>
      <c r="Z1146" s="9" t="s">
        <v>4898</v>
      </c>
      <c r="AA1146" s="9" t="s">
        <v>4943</v>
      </c>
    </row>
    <row r="1147" customFormat="false" ht="15" hidden="false" customHeight="true" outlineLevel="0" collapsed="false">
      <c r="A1147" s="6" t="s">
        <v>4282</v>
      </c>
      <c r="B1147" s="6" t="s">
        <v>559</v>
      </c>
      <c r="C1147" s="6" t="s">
        <v>564</v>
      </c>
      <c r="D1147" s="6" t="n">
        <v>6</v>
      </c>
      <c r="E1147" s="9" t="s">
        <v>5206</v>
      </c>
      <c r="F1147" s="6" t="n">
        <v>23000</v>
      </c>
      <c r="Q1147" s="1" t="str">
        <f aca="false">IF($A958="","",IF(OR(F958="",I958=""),"",F958-I958))</f>
        <v/>
      </c>
      <c r="R1147" s="1" t="str">
        <f aca="false">IF($A958="","",IF(Q958="","",Q958+IF(O958="",0,O958)))</f>
        <v/>
      </c>
      <c r="T1147" s="1" t="n">
        <f aca="false">IF($A958="","",IF(R958="","",R958-IF(S958="",0,S958)))</f>
        <v>52269</v>
      </c>
      <c r="U1147" s="1" t="str">
        <f aca="false">IF($A958="","",IF(I958="","",I958-SUM(J958:P958)))</f>
        <v/>
      </c>
      <c r="V1147" s="6" t="s">
        <v>5342</v>
      </c>
      <c r="W1147" s="9" t="s">
        <v>774</v>
      </c>
      <c r="X1147" s="9" t="s">
        <v>5343</v>
      </c>
      <c r="Y1147" s="9" t="s">
        <v>4897</v>
      </c>
      <c r="Z1147" s="9" t="s">
        <v>4898</v>
      </c>
      <c r="AA1147" s="9" t="s">
        <v>4943</v>
      </c>
    </row>
    <row r="1148" customFormat="false" ht="15" hidden="false" customHeight="true" outlineLevel="0" collapsed="false">
      <c r="A1148" s="6" t="s">
        <v>4285</v>
      </c>
      <c r="B1148" s="6" t="s">
        <v>559</v>
      </c>
      <c r="C1148" s="6" t="s">
        <v>564</v>
      </c>
      <c r="D1148" s="6" t="n">
        <v>6</v>
      </c>
      <c r="E1148" s="9" t="s">
        <v>5206</v>
      </c>
      <c r="F1148" s="6" t="n">
        <v>62000</v>
      </c>
      <c r="G1148" s="1" t="n">
        <v>5273</v>
      </c>
      <c r="H1148" s="1" t="n">
        <v>0</v>
      </c>
      <c r="I1148" s="1" t="n">
        <v>2098</v>
      </c>
      <c r="J1148" s="1" t="n">
        <v>37</v>
      </c>
      <c r="K1148" s="1" t="n">
        <v>0</v>
      </c>
      <c r="L1148" s="1" t="n">
        <v>0</v>
      </c>
      <c r="M1148" s="1" t="n">
        <v>35</v>
      </c>
      <c r="N1148" s="1" t="n">
        <v>0</v>
      </c>
      <c r="O1148" s="1" t="n">
        <v>2000</v>
      </c>
      <c r="P1148" s="1" t="n">
        <v>25</v>
      </c>
      <c r="Q1148" s="1" t="str">
        <f aca="false">IF($A959="","",IF(OR(F959="",I959=""),"",F959-I959))</f>
        <v/>
      </c>
      <c r="R1148" s="1" t="str">
        <f aca="false">IF($A959="","",IF(Q959="","",Q959+IF(O959="",0,O959)))</f>
        <v/>
      </c>
      <c r="T1148" s="1" t="n">
        <f aca="false">IF($A959="","",IF(R959="","",R959-IF(S959="",0,S959)))</f>
        <v>36152</v>
      </c>
      <c r="U1148" s="1" t="str">
        <f aca="false">IF($A959="","",IF(I959="","",I959-SUM(J959:P959)))</f>
        <v/>
      </c>
      <c r="V1148" s="6" t="s">
        <v>5342</v>
      </c>
      <c r="W1148" s="9" t="s">
        <v>774</v>
      </c>
      <c r="X1148" s="9" t="s">
        <v>5343</v>
      </c>
      <c r="Y1148" s="9" t="s">
        <v>4897</v>
      </c>
      <c r="Z1148" s="9" t="s">
        <v>4898</v>
      </c>
      <c r="AA1148" s="9" t="s">
        <v>4903</v>
      </c>
    </row>
    <row r="1149" customFormat="false" ht="15" hidden="false" customHeight="true" outlineLevel="0" collapsed="false">
      <c r="A1149" s="6" t="s">
        <v>4288</v>
      </c>
      <c r="B1149" s="6" t="s">
        <v>559</v>
      </c>
      <c r="C1149" s="6" t="s">
        <v>564</v>
      </c>
      <c r="D1149" s="6" t="n">
        <v>6</v>
      </c>
      <c r="E1149" s="9" t="s">
        <v>5206</v>
      </c>
      <c r="F1149" s="6" t="n">
        <v>228000</v>
      </c>
      <c r="G1149" s="1" t="n">
        <v>43285</v>
      </c>
      <c r="H1149" s="1" t="n">
        <v>0</v>
      </c>
      <c r="I1149" s="1" t="n">
        <v>10839</v>
      </c>
      <c r="J1149" s="1" t="n">
        <v>720</v>
      </c>
      <c r="K1149" s="1" t="n">
        <v>0</v>
      </c>
      <c r="L1149" s="1" t="n">
        <v>5448</v>
      </c>
      <c r="M1149" s="1" t="n">
        <v>63</v>
      </c>
      <c r="N1149" s="1" t="n">
        <v>0</v>
      </c>
      <c r="O1149" s="1" t="n">
        <v>4102</v>
      </c>
      <c r="P1149" s="1" t="n">
        <v>504</v>
      </c>
      <c r="Q1149" s="1" t="str">
        <f aca="false">IF($A960="","",IF(OR(F960="",I960=""),"",F960-I960))</f>
        <v/>
      </c>
      <c r="R1149" s="1" t="str">
        <f aca="false">IF($A960="","",IF(Q960="","",Q960+IF(O960="",0,O960)))</f>
        <v/>
      </c>
      <c r="T1149" s="1" t="n">
        <f aca="false">IF($A960="","",IF(R960="","",R960-IF(S960="",0,S960)))</f>
        <v>232115</v>
      </c>
      <c r="U1149" s="1" t="str">
        <f aca="false">IF($A960="","",IF(I960="","",I960-SUM(J960:P960)))</f>
        <v/>
      </c>
      <c r="V1149" s="6" t="s">
        <v>5342</v>
      </c>
      <c r="W1149" s="9" t="s">
        <v>774</v>
      </c>
      <c r="X1149" s="9" t="s">
        <v>5343</v>
      </c>
      <c r="Y1149" s="9" t="s">
        <v>4897</v>
      </c>
      <c r="Z1149" s="9" t="s">
        <v>4898</v>
      </c>
      <c r="AA1149" s="9" t="s">
        <v>4903</v>
      </c>
    </row>
    <row r="1150" customFormat="false" ht="15" hidden="false" customHeight="true" outlineLevel="0" collapsed="false">
      <c r="A1150" s="6" t="s">
        <v>4291</v>
      </c>
      <c r="B1150" s="6" t="s">
        <v>559</v>
      </c>
      <c r="C1150" s="6" t="s">
        <v>564</v>
      </c>
      <c r="D1150" s="6" t="n">
        <v>6</v>
      </c>
      <c r="E1150" s="9" t="s">
        <v>5206</v>
      </c>
      <c r="F1150" s="6" t="n">
        <v>79000</v>
      </c>
      <c r="G1150" s="1" t="n">
        <v>42091</v>
      </c>
      <c r="H1150" s="1" t="n">
        <v>0</v>
      </c>
      <c r="I1150" s="1" t="n">
        <v>22836</v>
      </c>
      <c r="J1150" s="1" t="n">
        <v>1444</v>
      </c>
      <c r="K1150" s="1" t="n">
        <v>0</v>
      </c>
      <c r="L1150" s="1" t="n">
        <v>6121</v>
      </c>
      <c r="M1150" s="1" t="n">
        <v>90</v>
      </c>
      <c r="N1150" s="1" t="n">
        <v>8545</v>
      </c>
      <c r="O1150" s="1" t="n">
        <v>6129</v>
      </c>
      <c r="P1150" s="1" t="n">
        <v>504</v>
      </c>
      <c r="Q1150" s="1" t="str">
        <f aca="false">IF($A961="","",IF(OR(F961="",I961=""),"",F961-I961))</f>
        <v/>
      </c>
      <c r="R1150" s="1" t="str">
        <f aca="false">IF($A961="","",IF(Q961="","",Q961+IF(O961="",0,O961)))</f>
        <v/>
      </c>
      <c r="T1150" s="1" t="n">
        <f aca="false">IF($A961="","",IF(R961="","",R961-IF(S961="",0,S961)))</f>
        <v>89107</v>
      </c>
      <c r="U1150" s="1" t="str">
        <f aca="false">IF($A961="","",IF(I961="","",I961-SUM(J961:P961)))</f>
        <v/>
      </c>
      <c r="V1150" s="6" t="s">
        <v>5342</v>
      </c>
      <c r="W1150" s="9" t="s">
        <v>774</v>
      </c>
      <c r="X1150" s="9" t="s">
        <v>5343</v>
      </c>
      <c r="Y1150" s="9" t="s">
        <v>4897</v>
      </c>
      <c r="Z1150" s="9" t="s">
        <v>4898</v>
      </c>
      <c r="AA1150" s="9" t="s">
        <v>4903</v>
      </c>
    </row>
    <row r="1151" customFormat="false" ht="15" hidden="false" customHeight="true" outlineLevel="0" collapsed="false">
      <c r="A1151" s="6" t="s">
        <v>4294</v>
      </c>
      <c r="B1151" s="6" t="s">
        <v>559</v>
      </c>
      <c r="C1151" s="6" t="s">
        <v>564</v>
      </c>
      <c r="D1151" s="6" t="n">
        <v>6</v>
      </c>
      <c r="E1151" s="9" t="s">
        <v>5206</v>
      </c>
      <c r="F1151" s="6" t="n">
        <v>40000</v>
      </c>
      <c r="G1151" s="1" t="n">
        <v>35273</v>
      </c>
      <c r="H1151" s="1" t="n">
        <v>0</v>
      </c>
      <c r="I1151" s="1" t="n">
        <v>11990</v>
      </c>
      <c r="J1151" s="1" t="n">
        <v>963</v>
      </c>
      <c r="K1151" s="1" t="n">
        <v>0</v>
      </c>
      <c r="L1151" s="1" t="n">
        <v>4761</v>
      </c>
      <c r="M1151" s="1" t="n">
        <v>76</v>
      </c>
      <c r="N1151" s="1" t="n">
        <v>755</v>
      </c>
      <c r="O1151" s="1" t="n">
        <v>4929</v>
      </c>
      <c r="P1151" s="1" t="n">
        <v>504</v>
      </c>
      <c r="Q1151" s="1" t="str">
        <f aca="false">IF($A962="","",IF(OR(F962="",I962=""),"",F962-I962))</f>
        <v/>
      </c>
      <c r="R1151" s="1" t="str">
        <f aca="false">IF($A962="","",IF(Q962="","",Q962+IF(O962="",0,O962)))</f>
        <v/>
      </c>
      <c r="T1151" s="1" t="n">
        <f aca="false">IF($A962="","",IF(R962="","",R962-IF(S962="",0,S962)))</f>
        <v>28430</v>
      </c>
      <c r="U1151" s="1" t="str">
        <f aca="false">IF($A962="","",IF(I962="","",I962-SUM(J962:P962)))</f>
        <v/>
      </c>
      <c r="V1151" s="6" t="s">
        <v>5342</v>
      </c>
      <c r="W1151" s="9" t="s">
        <v>774</v>
      </c>
      <c r="X1151" s="9" t="s">
        <v>5343</v>
      </c>
      <c r="Y1151" s="9" t="s">
        <v>4897</v>
      </c>
      <c r="Z1151" s="9" t="s">
        <v>4898</v>
      </c>
      <c r="AA1151" s="9" t="s">
        <v>4943</v>
      </c>
    </row>
    <row r="1152" customFormat="false" ht="15" hidden="false" customHeight="true" outlineLevel="0" collapsed="false">
      <c r="A1152" s="6" t="s">
        <v>4297</v>
      </c>
      <c r="B1152" s="6" t="s">
        <v>559</v>
      </c>
      <c r="C1152" s="6" t="s">
        <v>564</v>
      </c>
      <c r="D1152" s="6" t="n">
        <v>6</v>
      </c>
      <c r="E1152" s="9" t="s">
        <v>5206</v>
      </c>
      <c r="F1152" s="6" t="n">
        <v>27000</v>
      </c>
      <c r="G1152" s="1" t="n">
        <v>649</v>
      </c>
      <c r="H1152" s="1" t="n">
        <v>0</v>
      </c>
      <c r="I1152" s="1" t="n">
        <v>624</v>
      </c>
      <c r="J1152" s="1" t="n">
        <v>32</v>
      </c>
      <c r="K1152" s="1" t="n">
        <v>0</v>
      </c>
      <c r="L1152" s="1" t="n">
        <v>0</v>
      </c>
      <c r="M1152" s="1" t="n">
        <v>8</v>
      </c>
      <c r="N1152" s="1" t="n">
        <v>0</v>
      </c>
      <c r="O1152" s="1" t="n">
        <v>558</v>
      </c>
      <c r="P1152" s="1" t="n">
        <v>25</v>
      </c>
      <c r="Q1152" s="1" t="str">
        <f aca="false">IF($A963="","",IF(OR(F963="",I963=""),"",F963-I963))</f>
        <v/>
      </c>
      <c r="R1152" s="1" t="str">
        <f aca="false">IF($A963="","",IF(Q963="","",Q963+IF(O963="",0,O963)))</f>
        <v/>
      </c>
      <c r="T1152" s="1" t="n">
        <f aca="false">IF($A963="","",IF(R963="","",R963-IF(S963="",0,S963)))</f>
        <v>45074</v>
      </c>
      <c r="U1152" s="1" t="str">
        <f aca="false">IF($A963="","",IF(I963="","",I963-SUM(J963:P963)))</f>
        <v/>
      </c>
      <c r="V1152" s="6" t="s">
        <v>5342</v>
      </c>
      <c r="W1152" s="9" t="s">
        <v>774</v>
      </c>
      <c r="X1152" s="9" t="s">
        <v>5343</v>
      </c>
      <c r="Y1152" s="9" t="s">
        <v>4897</v>
      </c>
      <c r="Z1152" s="9" t="s">
        <v>4898</v>
      </c>
      <c r="AA1152" s="9" t="s">
        <v>4943</v>
      </c>
    </row>
    <row r="1153" customFormat="false" ht="15" hidden="false" customHeight="true" outlineLevel="0" collapsed="false">
      <c r="A1153" s="6" t="s">
        <v>4300</v>
      </c>
      <c r="B1153" s="6" t="s">
        <v>559</v>
      </c>
      <c r="C1153" s="6" t="s">
        <v>564</v>
      </c>
      <c r="D1153" s="6" t="n">
        <v>6</v>
      </c>
      <c r="E1153" s="9" t="s">
        <v>5206</v>
      </c>
      <c r="F1153" s="6" t="n">
        <v>309000</v>
      </c>
      <c r="G1153" s="1" t="n">
        <v>80358</v>
      </c>
      <c r="H1153" s="1" t="n">
        <v>0</v>
      </c>
      <c r="I1153" s="1" t="n">
        <v>26244</v>
      </c>
      <c r="J1153" s="1" t="n">
        <v>780</v>
      </c>
      <c r="K1153" s="1" t="n">
        <v>0</v>
      </c>
      <c r="L1153" s="1" t="n">
        <v>15065</v>
      </c>
      <c r="M1153" s="1" t="n">
        <v>229</v>
      </c>
      <c r="N1153" s="1" t="n">
        <v>400</v>
      </c>
      <c r="O1153" s="1" t="n">
        <v>9264</v>
      </c>
      <c r="P1153" s="1" t="n">
        <v>504</v>
      </c>
      <c r="Q1153" s="1" t="str">
        <f aca="false">IF($A964="","",IF(OR(F964="",I964=""),"",F964-I964))</f>
        <v/>
      </c>
      <c r="R1153" s="1" t="str">
        <f aca="false">IF($A964="","",IF(Q964="","",Q964+IF(O964="",0,O964)))</f>
        <v/>
      </c>
      <c r="T1153" s="1" t="str">
        <f aca="false">IF($A964="","",IF(R964="","",R964-IF(S964="",0,S964)))</f>
        <v/>
      </c>
      <c r="U1153" s="1" t="str">
        <f aca="false">IF($A964="","",IF(I964="","",I964-SUM(J964:P964)))</f>
        <v/>
      </c>
      <c r="V1153" s="6" t="s">
        <v>5342</v>
      </c>
      <c r="W1153" s="9" t="s">
        <v>774</v>
      </c>
      <c r="X1153" s="9" t="s">
        <v>5343</v>
      </c>
      <c r="Y1153" s="9" t="s">
        <v>4897</v>
      </c>
      <c r="Z1153" s="9" t="s">
        <v>4898</v>
      </c>
      <c r="AA1153" s="9" t="s">
        <v>4903</v>
      </c>
    </row>
    <row r="1154" customFormat="false" ht="15" hidden="false" customHeight="true" outlineLevel="0" collapsed="false">
      <c r="A1154" s="6" t="s">
        <v>4303</v>
      </c>
      <c r="B1154" s="6" t="s">
        <v>559</v>
      </c>
      <c r="C1154" s="6" t="s">
        <v>564</v>
      </c>
      <c r="D1154" s="6" t="n">
        <v>6</v>
      </c>
      <c r="E1154" s="9" t="s">
        <v>5206</v>
      </c>
      <c r="F1154" s="6" t="n">
        <v>544000</v>
      </c>
      <c r="G1154" s="1" t="n">
        <v>45166</v>
      </c>
      <c r="H1154" s="1" t="n">
        <v>0</v>
      </c>
      <c r="I1154" s="1" t="n">
        <v>20330</v>
      </c>
      <c r="J1154" s="1" t="n">
        <v>1212</v>
      </c>
      <c r="K1154" s="1" t="n">
        <v>0</v>
      </c>
      <c r="L1154" s="1" t="n">
        <v>8490</v>
      </c>
      <c r="M1154" s="1" t="n">
        <v>131</v>
      </c>
      <c r="N1154" s="1" t="n">
        <v>1400</v>
      </c>
      <c r="O1154" s="1" t="n">
        <v>8593</v>
      </c>
      <c r="P1154" s="1" t="n">
        <v>504</v>
      </c>
      <c r="Q1154" s="1" t="str">
        <f aca="false">IF($A965="","",IF(OR(F965="",I965=""),"",F965-I965))</f>
        <v/>
      </c>
      <c r="R1154" s="1" t="str">
        <f aca="false">IF($A965="","",IF(Q965="","",Q965+IF(O965="",0,O965)))</f>
        <v/>
      </c>
      <c r="T1154" s="1" t="str">
        <f aca="false">IF($A965="","",IF(R965="","",R965-IF(S965="",0,S965)))</f>
        <v/>
      </c>
      <c r="U1154" s="1" t="str">
        <f aca="false">IF($A965="","",IF(I965="","",I965-SUM(J965:P965)))</f>
        <v/>
      </c>
      <c r="V1154" s="6" t="s">
        <v>5342</v>
      </c>
      <c r="W1154" s="9" t="s">
        <v>774</v>
      </c>
      <c r="X1154" s="9" t="s">
        <v>5343</v>
      </c>
      <c r="Y1154" s="9" t="s">
        <v>4897</v>
      </c>
      <c r="Z1154" s="9" t="s">
        <v>4898</v>
      </c>
      <c r="AA1154" s="9" t="s">
        <v>4903</v>
      </c>
    </row>
    <row r="1155" customFormat="false" ht="15" hidden="false" customHeight="true" outlineLevel="0" collapsed="false">
      <c r="A1155" s="6" t="s">
        <v>4306</v>
      </c>
      <c r="B1155" s="6" t="s">
        <v>559</v>
      </c>
      <c r="C1155" s="6" t="s">
        <v>564</v>
      </c>
      <c r="D1155" s="6" t="n">
        <v>6</v>
      </c>
      <c r="E1155" s="9" t="s">
        <v>5206</v>
      </c>
      <c r="F1155" s="6" t="n">
        <v>331000</v>
      </c>
      <c r="G1155" s="1" t="n">
        <v>10841245</v>
      </c>
      <c r="H1155" s="1" t="n">
        <v>575027</v>
      </c>
      <c r="I1155" s="1" t="n">
        <v>3849536</v>
      </c>
      <c r="J1155" s="1" t="n">
        <v>615645</v>
      </c>
      <c r="K1155" s="1" t="n">
        <v>462420</v>
      </c>
      <c r="L1155" s="1" t="n">
        <v>935264</v>
      </c>
      <c r="M1155" s="1" t="n">
        <v>18986</v>
      </c>
      <c r="N1155" s="1" t="n">
        <v>153258</v>
      </c>
      <c r="O1155" s="1" t="n">
        <v>1415769</v>
      </c>
      <c r="P1155" s="1" t="n">
        <v>248191</v>
      </c>
      <c r="Q1155" s="1" t="str">
        <f aca="false">IF($A966="","",IF(OR(F966="",I966=""),"",F966-I966))</f>
        <v/>
      </c>
      <c r="R1155" s="1" t="str">
        <f aca="false">IF($A966="","",IF(Q966="","",Q966+IF(O966="",0,O966)))</f>
        <v/>
      </c>
      <c r="S1155" s="1" t="n">
        <v>735060</v>
      </c>
      <c r="T1155" s="1" t="n">
        <f aca="false">IF($A966="","",IF(R966="","",R966-IF(S966="",0,S966)))</f>
        <v>22930</v>
      </c>
      <c r="U1155" s="1" t="str">
        <f aca="false">IF($A966="","",IF(I966="","",I966-SUM(J966:P966)))</f>
        <v/>
      </c>
      <c r="V1155" s="6" t="s">
        <v>5342</v>
      </c>
      <c r="W1155" s="49" t="s">
        <v>774</v>
      </c>
      <c r="X1155" s="9" t="s">
        <v>5343</v>
      </c>
      <c r="Y1155" s="9" t="s">
        <v>4897</v>
      </c>
      <c r="Z1155" s="9" t="s">
        <v>4898</v>
      </c>
      <c r="AA1155" s="9" t="s">
        <v>4903</v>
      </c>
    </row>
    <row r="1156" customFormat="false" ht="15" hidden="false" customHeight="true" outlineLevel="0" collapsed="false">
      <c r="A1156" s="6" t="s">
        <v>4309</v>
      </c>
      <c r="B1156" s="6" t="s">
        <v>559</v>
      </c>
      <c r="C1156" s="6" t="s">
        <v>564</v>
      </c>
      <c r="D1156" s="6" t="n">
        <v>6</v>
      </c>
      <c r="E1156" s="9" t="s">
        <v>5206</v>
      </c>
      <c r="F1156" s="6" t="n">
        <v>122000</v>
      </c>
      <c r="Q1156" s="1" t="str">
        <f aca="false">IF($A967="","",IF(OR(F967="",I967=""),"",F967-I967))</f>
        <v/>
      </c>
      <c r="R1156" s="1" t="str">
        <f aca="false">IF($A967="","",IF(Q967="","",Q967+IF(O967="",0,O967)))</f>
        <v/>
      </c>
      <c r="T1156" s="1" t="n">
        <f aca="false">IF($A967="","",IF(R967="","",R967-IF(S967="",0,S967)))</f>
        <v>72714</v>
      </c>
      <c r="U1156" s="1" t="str">
        <f aca="false">IF($A967="","",IF(I967="","",I967-SUM(J967:P967)))</f>
        <v/>
      </c>
      <c r="V1156" s="6" t="s">
        <v>5342</v>
      </c>
      <c r="W1156" s="9" t="s">
        <v>774</v>
      </c>
      <c r="X1156" s="9" t="s">
        <v>5343</v>
      </c>
      <c r="Y1156" s="9" t="s">
        <v>4897</v>
      </c>
      <c r="Z1156" s="9" t="s">
        <v>4898</v>
      </c>
      <c r="AA1156" s="9" t="s">
        <v>4903</v>
      </c>
    </row>
    <row r="1157" customFormat="false" ht="15" hidden="false" customHeight="true" outlineLevel="0" collapsed="false">
      <c r="A1157" s="6" t="s">
        <v>4312</v>
      </c>
      <c r="B1157" s="6" t="s">
        <v>559</v>
      </c>
      <c r="C1157" s="6" t="s">
        <v>564</v>
      </c>
      <c r="D1157" s="6" t="n">
        <v>6</v>
      </c>
      <c r="E1157" s="9" t="s">
        <v>5102</v>
      </c>
      <c r="Q1157" s="1" t="str">
        <f aca="false">IF($A968="","",IF(OR(F968="",I968=""),"",F968-I968))</f>
        <v/>
      </c>
      <c r="R1157" s="1" t="str">
        <f aca="false">IF($A968="","",IF(Q968="","",Q968+IF(O968="",0,O968)))</f>
        <v/>
      </c>
      <c r="T1157" s="1" t="n">
        <f aca="false">IF($A968="","",IF(R968="","",R968-IF(S968="",0,S968)))</f>
        <v>27597</v>
      </c>
      <c r="U1157" s="1" t="str">
        <f aca="false">IF($A968="","",IF(I968="","",I968-SUM(J968:P968)))</f>
        <v/>
      </c>
      <c r="V1157" s="6" t="s">
        <v>5345</v>
      </c>
      <c r="W1157" s="9" t="s">
        <v>774</v>
      </c>
      <c r="X1157" s="6" t="s">
        <v>5346</v>
      </c>
      <c r="Y1157" s="9" t="s">
        <v>4897</v>
      </c>
      <c r="Z1157" s="9" t="s">
        <v>4898</v>
      </c>
      <c r="AA1157" s="9" t="s">
        <v>4899</v>
      </c>
    </row>
    <row r="1158" customFormat="false" ht="15" hidden="false" customHeight="true" outlineLevel="0" collapsed="false">
      <c r="A1158" s="6" t="s">
        <v>4315</v>
      </c>
      <c r="B1158" s="6" t="s">
        <v>559</v>
      </c>
      <c r="C1158" s="6" t="s">
        <v>564</v>
      </c>
      <c r="D1158" s="6" t="n">
        <v>6</v>
      </c>
      <c r="E1158" s="9" t="s">
        <v>5206</v>
      </c>
      <c r="F1158" s="6" t="n">
        <v>134000</v>
      </c>
      <c r="Q1158" s="1" t="str">
        <f aca="false">IF($A969="","",IF(OR(F969="",I969=""),"",F969-I969))</f>
        <v/>
      </c>
      <c r="R1158" s="1" t="str">
        <f aca="false">IF($A969="","",IF(Q969="","",Q969+IF(O969="",0,O969)))</f>
        <v/>
      </c>
      <c r="T1158" s="1" t="n">
        <f aca="false">IF($A969="","",IF(R969="","",R969-IF(S969="",0,S969)))</f>
        <v>72957</v>
      </c>
      <c r="U1158" s="1" t="str">
        <f aca="false">IF($A969="","",IF(I969="","",I969-SUM(J969:P969)))</f>
        <v/>
      </c>
      <c r="V1158" s="6" t="s">
        <v>5342</v>
      </c>
      <c r="W1158" s="9" t="s">
        <v>774</v>
      </c>
      <c r="X1158" s="9" t="s">
        <v>5343</v>
      </c>
      <c r="Y1158" s="9" t="s">
        <v>4897</v>
      </c>
      <c r="Z1158" s="9" t="s">
        <v>4898</v>
      </c>
      <c r="AA1158" s="9" t="s">
        <v>4903</v>
      </c>
    </row>
    <row r="1159" customFormat="false" ht="15" hidden="false" customHeight="true" outlineLevel="0" collapsed="false">
      <c r="A1159" s="6" t="s">
        <v>4318</v>
      </c>
      <c r="B1159" s="6" t="s">
        <v>559</v>
      </c>
      <c r="C1159" s="6" t="s">
        <v>564</v>
      </c>
      <c r="D1159" s="6" t="n">
        <v>6</v>
      </c>
      <c r="E1159" s="9" t="s">
        <v>5102</v>
      </c>
      <c r="Q1159" s="1" t="str">
        <f aca="false">IF($A970="","",IF(OR(F970="",I970=""),"",F970-I970))</f>
        <v/>
      </c>
      <c r="R1159" s="1" t="str">
        <f aca="false">IF($A970="","",IF(Q970="","",Q970+IF(O970="",0,O970)))</f>
        <v/>
      </c>
      <c r="T1159" s="1" t="n">
        <f aca="false">IF($A970="","",IF(R970="","",R970-IF(S970="",0,S970)))</f>
        <v>88918</v>
      </c>
      <c r="U1159" s="1" t="str">
        <f aca="false">IF($A970="","",IF(I970="","",I970-SUM(J970:P970)))</f>
        <v/>
      </c>
      <c r="V1159" s="6" t="s">
        <v>5345</v>
      </c>
      <c r="W1159" s="9" t="s">
        <v>774</v>
      </c>
      <c r="X1159" s="6" t="s">
        <v>5346</v>
      </c>
      <c r="Y1159" s="9" t="s">
        <v>4897</v>
      </c>
      <c r="Z1159" s="9" t="s">
        <v>4898</v>
      </c>
      <c r="AA1159" s="9" t="s">
        <v>4899</v>
      </c>
    </row>
    <row r="1160" customFormat="false" ht="15" hidden="false" customHeight="true" outlineLevel="0" collapsed="false">
      <c r="A1160" s="6" t="s">
        <v>4321</v>
      </c>
      <c r="B1160" s="6" t="s">
        <v>559</v>
      </c>
      <c r="C1160" s="6" t="s">
        <v>564</v>
      </c>
      <c r="D1160" s="6" t="n">
        <v>6</v>
      </c>
      <c r="E1160" s="9" t="s">
        <v>5102</v>
      </c>
      <c r="Q1160" s="1" t="str">
        <f aca="false">IF($A971="","",IF(OR(F971="",I971=""),"",F971-I971))</f>
        <v/>
      </c>
      <c r="R1160" s="1" t="str">
        <f aca="false">IF($A971="","",IF(Q971="","",Q971+IF(O971="",0,O971)))</f>
        <v/>
      </c>
      <c r="T1160" s="1" t="n">
        <f aca="false">IF($A971="","",IF(R971="","",R971-IF(S971="",0,S971)))</f>
        <v>59985</v>
      </c>
      <c r="U1160" s="1" t="str">
        <f aca="false">IF($A971="","",IF(I971="","",I971-SUM(J971:P971)))</f>
        <v/>
      </c>
      <c r="V1160" s="6" t="s">
        <v>5345</v>
      </c>
      <c r="W1160" s="9" t="s">
        <v>774</v>
      </c>
      <c r="X1160" s="6" t="s">
        <v>5346</v>
      </c>
      <c r="Y1160" s="9" t="s">
        <v>4897</v>
      </c>
      <c r="Z1160" s="9" t="s">
        <v>4898</v>
      </c>
      <c r="AA1160" s="9" t="s">
        <v>4899</v>
      </c>
    </row>
    <row r="1161" customFormat="false" ht="15" hidden="false" customHeight="true" outlineLevel="0" collapsed="false">
      <c r="A1161" s="6" t="s">
        <v>4324</v>
      </c>
      <c r="B1161" s="6" t="s">
        <v>559</v>
      </c>
      <c r="C1161" s="6" t="s">
        <v>564</v>
      </c>
      <c r="D1161" s="6" t="n">
        <v>6</v>
      </c>
      <c r="E1161" s="9" t="s">
        <v>5206</v>
      </c>
      <c r="F1161" s="6" t="n">
        <v>75000</v>
      </c>
      <c r="Q1161" s="1" t="str">
        <f aca="false">IF($A972="","",IF(OR(F972="",I972=""),"",F972-I972))</f>
        <v/>
      </c>
      <c r="R1161" s="1" t="str">
        <f aca="false">IF($A972="","",IF(Q972="","",Q972+IF(O972="",0,O972)))</f>
        <v/>
      </c>
      <c r="T1161" s="1" t="n">
        <f aca="false">IF($A972="","",IF(R972="","",R972-IF(S972="",0,S972)))</f>
        <v>79674</v>
      </c>
      <c r="U1161" s="1" t="str">
        <f aca="false">IF($A972="","",IF(I972="","",I972-SUM(J972:P972)))</f>
        <v/>
      </c>
      <c r="V1161" s="6" t="s">
        <v>5342</v>
      </c>
      <c r="W1161" s="9" t="s">
        <v>774</v>
      </c>
      <c r="X1161" s="9" t="s">
        <v>5343</v>
      </c>
      <c r="Y1161" s="9" t="s">
        <v>4897</v>
      </c>
      <c r="Z1161" s="9" t="s">
        <v>4898</v>
      </c>
      <c r="AA1161" s="9" t="s">
        <v>4903</v>
      </c>
    </row>
    <row r="1162" customFormat="false" ht="15" hidden="false" customHeight="true" outlineLevel="0" collapsed="false">
      <c r="A1162" s="6" t="s">
        <v>4327</v>
      </c>
      <c r="B1162" s="6" t="s">
        <v>559</v>
      </c>
      <c r="C1162" s="6" t="s">
        <v>564</v>
      </c>
      <c r="D1162" s="6" t="n">
        <v>6</v>
      </c>
      <c r="E1162" s="9" t="s">
        <v>5206</v>
      </c>
      <c r="F1162" s="6" t="n">
        <v>43000</v>
      </c>
      <c r="Q1162" s="1" t="str">
        <f aca="false">IF($A973="","",IF(OR(F973="",I973=""),"",F973-I973))</f>
        <v/>
      </c>
      <c r="R1162" s="1" t="str">
        <f aca="false">IF($A973="","",IF(Q973="","",Q973+IF(O973="",0,O973)))</f>
        <v/>
      </c>
      <c r="T1162" s="1" t="n">
        <f aca="false">IF($A973="","",IF(R973="","",R973-IF(S973="",0,S973)))</f>
        <v>183535</v>
      </c>
      <c r="U1162" s="1" t="str">
        <f aca="false">IF($A973="","",IF(I973="","",I973-SUM(J973:P973)))</f>
        <v/>
      </c>
      <c r="V1162" s="6" t="s">
        <v>5342</v>
      </c>
      <c r="W1162" s="9" t="s">
        <v>774</v>
      </c>
      <c r="X1162" s="9" t="s">
        <v>5343</v>
      </c>
      <c r="Y1162" s="9" t="s">
        <v>4897</v>
      </c>
      <c r="Z1162" s="9" t="s">
        <v>4898</v>
      </c>
      <c r="AA1162" s="9" t="s">
        <v>4943</v>
      </c>
    </row>
    <row r="1163" customFormat="false" ht="15" hidden="false" customHeight="true" outlineLevel="0" collapsed="false">
      <c r="A1163" s="6" t="s">
        <v>4330</v>
      </c>
      <c r="B1163" s="6" t="s">
        <v>559</v>
      </c>
      <c r="C1163" s="6" t="s">
        <v>564</v>
      </c>
      <c r="D1163" s="6" t="n">
        <v>6</v>
      </c>
      <c r="E1163" s="9" t="s">
        <v>5102</v>
      </c>
      <c r="Q1163" s="1" t="str">
        <f aca="false">IF($A974="","",IF(OR(F974="",I974=""),"",F974-I974))</f>
        <v/>
      </c>
      <c r="R1163" s="1" t="str">
        <f aca="false">IF($A974="","",IF(Q974="","",Q974+IF(O974="",0,O974)))</f>
        <v/>
      </c>
      <c r="T1163" s="1" t="str">
        <f aca="false">IF($A974="","",IF(R974="","",R974-IF(S974="",0,S974)))</f>
        <v/>
      </c>
      <c r="U1163" s="1" t="str">
        <f aca="false">IF($A974="","",IF(I974="","",I974-SUM(J974:P974)))</f>
        <v/>
      </c>
      <c r="V1163" s="6" t="s">
        <v>5345</v>
      </c>
      <c r="W1163" s="9" t="s">
        <v>774</v>
      </c>
      <c r="X1163" s="6" t="s">
        <v>5346</v>
      </c>
      <c r="Y1163" s="9" t="s">
        <v>4897</v>
      </c>
      <c r="Z1163" s="9" t="s">
        <v>4898</v>
      </c>
      <c r="AA1163" s="9" t="s">
        <v>4899</v>
      </c>
    </row>
    <row r="1164" customFormat="false" ht="15" hidden="false" customHeight="true" outlineLevel="0" collapsed="false">
      <c r="A1164" s="6" t="s">
        <v>4333</v>
      </c>
      <c r="B1164" s="6" t="s">
        <v>559</v>
      </c>
      <c r="C1164" s="6" t="s">
        <v>564</v>
      </c>
      <c r="D1164" s="6" t="n">
        <v>6</v>
      </c>
      <c r="E1164" s="9" t="s">
        <v>5102</v>
      </c>
      <c r="Q1164" s="1" t="str">
        <f aca="false">IF($A975="","",IF(OR(F975="",I975=""),"",F975-I975))</f>
        <v/>
      </c>
      <c r="R1164" s="1" t="str">
        <f aca="false">IF($A975="","",IF(Q975="","",Q975+IF(O975="",0,O975)))</f>
        <v/>
      </c>
      <c r="T1164" s="1" t="n">
        <f aca="false">IF($A975="","",IF(R975="","",R975-IF(S975="",0,S975)))</f>
        <v>114286</v>
      </c>
      <c r="U1164" s="1" t="str">
        <f aca="false">IF($A975="","",IF(I975="","",I975-SUM(J975:P975)))</f>
        <v/>
      </c>
      <c r="V1164" s="6" t="s">
        <v>5345</v>
      </c>
      <c r="W1164" s="9" t="s">
        <v>774</v>
      </c>
      <c r="X1164" s="6" t="s">
        <v>5346</v>
      </c>
      <c r="Y1164" s="9" t="s">
        <v>4897</v>
      </c>
      <c r="Z1164" s="9" t="s">
        <v>4898</v>
      </c>
      <c r="AA1164" s="9" t="s">
        <v>4899</v>
      </c>
    </row>
    <row r="1165" customFormat="false" ht="15" hidden="false" customHeight="true" outlineLevel="0" collapsed="false">
      <c r="A1165" s="6" t="s">
        <v>4336</v>
      </c>
      <c r="B1165" s="6" t="s">
        <v>559</v>
      </c>
      <c r="C1165" s="6" t="s">
        <v>564</v>
      </c>
      <c r="D1165" s="6" t="n">
        <v>6</v>
      </c>
      <c r="E1165" s="9" t="s">
        <v>5102</v>
      </c>
      <c r="Q1165" s="1" t="str">
        <f aca="false">IF($A976="","",IF(OR(F976="",I976=""),"",F976-I976))</f>
        <v/>
      </c>
      <c r="R1165" s="1" t="str">
        <f aca="false">IF($A976="","",IF(Q976="","",Q976+IF(O976="",0,O976)))</f>
        <v/>
      </c>
      <c r="T1165" s="1" t="n">
        <f aca="false">IF($A976="","",IF(R976="","",R976-IF(S976="",0,S976)))</f>
        <v>149093</v>
      </c>
      <c r="U1165" s="1" t="str">
        <f aca="false">IF($A976="","",IF(I976="","",I976-SUM(J976:P976)))</f>
        <v/>
      </c>
      <c r="V1165" s="6" t="s">
        <v>5345</v>
      </c>
      <c r="W1165" s="9" t="s">
        <v>774</v>
      </c>
      <c r="X1165" s="6" t="s">
        <v>5346</v>
      </c>
      <c r="Y1165" s="9" t="s">
        <v>4897</v>
      </c>
      <c r="Z1165" s="9" t="s">
        <v>4898</v>
      </c>
      <c r="AA1165" s="9" t="s">
        <v>4899</v>
      </c>
    </row>
    <row r="1166" customFormat="false" ht="15" hidden="false" customHeight="true" outlineLevel="0" collapsed="false">
      <c r="A1166" s="6" t="s">
        <v>4339</v>
      </c>
      <c r="B1166" s="6" t="s">
        <v>559</v>
      </c>
      <c r="C1166" s="6" t="s">
        <v>564</v>
      </c>
      <c r="D1166" s="6" t="n">
        <v>6</v>
      </c>
      <c r="E1166" s="9" t="s">
        <v>5102</v>
      </c>
      <c r="Q1166" s="1" t="str">
        <f aca="false">IF($A977="","",IF(OR(F977="",I977=""),"",F977-I977))</f>
        <v/>
      </c>
      <c r="R1166" s="1" t="str">
        <f aca="false">IF($A977="","",IF(Q977="","",Q977+IF(O977="",0,O977)))</f>
        <v/>
      </c>
      <c r="T1166" s="1" t="n">
        <f aca="false">IF($A977="","",IF(R977="","",R977-IF(S977="",0,S977)))</f>
        <v>115754</v>
      </c>
      <c r="U1166" s="1" t="str">
        <f aca="false">IF($A977="","",IF(I977="","",I977-SUM(J977:P977)))</f>
        <v/>
      </c>
      <c r="V1166" s="6" t="s">
        <v>5345</v>
      </c>
      <c r="W1166" s="9" t="s">
        <v>774</v>
      </c>
      <c r="X1166" s="6" t="s">
        <v>5346</v>
      </c>
      <c r="Y1166" s="9" t="s">
        <v>4897</v>
      </c>
      <c r="Z1166" s="9" t="s">
        <v>4898</v>
      </c>
      <c r="AA1166" s="9" t="s">
        <v>4899</v>
      </c>
    </row>
    <row r="1167" customFormat="false" ht="15" hidden="false" customHeight="true" outlineLevel="0" collapsed="false">
      <c r="A1167" s="6" t="s">
        <v>4342</v>
      </c>
      <c r="B1167" s="6" t="s">
        <v>559</v>
      </c>
      <c r="C1167" s="6" t="s">
        <v>564</v>
      </c>
      <c r="D1167" s="6" t="n">
        <v>6</v>
      </c>
      <c r="E1167" s="9" t="s">
        <v>5102</v>
      </c>
      <c r="Q1167" s="1" t="str">
        <f aca="false">IF($A978="","",IF(OR(F978="",I978=""),"",F978-I978))</f>
        <v/>
      </c>
      <c r="R1167" s="1" t="str">
        <f aca="false">IF($A978="","",IF(Q978="","",Q978+IF(O978="",0,O978)))</f>
        <v/>
      </c>
      <c r="T1167" s="1" t="n">
        <f aca="false">IF($A978="","",IF(R978="","",R978-IF(S978="",0,S978)))</f>
        <v>81112</v>
      </c>
      <c r="U1167" s="1" t="str">
        <f aca="false">IF($A978="","",IF(I978="","",I978-SUM(J978:P978)))</f>
        <v/>
      </c>
      <c r="V1167" s="6" t="s">
        <v>5345</v>
      </c>
      <c r="W1167" s="9" t="s">
        <v>774</v>
      </c>
      <c r="X1167" s="6" t="s">
        <v>5346</v>
      </c>
      <c r="Y1167" s="9" t="s">
        <v>4897</v>
      </c>
      <c r="Z1167" s="9" t="s">
        <v>4898</v>
      </c>
      <c r="AA1167" s="9" t="s">
        <v>4899</v>
      </c>
    </row>
    <row r="1168" customFormat="false" ht="15" hidden="false" customHeight="true" outlineLevel="0" collapsed="false">
      <c r="A1168" s="6" t="s">
        <v>4345</v>
      </c>
      <c r="B1168" s="6" t="s">
        <v>559</v>
      </c>
      <c r="C1168" s="6" t="s">
        <v>564</v>
      </c>
      <c r="D1168" s="6" t="n">
        <v>6</v>
      </c>
      <c r="E1168" s="9" t="s">
        <v>5206</v>
      </c>
      <c r="F1168" s="6" t="n">
        <v>144000</v>
      </c>
      <c r="Q1168" s="1" t="str">
        <f aca="false">IF($A979="","",IF(OR(F979="",I979=""),"",F979-I979))</f>
        <v/>
      </c>
      <c r="R1168" s="1" t="str">
        <f aca="false">IF($A979="","",IF(Q979="","",Q979+IF(O979="",0,O979)))</f>
        <v/>
      </c>
      <c r="T1168" s="1" t="n">
        <f aca="false">IF($A979="","",IF(R979="","",R979-IF(S979="",0,S979)))</f>
        <v>197145</v>
      </c>
      <c r="U1168" s="1" t="str">
        <f aca="false">IF($A979="","",IF(I979="","",I979-SUM(J979:P979)))</f>
        <v/>
      </c>
      <c r="V1168" s="6" t="s">
        <v>5342</v>
      </c>
      <c r="W1168" s="9" t="s">
        <v>774</v>
      </c>
      <c r="X1168" s="9" t="s">
        <v>5343</v>
      </c>
      <c r="Y1168" s="9" t="s">
        <v>4897</v>
      </c>
      <c r="Z1168" s="9" t="s">
        <v>4898</v>
      </c>
      <c r="AA1168" s="9" t="s">
        <v>4903</v>
      </c>
    </row>
    <row r="1169" customFormat="false" ht="15" hidden="false" customHeight="true" outlineLevel="0" collapsed="false">
      <c r="A1169" s="6" t="s">
        <v>4348</v>
      </c>
      <c r="B1169" s="6" t="s">
        <v>559</v>
      </c>
      <c r="C1169" s="6" t="s">
        <v>564</v>
      </c>
      <c r="D1169" s="6" t="n">
        <v>6</v>
      </c>
      <c r="E1169" s="9" t="s">
        <v>5102</v>
      </c>
      <c r="Q1169" s="1" t="str">
        <f aca="false">IF($A980="","",IF(OR(F980="",I980=""),"",F980-I980))</f>
        <v/>
      </c>
      <c r="R1169" s="1" t="str">
        <f aca="false">IF($A980="","",IF(Q980="","",Q980+IF(O980="",0,O980)))</f>
        <v/>
      </c>
      <c r="T1169" s="1" t="str">
        <f aca="false">IF($A980="","",IF(R980="","",R980-IF(S980="",0,S980)))</f>
        <v/>
      </c>
      <c r="U1169" s="1" t="str">
        <f aca="false">IF($A980="","",IF(I980="","",I980-SUM(J980:P980)))</f>
        <v/>
      </c>
      <c r="V1169" s="6" t="s">
        <v>5345</v>
      </c>
      <c r="W1169" s="9" t="s">
        <v>774</v>
      </c>
      <c r="X1169" s="6" t="s">
        <v>5346</v>
      </c>
      <c r="Y1169" s="9" t="s">
        <v>4897</v>
      </c>
      <c r="Z1169" s="9" t="s">
        <v>4898</v>
      </c>
      <c r="AA1169" s="9" t="s">
        <v>4899</v>
      </c>
    </row>
    <row r="1170" customFormat="false" ht="15" hidden="false" customHeight="true" outlineLevel="0" collapsed="false">
      <c r="A1170" s="6" t="s">
        <v>4351</v>
      </c>
      <c r="B1170" s="6" t="s">
        <v>559</v>
      </c>
      <c r="C1170" s="6" t="s">
        <v>564</v>
      </c>
      <c r="D1170" s="6" t="n">
        <v>6</v>
      </c>
      <c r="E1170" s="9" t="s">
        <v>5206</v>
      </c>
      <c r="F1170" s="6" t="n">
        <v>117000</v>
      </c>
      <c r="Q1170" s="1" t="str">
        <f aca="false">IF($A981="","",IF(OR(F981="",I981=""),"",F981-I981))</f>
        <v/>
      </c>
      <c r="R1170" s="1" t="str">
        <f aca="false">IF($A981="","",IF(Q981="","",Q981+IF(O981="",0,O981)))</f>
        <v/>
      </c>
      <c r="T1170" s="1" t="str">
        <f aca="false">IF($A981="","",IF(R981="","",R981-IF(S981="",0,S981)))</f>
        <v/>
      </c>
      <c r="U1170" s="1" t="str">
        <f aca="false">IF($A981="","",IF(I981="","",I981-SUM(J981:P981)))</f>
        <v/>
      </c>
      <c r="V1170" s="6" t="s">
        <v>5342</v>
      </c>
      <c r="W1170" s="9" t="s">
        <v>774</v>
      </c>
      <c r="X1170" s="9" t="s">
        <v>5343</v>
      </c>
      <c r="Y1170" s="9" t="s">
        <v>4897</v>
      </c>
      <c r="Z1170" s="9" t="s">
        <v>4898</v>
      </c>
      <c r="AA1170" s="9" t="s">
        <v>4903</v>
      </c>
    </row>
    <row r="1171" customFormat="false" ht="15" hidden="false" customHeight="true" outlineLevel="0" collapsed="false">
      <c r="A1171" s="6" t="s">
        <v>4354</v>
      </c>
      <c r="B1171" s="6" t="s">
        <v>559</v>
      </c>
      <c r="C1171" s="6" t="s">
        <v>564</v>
      </c>
      <c r="D1171" s="6" t="n">
        <v>6</v>
      </c>
      <c r="E1171" s="9" t="s">
        <v>5102</v>
      </c>
      <c r="Q1171" s="1" t="str">
        <f aca="false">IF($A982="","",IF(OR(F982="",I982=""),"",F982-I982))</f>
        <v/>
      </c>
      <c r="R1171" s="1" t="str">
        <f aca="false">IF($A982="","",IF(Q982="","",Q982+IF(O982="",0,O982)))</f>
        <v/>
      </c>
      <c r="T1171" s="1" t="n">
        <f aca="false">IF($A982="","",IF(R982="","",R982-IF(S982="",0,S982)))</f>
        <v>400831</v>
      </c>
      <c r="U1171" s="1" t="str">
        <f aca="false">IF($A982="","",IF(I982="","",I982-SUM(J982:P982)))</f>
        <v/>
      </c>
      <c r="V1171" s="6" t="s">
        <v>5345</v>
      </c>
      <c r="W1171" s="9" t="s">
        <v>774</v>
      </c>
      <c r="X1171" s="6" t="s">
        <v>5346</v>
      </c>
      <c r="Y1171" s="9" t="s">
        <v>4897</v>
      </c>
      <c r="Z1171" s="9" t="s">
        <v>4898</v>
      </c>
      <c r="AA1171" s="9" t="s">
        <v>4899</v>
      </c>
    </row>
    <row r="1172" customFormat="false" ht="15" hidden="false" customHeight="true" outlineLevel="0" collapsed="false">
      <c r="A1172" s="6" t="s">
        <v>4357</v>
      </c>
      <c r="B1172" s="6" t="s">
        <v>559</v>
      </c>
      <c r="C1172" s="6" t="s">
        <v>564</v>
      </c>
      <c r="D1172" s="6" t="n">
        <v>6</v>
      </c>
      <c r="E1172" s="9" t="s">
        <v>5206</v>
      </c>
      <c r="F1172" s="6" t="n">
        <v>108000</v>
      </c>
      <c r="G1172" s="1" t="n">
        <v>2181224</v>
      </c>
      <c r="H1172" s="1" t="n">
        <v>700853</v>
      </c>
      <c r="I1172" s="1" t="n">
        <v>947798</v>
      </c>
      <c r="J1172" s="1" t="n">
        <v>140863</v>
      </c>
      <c r="K1172" s="1" t="n">
        <v>104845</v>
      </c>
      <c r="L1172" s="1" t="n">
        <v>283718</v>
      </c>
      <c r="M1172" s="1" t="n">
        <v>7100</v>
      </c>
      <c r="N1172" s="1" t="n">
        <v>78469</v>
      </c>
      <c r="O1172" s="1" t="n">
        <v>319927</v>
      </c>
      <c r="P1172" s="1" t="n">
        <v>12874</v>
      </c>
      <c r="Q1172" s="1" t="str">
        <f aca="false">IF($A983="","",IF(OR(F983="",I983=""),"",F983-I983))</f>
        <v/>
      </c>
      <c r="R1172" s="1" t="str">
        <f aca="false">IF($A983="","",IF(Q983="","",Q983+IF(O983="",0,O983)))</f>
        <v/>
      </c>
      <c r="S1172" s="1" t="n">
        <v>147562</v>
      </c>
      <c r="T1172" s="1" t="n">
        <f aca="false">IF($A983="","",IF(R983="","",R983-IF(S983="",0,S983)))</f>
        <v>223318</v>
      </c>
      <c r="U1172" s="1" t="str">
        <f aca="false">IF($A983="","",IF(I983="","",I983-SUM(J983:P983)))</f>
        <v/>
      </c>
      <c r="V1172" s="6" t="s">
        <v>5342</v>
      </c>
      <c r="W1172" s="49" t="s">
        <v>774</v>
      </c>
      <c r="X1172" s="9" t="s">
        <v>5343</v>
      </c>
      <c r="Y1172" s="9" t="s">
        <v>4897</v>
      </c>
      <c r="Z1172" s="9" t="s">
        <v>4898</v>
      </c>
      <c r="AA1172" s="9" t="s">
        <v>4903</v>
      </c>
    </row>
    <row r="1173" customFormat="false" ht="15" hidden="false" customHeight="true" outlineLevel="0" collapsed="false">
      <c r="A1173" s="6" t="s">
        <v>4360</v>
      </c>
      <c r="B1173" s="6" t="s">
        <v>559</v>
      </c>
      <c r="C1173" s="6" t="s">
        <v>564</v>
      </c>
      <c r="D1173" s="6" t="n">
        <v>6</v>
      </c>
      <c r="E1173" s="9" t="s">
        <v>5102</v>
      </c>
      <c r="F1173" s="1" t="n">
        <v>1786000</v>
      </c>
      <c r="I1173" s="1" t="n">
        <v>659000</v>
      </c>
      <c r="J1173" s="1" t="n">
        <v>134000</v>
      </c>
      <c r="K1173" s="1" t="n">
        <v>88000</v>
      </c>
      <c r="L1173" s="1" t="n">
        <v>103000</v>
      </c>
      <c r="M1173" s="1" t="n">
        <v>1000</v>
      </c>
      <c r="N1173" s="1" t="n">
        <v>82000</v>
      </c>
      <c r="O1173" s="1" t="n">
        <v>249000</v>
      </c>
      <c r="P1173" s="1" t="n">
        <v>0</v>
      </c>
      <c r="Q1173" s="1" t="str">
        <f aca="false">IF($A984="","",IF(OR(F984="",I984=""),"",F984-I984))</f>
        <v/>
      </c>
      <c r="R1173" s="1" t="str">
        <f aca="false">IF($A984="","",IF(Q984="","",Q984+IF(O984="",0,O984)))</f>
        <v/>
      </c>
      <c r="S1173" s="1" t="n">
        <v>278000</v>
      </c>
      <c r="T1173" s="1" t="n">
        <f aca="false">IF($A984="","",IF(R984="","",R984-IF(S984="",0,S984)))</f>
        <v>135334</v>
      </c>
      <c r="U1173" s="1" t="str">
        <f aca="false">IF($A984="","",IF(I984="","",I984-SUM(J984:P984)))</f>
        <v/>
      </c>
      <c r="V1173" s="6" t="s">
        <v>5345</v>
      </c>
      <c r="W1173" s="9" t="s">
        <v>774</v>
      </c>
      <c r="X1173" s="6" t="s">
        <v>5346</v>
      </c>
      <c r="Y1173" s="9" t="s">
        <v>4897</v>
      </c>
      <c r="Z1173" s="9" t="s">
        <v>4898</v>
      </c>
      <c r="AA1173" s="9" t="s">
        <v>4899</v>
      </c>
    </row>
    <row r="1174" customFormat="false" ht="15" hidden="false" customHeight="true" outlineLevel="0" collapsed="false">
      <c r="A1174" s="6" t="s">
        <v>4363</v>
      </c>
      <c r="B1174" s="6" t="s">
        <v>559</v>
      </c>
      <c r="C1174" s="6" t="s">
        <v>564</v>
      </c>
      <c r="D1174" s="6" t="n">
        <v>6</v>
      </c>
      <c r="E1174" s="9" t="s">
        <v>5102</v>
      </c>
      <c r="F1174" s="1" t="n">
        <v>247000</v>
      </c>
      <c r="I1174" s="1" t="n">
        <v>93000</v>
      </c>
      <c r="J1174" s="1" t="n">
        <v>16000</v>
      </c>
      <c r="K1174" s="1" t="n">
        <v>16000</v>
      </c>
      <c r="L1174" s="1" t="n">
        <v>24000</v>
      </c>
      <c r="M1174" s="1" t="n">
        <v>0</v>
      </c>
      <c r="N1174" s="1" t="n">
        <v>3000</v>
      </c>
      <c r="O1174" s="1" t="n">
        <v>32000</v>
      </c>
      <c r="P1174" s="1" t="n">
        <v>0</v>
      </c>
      <c r="Q1174" s="1" t="str">
        <f aca="false">IF($A985="","",IF(OR(F985="",I985=""),"",F985-I985))</f>
        <v/>
      </c>
      <c r="R1174" s="1" t="str">
        <f aca="false">IF($A985="","",IF(Q985="","",Q985+IF(O985="",0,O985)))</f>
        <v/>
      </c>
      <c r="S1174" s="1" t="n">
        <v>2000</v>
      </c>
      <c r="T1174" s="1" t="n">
        <f aca="false">IF($A985="","",IF(R985="","",R985-IF(S985="",0,S985)))</f>
        <v>63892</v>
      </c>
      <c r="U1174" s="1" t="str">
        <f aca="false">IF($A985="","",IF(I985="","",I985-SUM(J985:P985)))</f>
        <v/>
      </c>
      <c r="V1174" s="6" t="s">
        <v>5345</v>
      </c>
      <c r="W1174" s="9" t="s">
        <v>774</v>
      </c>
      <c r="X1174" s="6" t="s">
        <v>5346</v>
      </c>
      <c r="Y1174" s="9" t="s">
        <v>4897</v>
      </c>
      <c r="Z1174" s="9" t="s">
        <v>4898</v>
      </c>
      <c r="AA1174" s="9" t="s">
        <v>4899</v>
      </c>
    </row>
    <row r="1175" customFormat="false" ht="15" hidden="false" customHeight="true" outlineLevel="0" collapsed="false">
      <c r="A1175" s="6" t="s">
        <v>4366</v>
      </c>
      <c r="B1175" s="6" t="s">
        <v>559</v>
      </c>
      <c r="C1175" s="6" t="s">
        <v>564</v>
      </c>
      <c r="D1175" s="6" t="n">
        <v>6</v>
      </c>
      <c r="E1175" s="9" t="s">
        <v>5102</v>
      </c>
      <c r="F1175" s="1" t="n">
        <v>158000</v>
      </c>
      <c r="I1175" s="1" t="n">
        <v>46000</v>
      </c>
      <c r="J1175" s="1" t="n">
        <v>1000</v>
      </c>
      <c r="K1175" s="1" t="n">
        <v>0</v>
      </c>
      <c r="L1175" s="1" t="n">
        <v>21000</v>
      </c>
      <c r="M1175" s="1" t="n">
        <v>0</v>
      </c>
      <c r="N1175" s="1" t="n">
        <v>3000</v>
      </c>
      <c r="O1175" s="1" t="n">
        <v>20000</v>
      </c>
      <c r="P1175" s="1" t="n">
        <v>0</v>
      </c>
      <c r="Q1175" s="1" t="str">
        <f aca="false">IF($A986="","",IF(OR(F986="",I986=""),"",F986-I986))</f>
        <v/>
      </c>
      <c r="R1175" s="1" t="str">
        <f aca="false">IF($A986="","",IF(Q986="","",Q986+IF(O986="",0,O986)))</f>
        <v/>
      </c>
      <c r="S1175" s="1" t="n">
        <v>25000</v>
      </c>
      <c r="T1175" s="1" t="n">
        <f aca="false">IF($A986="","",IF(R986="","",R986-IF(S986="",0,S986)))</f>
        <v>30305</v>
      </c>
      <c r="U1175" s="1" t="str">
        <f aca="false">IF($A986="","",IF(I986="","",I986-SUM(J986:P986)))</f>
        <v/>
      </c>
      <c r="V1175" s="6" t="s">
        <v>5345</v>
      </c>
      <c r="W1175" s="9" t="s">
        <v>774</v>
      </c>
      <c r="X1175" s="6" t="s">
        <v>5346</v>
      </c>
      <c r="Y1175" s="9" t="s">
        <v>4897</v>
      </c>
      <c r="Z1175" s="9" t="s">
        <v>4898</v>
      </c>
      <c r="AA1175" s="9" t="s">
        <v>4899</v>
      </c>
    </row>
    <row r="1176" customFormat="false" ht="15" hidden="false" customHeight="true" outlineLevel="0" collapsed="false">
      <c r="A1176" s="6" t="s">
        <v>4369</v>
      </c>
      <c r="B1176" s="6" t="s">
        <v>559</v>
      </c>
      <c r="C1176" s="6" t="s">
        <v>564</v>
      </c>
      <c r="D1176" s="6" t="n">
        <v>6</v>
      </c>
      <c r="E1176" s="9" t="s">
        <v>5102</v>
      </c>
      <c r="F1176" s="1" t="n">
        <v>475000</v>
      </c>
      <c r="I1176" s="1" t="n">
        <v>301000</v>
      </c>
      <c r="J1176" s="1" t="n">
        <v>69000</v>
      </c>
      <c r="K1176" s="1" t="n">
        <v>51000</v>
      </c>
      <c r="L1176" s="1" t="n">
        <v>69000</v>
      </c>
      <c r="M1176" s="1" t="n">
        <v>0</v>
      </c>
      <c r="N1176" s="1" t="n">
        <v>8000</v>
      </c>
      <c r="O1176" s="1" t="n">
        <v>101000</v>
      </c>
      <c r="P1176" s="1" t="n">
        <v>0</v>
      </c>
      <c r="Q1176" s="1" t="str">
        <f aca="false">IF($A987="","",IF(OR(F987="",I987=""),"",F987-I987))</f>
        <v/>
      </c>
      <c r="R1176" s="1" t="str">
        <f aca="false">IF($A987="","",IF(Q987="","",Q987+IF(O987="",0,O987)))</f>
        <v/>
      </c>
      <c r="S1176" s="1" t="n">
        <v>38000</v>
      </c>
      <c r="T1176" s="1" t="n">
        <f aca="false">IF($A987="","",IF(R987="","",R987-IF(S987="",0,S987)))</f>
        <v>45809</v>
      </c>
      <c r="U1176" s="1" t="str">
        <f aca="false">IF($A987="","",IF(I987="","",I987-SUM(J987:P987)))</f>
        <v/>
      </c>
      <c r="V1176" s="6" t="s">
        <v>5345</v>
      </c>
      <c r="W1176" s="9" t="s">
        <v>774</v>
      </c>
      <c r="X1176" s="6" t="s">
        <v>5346</v>
      </c>
      <c r="Y1176" s="9" t="s">
        <v>4897</v>
      </c>
      <c r="Z1176" s="9" t="s">
        <v>4898</v>
      </c>
      <c r="AA1176" s="9" t="s">
        <v>4899</v>
      </c>
    </row>
    <row r="1177" customFormat="false" ht="15" hidden="false" customHeight="true" outlineLevel="0" collapsed="false">
      <c r="A1177" s="6" t="s">
        <v>4372</v>
      </c>
      <c r="B1177" s="6" t="s">
        <v>559</v>
      </c>
      <c r="C1177" s="6" t="s">
        <v>564</v>
      </c>
      <c r="D1177" s="6" t="n">
        <v>6</v>
      </c>
      <c r="E1177" s="9" t="s">
        <v>5206</v>
      </c>
      <c r="F1177" s="6" t="n">
        <v>19000</v>
      </c>
      <c r="I1177" s="1" t="n">
        <v>92000</v>
      </c>
      <c r="J1177" s="1" t="n">
        <v>9000</v>
      </c>
      <c r="K1177" s="1" t="n">
        <v>12000</v>
      </c>
      <c r="L1177" s="1" t="n">
        <v>34000</v>
      </c>
      <c r="M1177" s="1" t="n">
        <v>0</v>
      </c>
      <c r="N1177" s="1" t="n">
        <v>4000</v>
      </c>
      <c r="O1177" s="1" t="n">
        <v>31000</v>
      </c>
      <c r="P1177" s="1" t="n">
        <v>0</v>
      </c>
      <c r="Q1177" s="1" t="str">
        <f aca="false">IF($A988="","",IF(OR(F988="",I988=""),"",F988-I988))</f>
        <v/>
      </c>
      <c r="R1177" s="1" t="str">
        <f aca="false">IF($A988="","",IF(Q988="","",Q988+IF(O988="",0,O988)))</f>
        <v/>
      </c>
      <c r="S1177" s="1" t="n">
        <v>2000</v>
      </c>
      <c r="T1177" s="1" t="n">
        <f aca="false">IF($A988="","",IF(R988="","",R988-IF(S988="",0,S988)))</f>
        <v>51839</v>
      </c>
      <c r="U1177" s="1" t="str">
        <f aca="false">IF($A988="","",IF(I988="","",I988-SUM(J988:P988)))</f>
        <v/>
      </c>
      <c r="V1177" s="6" t="s">
        <v>5342</v>
      </c>
      <c r="W1177" s="9" t="s">
        <v>774</v>
      </c>
      <c r="X1177" s="9" t="s">
        <v>5343</v>
      </c>
      <c r="Y1177" s="9" t="s">
        <v>4897</v>
      </c>
      <c r="Z1177" s="9" t="s">
        <v>4898</v>
      </c>
      <c r="AA1177" s="9" t="s">
        <v>4943</v>
      </c>
    </row>
    <row r="1178" customFormat="false" ht="15" hidden="false" customHeight="true" outlineLevel="0" collapsed="false">
      <c r="A1178" s="6" t="s">
        <v>4375</v>
      </c>
      <c r="B1178" s="6" t="s">
        <v>559</v>
      </c>
      <c r="C1178" s="6" t="s">
        <v>564</v>
      </c>
      <c r="D1178" s="6" t="n">
        <v>6</v>
      </c>
      <c r="E1178" s="9" t="s">
        <v>5206</v>
      </c>
      <c r="F1178" s="6" t="n">
        <v>358000</v>
      </c>
      <c r="I1178" s="1" t="n">
        <v>263000</v>
      </c>
      <c r="J1178" s="1" t="n">
        <v>62000</v>
      </c>
      <c r="K1178" s="1" t="n">
        <v>29000</v>
      </c>
      <c r="L1178" s="1" t="n">
        <v>60000</v>
      </c>
      <c r="M1178" s="1" t="n">
        <v>0</v>
      </c>
      <c r="N1178" s="1" t="n">
        <v>44000</v>
      </c>
      <c r="O1178" s="1" t="n">
        <v>64000</v>
      </c>
      <c r="P1178" s="1" t="n">
        <v>0</v>
      </c>
      <c r="Q1178" s="1" t="str">
        <f aca="false">IF($A989="","",IF(OR(F989="",I989=""),"",F989-I989))</f>
        <v/>
      </c>
      <c r="R1178" s="1" t="str">
        <f aca="false">IF($A989="","",IF(Q989="","",Q989+IF(O989="",0,O989)))</f>
        <v/>
      </c>
      <c r="S1178" s="1" t="n">
        <v>239000</v>
      </c>
      <c r="T1178" s="1" t="n">
        <f aca="false">IF($A989="","",IF(R989="","",R989-IF(S989="",0,S989)))</f>
        <v>111280</v>
      </c>
      <c r="U1178" s="1" t="str">
        <f aca="false">IF($A989="","",IF(I989="","",I989-SUM(J989:P989)))</f>
        <v/>
      </c>
      <c r="V1178" s="6" t="s">
        <v>5342</v>
      </c>
      <c r="W1178" s="9" t="s">
        <v>774</v>
      </c>
      <c r="X1178" s="9" t="s">
        <v>5343</v>
      </c>
      <c r="Y1178" s="9" t="s">
        <v>4897</v>
      </c>
      <c r="Z1178" s="9" t="s">
        <v>4898</v>
      </c>
      <c r="AA1178" s="9" t="s">
        <v>4903</v>
      </c>
    </row>
    <row r="1179" customFormat="false" ht="15" hidden="false" customHeight="true" outlineLevel="0" collapsed="false">
      <c r="A1179" s="6" t="s">
        <v>4378</v>
      </c>
      <c r="B1179" s="6" t="s">
        <v>559</v>
      </c>
      <c r="C1179" s="6" t="s">
        <v>564</v>
      </c>
      <c r="D1179" s="6" t="n">
        <v>6</v>
      </c>
      <c r="E1179" s="9" t="s">
        <v>5206</v>
      </c>
      <c r="F1179" s="6" t="n">
        <v>114000</v>
      </c>
      <c r="I1179" s="1" t="n">
        <v>455000</v>
      </c>
      <c r="J1179" s="1" t="n">
        <v>58000</v>
      </c>
      <c r="K1179" s="1" t="n">
        <v>57000</v>
      </c>
      <c r="L1179" s="1" t="n">
        <v>173000</v>
      </c>
      <c r="M1179" s="1" t="n">
        <v>0</v>
      </c>
      <c r="N1179" s="1" t="n">
        <v>68000</v>
      </c>
      <c r="O1179" s="1" t="n">
        <v>94000</v>
      </c>
      <c r="P1179" s="1" t="n">
        <v>2000</v>
      </c>
      <c r="Q1179" s="1" t="str">
        <f aca="false">IF($A990="","",IF(OR(F990="",I990=""),"",F990-I990))</f>
        <v/>
      </c>
      <c r="R1179" s="1" t="str">
        <f aca="false">IF($A990="","",IF(Q990="","",Q990+IF(O990="",0,O990)))</f>
        <v/>
      </c>
      <c r="S1179" s="1" t="n">
        <v>127000</v>
      </c>
      <c r="T1179" s="1" t="n">
        <f aca="false">IF($A990="","",IF(R990="","",R990-IF(S990="",0,S990)))</f>
        <v>96347</v>
      </c>
      <c r="U1179" s="1" t="str">
        <f aca="false">IF($A990="","",IF(I990="","",I990-SUM(J990:P990)))</f>
        <v/>
      </c>
      <c r="V1179" s="6" t="s">
        <v>5342</v>
      </c>
      <c r="W1179" s="9" t="s">
        <v>774</v>
      </c>
      <c r="X1179" s="9" t="s">
        <v>5343</v>
      </c>
      <c r="Y1179" s="9" t="s">
        <v>4897</v>
      </c>
      <c r="Z1179" s="9" t="s">
        <v>4898</v>
      </c>
      <c r="AA1179" s="9" t="s">
        <v>4903</v>
      </c>
    </row>
    <row r="1180" customFormat="false" ht="15" hidden="false" customHeight="true" outlineLevel="0" collapsed="false">
      <c r="A1180" s="6" t="s">
        <v>4381</v>
      </c>
      <c r="B1180" s="6" t="s">
        <v>559</v>
      </c>
      <c r="C1180" s="6" t="s">
        <v>564</v>
      </c>
      <c r="D1180" s="6" t="n">
        <v>6</v>
      </c>
      <c r="E1180" s="9" t="s">
        <v>5102</v>
      </c>
      <c r="F1180" s="1" t="n">
        <v>162000</v>
      </c>
      <c r="I1180" s="1" t="n">
        <v>66000</v>
      </c>
      <c r="J1180" s="1" t="n">
        <v>0</v>
      </c>
      <c r="K1180" s="1" t="n">
        <v>0</v>
      </c>
      <c r="L1180" s="1" t="n">
        <v>16000</v>
      </c>
      <c r="M1180" s="1" t="n">
        <v>0</v>
      </c>
      <c r="N1180" s="1" t="n">
        <v>14000</v>
      </c>
      <c r="O1180" s="1" t="n">
        <v>35000</v>
      </c>
      <c r="P1180" s="1" t="n">
        <v>0</v>
      </c>
      <c r="Q1180" s="1" t="str">
        <f aca="false">IF($A991="","",IF(OR(F991="",I991=""),"",F991-I991))</f>
        <v/>
      </c>
      <c r="R1180" s="1" t="str">
        <f aca="false">IF($A991="","",IF(Q991="","",Q991+IF(O991="",0,O991)))</f>
        <v/>
      </c>
      <c r="S1180" s="1" t="n">
        <v>0</v>
      </c>
      <c r="T1180" s="1" t="n">
        <f aca="false">IF($A991="","",IF(R991="","",R991-IF(S991="",0,S991)))</f>
        <v>328233</v>
      </c>
      <c r="U1180" s="1" t="str">
        <f aca="false">IF($A991="","",IF(I991="","",I991-SUM(J991:P991)))</f>
        <v/>
      </c>
      <c r="V1180" s="6" t="s">
        <v>5345</v>
      </c>
      <c r="W1180" s="9" t="s">
        <v>774</v>
      </c>
      <c r="X1180" s="6" t="s">
        <v>5346</v>
      </c>
      <c r="Y1180" s="9" t="s">
        <v>4897</v>
      </c>
      <c r="Z1180" s="9" t="s">
        <v>4898</v>
      </c>
      <c r="AA1180" s="9" t="s">
        <v>4899</v>
      </c>
    </row>
    <row r="1181" customFormat="false" ht="15" hidden="false" customHeight="true" outlineLevel="0" collapsed="false">
      <c r="A1181" s="6" t="s">
        <v>4384</v>
      </c>
      <c r="B1181" s="6" t="s">
        <v>559</v>
      </c>
      <c r="C1181" s="6" t="s">
        <v>564</v>
      </c>
      <c r="D1181" s="6" t="n">
        <v>6</v>
      </c>
      <c r="E1181" s="9" t="s">
        <v>5102</v>
      </c>
      <c r="F1181" s="1" t="n">
        <v>36000</v>
      </c>
      <c r="I1181" s="1" t="n">
        <v>21000</v>
      </c>
      <c r="J1181" s="1" t="n">
        <v>4000</v>
      </c>
      <c r="K1181" s="1" t="n">
        <v>1000</v>
      </c>
      <c r="L1181" s="1" t="n">
        <v>3000</v>
      </c>
      <c r="M1181" s="1" t="n">
        <v>0</v>
      </c>
      <c r="N1181" s="1" t="n">
        <v>0</v>
      </c>
      <c r="O1181" s="1" t="n">
        <v>11000</v>
      </c>
      <c r="P1181" s="1" t="n">
        <v>0</v>
      </c>
      <c r="Q1181" s="1" t="str">
        <f aca="false">IF($A992="","",IF(OR(F992="",I992=""),"",F992-I992))</f>
        <v/>
      </c>
      <c r="R1181" s="1" t="str">
        <f aca="false">IF($A992="","",IF(Q992="","",Q992+IF(O992="",0,O992)))</f>
        <v/>
      </c>
      <c r="S1181" s="1" t="n">
        <v>0</v>
      </c>
      <c r="T1181" s="1" t="n">
        <f aca="false">IF($A992="","",IF(R992="","",R992-IF(S992="",0,S992)))</f>
        <v>192081</v>
      </c>
      <c r="U1181" s="1" t="str">
        <f aca="false">IF($A992="","",IF(I992="","",I992-SUM(J992:P992)))</f>
        <v/>
      </c>
      <c r="V1181" s="6" t="s">
        <v>5345</v>
      </c>
      <c r="W1181" s="9" t="s">
        <v>774</v>
      </c>
      <c r="X1181" s="6" t="s">
        <v>5346</v>
      </c>
      <c r="Y1181" s="9" t="s">
        <v>4897</v>
      </c>
      <c r="Z1181" s="9" t="s">
        <v>4898</v>
      </c>
      <c r="AA1181" s="9" t="s">
        <v>4899</v>
      </c>
    </row>
    <row r="1182" customFormat="false" ht="15" hidden="false" customHeight="true" outlineLevel="0" collapsed="false">
      <c r="A1182" s="6" t="s">
        <v>4387</v>
      </c>
      <c r="B1182" s="6" t="s">
        <v>559</v>
      </c>
      <c r="C1182" s="6" t="s">
        <v>564</v>
      </c>
      <c r="D1182" s="6" t="n">
        <v>6</v>
      </c>
      <c r="E1182" s="9" t="s">
        <v>5102</v>
      </c>
      <c r="F1182" s="1" t="n">
        <v>647000</v>
      </c>
      <c r="I1182" s="1" t="n">
        <v>532000</v>
      </c>
      <c r="J1182" s="1" t="n">
        <v>131000</v>
      </c>
      <c r="K1182" s="1" t="n">
        <v>48000</v>
      </c>
      <c r="L1182" s="1" t="n">
        <v>132000</v>
      </c>
      <c r="M1182" s="1" t="n">
        <v>1000</v>
      </c>
      <c r="N1182" s="1" t="n">
        <v>162000</v>
      </c>
      <c r="O1182" s="1" t="n">
        <v>56000</v>
      </c>
      <c r="P1182" s="1" t="n">
        <v>0</v>
      </c>
      <c r="Q1182" s="1" t="str">
        <f aca="false">IF($A993="","",IF(OR(F993="",I993=""),"",F993-I993))</f>
        <v/>
      </c>
      <c r="R1182" s="1" t="str">
        <f aca="false">IF($A993="","",IF(Q993="","",Q993+IF(O993="",0,O993)))</f>
        <v/>
      </c>
      <c r="S1182" s="1" t="n">
        <v>390000</v>
      </c>
      <c r="T1182" s="1" t="str">
        <f aca="false">IF($A993="","",IF(R993="","",R993-IF(S993="",0,S993)))</f>
        <v/>
      </c>
      <c r="U1182" s="1" t="str">
        <f aca="false">IF($A993="","",IF(I993="","",I993-SUM(J993:P993)))</f>
        <v/>
      </c>
      <c r="V1182" s="6" t="s">
        <v>5345</v>
      </c>
      <c r="W1182" s="9" t="s">
        <v>774</v>
      </c>
      <c r="X1182" s="6" t="s">
        <v>5346</v>
      </c>
      <c r="Y1182" s="9" t="s">
        <v>4897</v>
      </c>
      <c r="Z1182" s="9" t="s">
        <v>4898</v>
      </c>
      <c r="AA1182" s="9" t="s">
        <v>4899</v>
      </c>
    </row>
    <row r="1183" customFormat="false" ht="15" hidden="false" customHeight="true" outlineLevel="0" collapsed="false">
      <c r="A1183" s="6" t="s">
        <v>4390</v>
      </c>
      <c r="B1183" s="6" t="s">
        <v>559</v>
      </c>
      <c r="C1183" s="6" t="s">
        <v>564</v>
      </c>
      <c r="D1183" s="6" t="n">
        <v>6</v>
      </c>
      <c r="E1183" s="9" t="s">
        <v>5206</v>
      </c>
      <c r="F1183" s="6" t="n">
        <v>655000</v>
      </c>
      <c r="I1183" s="1" t="n">
        <v>142000</v>
      </c>
      <c r="J1183" s="1" t="n">
        <v>28000</v>
      </c>
      <c r="K1183" s="1" t="n">
        <v>20000</v>
      </c>
      <c r="L1183" s="1" t="n">
        <v>53000</v>
      </c>
      <c r="M1183" s="1" t="n">
        <v>0</v>
      </c>
      <c r="N1183" s="1" t="n">
        <v>17000</v>
      </c>
      <c r="O1183" s="1" t="n">
        <v>19000</v>
      </c>
      <c r="P1183" s="1" t="n">
        <v>1000</v>
      </c>
      <c r="Q1183" s="1" t="str">
        <f aca="false">IF($A994="","",IF(OR(F994="",I994=""),"",F994-I994))</f>
        <v/>
      </c>
      <c r="R1183" s="1" t="str">
        <f aca="false">IF($A994="","",IF(Q994="","",Q994+IF(O994="",0,O994)))</f>
        <v/>
      </c>
      <c r="S1183" s="1" t="n">
        <v>54000</v>
      </c>
      <c r="T1183" s="1" t="str">
        <f aca="false">IF($A994="","",IF(R994="","",R994-IF(S994="",0,S994)))</f>
        <v/>
      </c>
      <c r="U1183" s="1" t="str">
        <f aca="false">IF($A994="","",IF(I994="","",I994-SUM(J994:P994)))</f>
        <v/>
      </c>
      <c r="V1183" s="6" t="s">
        <v>5342</v>
      </c>
      <c r="W1183" s="9" t="s">
        <v>774</v>
      </c>
      <c r="X1183" s="9" t="s">
        <v>5347</v>
      </c>
      <c r="Y1183" s="6" t="s">
        <v>4920</v>
      </c>
      <c r="Z1183" s="9" t="s">
        <v>4961</v>
      </c>
      <c r="AA1183" s="9" t="s">
        <v>4903</v>
      </c>
    </row>
    <row r="1184" customFormat="false" ht="15" hidden="false" customHeight="true" outlineLevel="0" collapsed="false">
      <c r="A1184" s="6" t="s">
        <v>4393</v>
      </c>
      <c r="B1184" s="6" t="s">
        <v>559</v>
      </c>
      <c r="C1184" s="6" t="s">
        <v>564</v>
      </c>
      <c r="D1184" s="6" t="n">
        <v>6</v>
      </c>
      <c r="E1184" s="9" t="s">
        <v>5206</v>
      </c>
      <c r="F1184" s="6" t="n">
        <v>387000</v>
      </c>
      <c r="I1184" s="1" t="n">
        <v>176000</v>
      </c>
      <c r="J1184" s="1" t="n">
        <v>26000</v>
      </c>
      <c r="K1184" s="1" t="n">
        <v>20000</v>
      </c>
      <c r="L1184" s="1" t="n">
        <v>45000</v>
      </c>
      <c r="M1184" s="1" t="n">
        <v>0</v>
      </c>
      <c r="N1184" s="1" t="n">
        <v>32000</v>
      </c>
      <c r="O1184" s="1" t="n">
        <v>50000</v>
      </c>
      <c r="P1184" s="1" t="n">
        <v>0</v>
      </c>
      <c r="Q1184" s="1" t="str">
        <f aca="false">IF($A995="","",IF(OR(F995="",I995=""),"",F995-I995))</f>
        <v/>
      </c>
      <c r="R1184" s="1" t="str">
        <f aca="false">IF($A995="","",IF(Q995="","",Q995+IF(O995="",0,O995)))</f>
        <v/>
      </c>
      <c r="S1184" s="1" t="n">
        <v>6000</v>
      </c>
      <c r="T1184" s="1" t="str">
        <f aca="false">IF($A995="","",IF(R995="","",R995-IF(S995="",0,S995)))</f>
        <v/>
      </c>
      <c r="U1184" s="1" t="str">
        <f aca="false">IF($A995="","",IF(I995="","",I995-SUM(J995:P995)))</f>
        <v/>
      </c>
      <c r="V1184" s="6" t="s">
        <v>5342</v>
      </c>
      <c r="W1184" s="9" t="s">
        <v>774</v>
      </c>
      <c r="X1184" s="9" t="s">
        <v>5343</v>
      </c>
      <c r="Y1184" s="9" t="s">
        <v>4897</v>
      </c>
      <c r="Z1184" s="9" t="s">
        <v>4898</v>
      </c>
      <c r="AA1184" s="9" t="s">
        <v>4903</v>
      </c>
    </row>
    <row r="1185" customFormat="false" ht="15" hidden="false" customHeight="true" outlineLevel="0" collapsed="false">
      <c r="A1185" s="6" t="s">
        <v>4396</v>
      </c>
      <c r="B1185" s="6" t="s">
        <v>559</v>
      </c>
      <c r="C1185" s="6" t="s">
        <v>564</v>
      </c>
      <c r="D1185" s="6" t="n">
        <v>6</v>
      </c>
      <c r="E1185" s="9" t="s">
        <v>5206</v>
      </c>
      <c r="F1185" s="6" t="n">
        <v>506000</v>
      </c>
      <c r="I1185" s="1" t="n">
        <v>56000</v>
      </c>
      <c r="J1185" s="1" t="n">
        <v>11000</v>
      </c>
      <c r="K1185" s="1" t="n">
        <v>9000</v>
      </c>
      <c r="L1185" s="1" t="n">
        <v>14000</v>
      </c>
      <c r="M1185" s="1" t="n">
        <v>0</v>
      </c>
      <c r="N1185" s="1" t="n">
        <v>4000</v>
      </c>
      <c r="O1185" s="1" t="n">
        <v>16000</v>
      </c>
      <c r="P1185" s="1" t="n">
        <v>0</v>
      </c>
      <c r="Q1185" s="1" t="str">
        <f aca="false">IF($A996="","",IF(OR(F996="",I996=""),"",F996-I996))</f>
        <v/>
      </c>
      <c r="R1185" s="1" t="str">
        <f aca="false">IF($A996="","",IF(Q996="","",Q996+IF(O996="",0,O996)))</f>
        <v/>
      </c>
      <c r="S1185" s="1" t="n">
        <v>2000</v>
      </c>
      <c r="T1185" s="1" t="str">
        <f aca="false">IF($A996="","",IF(R996="","",R996-IF(S996="",0,S996)))</f>
        <v/>
      </c>
      <c r="U1185" s="1" t="str">
        <f aca="false">IF($A996="","",IF(I996="","",I996-SUM(J996:P996)))</f>
        <v/>
      </c>
      <c r="V1185" s="6" t="s">
        <v>5342</v>
      </c>
      <c r="W1185" s="9" t="s">
        <v>774</v>
      </c>
      <c r="X1185" s="9" t="s">
        <v>5343</v>
      </c>
      <c r="Y1185" s="9" t="s">
        <v>4897</v>
      </c>
      <c r="Z1185" s="9" t="s">
        <v>4898</v>
      </c>
      <c r="AA1185" s="9" t="s">
        <v>4903</v>
      </c>
    </row>
    <row r="1186" customFormat="false" ht="15" hidden="false" customHeight="true" outlineLevel="0" collapsed="false">
      <c r="A1186" s="6" t="s">
        <v>4399</v>
      </c>
      <c r="B1186" s="6" t="s">
        <v>559</v>
      </c>
      <c r="C1186" s="6" t="s">
        <v>564</v>
      </c>
      <c r="D1186" s="6" t="n">
        <v>6</v>
      </c>
      <c r="E1186" s="9" t="s">
        <v>5102</v>
      </c>
      <c r="F1186" s="1" t="n">
        <v>165000</v>
      </c>
      <c r="I1186" s="1" t="n">
        <v>46000</v>
      </c>
      <c r="J1186" s="1" t="n">
        <v>0</v>
      </c>
      <c r="K1186" s="1" t="n">
        <v>0</v>
      </c>
      <c r="L1186" s="1" t="n">
        <v>13000</v>
      </c>
      <c r="M1186" s="1" t="n">
        <v>0</v>
      </c>
      <c r="N1186" s="1" t="n">
        <v>3000</v>
      </c>
      <c r="O1186" s="1" t="n">
        <v>29000</v>
      </c>
      <c r="P1186" s="1" t="n">
        <v>0</v>
      </c>
      <c r="Q1186" s="1" t="str">
        <f aca="false">IF($A997="","",IF(OR(F997="",I997=""),"",F997-I997))</f>
        <v/>
      </c>
      <c r="R1186" s="1" t="str">
        <f aca="false">IF($A997="","",IF(Q997="","",Q997+IF(O997="",0,O997)))</f>
        <v/>
      </c>
      <c r="S1186" s="1" t="n">
        <v>2000</v>
      </c>
      <c r="T1186" s="1" t="str">
        <f aca="false">IF($A997="","",IF(R997="","",R997-IF(S997="",0,S997)))</f>
        <v/>
      </c>
      <c r="U1186" s="1" t="str">
        <f aca="false">IF($A997="","",IF(I997="","",I997-SUM(J997:P997)))</f>
        <v/>
      </c>
      <c r="V1186" s="6" t="s">
        <v>5345</v>
      </c>
      <c r="W1186" s="9" t="s">
        <v>774</v>
      </c>
      <c r="X1186" s="6" t="s">
        <v>5346</v>
      </c>
      <c r="Y1186" s="9" t="s">
        <v>4897</v>
      </c>
      <c r="Z1186" s="9" t="s">
        <v>4898</v>
      </c>
      <c r="AA1186" s="9" t="s">
        <v>4899</v>
      </c>
    </row>
    <row r="1187" customFormat="false" ht="15" hidden="false" customHeight="true" outlineLevel="0" collapsed="false">
      <c r="A1187" s="6" t="s">
        <v>4402</v>
      </c>
      <c r="B1187" s="6" t="s">
        <v>559</v>
      </c>
      <c r="C1187" s="6" t="s">
        <v>564</v>
      </c>
      <c r="D1187" s="6" t="n">
        <v>6</v>
      </c>
      <c r="E1187" s="9" t="s">
        <v>5102</v>
      </c>
      <c r="F1187" s="1" t="n">
        <v>196000</v>
      </c>
      <c r="I1187" s="1" t="n">
        <v>80000</v>
      </c>
      <c r="J1187" s="1" t="n">
        <v>17000</v>
      </c>
      <c r="K1187" s="1" t="n">
        <v>9000</v>
      </c>
      <c r="L1187" s="1" t="n">
        <v>12000</v>
      </c>
      <c r="M1187" s="1" t="n">
        <v>0</v>
      </c>
      <c r="N1187" s="1" t="n">
        <v>10000</v>
      </c>
      <c r="O1187" s="1" t="n">
        <v>31000</v>
      </c>
      <c r="P1187" s="1" t="n">
        <v>0</v>
      </c>
      <c r="Q1187" s="1" t="str">
        <f aca="false">IF($A998="","",IF(OR(F998="",I998=""),"",F998-I998))</f>
        <v/>
      </c>
      <c r="R1187" s="1" t="str">
        <f aca="false">IF($A998="","",IF(Q998="","",Q998+IF(O998="",0,O998)))</f>
        <v/>
      </c>
      <c r="S1187" s="1" t="n">
        <v>8000</v>
      </c>
      <c r="T1187" s="1" t="str">
        <f aca="false">IF($A998="","",IF(R998="","",R998-IF(S998="",0,S998)))</f>
        <v/>
      </c>
      <c r="U1187" s="1" t="str">
        <f aca="false">IF($A998="","",IF(I998="","",I998-SUM(J998:P998)))</f>
        <v/>
      </c>
      <c r="V1187" s="6" t="s">
        <v>5345</v>
      </c>
      <c r="W1187" s="9" t="s">
        <v>774</v>
      </c>
      <c r="X1187" s="6" t="s">
        <v>5346</v>
      </c>
      <c r="Y1187" s="9" t="s">
        <v>4897</v>
      </c>
      <c r="Z1187" s="9" t="s">
        <v>4898</v>
      </c>
      <c r="AA1187" s="9" t="s">
        <v>4899</v>
      </c>
    </row>
    <row r="1188" customFormat="false" ht="15" hidden="false" customHeight="true" outlineLevel="0" collapsed="false">
      <c r="A1188" s="6" t="s">
        <v>4405</v>
      </c>
      <c r="B1188" s="6" t="s">
        <v>559</v>
      </c>
      <c r="C1188" s="6" t="s">
        <v>564</v>
      </c>
      <c r="D1188" s="6" t="n">
        <v>6</v>
      </c>
      <c r="E1188" s="9" t="s">
        <v>5102</v>
      </c>
      <c r="F1188" s="1" t="n">
        <v>740000</v>
      </c>
      <c r="I1188" s="1" t="n">
        <v>229000</v>
      </c>
      <c r="J1188" s="1" t="n">
        <v>30000</v>
      </c>
      <c r="K1188" s="1" t="n">
        <v>15000</v>
      </c>
      <c r="L1188" s="1" t="n">
        <v>115000</v>
      </c>
      <c r="M1188" s="1" t="n">
        <v>0</v>
      </c>
      <c r="N1188" s="1" t="n">
        <v>19000</v>
      </c>
      <c r="O1188" s="1" t="n">
        <v>44000</v>
      </c>
      <c r="P1188" s="1" t="n">
        <v>3000</v>
      </c>
      <c r="Q1188" s="1" t="str">
        <f aca="false">IF($A999="","",IF(OR(F999="",I999=""),"",F999-I999))</f>
        <v/>
      </c>
      <c r="R1188" s="1" t="str">
        <f aca="false">IF($A999="","",IF(Q999="","",Q999+IF(O999="",0,O999)))</f>
        <v/>
      </c>
      <c r="S1188" s="1" t="n">
        <v>6000</v>
      </c>
      <c r="T1188" s="1" t="str">
        <f aca="false">IF($A999="","",IF(R999="","",R999-IF(S999="",0,S999)))</f>
        <v/>
      </c>
      <c r="U1188" s="1" t="str">
        <f aca="false">IF($A999="","",IF(I999="","",I999-SUM(J999:P999)))</f>
        <v/>
      </c>
      <c r="V1188" s="6" t="s">
        <v>5345</v>
      </c>
      <c r="W1188" s="9" t="s">
        <v>774</v>
      </c>
      <c r="X1188" s="6" t="s">
        <v>5346</v>
      </c>
      <c r="Y1188" s="9" t="s">
        <v>4897</v>
      </c>
      <c r="Z1188" s="9" t="s">
        <v>4898</v>
      </c>
      <c r="AA1188" s="9" t="s">
        <v>4899</v>
      </c>
    </row>
    <row r="1189" customFormat="false" ht="15" hidden="false" customHeight="true" outlineLevel="0" collapsed="false">
      <c r="A1189" s="6" t="s">
        <v>4408</v>
      </c>
      <c r="B1189" s="6" t="s">
        <v>559</v>
      </c>
      <c r="C1189" s="6" t="s">
        <v>564</v>
      </c>
      <c r="D1189" s="6" t="n">
        <v>6</v>
      </c>
      <c r="E1189" s="9" t="s">
        <v>5102</v>
      </c>
      <c r="F1189" s="1" t="n">
        <v>176000</v>
      </c>
      <c r="I1189" s="1" t="n">
        <v>95000</v>
      </c>
      <c r="J1189" s="1" t="n">
        <v>14000</v>
      </c>
      <c r="K1189" s="1" t="n">
        <v>11000</v>
      </c>
      <c r="L1189" s="1" t="n">
        <v>20000</v>
      </c>
      <c r="M1189" s="1" t="n">
        <v>0</v>
      </c>
      <c r="N1189" s="1" t="n">
        <v>10000</v>
      </c>
      <c r="O1189" s="1" t="n">
        <v>38000</v>
      </c>
      <c r="P1189" s="1" t="n">
        <v>0</v>
      </c>
      <c r="Q1189" s="1" t="str">
        <f aca="false">IF($A1000="","",IF(OR(F1000="",I1000=""),"",F1000-I1000))</f>
        <v/>
      </c>
      <c r="R1189" s="1" t="str">
        <f aca="false">IF($A1000="","",IF(Q1000="","",Q1000+IF(O1000="",0,O1000)))</f>
        <v/>
      </c>
      <c r="S1189" s="1" t="n">
        <v>27000</v>
      </c>
      <c r="T1189" s="1" t="str">
        <f aca="false">IF($A1000="","",IF(R1000="","",R1000-IF(S1000="",0,S1000)))</f>
        <v/>
      </c>
      <c r="U1189" s="1" t="str">
        <f aca="false">IF($A1000="","",IF(I1000="","",I1000-SUM(J1000:P1000)))</f>
        <v/>
      </c>
      <c r="V1189" s="6" t="s">
        <v>5345</v>
      </c>
      <c r="W1189" s="9" t="s">
        <v>774</v>
      </c>
      <c r="X1189" s="6" t="s">
        <v>5346</v>
      </c>
      <c r="Y1189" s="9" t="s">
        <v>4897</v>
      </c>
      <c r="Z1189" s="9" t="s">
        <v>4898</v>
      </c>
      <c r="AA1189" s="9" t="s">
        <v>4899</v>
      </c>
    </row>
    <row r="1190" customFormat="false" ht="15" hidden="false" customHeight="true" outlineLevel="0" collapsed="false">
      <c r="A1190" s="6" t="s">
        <v>4411</v>
      </c>
      <c r="B1190" s="6" t="s">
        <v>559</v>
      </c>
      <c r="C1190" s="6" t="s">
        <v>564</v>
      </c>
      <c r="D1190" s="6" t="n">
        <v>6</v>
      </c>
      <c r="E1190" s="9" t="s">
        <v>5102</v>
      </c>
      <c r="F1190" s="1" t="n">
        <v>1301000</v>
      </c>
      <c r="I1190" s="1" t="n">
        <v>846000</v>
      </c>
      <c r="J1190" s="1" t="n">
        <v>165000</v>
      </c>
      <c r="K1190" s="1" t="n">
        <v>167000</v>
      </c>
      <c r="L1190" s="1" t="n">
        <v>198000</v>
      </c>
      <c r="M1190" s="1" t="n">
        <v>2000</v>
      </c>
      <c r="N1190" s="1" t="n">
        <v>59000</v>
      </c>
      <c r="O1190" s="1" t="n">
        <v>252000</v>
      </c>
      <c r="P1190" s="1" t="n">
        <v>0</v>
      </c>
      <c r="Q1190" s="1" t="str">
        <f aca="false">IF($A1001="","",IF(OR(F1001="",I1001=""),"",F1001-I1001))</f>
        <v/>
      </c>
      <c r="R1190" s="1" t="str">
        <f aca="false">IF($A1001="","",IF(Q1001="","",Q1001+IF(O1001="",0,O1001)))</f>
        <v/>
      </c>
      <c r="S1190" s="1" t="n">
        <v>117000</v>
      </c>
      <c r="T1190" s="1" t="str">
        <f aca="false">IF($A1001="","",IF(R1001="","",R1001-IF(S1001="",0,S1001)))</f>
        <v/>
      </c>
      <c r="U1190" s="1" t="str">
        <f aca="false">IF($A1001="","",IF(I1001="","",I1001-SUM(J1001:P1001)))</f>
        <v/>
      </c>
      <c r="V1190" s="6" t="s">
        <v>5345</v>
      </c>
      <c r="W1190" s="9" t="s">
        <v>774</v>
      </c>
      <c r="X1190" s="6" t="s">
        <v>5346</v>
      </c>
      <c r="Y1190" s="9" t="s">
        <v>4897</v>
      </c>
      <c r="Z1190" s="9" t="s">
        <v>4898</v>
      </c>
      <c r="AA1190" s="9" t="s">
        <v>4899</v>
      </c>
    </row>
    <row r="1191" customFormat="false" ht="15" hidden="false" customHeight="true" outlineLevel="0" collapsed="false">
      <c r="A1191" s="6" t="s">
        <v>4414</v>
      </c>
      <c r="B1191" s="6" t="s">
        <v>559</v>
      </c>
      <c r="C1191" s="6" t="s">
        <v>564</v>
      </c>
      <c r="D1191" s="6" t="n">
        <v>6</v>
      </c>
      <c r="E1191" s="9" t="s">
        <v>5102</v>
      </c>
      <c r="F1191" s="1" t="n">
        <v>487000</v>
      </c>
      <c r="I1191" s="1" t="n">
        <v>225000</v>
      </c>
      <c r="J1191" s="1" t="n">
        <v>38000</v>
      </c>
      <c r="K1191" s="1" t="n">
        <v>34000</v>
      </c>
      <c r="L1191" s="1" t="n">
        <v>59000</v>
      </c>
      <c r="M1191" s="1" t="n">
        <v>0</v>
      </c>
      <c r="N1191" s="1" t="n">
        <v>5000</v>
      </c>
      <c r="O1191" s="1" t="n">
        <v>86000</v>
      </c>
      <c r="P1191" s="1" t="n">
        <v>0</v>
      </c>
      <c r="Q1191" s="1" t="str">
        <f aca="false">IF($A1002="","",IF(OR(F1002="",I1002=""),"",F1002-I1002))</f>
        <v/>
      </c>
      <c r="R1191" s="1" t="str">
        <f aca="false">IF($A1002="","",IF(Q1002="","",Q1002+IF(O1002="",0,O1002)))</f>
        <v/>
      </c>
      <c r="S1191" s="1" t="n">
        <v>7000</v>
      </c>
      <c r="T1191" s="1" t="str">
        <f aca="false">IF($A1002="","",IF(R1002="","",R1002-IF(S1002="",0,S1002)))</f>
        <v/>
      </c>
      <c r="U1191" s="1" t="str">
        <f aca="false">IF($A1002="","",IF(I1002="","",I1002-SUM(J1002:P1002)))</f>
        <v/>
      </c>
      <c r="V1191" s="6" t="s">
        <v>5345</v>
      </c>
      <c r="W1191" s="9" t="s">
        <v>774</v>
      </c>
      <c r="X1191" s="6" t="s">
        <v>5346</v>
      </c>
      <c r="Y1191" s="9" t="s">
        <v>4897</v>
      </c>
      <c r="Z1191" s="9" t="s">
        <v>4898</v>
      </c>
      <c r="AA1191" s="9" t="s">
        <v>4899</v>
      </c>
    </row>
    <row r="1192" customFormat="false" ht="15" hidden="false" customHeight="true" outlineLevel="0" collapsed="false">
      <c r="A1192" s="6" t="s">
        <v>4417</v>
      </c>
      <c r="B1192" s="6" t="s">
        <v>559</v>
      </c>
      <c r="C1192" s="6" t="s">
        <v>564</v>
      </c>
      <c r="D1192" s="6" t="n">
        <v>6</v>
      </c>
      <c r="E1192" s="9" t="s">
        <v>5102</v>
      </c>
      <c r="F1192" s="1" t="n">
        <v>584000</v>
      </c>
      <c r="I1192" s="1" t="n">
        <v>306000</v>
      </c>
      <c r="J1192" s="1" t="n">
        <v>33000</v>
      </c>
      <c r="K1192" s="1" t="n">
        <v>21000</v>
      </c>
      <c r="L1192" s="1" t="n">
        <v>66000</v>
      </c>
      <c r="M1192" s="1" t="n">
        <v>0</v>
      </c>
      <c r="N1192" s="1" t="n">
        <v>0</v>
      </c>
      <c r="O1192" s="1" t="n">
        <v>83000</v>
      </c>
      <c r="P1192" s="1" t="n">
        <v>99000</v>
      </c>
      <c r="Q1192" s="1" t="str">
        <f aca="false">IF($A1003="","",IF(OR(F1003="",I1003=""),"",F1003-I1003))</f>
        <v/>
      </c>
      <c r="R1192" s="1" t="str">
        <f aca="false">IF($A1003="","",IF(Q1003="","",Q1003+IF(O1003="",0,O1003)))</f>
        <v/>
      </c>
      <c r="S1192" s="1" t="n">
        <v>0</v>
      </c>
      <c r="T1192" s="1" t="str">
        <f aca="false">IF($A1003="","",IF(R1003="","",R1003-IF(S1003="",0,S1003)))</f>
        <v/>
      </c>
      <c r="U1192" s="1" t="str">
        <f aca="false">IF($A1003="","",IF(I1003="","",I1003-SUM(J1003:P1003)))</f>
        <v/>
      </c>
      <c r="V1192" s="6" t="s">
        <v>5345</v>
      </c>
      <c r="W1192" s="9" t="s">
        <v>774</v>
      </c>
      <c r="X1192" s="6" t="s">
        <v>5346</v>
      </c>
      <c r="Y1192" s="9" t="s">
        <v>4897</v>
      </c>
      <c r="Z1192" s="9" t="s">
        <v>4898</v>
      </c>
      <c r="AA1192" s="9" t="s">
        <v>4899</v>
      </c>
    </row>
    <row r="1193" customFormat="false" ht="15" hidden="false" customHeight="true" outlineLevel="0" collapsed="false">
      <c r="A1193" s="6" t="s">
        <v>4420</v>
      </c>
      <c r="B1193" s="6" t="s">
        <v>559</v>
      </c>
      <c r="C1193" s="6" t="s">
        <v>564</v>
      </c>
      <c r="D1193" s="6" t="n">
        <v>6</v>
      </c>
      <c r="E1193" s="9" t="s">
        <v>5206</v>
      </c>
      <c r="F1193" s="6" t="n">
        <v>457000</v>
      </c>
      <c r="I1193" s="1" t="n">
        <v>97000</v>
      </c>
      <c r="J1193" s="1" t="n">
        <v>15000</v>
      </c>
      <c r="K1193" s="1" t="n">
        <v>12000</v>
      </c>
      <c r="L1193" s="1" t="n">
        <v>39000</v>
      </c>
      <c r="M1193" s="1" t="n">
        <v>0</v>
      </c>
      <c r="N1193" s="1" t="n">
        <v>6000</v>
      </c>
      <c r="O1193" s="1" t="n">
        <v>23000</v>
      </c>
      <c r="P1193" s="1" t="n">
        <v>0</v>
      </c>
      <c r="Q1193" s="1" t="str">
        <f aca="false">IF($A1004="","",IF(OR(F1004="",I1004=""),"",F1004-I1004))</f>
        <v/>
      </c>
      <c r="R1193" s="1" t="str">
        <f aca="false">IF($A1004="","",IF(Q1004="","",Q1004+IF(O1004="",0,O1004)))</f>
        <v/>
      </c>
      <c r="S1193" s="1" t="n">
        <v>2000</v>
      </c>
      <c r="T1193" s="1" t="str">
        <f aca="false">IF($A1004="","",IF(R1004="","",R1004-IF(S1004="",0,S1004)))</f>
        <v/>
      </c>
      <c r="U1193" s="1" t="str">
        <f aca="false">IF($A1004="","",IF(I1004="","",I1004-SUM(J1004:P1004)))</f>
        <v/>
      </c>
      <c r="V1193" s="6" t="s">
        <v>5342</v>
      </c>
      <c r="W1193" s="9" t="s">
        <v>774</v>
      </c>
      <c r="X1193" s="9" t="s">
        <v>5343</v>
      </c>
      <c r="Y1193" s="9" t="s">
        <v>4897</v>
      </c>
      <c r="Z1193" s="9" t="s">
        <v>4898</v>
      </c>
      <c r="AA1193" s="9" t="s">
        <v>4903</v>
      </c>
    </row>
    <row r="1194" customFormat="false" ht="15" hidden="false" customHeight="true" outlineLevel="0" collapsed="false">
      <c r="A1194" s="6" t="s">
        <v>4423</v>
      </c>
      <c r="B1194" s="6" t="s">
        <v>559</v>
      </c>
      <c r="C1194" s="6" t="s">
        <v>564</v>
      </c>
      <c r="D1194" s="6" t="n">
        <v>6</v>
      </c>
      <c r="E1194" s="9" t="s">
        <v>5206</v>
      </c>
      <c r="F1194" s="6" t="n">
        <v>296000</v>
      </c>
      <c r="I1194" s="1" t="n">
        <v>50000</v>
      </c>
      <c r="J1194" s="1" t="n">
        <v>12000</v>
      </c>
      <c r="K1194" s="1" t="n">
        <v>7000</v>
      </c>
      <c r="L1194" s="1" t="n">
        <v>8000</v>
      </c>
      <c r="M1194" s="1" t="n">
        <v>0</v>
      </c>
      <c r="N1194" s="1" t="n">
        <v>10000</v>
      </c>
      <c r="O1194" s="1" t="n">
        <v>11000</v>
      </c>
      <c r="P1194" s="1" t="n">
        <v>0</v>
      </c>
      <c r="Q1194" s="1" t="str">
        <f aca="false">IF($A1005="","",IF(OR(F1005="",I1005=""),"",F1005-I1005))</f>
        <v/>
      </c>
      <c r="R1194" s="1" t="str">
        <f aca="false">IF($A1005="","",IF(Q1005="","",Q1005+IF(O1005="",0,O1005)))</f>
        <v/>
      </c>
      <c r="S1194" s="1" t="n">
        <v>22000</v>
      </c>
      <c r="T1194" s="1" t="n">
        <f aca="false">IF($A1005="","",IF(R1005="","",R1005-IF(S1005="",0,S1005)))</f>
        <v>57664</v>
      </c>
      <c r="U1194" s="1" t="str">
        <f aca="false">IF($A1005="","",IF(I1005="","",I1005-SUM(J1005:P1005)))</f>
        <v/>
      </c>
      <c r="V1194" s="6" t="s">
        <v>5342</v>
      </c>
      <c r="W1194" s="9" t="s">
        <v>774</v>
      </c>
      <c r="X1194" s="9" t="s">
        <v>5343</v>
      </c>
      <c r="Y1194" s="9" t="s">
        <v>4897</v>
      </c>
      <c r="Z1194" s="9" t="s">
        <v>4898</v>
      </c>
      <c r="AA1194" s="9" t="s">
        <v>4903</v>
      </c>
    </row>
    <row r="1195" customFormat="false" ht="15" hidden="false" customHeight="true" outlineLevel="0" collapsed="false">
      <c r="A1195" s="6" t="s">
        <v>4426</v>
      </c>
      <c r="B1195" s="6" t="s">
        <v>559</v>
      </c>
      <c r="C1195" s="6" t="s">
        <v>564</v>
      </c>
      <c r="D1195" s="6" t="n">
        <v>6</v>
      </c>
      <c r="E1195" s="9" t="s">
        <v>5102</v>
      </c>
      <c r="F1195" s="1" t="n">
        <v>2245000</v>
      </c>
      <c r="I1195" s="1" t="n">
        <v>875000</v>
      </c>
      <c r="J1195" s="1" t="n">
        <v>188000</v>
      </c>
      <c r="K1195" s="1" t="n">
        <v>151000</v>
      </c>
      <c r="L1195" s="1" t="n">
        <v>222000</v>
      </c>
      <c r="M1195" s="1" t="n">
        <v>1000</v>
      </c>
      <c r="N1195" s="1" t="n">
        <v>55000</v>
      </c>
      <c r="O1195" s="1" t="n">
        <v>253000</v>
      </c>
      <c r="P1195" s="1" t="n">
        <v>2000</v>
      </c>
      <c r="Q1195" s="1" t="str">
        <f aca="false">IF($A1006="","",IF(OR(F1006="",I1006=""),"",F1006-I1006))</f>
        <v/>
      </c>
      <c r="R1195" s="1" t="str">
        <f aca="false">IF($A1006="","",IF(Q1006="","",Q1006+IF(O1006="",0,O1006)))</f>
        <v/>
      </c>
      <c r="S1195" s="1" t="n">
        <v>114000</v>
      </c>
      <c r="T1195" s="1" t="str">
        <f aca="false">IF($A1006="","",IF(R1006="","",R1006-IF(S1006="",0,S1006)))</f>
        <v/>
      </c>
      <c r="U1195" s="1" t="str">
        <f aca="false">IF($A1006="","",IF(I1006="","",I1006-SUM(J1006:P1006)))</f>
        <v/>
      </c>
      <c r="V1195" s="6" t="s">
        <v>5345</v>
      </c>
      <c r="W1195" s="9" t="s">
        <v>774</v>
      </c>
      <c r="X1195" s="6" t="s">
        <v>5346</v>
      </c>
      <c r="Y1195" s="9" t="s">
        <v>4897</v>
      </c>
      <c r="Z1195" s="9" t="s">
        <v>4898</v>
      </c>
      <c r="AA1195" s="9" t="s">
        <v>4899</v>
      </c>
    </row>
    <row r="1196" customFormat="false" ht="15" hidden="false" customHeight="true" outlineLevel="0" collapsed="false">
      <c r="A1196" s="6" t="s">
        <v>4429</v>
      </c>
      <c r="B1196" s="6" t="s">
        <v>559</v>
      </c>
      <c r="C1196" s="6" t="s">
        <v>564</v>
      </c>
      <c r="D1196" s="6" t="n">
        <v>6</v>
      </c>
      <c r="E1196" s="9" t="s">
        <v>5102</v>
      </c>
      <c r="F1196" s="1" t="n">
        <v>329000</v>
      </c>
      <c r="I1196" s="1" t="n">
        <v>174000</v>
      </c>
      <c r="J1196" s="1" t="n">
        <v>37000</v>
      </c>
      <c r="K1196" s="1" t="n">
        <v>23000</v>
      </c>
      <c r="L1196" s="1" t="n">
        <v>47000</v>
      </c>
      <c r="M1196" s="1" t="n">
        <v>0</v>
      </c>
      <c r="N1196" s="1" t="n">
        <v>0</v>
      </c>
      <c r="O1196" s="1" t="n">
        <v>65000</v>
      </c>
      <c r="P1196" s="1" t="n">
        <v>0</v>
      </c>
      <c r="Q1196" s="1" t="str">
        <f aca="false">IF($A1007="","",IF(OR(F1007="",I1007=""),"",F1007-I1007))</f>
        <v/>
      </c>
      <c r="R1196" s="1" t="str">
        <f aca="false">IF($A1007="","",IF(Q1007="","",Q1007+IF(O1007="",0,O1007)))</f>
        <v/>
      </c>
      <c r="S1196" s="1" t="n">
        <v>0</v>
      </c>
      <c r="T1196" s="1" t="str">
        <f aca="false">IF($A1007="","",IF(R1007="","",R1007-IF(S1007="",0,S1007)))</f>
        <v/>
      </c>
      <c r="U1196" s="1" t="str">
        <f aca="false">IF($A1007="","",IF(I1007="","",I1007-SUM(J1007:P1007)))</f>
        <v/>
      </c>
      <c r="V1196" s="6" t="s">
        <v>5345</v>
      </c>
      <c r="W1196" s="9" t="s">
        <v>774</v>
      </c>
      <c r="X1196" s="6" t="s">
        <v>5346</v>
      </c>
      <c r="Y1196" s="9" t="s">
        <v>4897</v>
      </c>
      <c r="Z1196" s="9" t="s">
        <v>4898</v>
      </c>
      <c r="AA1196" s="9" t="s">
        <v>4899</v>
      </c>
    </row>
    <row r="1197" customFormat="false" ht="15" hidden="false" customHeight="true" outlineLevel="0" collapsed="false">
      <c r="A1197" s="6" t="s">
        <v>4432</v>
      </c>
      <c r="B1197" s="6" t="s">
        <v>559</v>
      </c>
      <c r="C1197" s="6" t="s">
        <v>564</v>
      </c>
      <c r="D1197" s="6" t="n">
        <v>6</v>
      </c>
      <c r="E1197" s="9" t="s">
        <v>5206</v>
      </c>
      <c r="F1197" s="6" t="n">
        <v>44000</v>
      </c>
      <c r="I1197" s="1" t="n">
        <v>54000</v>
      </c>
      <c r="J1197" s="1" t="n">
        <v>13000</v>
      </c>
      <c r="K1197" s="1" t="n">
        <v>7000</v>
      </c>
      <c r="L1197" s="1" t="n">
        <v>15000</v>
      </c>
      <c r="M1197" s="1" t="n">
        <v>0</v>
      </c>
      <c r="N1197" s="1" t="n">
        <v>2000</v>
      </c>
      <c r="O1197" s="1" t="n">
        <v>15000</v>
      </c>
      <c r="P1197" s="1" t="n">
        <v>0</v>
      </c>
      <c r="Q1197" s="1" t="str">
        <f aca="false">IF($A1008="","",IF(OR(F1008="",I1008=""),"",F1008-I1008))</f>
        <v/>
      </c>
      <c r="R1197" s="1" t="str">
        <f aca="false">IF($A1008="","",IF(Q1008="","",Q1008+IF(O1008="",0,O1008)))</f>
        <v/>
      </c>
      <c r="S1197" s="1" t="n">
        <v>1000</v>
      </c>
      <c r="T1197" s="1" t="str">
        <f aca="false">IF($A1008="","",IF(R1008="","",R1008-IF(S1008="",0,S1008)))</f>
        <v/>
      </c>
      <c r="U1197" s="1" t="str">
        <f aca="false">IF($A1008="","",IF(I1008="","",I1008-SUM(J1008:P1008)))</f>
        <v/>
      </c>
      <c r="V1197" s="6" t="s">
        <v>5342</v>
      </c>
      <c r="W1197" s="9" t="s">
        <v>774</v>
      </c>
      <c r="X1197" s="9" t="s">
        <v>5343</v>
      </c>
      <c r="Y1197" s="9" t="s">
        <v>4897</v>
      </c>
      <c r="Z1197" s="9" t="s">
        <v>4898</v>
      </c>
      <c r="AA1197" s="9" t="s">
        <v>4943</v>
      </c>
    </row>
    <row r="1198" customFormat="false" ht="15" hidden="false" customHeight="true" outlineLevel="0" collapsed="false">
      <c r="A1198" s="6" t="s">
        <v>4435</v>
      </c>
      <c r="B1198" s="6" t="s">
        <v>559</v>
      </c>
      <c r="C1198" s="6" t="s">
        <v>564</v>
      </c>
      <c r="D1198" s="6" t="n">
        <v>6</v>
      </c>
      <c r="E1198" s="9" t="s">
        <v>5102</v>
      </c>
      <c r="F1198" s="1" t="n">
        <v>330000</v>
      </c>
      <c r="I1198" s="1" t="n">
        <v>212000</v>
      </c>
      <c r="J1198" s="1" t="n">
        <v>48000</v>
      </c>
      <c r="K1198" s="1" t="n">
        <v>43000</v>
      </c>
      <c r="L1198" s="1" t="n">
        <v>30000</v>
      </c>
      <c r="M1198" s="1" t="n">
        <v>0</v>
      </c>
      <c r="N1198" s="1" t="n">
        <v>40000</v>
      </c>
      <c r="O1198" s="1" t="n">
        <v>48000</v>
      </c>
      <c r="P1198" s="1" t="n">
        <v>0</v>
      </c>
      <c r="Q1198" s="1" t="str">
        <f aca="false">IF($A1009="","",IF(OR(F1009="",I1009=""),"",F1009-I1009))</f>
        <v/>
      </c>
      <c r="R1198" s="1" t="str">
        <f aca="false">IF($A1009="","",IF(Q1009="","",Q1009+IF(O1009="",0,O1009)))</f>
        <v/>
      </c>
      <c r="S1198" s="1" t="n">
        <v>70000</v>
      </c>
      <c r="T1198" s="1" t="str">
        <f aca="false">IF($A1009="","",IF(R1009="","",R1009-IF(S1009="",0,S1009)))</f>
        <v/>
      </c>
      <c r="U1198" s="1" t="str">
        <f aca="false">IF($A1009="","",IF(I1009="","",I1009-SUM(J1009:P1009)))</f>
        <v/>
      </c>
      <c r="V1198" s="6" t="s">
        <v>5345</v>
      </c>
      <c r="W1198" s="9" t="s">
        <v>774</v>
      </c>
      <c r="X1198" s="6" t="s">
        <v>5346</v>
      </c>
      <c r="Y1198" s="9" t="s">
        <v>4897</v>
      </c>
      <c r="Z1198" s="9" t="s">
        <v>4898</v>
      </c>
      <c r="AA1198" s="9" t="s">
        <v>4899</v>
      </c>
    </row>
    <row r="1199" customFormat="false" ht="15" hidden="false" customHeight="true" outlineLevel="0" collapsed="false">
      <c r="A1199" s="6" t="s">
        <v>4438</v>
      </c>
      <c r="B1199" s="6" t="s">
        <v>559</v>
      </c>
      <c r="C1199" s="6" t="s">
        <v>564</v>
      </c>
      <c r="D1199" s="6" t="n">
        <v>6</v>
      </c>
      <c r="E1199" s="9" t="s">
        <v>5102</v>
      </c>
      <c r="F1199" s="1" t="n">
        <v>174000</v>
      </c>
      <c r="I1199" s="1" t="n">
        <v>65000</v>
      </c>
      <c r="J1199" s="1" t="n">
        <v>12000</v>
      </c>
      <c r="K1199" s="1" t="n">
        <v>8000</v>
      </c>
      <c r="L1199" s="1" t="n">
        <v>14000</v>
      </c>
      <c r="M1199" s="1" t="n">
        <v>0</v>
      </c>
      <c r="N1199" s="1" t="n">
        <v>1000</v>
      </c>
      <c r="O1199" s="1" t="n">
        <v>27000</v>
      </c>
      <c r="P1199" s="1" t="n">
        <v>0</v>
      </c>
      <c r="Q1199" s="1" t="str">
        <f aca="false">IF($A1010="","",IF(OR(F1010="",I1010=""),"",F1010-I1010))</f>
        <v/>
      </c>
      <c r="R1199" s="1" t="str">
        <f aca="false">IF($A1010="","",IF(Q1010="","",Q1010+IF(O1010="",0,O1010)))</f>
        <v/>
      </c>
      <c r="S1199" s="1" t="n">
        <v>0</v>
      </c>
      <c r="T1199" s="1" t="str">
        <f aca="false">IF($A1010="","",IF(R1010="","",R1010-IF(S1010="",0,S1010)))</f>
        <v/>
      </c>
      <c r="U1199" s="1" t="str">
        <f aca="false">IF($A1010="","",IF(I1010="","",I1010-SUM(J1010:P1010)))</f>
        <v/>
      </c>
      <c r="V1199" s="6" t="s">
        <v>5345</v>
      </c>
      <c r="W1199" s="9" t="s">
        <v>774</v>
      </c>
      <c r="X1199" s="6" t="s">
        <v>5346</v>
      </c>
      <c r="Y1199" s="9" t="s">
        <v>4897</v>
      </c>
      <c r="Z1199" s="9" t="s">
        <v>4898</v>
      </c>
      <c r="AA1199" s="9" t="s">
        <v>4899</v>
      </c>
    </row>
    <row r="1200" customFormat="false" ht="15" hidden="false" customHeight="true" outlineLevel="0" collapsed="false">
      <c r="A1200" s="6" t="s">
        <v>4441</v>
      </c>
      <c r="B1200" s="6" t="s">
        <v>559</v>
      </c>
      <c r="C1200" s="6" t="s">
        <v>564</v>
      </c>
      <c r="D1200" s="6" t="n">
        <v>6</v>
      </c>
      <c r="E1200" s="9" t="s">
        <v>5206</v>
      </c>
      <c r="F1200" s="6" t="n">
        <v>128000</v>
      </c>
      <c r="I1200" s="1" t="n">
        <v>856000</v>
      </c>
      <c r="J1200" s="1" t="n">
        <v>169000</v>
      </c>
      <c r="K1200" s="1" t="n">
        <v>124000</v>
      </c>
      <c r="L1200" s="1" t="n">
        <v>149000</v>
      </c>
      <c r="M1200" s="1" t="n">
        <v>2000</v>
      </c>
      <c r="N1200" s="1" t="n">
        <v>67000</v>
      </c>
      <c r="O1200" s="1" t="n">
        <v>343000</v>
      </c>
      <c r="P1200" s="1" t="n">
        <v>0</v>
      </c>
      <c r="Q1200" s="1" t="str">
        <f aca="false">IF($A1011="","",IF(OR(F1011="",I1011=""),"",F1011-I1011))</f>
        <v/>
      </c>
      <c r="R1200" s="1" t="str">
        <f aca="false">IF($A1011="","",IF(Q1011="","",Q1011+IF(O1011="",0,O1011)))</f>
        <v/>
      </c>
      <c r="S1200" s="1" t="n">
        <v>297000</v>
      </c>
      <c r="T1200" s="1" t="n">
        <f aca="false">IF($A1011="","",IF(R1011="","",R1011-IF(S1011="",0,S1011)))</f>
        <v>3175</v>
      </c>
      <c r="U1200" s="1" t="str">
        <f aca="false">IF($A1011="","",IF(I1011="","",I1011-SUM(J1011:P1011)))</f>
        <v/>
      </c>
      <c r="V1200" s="6" t="s">
        <v>5342</v>
      </c>
      <c r="W1200" s="9" t="s">
        <v>774</v>
      </c>
      <c r="X1200" s="9" t="s">
        <v>5343</v>
      </c>
      <c r="Y1200" s="9" t="s">
        <v>4897</v>
      </c>
      <c r="Z1200" s="9" t="s">
        <v>4898</v>
      </c>
      <c r="AA1200" s="9" t="s">
        <v>4903</v>
      </c>
    </row>
    <row r="1201" customFormat="false" ht="15" hidden="false" customHeight="true" outlineLevel="0" collapsed="false">
      <c r="A1201" s="6" t="s">
        <v>4444</v>
      </c>
      <c r="B1201" s="6" t="s">
        <v>559</v>
      </c>
      <c r="C1201" s="6" t="s">
        <v>564</v>
      </c>
      <c r="D1201" s="6" t="n">
        <v>6</v>
      </c>
      <c r="E1201" s="9" t="s">
        <v>5102</v>
      </c>
      <c r="F1201" s="1" t="n">
        <v>902000</v>
      </c>
      <c r="I1201" s="1" t="n">
        <v>470000</v>
      </c>
      <c r="J1201" s="1" t="n">
        <v>75000</v>
      </c>
      <c r="K1201" s="1" t="n">
        <v>56000</v>
      </c>
      <c r="L1201" s="1" t="n">
        <v>99000</v>
      </c>
      <c r="M1201" s="1" t="n">
        <v>0</v>
      </c>
      <c r="N1201" s="1" t="n">
        <v>60000</v>
      </c>
      <c r="O1201" s="1" t="n">
        <v>177000</v>
      </c>
      <c r="P1201" s="1" t="n">
        <v>0</v>
      </c>
      <c r="Q1201" s="1" t="str">
        <f aca="false">IF($A1012="","",IF(OR(F1012="",I1012=""),"",F1012-I1012))</f>
        <v/>
      </c>
      <c r="R1201" s="1" t="str">
        <f aca="false">IF($A1012="","",IF(Q1012="","",Q1012+IF(O1012="",0,O1012)))</f>
        <v/>
      </c>
      <c r="S1201" s="1" t="n">
        <v>53000</v>
      </c>
      <c r="T1201" s="1" t="n">
        <f aca="false">IF($A1012="","",IF(R1012="","",R1012-IF(S1012="",0,S1012)))</f>
        <v>32446</v>
      </c>
      <c r="U1201" s="1" t="str">
        <f aca="false">IF($A1012="","",IF(I1012="","",I1012-SUM(J1012:P1012)))</f>
        <v/>
      </c>
      <c r="V1201" s="6" t="s">
        <v>5345</v>
      </c>
      <c r="W1201" s="9" t="s">
        <v>774</v>
      </c>
      <c r="X1201" s="6" t="s">
        <v>5346</v>
      </c>
      <c r="Y1201" s="9" t="s">
        <v>4897</v>
      </c>
      <c r="Z1201" s="9" t="s">
        <v>4898</v>
      </c>
      <c r="AA1201" s="9" t="s">
        <v>4899</v>
      </c>
    </row>
    <row r="1202" customFormat="false" ht="15" hidden="false" customHeight="true" outlineLevel="0" collapsed="false">
      <c r="A1202" s="6" t="s">
        <v>4447</v>
      </c>
      <c r="B1202" s="6" t="s">
        <v>559</v>
      </c>
      <c r="C1202" s="6" t="s">
        <v>564</v>
      </c>
      <c r="D1202" s="6" t="n">
        <v>6</v>
      </c>
      <c r="E1202" s="9" t="s">
        <v>5102</v>
      </c>
      <c r="F1202" s="1" t="n">
        <v>653000</v>
      </c>
      <c r="I1202" s="1" t="n">
        <v>241000</v>
      </c>
      <c r="J1202" s="1" t="n">
        <v>65000</v>
      </c>
      <c r="K1202" s="1" t="n">
        <v>16000</v>
      </c>
      <c r="L1202" s="1" t="n">
        <v>0</v>
      </c>
      <c r="M1202" s="1" t="n">
        <v>0</v>
      </c>
      <c r="N1202" s="1" t="n">
        <v>7000</v>
      </c>
      <c r="O1202" s="1" t="n">
        <v>147000</v>
      </c>
      <c r="P1202" s="1" t="n">
        <v>3000</v>
      </c>
      <c r="Q1202" s="1" t="str">
        <f aca="false">IF($A1013="","",IF(OR(F1013="",I1013=""),"",F1013-I1013))</f>
        <v/>
      </c>
      <c r="R1202" s="1" t="str">
        <f aca="false">IF($A1013="","",IF(Q1013="","",Q1013+IF(O1013="",0,O1013)))</f>
        <v/>
      </c>
      <c r="S1202" s="1" t="n">
        <v>3000</v>
      </c>
      <c r="T1202" s="1" t="n">
        <f aca="false">IF($A1013="","",IF(R1013="","",R1013-IF(S1013="",0,S1013)))</f>
        <v>19255</v>
      </c>
      <c r="U1202" s="1" t="str">
        <f aca="false">IF($A1013="","",IF(I1013="","",I1013-SUM(J1013:P1013)))</f>
        <v/>
      </c>
      <c r="V1202" s="6" t="s">
        <v>5345</v>
      </c>
      <c r="W1202" s="9" t="s">
        <v>774</v>
      </c>
      <c r="X1202" s="6" t="s">
        <v>5346</v>
      </c>
      <c r="Y1202" s="9" t="s">
        <v>4897</v>
      </c>
      <c r="Z1202" s="9" t="s">
        <v>4898</v>
      </c>
      <c r="AA1202" s="9" t="s">
        <v>4899</v>
      </c>
    </row>
    <row r="1203" customFormat="false" ht="15" hidden="false" customHeight="true" outlineLevel="0" collapsed="false">
      <c r="A1203" s="6" t="s">
        <v>4450</v>
      </c>
      <c r="B1203" s="6" t="s">
        <v>559</v>
      </c>
      <c r="C1203" s="6" t="s">
        <v>564</v>
      </c>
      <c r="D1203" s="6" t="n">
        <v>6</v>
      </c>
      <c r="E1203" s="9" t="s">
        <v>5206</v>
      </c>
      <c r="F1203" s="6" t="n">
        <v>52000</v>
      </c>
      <c r="I1203" s="1" t="n">
        <v>119000</v>
      </c>
      <c r="J1203" s="1" t="n">
        <v>24000</v>
      </c>
      <c r="K1203" s="1" t="n">
        <v>15000</v>
      </c>
      <c r="L1203" s="1" t="n">
        <v>23000</v>
      </c>
      <c r="M1203" s="1" t="n">
        <v>0</v>
      </c>
      <c r="N1203" s="1" t="n">
        <v>10000</v>
      </c>
      <c r="O1203" s="1" t="n">
        <v>44000</v>
      </c>
      <c r="P1203" s="1" t="n">
        <v>0</v>
      </c>
      <c r="Q1203" s="1" t="str">
        <f aca="false">IF($A1014="","",IF(OR(F1014="",I1014=""),"",F1014-I1014))</f>
        <v/>
      </c>
      <c r="R1203" s="1" t="str">
        <f aca="false">IF($A1014="","",IF(Q1014="","",Q1014+IF(O1014="",0,O1014)))</f>
        <v/>
      </c>
      <c r="S1203" s="1" t="n">
        <v>62000</v>
      </c>
      <c r="T1203" s="1" t="n">
        <f aca="false">IF($A1014="","",IF(R1014="","",R1014-IF(S1014="",0,S1014)))</f>
        <v>23283</v>
      </c>
      <c r="U1203" s="1" t="str">
        <f aca="false">IF($A1014="","",IF(I1014="","",I1014-SUM(J1014:P1014)))</f>
        <v/>
      </c>
      <c r="V1203" s="6" t="s">
        <v>5342</v>
      </c>
      <c r="W1203" s="9" t="s">
        <v>774</v>
      </c>
      <c r="X1203" s="9" t="s">
        <v>5343</v>
      </c>
      <c r="Y1203" s="9" t="s">
        <v>4897</v>
      </c>
      <c r="Z1203" s="9" t="s">
        <v>4898</v>
      </c>
      <c r="AA1203" s="9" t="s">
        <v>4903</v>
      </c>
    </row>
    <row r="1204" customFormat="false" ht="15" hidden="false" customHeight="true" outlineLevel="0" collapsed="false">
      <c r="A1204" s="6" t="s">
        <v>4453</v>
      </c>
      <c r="B1204" s="6" t="s">
        <v>559</v>
      </c>
      <c r="C1204" s="6" t="s">
        <v>564</v>
      </c>
      <c r="D1204" s="6" t="n">
        <v>6</v>
      </c>
      <c r="E1204" s="9" t="s">
        <v>5206</v>
      </c>
      <c r="F1204" s="6" t="n">
        <v>543000</v>
      </c>
      <c r="I1204" s="1" t="n">
        <v>1363000</v>
      </c>
      <c r="Q1204" s="1" t="str">
        <f aca="false">IF($A1015="","",IF(OR(F1015="",I1015=""),"",F1015-I1015))</f>
        <v/>
      </c>
      <c r="R1204" s="1" t="str">
        <f aca="false">IF($A1015="","",IF(Q1015="","",Q1015+IF(O1015="",0,O1015)))</f>
        <v/>
      </c>
      <c r="S1204" s="1" t="n">
        <v>690000</v>
      </c>
      <c r="T1204" s="1" t="n">
        <f aca="false">IF($A1015="","",IF(R1015="","",R1015-IF(S1015="",0,S1015)))</f>
        <v>25</v>
      </c>
      <c r="U1204" s="1" t="str">
        <f aca="false">IF($A1015="","",IF(I1015="","",I1015-SUM(J1015:P1015)))</f>
        <v/>
      </c>
      <c r="V1204" s="6" t="s">
        <v>5342</v>
      </c>
      <c r="W1204" s="9" t="s">
        <v>774</v>
      </c>
      <c r="X1204" s="9" t="s">
        <v>5343</v>
      </c>
      <c r="Y1204" s="9" t="s">
        <v>4897</v>
      </c>
      <c r="Z1204" s="9" t="s">
        <v>4898</v>
      </c>
      <c r="AA1204" s="9" t="s">
        <v>4903</v>
      </c>
    </row>
    <row r="1205" customFormat="false" ht="15" hidden="false" customHeight="true" outlineLevel="0" collapsed="false">
      <c r="A1205" s="6" t="s">
        <v>4456</v>
      </c>
      <c r="B1205" s="6" t="s">
        <v>559</v>
      </c>
      <c r="C1205" s="6" t="s">
        <v>564</v>
      </c>
      <c r="D1205" s="6" t="n">
        <v>6</v>
      </c>
      <c r="E1205" s="9" t="s">
        <v>5102</v>
      </c>
      <c r="F1205" s="1" t="n">
        <v>200000</v>
      </c>
      <c r="I1205" s="1" t="n">
        <v>93000</v>
      </c>
      <c r="J1205" s="1" t="n">
        <v>16000</v>
      </c>
      <c r="K1205" s="1" t="n">
        <v>11000</v>
      </c>
      <c r="L1205" s="1" t="n">
        <v>32000</v>
      </c>
      <c r="M1205" s="1" t="n">
        <v>0</v>
      </c>
      <c r="N1205" s="1" t="n">
        <v>5000</v>
      </c>
      <c r="O1205" s="1" t="n">
        <v>28000</v>
      </c>
      <c r="P1205" s="1" t="n">
        <v>0</v>
      </c>
      <c r="Q1205" s="1" t="str">
        <f aca="false">IF($A1016="","",IF(OR(F1016="",I1016=""),"",F1016-I1016))</f>
        <v/>
      </c>
      <c r="R1205" s="1" t="str">
        <f aca="false">IF($A1016="","",IF(Q1016="","",Q1016+IF(O1016="",0,O1016)))</f>
        <v/>
      </c>
      <c r="S1205" s="1" t="n">
        <v>1000</v>
      </c>
      <c r="T1205" s="1" t="n">
        <f aca="false">IF($A1016="","",IF(R1016="","",R1016-IF(S1016="",0,S1016)))</f>
        <v>54114</v>
      </c>
      <c r="U1205" s="1" t="str">
        <f aca="false">IF($A1016="","",IF(I1016="","",I1016-SUM(J1016:P1016)))</f>
        <v/>
      </c>
      <c r="V1205" s="6" t="s">
        <v>5345</v>
      </c>
      <c r="W1205" s="9" t="s">
        <v>774</v>
      </c>
      <c r="X1205" s="6" t="s">
        <v>5346</v>
      </c>
      <c r="Y1205" s="9" t="s">
        <v>4897</v>
      </c>
      <c r="Z1205" s="9" t="s">
        <v>4898</v>
      </c>
      <c r="AA1205" s="9" t="s">
        <v>4899</v>
      </c>
    </row>
    <row r="1206" customFormat="false" ht="15" hidden="false" customHeight="true" outlineLevel="0" collapsed="false">
      <c r="A1206" s="6" t="s">
        <v>4459</v>
      </c>
      <c r="B1206" s="6" t="s">
        <v>559</v>
      </c>
      <c r="C1206" s="6" t="s">
        <v>564</v>
      </c>
      <c r="D1206" s="6" t="n">
        <v>6</v>
      </c>
      <c r="E1206" s="9" t="s">
        <v>5102</v>
      </c>
      <c r="F1206" s="1" t="n">
        <v>599000</v>
      </c>
      <c r="I1206" s="1" t="n">
        <v>271000</v>
      </c>
      <c r="J1206" s="1" t="n">
        <v>45000</v>
      </c>
      <c r="K1206" s="1" t="n">
        <v>32000</v>
      </c>
      <c r="L1206" s="1" t="n">
        <v>58000</v>
      </c>
      <c r="M1206" s="1" t="n">
        <v>0</v>
      </c>
      <c r="N1206" s="1" t="n">
        <v>1000</v>
      </c>
      <c r="O1206" s="1" t="n">
        <v>132000</v>
      </c>
      <c r="P1206" s="1" t="n">
        <v>0</v>
      </c>
      <c r="Q1206" s="1" t="str">
        <f aca="false">IF($A1017="","",IF(OR(F1017="",I1017=""),"",F1017-I1017))</f>
        <v/>
      </c>
      <c r="R1206" s="1" t="str">
        <f aca="false">IF($A1017="","",IF(Q1017="","",Q1017+IF(O1017="",0,O1017)))</f>
        <v/>
      </c>
      <c r="S1206" s="1" t="n">
        <v>0</v>
      </c>
      <c r="T1206" s="1" t="n">
        <f aca="false">IF($A1017="","",IF(R1017="","",R1017-IF(S1017="",0,S1017)))</f>
        <v>24836</v>
      </c>
      <c r="U1206" s="1" t="str">
        <f aca="false">IF($A1017="","",IF(I1017="","",I1017-SUM(J1017:P1017)))</f>
        <v/>
      </c>
      <c r="V1206" s="6" t="s">
        <v>5345</v>
      </c>
      <c r="W1206" s="9" t="s">
        <v>774</v>
      </c>
      <c r="X1206" s="6" t="s">
        <v>5346</v>
      </c>
      <c r="Y1206" s="9" t="s">
        <v>4897</v>
      </c>
      <c r="Z1206" s="9" t="s">
        <v>4898</v>
      </c>
      <c r="AA1206" s="9" t="s">
        <v>4899</v>
      </c>
    </row>
    <row r="1207" customFormat="false" ht="15" hidden="false" customHeight="true" outlineLevel="0" collapsed="false">
      <c r="A1207" s="6" t="s">
        <v>4462</v>
      </c>
      <c r="B1207" s="6" t="s">
        <v>559</v>
      </c>
      <c r="C1207" s="6" t="s">
        <v>564</v>
      </c>
      <c r="D1207" s="6" t="n">
        <v>6</v>
      </c>
      <c r="E1207" s="9" t="s">
        <v>5102</v>
      </c>
      <c r="F1207" s="1" t="n">
        <v>352000</v>
      </c>
      <c r="I1207" s="1" t="n">
        <v>135000</v>
      </c>
      <c r="J1207" s="1" t="n">
        <v>26000</v>
      </c>
      <c r="K1207" s="1" t="n">
        <v>18000</v>
      </c>
      <c r="L1207" s="1" t="n">
        <v>30000</v>
      </c>
      <c r="M1207" s="1" t="n">
        <v>0</v>
      </c>
      <c r="N1207" s="1" t="n">
        <v>1000</v>
      </c>
      <c r="O1207" s="1" t="n">
        <v>58000</v>
      </c>
      <c r="P1207" s="1" t="n">
        <v>0</v>
      </c>
      <c r="Q1207" s="1" t="str">
        <f aca="false">IF($A1018="","",IF(OR(F1018="",I1018=""),"",F1018-I1018))</f>
        <v/>
      </c>
      <c r="R1207" s="1" t="str">
        <f aca="false">IF($A1018="","",IF(Q1018="","",Q1018+IF(O1018="",0,O1018)))</f>
        <v/>
      </c>
      <c r="S1207" s="1" t="n">
        <v>5000</v>
      </c>
      <c r="T1207" s="1" t="n">
        <f aca="false">IF($A1018="","",IF(R1018="","",R1018-IF(S1018="",0,S1018)))</f>
        <v>121000</v>
      </c>
      <c r="U1207" s="1" t="str">
        <f aca="false">IF($A1018="","",IF(I1018="","",I1018-SUM(J1018:P1018)))</f>
        <v/>
      </c>
      <c r="V1207" s="6" t="s">
        <v>5345</v>
      </c>
      <c r="W1207" s="9" t="s">
        <v>774</v>
      </c>
      <c r="X1207" s="6" t="s">
        <v>5346</v>
      </c>
      <c r="Y1207" s="9" t="s">
        <v>4897</v>
      </c>
      <c r="Z1207" s="9" t="s">
        <v>4898</v>
      </c>
      <c r="AA1207" s="9" t="s">
        <v>4899</v>
      </c>
    </row>
    <row r="1208" customFormat="false" ht="15" hidden="false" customHeight="true" outlineLevel="0" collapsed="false">
      <c r="A1208" s="6" t="s">
        <v>4465</v>
      </c>
      <c r="B1208" s="6" t="s">
        <v>559</v>
      </c>
      <c r="C1208" s="6" t="s">
        <v>564</v>
      </c>
      <c r="D1208" s="6" t="n">
        <v>6</v>
      </c>
      <c r="E1208" s="9" t="s">
        <v>5206</v>
      </c>
      <c r="F1208" s="6" t="n">
        <v>202000</v>
      </c>
      <c r="I1208" s="1" t="n">
        <v>63000</v>
      </c>
      <c r="J1208" s="1" t="n">
        <v>11000</v>
      </c>
      <c r="K1208" s="1" t="n">
        <v>8000</v>
      </c>
      <c r="L1208" s="1" t="n">
        <v>26000</v>
      </c>
      <c r="M1208" s="1" t="n">
        <v>0</v>
      </c>
      <c r="N1208" s="1" t="n">
        <v>3000</v>
      </c>
      <c r="O1208" s="1" t="n">
        <v>13000</v>
      </c>
      <c r="P1208" s="1" t="n">
        <v>0</v>
      </c>
      <c r="Q1208" s="1" t="str">
        <f aca="false">IF($A1019="","",IF(OR(F1019="",I1019=""),"",F1019-I1019))</f>
        <v/>
      </c>
      <c r="R1208" s="1" t="str">
        <f aca="false">IF($A1019="","",IF(Q1019="","",Q1019+IF(O1019="",0,O1019)))</f>
        <v/>
      </c>
      <c r="S1208" s="1" t="n">
        <v>0</v>
      </c>
      <c r="T1208" s="1" t="n">
        <f aca="false">IF($A1019="","",IF(R1019="","",R1019-IF(S1019="",0,S1019)))</f>
        <v>7000</v>
      </c>
      <c r="U1208" s="1" t="str">
        <f aca="false">IF($A1019="","",IF(I1019="","",I1019-SUM(J1019:P1019)))</f>
        <v/>
      </c>
      <c r="V1208" s="6" t="s">
        <v>5342</v>
      </c>
      <c r="W1208" s="9" t="s">
        <v>774</v>
      </c>
      <c r="X1208" s="9" t="s">
        <v>5343</v>
      </c>
      <c r="Y1208" s="9" t="s">
        <v>4897</v>
      </c>
      <c r="Z1208" s="9" t="s">
        <v>4898</v>
      </c>
      <c r="AA1208" s="9" t="s">
        <v>4903</v>
      </c>
    </row>
    <row r="1209" customFormat="false" ht="15" hidden="false" customHeight="true" outlineLevel="0" collapsed="false">
      <c r="A1209" s="6" t="s">
        <v>4468</v>
      </c>
      <c r="B1209" s="6" t="s">
        <v>559</v>
      </c>
      <c r="C1209" s="6" t="s">
        <v>564</v>
      </c>
      <c r="D1209" s="6" t="n">
        <v>6</v>
      </c>
      <c r="E1209" s="9" t="s">
        <v>5206</v>
      </c>
      <c r="F1209" s="6" t="n">
        <v>167000</v>
      </c>
      <c r="I1209" s="1" t="n">
        <v>207000</v>
      </c>
      <c r="J1209" s="1" t="n">
        <v>29000</v>
      </c>
      <c r="K1209" s="1" t="n">
        <v>26000</v>
      </c>
      <c r="L1209" s="1" t="n">
        <v>80000</v>
      </c>
      <c r="M1209" s="1" t="n">
        <v>0</v>
      </c>
      <c r="N1209" s="1" t="n">
        <v>13000</v>
      </c>
      <c r="O1209" s="1" t="n">
        <v>57000</v>
      </c>
      <c r="P1209" s="1" t="n">
        <v>0</v>
      </c>
      <c r="Q1209" s="1" t="str">
        <f aca="false">IF($A1020="","",IF(OR(F1020="",I1020=""),"",F1020-I1020))</f>
        <v/>
      </c>
      <c r="R1209" s="1" t="str">
        <f aca="false">IF($A1020="","",IF(Q1020="","",Q1020+IF(O1020="",0,O1020)))</f>
        <v/>
      </c>
      <c r="S1209" s="1" t="n">
        <v>9000</v>
      </c>
      <c r="T1209" s="1" t="n">
        <f aca="false">IF($A1020="","",IF(R1020="","",R1020-IF(S1020="",0,S1020)))</f>
        <v>68000</v>
      </c>
      <c r="U1209" s="1" t="str">
        <f aca="false">IF($A1020="","",IF(I1020="","",I1020-SUM(J1020:P1020)))</f>
        <v/>
      </c>
      <c r="V1209" s="6" t="s">
        <v>5342</v>
      </c>
      <c r="W1209" s="9" t="s">
        <v>774</v>
      </c>
      <c r="X1209" s="9" t="s">
        <v>5343</v>
      </c>
      <c r="Y1209" s="9" t="s">
        <v>4897</v>
      </c>
      <c r="Z1209" s="9" t="s">
        <v>4898</v>
      </c>
      <c r="AA1209" s="9" t="s">
        <v>4903</v>
      </c>
    </row>
    <row r="1210" customFormat="false" ht="15" hidden="false" customHeight="true" outlineLevel="0" collapsed="false">
      <c r="A1210" s="6" t="s">
        <v>4471</v>
      </c>
      <c r="B1210" s="6" t="s">
        <v>559</v>
      </c>
      <c r="C1210" s="6" t="s">
        <v>564</v>
      </c>
      <c r="D1210" s="6" t="n">
        <v>6</v>
      </c>
      <c r="E1210" s="9" t="s">
        <v>5102</v>
      </c>
      <c r="F1210" s="1" t="n">
        <v>600000</v>
      </c>
      <c r="I1210" s="1" t="n">
        <v>120000</v>
      </c>
      <c r="J1210" s="1" t="n">
        <v>0</v>
      </c>
      <c r="K1210" s="1" t="n">
        <v>0</v>
      </c>
      <c r="L1210" s="1" t="n">
        <v>120000</v>
      </c>
      <c r="M1210" s="1" t="n">
        <v>0</v>
      </c>
      <c r="N1210" s="1" t="n">
        <v>0</v>
      </c>
      <c r="O1210" s="1" t="n">
        <v>0</v>
      </c>
      <c r="P1210" s="1" t="n">
        <v>0</v>
      </c>
      <c r="Q1210" s="1" t="str">
        <f aca="false">IF($A1021="","",IF(OR(F1021="",I1021=""),"",F1021-I1021))</f>
        <v/>
      </c>
      <c r="R1210" s="1" t="str">
        <f aca="false">IF($A1021="","",IF(Q1021="","",Q1021+IF(O1021="",0,O1021)))</f>
        <v/>
      </c>
      <c r="S1210" s="1" t="n">
        <v>0</v>
      </c>
      <c r="T1210" s="1" t="n">
        <f aca="false">IF($A1021="","",IF(R1021="","",R1021-IF(S1021="",0,S1021)))</f>
        <v>191000</v>
      </c>
      <c r="U1210" s="1" t="str">
        <f aca="false">IF($A1021="","",IF(I1021="","",I1021-SUM(J1021:P1021)))</f>
        <v/>
      </c>
      <c r="V1210" s="6" t="s">
        <v>5345</v>
      </c>
      <c r="W1210" s="9" t="s">
        <v>774</v>
      </c>
      <c r="X1210" s="6" t="s">
        <v>5346</v>
      </c>
      <c r="Y1210" s="9" t="s">
        <v>4897</v>
      </c>
      <c r="Z1210" s="9" t="s">
        <v>4898</v>
      </c>
      <c r="AA1210" s="9" t="s">
        <v>4899</v>
      </c>
    </row>
    <row r="1211" customFormat="false" ht="15" hidden="false" customHeight="true" outlineLevel="0" collapsed="false">
      <c r="A1211" s="6" t="s">
        <v>4474</v>
      </c>
      <c r="B1211" s="6" t="s">
        <v>559</v>
      </c>
      <c r="C1211" s="6" t="s">
        <v>564</v>
      </c>
      <c r="D1211" s="6" t="n">
        <v>6</v>
      </c>
      <c r="E1211" s="9" t="s">
        <v>5206</v>
      </c>
      <c r="F1211" s="6" t="n">
        <v>1029000</v>
      </c>
      <c r="I1211" s="1" t="n">
        <v>245000</v>
      </c>
      <c r="J1211" s="1" t="n">
        <v>55000</v>
      </c>
      <c r="K1211" s="1" t="n">
        <v>28000</v>
      </c>
      <c r="L1211" s="1" t="n">
        <v>43000</v>
      </c>
      <c r="M1211" s="1" t="n">
        <v>2000</v>
      </c>
      <c r="N1211" s="1" t="n">
        <v>3000</v>
      </c>
      <c r="O1211" s="1" t="n">
        <v>112000</v>
      </c>
      <c r="P1211" s="1" t="n">
        <v>0</v>
      </c>
      <c r="Q1211" s="1" t="str">
        <f aca="false">IF($A1022="","",IF(OR(F1022="",I1022=""),"",F1022-I1022))</f>
        <v/>
      </c>
      <c r="R1211" s="1" t="str">
        <f aca="false">IF($A1022="","",IF(Q1022="","",Q1022+IF(O1022="",0,O1022)))</f>
        <v/>
      </c>
      <c r="S1211" s="1" t="n">
        <v>7000</v>
      </c>
      <c r="T1211" s="1" t="n">
        <f aca="false">IF($A1022="","",IF(R1022="","",R1022-IF(S1022="",0,S1022)))</f>
        <v>146000</v>
      </c>
      <c r="U1211" s="1" t="str">
        <f aca="false">IF($A1022="","",IF(I1022="","",I1022-SUM(J1022:P1022)))</f>
        <v/>
      </c>
      <c r="V1211" s="6" t="s">
        <v>5342</v>
      </c>
      <c r="W1211" s="9" t="s">
        <v>774</v>
      </c>
      <c r="X1211" s="9" t="s">
        <v>5343</v>
      </c>
      <c r="Y1211" s="9" t="s">
        <v>4897</v>
      </c>
      <c r="Z1211" s="9" t="s">
        <v>4898</v>
      </c>
      <c r="AA1211" s="9" t="s">
        <v>4903</v>
      </c>
    </row>
    <row r="1212" customFormat="false" ht="15" hidden="false" customHeight="true" outlineLevel="0" collapsed="false">
      <c r="A1212" s="6" t="s">
        <v>4477</v>
      </c>
      <c r="B1212" s="6" t="s">
        <v>559</v>
      </c>
      <c r="C1212" s="6" t="s">
        <v>564</v>
      </c>
      <c r="D1212" s="6" t="n">
        <v>6</v>
      </c>
      <c r="E1212" s="9" t="s">
        <v>5102</v>
      </c>
      <c r="F1212" s="1" t="n">
        <v>714000</v>
      </c>
      <c r="I1212" s="1" t="n">
        <v>300000</v>
      </c>
      <c r="J1212" s="1" t="n">
        <v>69000</v>
      </c>
      <c r="K1212" s="1" t="n">
        <v>48000</v>
      </c>
      <c r="L1212" s="1" t="n">
        <v>41000</v>
      </c>
      <c r="M1212" s="1" t="n">
        <v>1000</v>
      </c>
      <c r="N1212" s="1" t="n">
        <v>21000</v>
      </c>
      <c r="O1212" s="1" t="n">
        <v>118000</v>
      </c>
      <c r="P1212" s="1" t="n">
        <v>0</v>
      </c>
      <c r="Q1212" s="1" t="str">
        <f aca="false">IF($A1023="","",IF(OR(F1023="",I1023=""),"",F1023-I1023))</f>
        <v/>
      </c>
      <c r="R1212" s="1" t="str">
        <f aca="false">IF($A1023="","",IF(Q1023="","",Q1023+IF(O1023="",0,O1023)))</f>
        <v/>
      </c>
      <c r="S1212" s="1" t="n">
        <v>6000</v>
      </c>
      <c r="T1212" s="1" t="n">
        <f aca="false">IF($A1023="","",IF(R1023="","",R1023-IF(S1023="",0,S1023)))</f>
        <v>169000</v>
      </c>
      <c r="U1212" s="1" t="str">
        <f aca="false">IF($A1023="","",IF(I1023="","",I1023-SUM(J1023:P1023)))</f>
        <v/>
      </c>
      <c r="V1212" s="6" t="s">
        <v>5345</v>
      </c>
      <c r="W1212" s="9" t="s">
        <v>774</v>
      </c>
      <c r="X1212" s="6" t="s">
        <v>5346</v>
      </c>
      <c r="Y1212" s="9" t="s">
        <v>4897</v>
      </c>
      <c r="Z1212" s="9" t="s">
        <v>4898</v>
      </c>
      <c r="AA1212" s="9" t="s">
        <v>4899</v>
      </c>
    </row>
    <row r="1213" customFormat="false" ht="15" hidden="false" customHeight="true" outlineLevel="0" collapsed="false">
      <c r="A1213" s="6" t="s">
        <v>4480</v>
      </c>
      <c r="B1213" s="6" t="s">
        <v>559</v>
      </c>
      <c r="C1213" s="6" t="s">
        <v>564</v>
      </c>
      <c r="D1213" s="6" t="n">
        <v>6</v>
      </c>
      <c r="E1213" s="9" t="s">
        <v>5102</v>
      </c>
      <c r="F1213" s="1" t="n">
        <v>818000</v>
      </c>
      <c r="I1213" s="1" t="n">
        <v>409000</v>
      </c>
      <c r="J1213" s="1" t="n">
        <v>70000</v>
      </c>
      <c r="K1213" s="1" t="n">
        <v>67000</v>
      </c>
      <c r="L1213" s="1" t="n">
        <v>67000</v>
      </c>
      <c r="M1213" s="1" t="n">
        <v>1000</v>
      </c>
      <c r="N1213" s="1" t="n">
        <v>15000</v>
      </c>
      <c r="O1213" s="1" t="n">
        <v>186000</v>
      </c>
      <c r="P1213" s="1" t="n">
        <v>0</v>
      </c>
      <c r="Q1213" s="1" t="str">
        <f aca="false">IF($A1024="","",IF(OR(F1024="",I1024=""),"",F1024-I1024))</f>
        <v/>
      </c>
      <c r="R1213" s="1" t="str">
        <f aca="false">IF($A1024="","",IF(Q1024="","",Q1024+IF(O1024="",0,O1024)))</f>
        <v/>
      </c>
      <c r="S1213" s="1" t="n">
        <v>44000</v>
      </c>
      <c r="T1213" s="1" t="str">
        <f aca="false">IF($A1024="","",IF(R1024="","",R1024-IF(S1024="",0,S1024)))</f>
        <v/>
      </c>
      <c r="U1213" s="1" t="str">
        <f aca="false">IF($A1024="","",IF(I1024="","",I1024-SUM(J1024:P1024)))</f>
        <v/>
      </c>
      <c r="V1213" s="6" t="s">
        <v>5345</v>
      </c>
      <c r="W1213" s="9" t="s">
        <v>774</v>
      </c>
      <c r="X1213" s="6" t="s">
        <v>5346</v>
      </c>
      <c r="Y1213" s="9" t="s">
        <v>4897</v>
      </c>
      <c r="Z1213" s="9" t="s">
        <v>4898</v>
      </c>
      <c r="AA1213" s="9" t="s">
        <v>4899</v>
      </c>
    </row>
    <row r="1214" customFormat="false" ht="15" hidden="false" customHeight="true" outlineLevel="0" collapsed="false">
      <c r="A1214" s="6" t="s">
        <v>4483</v>
      </c>
      <c r="B1214" s="6" t="s">
        <v>559</v>
      </c>
      <c r="C1214" s="6" t="s">
        <v>564</v>
      </c>
      <c r="D1214" s="6" t="n">
        <v>6</v>
      </c>
      <c r="E1214" s="9" t="s">
        <v>5102</v>
      </c>
      <c r="F1214" s="1" t="n">
        <v>625000</v>
      </c>
      <c r="I1214" s="1" t="n">
        <v>396000</v>
      </c>
      <c r="J1214" s="1" t="n">
        <v>69000</v>
      </c>
      <c r="K1214" s="1" t="n">
        <v>49000</v>
      </c>
      <c r="L1214" s="1" t="n">
        <v>47000</v>
      </c>
      <c r="M1214" s="1" t="n">
        <v>1000</v>
      </c>
      <c r="N1214" s="1" t="n">
        <v>59000</v>
      </c>
      <c r="O1214" s="1" t="n">
        <v>169000</v>
      </c>
      <c r="P1214" s="1" t="n">
        <v>0</v>
      </c>
      <c r="Q1214" s="1" t="str">
        <f aca="false">IF($A1025="","",IF(OR(F1025="",I1025=""),"",F1025-I1025))</f>
        <v/>
      </c>
      <c r="R1214" s="1" t="str">
        <f aca="false">IF($A1025="","",IF(Q1025="","",Q1025+IF(O1025="",0,O1025)))</f>
        <v/>
      </c>
      <c r="S1214" s="1" t="n">
        <v>67000</v>
      </c>
      <c r="T1214" s="1" t="n">
        <f aca="false">IF($A1025="","",IF(R1025="","",R1025-IF(S1025="",0,S1025)))</f>
        <v>460000</v>
      </c>
      <c r="U1214" s="1" t="str">
        <f aca="false">IF($A1025="","",IF(I1025="","",I1025-SUM(J1025:P1025)))</f>
        <v/>
      </c>
      <c r="V1214" s="6" t="s">
        <v>5345</v>
      </c>
      <c r="W1214" s="9" t="s">
        <v>774</v>
      </c>
      <c r="X1214" s="6" t="s">
        <v>5346</v>
      </c>
      <c r="Y1214" s="9" t="s">
        <v>4897</v>
      </c>
      <c r="Z1214" s="9" t="s">
        <v>4898</v>
      </c>
      <c r="AA1214" s="9" t="s">
        <v>4899</v>
      </c>
    </row>
    <row r="1215" customFormat="false" ht="15" hidden="false" customHeight="true" outlineLevel="0" collapsed="false">
      <c r="A1215" s="6" t="s">
        <v>4486</v>
      </c>
      <c r="B1215" s="6" t="s">
        <v>559</v>
      </c>
      <c r="C1215" s="6" t="s">
        <v>564</v>
      </c>
      <c r="D1215" s="6" t="n">
        <v>6</v>
      </c>
      <c r="E1215" s="9" t="s">
        <v>5102</v>
      </c>
      <c r="F1215" s="1" t="n">
        <v>199000</v>
      </c>
      <c r="I1215" s="1" t="n">
        <v>87000</v>
      </c>
      <c r="J1215" s="1" t="n">
        <v>14000</v>
      </c>
      <c r="K1215" s="1" t="n">
        <v>17000</v>
      </c>
      <c r="L1215" s="1" t="n">
        <v>17000</v>
      </c>
      <c r="M1215" s="1" t="n">
        <v>0</v>
      </c>
      <c r="N1215" s="1" t="n">
        <v>6000</v>
      </c>
      <c r="O1215" s="1" t="n">
        <v>31000</v>
      </c>
      <c r="P1215" s="1" t="n">
        <v>0</v>
      </c>
      <c r="Q1215" s="1" t="str">
        <f aca="false">IF($A1026="","",IF(OR(F1026="",I1026=""),"",F1026-I1026))</f>
        <v/>
      </c>
      <c r="R1215" s="1" t="str">
        <f aca="false">IF($A1026="","",IF(Q1026="","",Q1026+IF(O1026="",0,O1026)))</f>
        <v/>
      </c>
      <c r="S1215" s="1" t="n">
        <v>16000</v>
      </c>
      <c r="T1215" s="1" t="str">
        <f aca="false">IF($A1026="","",IF(R1026="","",R1026-IF(S1026="",0,S1026)))</f>
        <v/>
      </c>
      <c r="U1215" s="1" t="str">
        <f aca="false">IF($A1026="","",IF(I1026="","",I1026-SUM(J1026:P1026)))</f>
        <v/>
      </c>
      <c r="V1215" s="6" t="s">
        <v>5345</v>
      </c>
      <c r="W1215" s="9" t="s">
        <v>774</v>
      </c>
      <c r="X1215" s="6" t="s">
        <v>5346</v>
      </c>
      <c r="Y1215" s="9" t="s">
        <v>4897</v>
      </c>
      <c r="Z1215" s="9" t="s">
        <v>4898</v>
      </c>
      <c r="AA1215" s="9" t="s">
        <v>4899</v>
      </c>
    </row>
    <row r="1216" customFormat="false" ht="15" hidden="false" customHeight="true" outlineLevel="0" collapsed="false">
      <c r="A1216" s="6" t="s">
        <v>4489</v>
      </c>
      <c r="B1216" s="6" t="s">
        <v>559</v>
      </c>
      <c r="C1216" s="6" t="s">
        <v>564</v>
      </c>
      <c r="D1216" s="6" t="n">
        <v>6</v>
      </c>
      <c r="E1216" s="9" t="s">
        <v>5102</v>
      </c>
      <c r="F1216" s="1" t="n">
        <v>735000</v>
      </c>
      <c r="I1216" s="1" t="n">
        <v>452000</v>
      </c>
      <c r="J1216" s="1" t="n">
        <v>57000</v>
      </c>
      <c r="K1216" s="1" t="n">
        <v>44000</v>
      </c>
      <c r="L1216" s="1" t="n">
        <v>25000</v>
      </c>
      <c r="M1216" s="1" t="n">
        <v>0</v>
      </c>
      <c r="N1216" s="1" t="n">
        <v>17000</v>
      </c>
      <c r="O1216" s="1" t="n">
        <v>203000</v>
      </c>
      <c r="P1216" s="1" t="n">
        <v>103000</v>
      </c>
      <c r="Q1216" s="1" t="str">
        <f aca="false">IF($A1027="","",IF(OR(F1027="",I1027=""),"",F1027-I1027))</f>
        <v/>
      </c>
      <c r="R1216" s="1" t="str">
        <f aca="false">IF($A1027="","",IF(Q1027="","",Q1027+IF(O1027="",0,O1027)))</f>
        <v/>
      </c>
      <c r="S1216" s="1" t="n">
        <v>138000</v>
      </c>
      <c r="T1216" s="1" t="str">
        <f aca="false">IF($A1027="","",IF(R1027="","",R1027-IF(S1027="",0,S1027)))</f>
        <v/>
      </c>
      <c r="U1216" s="1" t="str">
        <f aca="false">IF($A1027="","",IF(I1027="","",I1027-SUM(J1027:P1027)))</f>
        <v/>
      </c>
      <c r="V1216" s="6" t="s">
        <v>5345</v>
      </c>
      <c r="W1216" s="9" t="s">
        <v>774</v>
      </c>
      <c r="X1216" s="6" t="s">
        <v>5346</v>
      </c>
      <c r="Y1216" s="9" t="s">
        <v>4897</v>
      </c>
      <c r="Z1216" s="9" t="s">
        <v>4898</v>
      </c>
      <c r="AA1216" s="9" t="s">
        <v>4899</v>
      </c>
    </row>
    <row r="1217" customFormat="false" ht="15" hidden="false" customHeight="true" outlineLevel="0" collapsed="false">
      <c r="A1217" s="6" t="s">
        <v>4492</v>
      </c>
      <c r="B1217" s="6" t="s">
        <v>559</v>
      </c>
      <c r="C1217" s="6" t="s">
        <v>564</v>
      </c>
      <c r="D1217" s="6" t="n">
        <v>6</v>
      </c>
      <c r="E1217" s="9" t="s">
        <v>5102</v>
      </c>
      <c r="F1217" s="1" t="n">
        <v>244000</v>
      </c>
      <c r="I1217" s="1" t="n">
        <v>128000</v>
      </c>
      <c r="J1217" s="1" t="n">
        <v>29000</v>
      </c>
      <c r="K1217" s="1" t="n">
        <v>18000</v>
      </c>
      <c r="L1217" s="1" t="n">
        <v>28000</v>
      </c>
      <c r="M1217" s="1" t="n">
        <v>0</v>
      </c>
      <c r="N1217" s="1" t="n">
        <v>0</v>
      </c>
      <c r="O1217" s="1" t="n">
        <v>51000</v>
      </c>
      <c r="P1217" s="1" t="n">
        <v>0</v>
      </c>
      <c r="Q1217" s="1" t="str">
        <f aca="false">IF($A1028="","",IF(OR(F1028="",I1028=""),"",F1028-I1028))</f>
        <v/>
      </c>
      <c r="R1217" s="1" t="str">
        <f aca="false">IF($A1028="","",IF(Q1028="","",Q1028+IF(O1028="",0,O1028)))</f>
        <v/>
      </c>
      <c r="S1217" s="1" t="n">
        <v>6000</v>
      </c>
      <c r="T1217" s="1" t="str">
        <f aca="false">IF($A1028="","",IF(R1028="","",R1028-IF(S1028="",0,S1028)))</f>
        <v/>
      </c>
      <c r="U1217" s="1" t="str">
        <f aca="false">IF($A1028="","",IF(I1028="","",I1028-SUM(J1028:P1028)))</f>
        <v/>
      </c>
      <c r="V1217" s="6" t="s">
        <v>5345</v>
      </c>
      <c r="W1217" s="9" t="s">
        <v>774</v>
      </c>
      <c r="X1217" s="6" t="s">
        <v>5346</v>
      </c>
      <c r="Y1217" s="9" t="s">
        <v>4897</v>
      </c>
      <c r="Z1217" s="9" t="s">
        <v>4898</v>
      </c>
      <c r="AA1217" s="9" t="s">
        <v>4899</v>
      </c>
    </row>
    <row r="1218" customFormat="false" ht="15" hidden="false" customHeight="true" outlineLevel="0" collapsed="false">
      <c r="A1218" s="6" t="s">
        <v>4495</v>
      </c>
      <c r="B1218" s="6" t="s">
        <v>559</v>
      </c>
      <c r="C1218" s="6" t="s">
        <v>564</v>
      </c>
      <c r="D1218" s="6" t="n">
        <v>6</v>
      </c>
      <c r="E1218" s="9" t="s">
        <v>5102</v>
      </c>
      <c r="F1218" s="1" t="n">
        <v>499000</v>
      </c>
      <c r="I1218" s="1" t="n">
        <v>280000</v>
      </c>
      <c r="J1218" s="1" t="n">
        <v>154000</v>
      </c>
      <c r="K1218" s="1" t="n">
        <v>0</v>
      </c>
      <c r="L1218" s="1" t="n">
        <v>61000</v>
      </c>
      <c r="M1218" s="1" t="n">
        <v>1000</v>
      </c>
      <c r="N1218" s="1" t="n">
        <v>13000</v>
      </c>
      <c r="O1218" s="1" t="n">
        <v>50000</v>
      </c>
      <c r="P1218" s="1" t="n">
        <v>0</v>
      </c>
      <c r="Q1218" s="1" t="str">
        <f aca="false">IF($A1029="","",IF(OR(F1029="",I1029=""),"",F1029-I1029))</f>
        <v/>
      </c>
      <c r="R1218" s="1" t="str">
        <f aca="false">IF($A1029="","",IF(Q1029="","",Q1029+IF(O1029="",0,O1029)))</f>
        <v/>
      </c>
      <c r="S1218" s="1" t="n">
        <v>0</v>
      </c>
      <c r="T1218" s="1" t="str">
        <f aca="false">IF($A1029="","",IF(R1029="","",R1029-IF(S1029="",0,S1029)))</f>
        <v/>
      </c>
      <c r="U1218" s="1" t="str">
        <f aca="false">IF($A1029="","",IF(I1029="","",I1029-SUM(J1029:P1029)))</f>
        <v/>
      </c>
      <c r="V1218" s="6" t="s">
        <v>5345</v>
      </c>
      <c r="W1218" s="9" t="s">
        <v>774</v>
      </c>
      <c r="X1218" s="6" t="s">
        <v>5346</v>
      </c>
      <c r="Y1218" s="9" t="s">
        <v>4897</v>
      </c>
      <c r="Z1218" s="9" t="s">
        <v>4898</v>
      </c>
      <c r="AA1218" s="9" t="s">
        <v>4899</v>
      </c>
    </row>
    <row r="1219" customFormat="false" ht="15" hidden="false" customHeight="true" outlineLevel="0" collapsed="false">
      <c r="A1219" s="6" t="s">
        <v>4498</v>
      </c>
      <c r="B1219" s="6" t="s">
        <v>559</v>
      </c>
      <c r="C1219" s="6" t="s">
        <v>564</v>
      </c>
      <c r="D1219" s="6" t="n">
        <v>6</v>
      </c>
      <c r="E1219" s="9" t="s">
        <v>5102</v>
      </c>
      <c r="F1219" s="1" t="n">
        <v>74000</v>
      </c>
      <c r="I1219" s="1" t="n">
        <v>36000</v>
      </c>
      <c r="J1219" s="1" t="n">
        <v>8000</v>
      </c>
      <c r="K1219" s="1" t="n">
        <v>6000</v>
      </c>
      <c r="L1219" s="1" t="n">
        <v>6000</v>
      </c>
      <c r="M1219" s="1" t="n">
        <v>0</v>
      </c>
      <c r="N1219" s="1" t="n">
        <v>6000</v>
      </c>
      <c r="O1219" s="1" t="n">
        <v>9000</v>
      </c>
      <c r="P1219" s="1" t="n">
        <v>0</v>
      </c>
      <c r="Q1219" s="1" t="str">
        <f aca="false">IF($A1030="","",IF(OR(F1030="",I1030=""),"",F1030-I1030))</f>
        <v/>
      </c>
      <c r="R1219" s="1" t="str">
        <f aca="false">IF($A1030="","",IF(Q1030="","",Q1030+IF(O1030="",0,O1030)))</f>
        <v/>
      </c>
      <c r="S1219" s="1" t="n">
        <v>14000</v>
      </c>
      <c r="T1219" s="1" t="n">
        <f aca="false">IF($A1030="","",IF(R1030="","",R1030-IF(S1030="",0,S1030)))</f>
        <v>53000</v>
      </c>
      <c r="U1219" s="1" t="str">
        <f aca="false">IF($A1030="","",IF(I1030="","",I1030-SUM(J1030:P1030)))</f>
        <v/>
      </c>
      <c r="V1219" s="6" t="s">
        <v>5345</v>
      </c>
      <c r="W1219" s="9" t="s">
        <v>774</v>
      </c>
      <c r="X1219" s="6" t="s">
        <v>5346</v>
      </c>
      <c r="Y1219" s="9" t="s">
        <v>4897</v>
      </c>
      <c r="Z1219" s="9" t="s">
        <v>4898</v>
      </c>
      <c r="AA1219" s="9" t="s">
        <v>4899</v>
      </c>
    </row>
    <row r="1220" customFormat="false" ht="15" hidden="false" customHeight="true" outlineLevel="0" collapsed="false">
      <c r="A1220" s="6" t="s">
        <v>4501</v>
      </c>
      <c r="B1220" s="6" t="s">
        <v>559</v>
      </c>
      <c r="C1220" s="6" t="s">
        <v>564</v>
      </c>
      <c r="D1220" s="6" t="n">
        <v>6</v>
      </c>
      <c r="E1220" s="9" t="s">
        <v>5102</v>
      </c>
      <c r="F1220" s="1" t="n">
        <v>207000</v>
      </c>
      <c r="I1220" s="1" t="n">
        <v>86000</v>
      </c>
      <c r="J1220" s="1" t="n">
        <v>17000</v>
      </c>
      <c r="K1220" s="1" t="n">
        <v>15000</v>
      </c>
      <c r="L1220" s="1" t="n">
        <v>18000</v>
      </c>
      <c r="M1220" s="1" t="n">
        <v>0</v>
      </c>
      <c r="N1220" s="1" t="n">
        <v>8000</v>
      </c>
      <c r="O1220" s="1" t="n">
        <v>25000</v>
      </c>
      <c r="P1220" s="1" t="n">
        <v>0</v>
      </c>
      <c r="Q1220" s="1" t="str">
        <f aca="false">IF($A1031="","",IF(OR(F1031="",I1031=""),"",F1031-I1031))</f>
        <v/>
      </c>
      <c r="R1220" s="1" t="str">
        <f aca="false">IF($A1031="","",IF(Q1031="","",Q1031+IF(O1031="",0,O1031)))</f>
        <v/>
      </c>
      <c r="S1220" s="1" t="n">
        <v>9000</v>
      </c>
      <c r="T1220" s="1" t="n">
        <f aca="false">IF($A1031="","",IF(R1031="","",R1031-IF(S1031="",0,S1031)))</f>
        <v>64000</v>
      </c>
      <c r="U1220" s="1" t="str">
        <f aca="false">IF($A1031="","",IF(I1031="","",I1031-SUM(J1031:P1031)))</f>
        <v/>
      </c>
      <c r="V1220" s="6" t="s">
        <v>5345</v>
      </c>
      <c r="W1220" s="9" t="s">
        <v>774</v>
      </c>
      <c r="X1220" s="6" t="s">
        <v>5346</v>
      </c>
      <c r="Y1220" s="9" t="s">
        <v>4897</v>
      </c>
      <c r="Z1220" s="9" t="s">
        <v>4898</v>
      </c>
      <c r="AA1220" s="9" t="s">
        <v>4899</v>
      </c>
    </row>
    <row r="1221" customFormat="false" ht="15" hidden="false" customHeight="true" outlineLevel="0" collapsed="false">
      <c r="A1221" s="6" t="s">
        <v>4504</v>
      </c>
      <c r="B1221" s="6" t="s">
        <v>559</v>
      </c>
      <c r="C1221" s="6" t="s">
        <v>564</v>
      </c>
      <c r="D1221" s="6" t="n">
        <v>6</v>
      </c>
      <c r="E1221" s="9" t="s">
        <v>5102</v>
      </c>
      <c r="F1221" s="1" t="n">
        <v>258000</v>
      </c>
      <c r="I1221" s="1" t="n">
        <v>137000</v>
      </c>
      <c r="J1221" s="1" t="n">
        <v>51000</v>
      </c>
      <c r="K1221" s="1" t="n">
        <v>7000</v>
      </c>
      <c r="L1221" s="1" t="n">
        <v>27000</v>
      </c>
      <c r="M1221" s="1" t="n">
        <v>0</v>
      </c>
      <c r="N1221" s="1" t="n">
        <v>8000</v>
      </c>
      <c r="O1221" s="1" t="n">
        <v>41000</v>
      </c>
      <c r="P1221" s="1" t="n">
        <v>0</v>
      </c>
      <c r="Q1221" s="1" t="str">
        <f aca="false">IF($A1032="","",IF(OR(F1032="",I1032=""),"",F1032-I1032))</f>
        <v/>
      </c>
      <c r="R1221" s="1" t="str">
        <f aca="false">IF($A1032="","",IF(Q1032="","",Q1032+IF(O1032="",0,O1032)))</f>
        <v/>
      </c>
      <c r="S1221" s="1" t="n">
        <v>3000</v>
      </c>
      <c r="T1221" s="1" t="n">
        <f aca="false">IF($A1032="","",IF(R1032="","",R1032-IF(S1032="",0,S1032)))</f>
        <v>56000</v>
      </c>
      <c r="U1221" s="1" t="str">
        <f aca="false">IF($A1032="","",IF(I1032="","",I1032-SUM(J1032:P1032)))</f>
        <v/>
      </c>
      <c r="V1221" s="6" t="s">
        <v>5345</v>
      </c>
      <c r="W1221" s="9" t="s">
        <v>774</v>
      </c>
      <c r="X1221" s="6" t="s">
        <v>5346</v>
      </c>
      <c r="Y1221" s="9" t="s">
        <v>4897</v>
      </c>
      <c r="Z1221" s="9" t="s">
        <v>4898</v>
      </c>
      <c r="AA1221" s="9" t="s">
        <v>4899</v>
      </c>
    </row>
    <row r="1222" customFormat="false" ht="15" hidden="false" customHeight="true" outlineLevel="0" collapsed="false">
      <c r="A1222" s="6" t="s">
        <v>4507</v>
      </c>
      <c r="B1222" s="6" t="s">
        <v>559</v>
      </c>
      <c r="C1222" s="6" t="s">
        <v>564</v>
      </c>
      <c r="D1222" s="6" t="n">
        <v>6</v>
      </c>
      <c r="E1222" s="9" t="s">
        <v>5102</v>
      </c>
      <c r="F1222" s="1" t="n">
        <v>144000</v>
      </c>
      <c r="I1222" s="1" t="n">
        <v>59000</v>
      </c>
      <c r="J1222" s="1" t="n">
        <v>15000</v>
      </c>
      <c r="K1222" s="1" t="n">
        <v>9000</v>
      </c>
      <c r="L1222" s="1" t="n">
        <v>10000</v>
      </c>
      <c r="M1222" s="1" t="n">
        <v>0</v>
      </c>
      <c r="N1222" s="1" t="n">
        <v>2000</v>
      </c>
      <c r="O1222" s="1" t="n">
        <v>21000</v>
      </c>
      <c r="P1222" s="1" t="n">
        <v>0</v>
      </c>
      <c r="Q1222" s="1" t="str">
        <f aca="false">IF($A1033="","",IF(OR(F1033="",I1033=""),"",F1033-I1033))</f>
        <v/>
      </c>
      <c r="R1222" s="1" t="str">
        <f aca="false">IF($A1033="","",IF(Q1033="","",Q1033+IF(O1033="",0,O1033)))</f>
        <v/>
      </c>
      <c r="S1222" s="1" t="n">
        <v>5000</v>
      </c>
      <c r="T1222" s="1" t="n">
        <f aca="false">IF($A1033="","",IF(R1033="","",R1033-IF(S1033="",0,S1033)))</f>
        <v>149000</v>
      </c>
      <c r="U1222" s="1" t="str">
        <f aca="false">IF($A1033="","",IF(I1033="","",I1033-SUM(J1033:P1033)))</f>
        <v/>
      </c>
      <c r="V1222" s="6" t="s">
        <v>5345</v>
      </c>
      <c r="W1222" s="9" t="s">
        <v>774</v>
      </c>
      <c r="X1222" s="6" t="s">
        <v>5346</v>
      </c>
      <c r="Y1222" s="9" t="s">
        <v>4897</v>
      </c>
      <c r="Z1222" s="9" t="s">
        <v>4898</v>
      </c>
      <c r="AA1222" s="9" t="s">
        <v>4899</v>
      </c>
    </row>
    <row r="1223" customFormat="false" ht="15" hidden="false" customHeight="true" outlineLevel="0" collapsed="false">
      <c r="A1223" s="6" t="s">
        <v>4510</v>
      </c>
      <c r="B1223" s="6" t="s">
        <v>559</v>
      </c>
      <c r="C1223" s="6" t="s">
        <v>564</v>
      </c>
      <c r="D1223" s="6" t="n">
        <v>6</v>
      </c>
      <c r="E1223" s="9" t="s">
        <v>5102</v>
      </c>
      <c r="F1223" s="1" t="n">
        <v>1292000</v>
      </c>
      <c r="I1223" s="1" t="n">
        <v>612000</v>
      </c>
      <c r="J1223" s="1" t="n">
        <v>150000</v>
      </c>
      <c r="K1223" s="1" t="n">
        <v>165000</v>
      </c>
      <c r="L1223" s="1" t="n">
        <v>91000</v>
      </c>
      <c r="M1223" s="1" t="n">
        <v>1000</v>
      </c>
      <c r="N1223" s="1" t="n">
        <v>20000</v>
      </c>
      <c r="O1223" s="1" t="n">
        <v>182000</v>
      </c>
      <c r="P1223" s="1" t="n">
        <v>1000</v>
      </c>
      <c r="Q1223" s="1" t="str">
        <f aca="false">IF($A1034="","",IF(OR(F1034="",I1034=""),"",F1034-I1034))</f>
        <v/>
      </c>
      <c r="R1223" s="1" t="str">
        <f aca="false">IF($A1034="","",IF(Q1034="","",Q1034+IF(O1034="",0,O1034)))</f>
        <v/>
      </c>
      <c r="S1223" s="1" t="n">
        <v>40000</v>
      </c>
      <c r="T1223" s="1" t="n">
        <f aca="false">IF($A1034="","",IF(R1034="","",R1034-IF(S1034="",0,S1034)))</f>
        <v>394000</v>
      </c>
      <c r="U1223" s="1" t="str">
        <f aca="false">IF($A1034="","",IF(I1034="","",I1034-SUM(J1034:P1034)))</f>
        <v/>
      </c>
      <c r="V1223" s="6" t="s">
        <v>5345</v>
      </c>
      <c r="W1223" s="9" t="s">
        <v>774</v>
      </c>
      <c r="X1223" s="6" t="s">
        <v>5346</v>
      </c>
      <c r="Y1223" s="9" t="s">
        <v>4897</v>
      </c>
      <c r="Z1223" s="9" t="s">
        <v>4898</v>
      </c>
      <c r="AA1223" s="9" t="s">
        <v>4899</v>
      </c>
    </row>
    <row r="1224" customFormat="false" ht="15" hidden="false" customHeight="true" outlineLevel="0" collapsed="false">
      <c r="A1224" s="6" t="s">
        <v>4513</v>
      </c>
      <c r="B1224" s="6" t="s">
        <v>559</v>
      </c>
      <c r="C1224" s="6" t="s">
        <v>564</v>
      </c>
      <c r="D1224" s="6" t="n">
        <v>6</v>
      </c>
      <c r="E1224" s="9" t="s">
        <v>5102</v>
      </c>
      <c r="F1224" s="1" t="n">
        <v>1064000</v>
      </c>
      <c r="I1224" s="1" t="n">
        <v>776000</v>
      </c>
      <c r="J1224" s="1" t="n">
        <v>218000</v>
      </c>
      <c r="K1224" s="1" t="n">
        <v>103000</v>
      </c>
      <c r="L1224" s="1" t="n">
        <v>132000</v>
      </c>
      <c r="M1224" s="1" t="n">
        <v>3000</v>
      </c>
      <c r="N1224" s="1" t="n">
        <v>32000</v>
      </c>
      <c r="O1224" s="1" t="n">
        <v>279000</v>
      </c>
      <c r="P1224" s="1" t="n">
        <v>7000</v>
      </c>
      <c r="Q1224" s="1" t="str">
        <f aca="false">IF($A1035="","",IF(OR(F1035="",I1035=""),"",F1035-I1035))</f>
        <v/>
      </c>
      <c r="R1224" s="1" t="str">
        <f aca="false">IF($A1035="","",IF(Q1035="","",Q1035+IF(O1035="",0,O1035)))</f>
        <v/>
      </c>
      <c r="S1224" s="1" t="n">
        <v>234000</v>
      </c>
      <c r="T1224" s="1" t="n">
        <f aca="false">IF($A1035="","",IF(R1035="","",R1035-IF(S1035="",0,S1035)))</f>
        <v>129000</v>
      </c>
      <c r="U1224" s="1" t="str">
        <f aca="false">IF($A1035="","",IF(I1035="","",I1035-SUM(J1035:P1035)))</f>
        <v/>
      </c>
      <c r="V1224" s="6" t="s">
        <v>5345</v>
      </c>
      <c r="W1224" s="9" t="s">
        <v>774</v>
      </c>
      <c r="X1224" s="6" t="s">
        <v>5346</v>
      </c>
      <c r="Y1224" s="9" t="s">
        <v>4897</v>
      </c>
      <c r="Z1224" s="9" t="s">
        <v>4898</v>
      </c>
      <c r="AA1224" s="9" t="s">
        <v>4899</v>
      </c>
    </row>
    <row r="1225" customFormat="false" ht="15" hidden="false" customHeight="true" outlineLevel="0" collapsed="false">
      <c r="A1225" s="6" t="s">
        <v>4516</v>
      </c>
      <c r="B1225" s="6" t="s">
        <v>559</v>
      </c>
      <c r="C1225" s="6" t="s">
        <v>564</v>
      </c>
      <c r="D1225" s="6" t="n">
        <v>6</v>
      </c>
      <c r="E1225" s="9" t="s">
        <v>5102</v>
      </c>
      <c r="F1225" s="1" t="n">
        <v>175000</v>
      </c>
      <c r="I1225" s="1" t="n">
        <v>74000</v>
      </c>
      <c r="J1225" s="1" t="n">
        <v>21000</v>
      </c>
      <c r="K1225" s="1" t="n">
        <v>3000</v>
      </c>
      <c r="L1225" s="1" t="n">
        <v>15000</v>
      </c>
      <c r="M1225" s="1" t="n">
        <v>0</v>
      </c>
      <c r="N1225" s="1" t="n">
        <v>4000</v>
      </c>
      <c r="O1225" s="1" t="n">
        <v>29000</v>
      </c>
      <c r="P1225" s="1" t="n">
        <v>0</v>
      </c>
      <c r="Q1225" s="1" t="str">
        <f aca="false">IF($A1036="","",IF(OR(F1036="",I1036=""),"",F1036-I1036))</f>
        <v/>
      </c>
      <c r="R1225" s="1" t="str">
        <f aca="false">IF($A1036="","",IF(Q1036="","",Q1036+IF(O1036="",0,O1036)))</f>
        <v/>
      </c>
      <c r="S1225" s="1" t="n">
        <v>45000</v>
      </c>
      <c r="T1225" s="1" t="n">
        <f aca="false">IF($A1036="","",IF(R1036="","",R1036-IF(S1036="",0,S1036)))</f>
        <v>102000</v>
      </c>
      <c r="U1225" s="1" t="str">
        <f aca="false">IF($A1036="","",IF(I1036="","",I1036-SUM(J1036:P1036)))</f>
        <v/>
      </c>
      <c r="V1225" s="6" t="s">
        <v>5345</v>
      </c>
      <c r="W1225" s="9" t="s">
        <v>774</v>
      </c>
      <c r="X1225" s="6" t="s">
        <v>5346</v>
      </c>
      <c r="Y1225" s="9" t="s">
        <v>4897</v>
      </c>
      <c r="Z1225" s="9" t="s">
        <v>4898</v>
      </c>
      <c r="AA1225" s="9" t="s">
        <v>4899</v>
      </c>
    </row>
    <row r="1226" customFormat="false" ht="15" hidden="false" customHeight="true" outlineLevel="0" collapsed="false">
      <c r="A1226" s="6" t="s">
        <v>4519</v>
      </c>
      <c r="B1226" s="6" t="s">
        <v>559</v>
      </c>
      <c r="C1226" s="6" t="s">
        <v>564</v>
      </c>
      <c r="D1226" s="6" t="n">
        <v>6</v>
      </c>
      <c r="E1226" s="9" t="s">
        <v>5102</v>
      </c>
      <c r="F1226" s="1" t="n">
        <v>0</v>
      </c>
      <c r="I1226" s="1" t="n">
        <v>9000</v>
      </c>
      <c r="J1226" s="1" t="n">
        <v>0</v>
      </c>
      <c r="K1226" s="1" t="n">
        <v>0</v>
      </c>
      <c r="L1226" s="1" t="n">
        <v>0</v>
      </c>
      <c r="M1226" s="1" t="n">
        <v>0</v>
      </c>
      <c r="N1226" s="1" t="n">
        <v>0</v>
      </c>
      <c r="O1226" s="1" t="n">
        <v>8000</v>
      </c>
      <c r="P1226" s="1" t="n">
        <v>0</v>
      </c>
      <c r="Q1226" s="1" t="str">
        <f aca="false">IF($A1037="","",IF(OR(F1037="",I1037=""),"",F1037-I1037))</f>
        <v/>
      </c>
      <c r="R1226" s="1" t="str">
        <f aca="false">IF($A1037="","",IF(Q1037="","",Q1037+IF(O1037="",0,O1037)))</f>
        <v/>
      </c>
      <c r="S1226" s="1" t="n">
        <v>0</v>
      </c>
      <c r="T1226" s="1" t="str">
        <f aca="false">IF($A1037="","",IF(R1037="","",R1037-IF(S1037="",0,S1037)))</f>
        <v/>
      </c>
      <c r="U1226" s="1" t="str">
        <f aca="false">IF($A1037="","",IF(I1037="","",I1037-SUM(J1037:P1037)))</f>
        <v/>
      </c>
      <c r="V1226" s="6" t="s">
        <v>5345</v>
      </c>
      <c r="W1226" s="9" t="s">
        <v>774</v>
      </c>
      <c r="X1226" s="6" t="s">
        <v>5346</v>
      </c>
      <c r="Y1226" s="9" t="s">
        <v>4897</v>
      </c>
      <c r="Z1226" s="9" t="s">
        <v>4898</v>
      </c>
      <c r="AA1226" s="9" t="s">
        <v>4899</v>
      </c>
    </row>
    <row r="1227" customFormat="false" ht="15" hidden="false" customHeight="true" outlineLevel="0" collapsed="false">
      <c r="A1227" s="6" t="s">
        <v>4522</v>
      </c>
      <c r="B1227" s="6" t="s">
        <v>559</v>
      </c>
      <c r="C1227" s="6" t="s">
        <v>564</v>
      </c>
      <c r="D1227" s="6" t="n">
        <v>6</v>
      </c>
      <c r="E1227" s="9" t="s">
        <v>5102</v>
      </c>
      <c r="F1227" s="1" t="n">
        <v>404000</v>
      </c>
      <c r="I1227" s="1" t="n">
        <v>162000</v>
      </c>
      <c r="J1227" s="1" t="n">
        <v>31000</v>
      </c>
      <c r="K1227" s="1" t="n">
        <v>52000</v>
      </c>
      <c r="L1227" s="1" t="n">
        <v>26000</v>
      </c>
      <c r="M1227" s="1" t="n">
        <v>0</v>
      </c>
      <c r="N1227" s="1" t="n">
        <v>10000</v>
      </c>
      <c r="O1227" s="1" t="n">
        <v>41000</v>
      </c>
      <c r="P1227" s="1" t="n">
        <v>0</v>
      </c>
      <c r="Q1227" s="1" t="str">
        <f aca="false">IF($A1038="","",IF(OR(F1038="",I1038=""),"",F1038-I1038))</f>
        <v/>
      </c>
      <c r="R1227" s="1" t="str">
        <f aca="false">IF($A1038="","",IF(Q1038="","",Q1038+IF(O1038="",0,O1038)))</f>
        <v/>
      </c>
      <c r="S1227" s="1" t="n">
        <v>13000</v>
      </c>
      <c r="T1227" s="1" t="n">
        <f aca="false">IF($A1038="","",IF(R1038="","",R1038-IF(S1038="",0,S1038)))</f>
        <v>83000</v>
      </c>
      <c r="U1227" s="1" t="str">
        <f aca="false">IF($A1038="","",IF(I1038="","",I1038-SUM(J1038:P1038)))</f>
        <v/>
      </c>
      <c r="V1227" s="6" t="s">
        <v>5345</v>
      </c>
      <c r="W1227" s="9" t="s">
        <v>774</v>
      </c>
      <c r="X1227" s="6" t="s">
        <v>5346</v>
      </c>
      <c r="Y1227" s="9" t="s">
        <v>4897</v>
      </c>
      <c r="Z1227" s="9" t="s">
        <v>4898</v>
      </c>
      <c r="AA1227" s="9" t="s">
        <v>4899</v>
      </c>
    </row>
    <row r="1228" customFormat="false" ht="15" hidden="false" customHeight="true" outlineLevel="0" collapsed="false">
      <c r="A1228" s="6" t="s">
        <v>4525</v>
      </c>
      <c r="B1228" s="6" t="s">
        <v>559</v>
      </c>
      <c r="C1228" s="6" t="s">
        <v>564</v>
      </c>
      <c r="D1228" s="6" t="n">
        <v>6</v>
      </c>
      <c r="E1228" s="9" t="s">
        <v>5102</v>
      </c>
      <c r="F1228" s="1" t="n">
        <v>303000</v>
      </c>
      <c r="I1228" s="1" t="n">
        <v>205000</v>
      </c>
      <c r="J1228" s="1" t="n">
        <v>31000</v>
      </c>
      <c r="K1228" s="1" t="n">
        <v>27000</v>
      </c>
      <c r="L1228" s="1" t="n">
        <v>0</v>
      </c>
      <c r="M1228" s="1" t="n">
        <v>0</v>
      </c>
      <c r="N1228" s="1" t="n">
        <v>0</v>
      </c>
      <c r="O1228" s="1" t="n">
        <v>145000</v>
      </c>
      <c r="P1228" s="1" t="n">
        <v>0</v>
      </c>
      <c r="Q1228" s="1" t="str">
        <f aca="false">IF($A1039="","",IF(OR(F1039="",I1039=""),"",F1039-I1039))</f>
        <v/>
      </c>
      <c r="R1228" s="1" t="str">
        <f aca="false">IF($A1039="","",IF(Q1039="","",Q1039+IF(O1039="",0,O1039)))</f>
        <v/>
      </c>
      <c r="S1228" s="1" t="n">
        <v>3000</v>
      </c>
      <c r="T1228" s="1" t="n">
        <f aca="false">IF($A1039="","",IF(R1039="","",R1039-IF(S1039="",0,S1039)))</f>
        <v>55000</v>
      </c>
      <c r="U1228" s="1" t="str">
        <f aca="false">IF($A1039="","",IF(I1039="","",I1039-SUM(J1039:P1039)))</f>
        <v/>
      </c>
      <c r="V1228" s="6" t="s">
        <v>5345</v>
      </c>
      <c r="W1228" s="9" t="s">
        <v>774</v>
      </c>
      <c r="X1228" s="6" t="s">
        <v>5346</v>
      </c>
      <c r="Y1228" s="9" t="s">
        <v>4897</v>
      </c>
      <c r="Z1228" s="9" t="s">
        <v>4898</v>
      </c>
      <c r="AA1228" s="9" t="s">
        <v>4899</v>
      </c>
    </row>
    <row r="1229" customFormat="false" ht="15" hidden="false" customHeight="true" outlineLevel="0" collapsed="false">
      <c r="A1229" s="6" t="s">
        <v>4528</v>
      </c>
      <c r="B1229" s="6" t="s">
        <v>559</v>
      </c>
      <c r="C1229" s="6" t="s">
        <v>564</v>
      </c>
      <c r="D1229" s="6" t="n">
        <v>6</v>
      </c>
      <c r="E1229" s="9" t="s">
        <v>5102</v>
      </c>
      <c r="F1229" s="1" t="n">
        <v>69000</v>
      </c>
      <c r="I1229" s="1" t="n">
        <v>50000</v>
      </c>
      <c r="J1229" s="1" t="n">
        <v>11000</v>
      </c>
      <c r="K1229" s="1" t="n">
        <v>8000</v>
      </c>
      <c r="L1229" s="1" t="n">
        <v>8000</v>
      </c>
      <c r="M1229" s="1" t="n">
        <v>0</v>
      </c>
      <c r="N1229" s="1" t="n">
        <v>9000</v>
      </c>
      <c r="O1229" s="1" t="n">
        <v>13000</v>
      </c>
      <c r="P1229" s="1" t="n">
        <v>0</v>
      </c>
      <c r="Q1229" s="1" t="str">
        <f aca="false">IF($A1040="","",IF(OR(F1040="",I1040=""),"",F1040-I1040))</f>
        <v/>
      </c>
      <c r="R1229" s="1" t="str">
        <f aca="false">IF($A1040="","",IF(Q1040="","",Q1040+IF(O1040="",0,O1040)))</f>
        <v/>
      </c>
      <c r="S1229" s="1" t="n">
        <v>40000</v>
      </c>
      <c r="T1229" s="1" t="n">
        <f aca="false">IF($A1040="","",IF(R1040="","",R1040-IF(S1040="",0,S1040)))</f>
        <v>40000</v>
      </c>
      <c r="U1229" s="1" t="str">
        <f aca="false">IF($A1040="","",IF(I1040="","",I1040-SUM(J1040:P1040)))</f>
        <v/>
      </c>
      <c r="V1229" s="6" t="s">
        <v>5345</v>
      </c>
      <c r="W1229" s="9" t="s">
        <v>774</v>
      </c>
      <c r="X1229" s="6" t="s">
        <v>5346</v>
      </c>
      <c r="Y1229" s="9" t="s">
        <v>4897</v>
      </c>
      <c r="Z1229" s="9" t="s">
        <v>4898</v>
      </c>
      <c r="AA1229" s="9" t="s">
        <v>4899</v>
      </c>
    </row>
    <row r="1230" customFormat="false" ht="15" hidden="false" customHeight="true" outlineLevel="0" collapsed="false">
      <c r="A1230" s="6" t="s">
        <v>4531</v>
      </c>
      <c r="B1230" s="6" t="s">
        <v>559</v>
      </c>
      <c r="C1230" s="6" t="s">
        <v>564</v>
      </c>
      <c r="D1230" s="6" t="n">
        <v>6</v>
      </c>
      <c r="E1230" s="9" t="s">
        <v>5102</v>
      </c>
      <c r="F1230" s="1" t="n">
        <v>661000</v>
      </c>
      <c r="I1230" s="1" t="n">
        <v>275000</v>
      </c>
      <c r="J1230" s="1" t="n">
        <v>74000</v>
      </c>
      <c r="K1230" s="1" t="n">
        <v>59000</v>
      </c>
      <c r="L1230" s="1" t="n">
        <v>49000</v>
      </c>
      <c r="M1230" s="1" t="n">
        <v>0</v>
      </c>
      <c r="N1230" s="1" t="n">
        <v>24000</v>
      </c>
      <c r="O1230" s="1" t="n">
        <v>67000</v>
      </c>
      <c r="P1230" s="1" t="n">
        <v>0</v>
      </c>
      <c r="Q1230" s="1" t="str">
        <f aca="false">IF($A1041="","",IF(OR(F1041="",I1041=""),"",F1041-I1041))</f>
        <v/>
      </c>
      <c r="R1230" s="1" t="str">
        <f aca="false">IF($A1041="","",IF(Q1041="","",Q1041+IF(O1041="",0,O1041)))</f>
        <v/>
      </c>
      <c r="S1230" s="1" t="n">
        <v>80000</v>
      </c>
      <c r="T1230" s="1" t="n">
        <f aca="false">IF($A1041="","",IF(R1041="","",R1041-IF(S1041="",0,S1041)))</f>
        <v>108000</v>
      </c>
      <c r="U1230" s="1" t="str">
        <f aca="false">IF($A1041="","",IF(I1041="","",I1041-SUM(J1041:P1041)))</f>
        <v/>
      </c>
      <c r="V1230" s="6" t="s">
        <v>5345</v>
      </c>
      <c r="W1230" s="9" t="s">
        <v>774</v>
      </c>
      <c r="X1230" s="6" t="s">
        <v>5346</v>
      </c>
      <c r="Y1230" s="9" t="s">
        <v>4897</v>
      </c>
      <c r="Z1230" s="9" t="s">
        <v>4898</v>
      </c>
      <c r="AA1230" s="9" t="s">
        <v>4899</v>
      </c>
    </row>
    <row r="1231" customFormat="false" ht="15" hidden="false" customHeight="true" outlineLevel="0" collapsed="false">
      <c r="A1231" s="6" t="s">
        <v>4534</v>
      </c>
      <c r="B1231" s="6" t="s">
        <v>559</v>
      </c>
      <c r="C1231" s="6" t="s">
        <v>564</v>
      </c>
      <c r="D1231" s="6" t="n">
        <v>6</v>
      </c>
      <c r="E1231" s="9" t="s">
        <v>5102</v>
      </c>
      <c r="F1231" s="1" t="n">
        <v>152000</v>
      </c>
      <c r="I1231" s="1" t="n">
        <v>135000</v>
      </c>
      <c r="J1231" s="1" t="n">
        <v>24000</v>
      </c>
      <c r="K1231" s="1" t="n">
        <v>16000</v>
      </c>
      <c r="L1231" s="1" t="n">
        <v>19000</v>
      </c>
      <c r="M1231" s="1" t="n">
        <v>0</v>
      </c>
      <c r="N1231" s="1" t="n">
        <v>50000</v>
      </c>
      <c r="O1231" s="1" t="n">
        <v>23000</v>
      </c>
      <c r="P1231" s="1" t="n">
        <v>0</v>
      </c>
      <c r="Q1231" s="1" t="str">
        <f aca="false">IF($A1042="","",IF(OR(F1042="",I1042=""),"",F1042-I1042))</f>
        <v/>
      </c>
      <c r="R1231" s="1" t="str">
        <f aca="false">IF($A1042="","",IF(Q1042="","",Q1042+IF(O1042="",0,O1042)))</f>
        <v/>
      </c>
      <c r="S1231" s="1" t="n">
        <v>0</v>
      </c>
      <c r="T1231" s="1" t="n">
        <f aca="false">IF($A1042="","",IF(R1042="","",R1042-IF(S1042="",0,S1042)))</f>
        <v>182000</v>
      </c>
      <c r="U1231" s="1" t="str">
        <f aca="false">IF($A1042="","",IF(I1042="","",I1042-SUM(J1042:P1042)))</f>
        <v/>
      </c>
      <c r="V1231" s="6" t="s">
        <v>5345</v>
      </c>
      <c r="W1231" s="9" t="s">
        <v>774</v>
      </c>
      <c r="X1231" s="6" t="s">
        <v>5346</v>
      </c>
      <c r="Y1231" s="9" t="s">
        <v>4897</v>
      </c>
      <c r="Z1231" s="9" t="s">
        <v>4898</v>
      </c>
      <c r="AA1231" s="9" t="s">
        <v>4899</v>
      </c>
    </row>
    <row r="1232" customFormat="false" ht="15" hidden="false" customHeight="true" outlineLevel="0" collapsed="false">
      <c r="A1232" s="6" t="s">
        <v>4537</v>
      </c>
      <c r="B1232" s="6" t="s">
        <v>559</v>
      </c>
      <c r="C1232" s="6" t="s">
        <v>564</v>
      </c>
      <c r="D1232" s="6" t="n">
        <v>6</v>
      </c>
      <c r="E1232" s="9" t="s">
        <v>5102</v>
      </c>
      <c r="F1232" s="1" t="n">
        <v>736000</v>
      </c>
      <c r="I1232" s="1" t="n">
        <v>384000</v>
      </c>
      <c r="J1232" s="1" t="n">
        <v>107000</v>
      </c>
      <c r="K1232" s="1" t="n">
        <v>65000</v>
      </c>
      <c r="L1232" s="1" t="n">
        <v>75000</v>
      </c>
      <c r="M1232" s="1" t="n">
        <v>0</v>
      </c>
      <c r="N1232" s="1" t="n">
        <v>0</v>
      </c>
      <c r="O1232" s="1" t="n">
        <v>134000</v>
      </c>
      <c r="P1232" s="1" t="n">
        <v>0</v>
      </c>
      <c r="Q1232" s="1" t="str">
        <f aca="false">IF($A1043="","",IF(OR(F1043="",I1043=""),"",F1043-I1043))</f>
        <v/>
      </c>
      <c r="R1232" s="1" t="str">
        <f aca="false">IF($A1043="","",IF(Q1043="","",Q1043+IF(O1043="",0,O1043)))</f>
        <v/>
      </c>
      <c r="S1232" s="1" t="n">
        <v>0</v>
      </c>
      <c r="T1232" s="1" t="n">
        <f aca="false">IF($A1043="","",IF(R1043="","",R1043-IF(S1043="",0,S1043)))</f>
        <v>148000</v>
      </c>
      <c r="U1232" s="1" t="str">
        <f aca="false">IF($A1043="","",IF(I1043="","",I1043-SUM(J1043:P1043)))</f>
        <v/>
      </c>
      <c r="V1232" s="6" t="s">
        <v>5345</v>
      </c>
      <c r="W1232" s="9" t="s">
        <v>774</v>
      </c>
      <c r="X1232" s="6" t="s">
        <v>5346</v>
      </c>
      <c r="Y1232" s="9" t="s">
        <v>4897</v>
      </c>
      <c r="Z1232" s="9" t="s">
        <v>4898</v>
      </c>
      <c r="AA1232" s="9" t="s">
        <v>4899</v>
      </c>
    </row>
    <row r="1233" customFormat="false" ht="15" hidden="false" customHeight="true" outlineLevel="0" collapsed="false">
      <c r="A1233" s="6" t="s">
        <v>4540</v>
      </c>
      <c r="B1233" s="6" t="s">
        <v>559</v>
      </c>
      <c r="C1233" s="6" t="s">
        <v>564</v>
      </c>
      <c r="D1233" s="6" t="n">
        <v>6</v>
      </c>
      <c r="E1233" s="9" t="s">
        <v>5102</v>
      </c>
      <c r="F1233" s="1" t="n">
        <v>71000</v>
      </c>
      <c r="I1233" s="1" t="n">
        <v>62000</v>
      </c>
      <c r="J1233" s="1" t="n">
        <v>12000</v>
      </c>
      <c r="K1233" s="1" t="n">
        <v>7000</v>
      </c>
      <c r="L1233" s="1" t="n">
        <v>6000</v>
      </c>
      <c r="M1233" s="1" t="n">
        <v>0</v>
      </c>
      <c r="N1233" s="1" t="n">
        <v>5000</v>
      </c>
      <c r="O1233" s="1" t="n">
        <v>30000</v>
      </c>
      <c r="P1233" s="1" t="n">
        <v>0</v>
      </c>
      <c r="Q1233" s="1" t="str">
        <f aca="false">IF($A1044="","",IF(OR(F1044="",I1044=""),"",F1044-I1044))</f>
        <v/>
      </c>
      <c r="R1233" s="1" t="str">
        <f aca="false">IF($A1044="","",IF(Q1044="","",Q1044+IF(O1044="",0,O1044)))</f>
        <v/>
      </c>
      <c r="S1233" s="1" t="n">
        <v>27000</v>
      </c>
      <c r="T1233" s="1" t="n">
        <f aca="false">IF($A1044="","",IF(R1044="","",R1044-IF(S1044="",0,S1044)))</f>
        <v>105000</v>
      </c>
      <c r="U1233" s="1" t="str">
        <f aca="false">IF($A1044="","",IF(I1044="","",I1044-SUM(J1044:P1044)))</f>
        <v/>
      </c>
      <c r="V1233" s="6" t="s">
        <v>5345</v>
      </c>
      <c r="W1233" s="9" t="s">
        <v>774</v>
      </c>
      <c r="X1233" s="6" t="s">
        <v>5346</v>
      </c>
      <c r="Y1233" s="9" t="s">
        <v>4897</v>
      </c>
      <c r="Z1233" s="9" t="s">
        <v>4898</v>
      </c>
      <c r="AA1233" s="9" t="s">
        <v>4899</v>
      </c>
    </row>
    <row r="1234" customFormat="false" ht="15" hidden="false" customHeight="true" outlineLevel="0" collapsed="false">
      <c r="A1234" s="6" t="s">
        <v>4543</v>
      </c>
      <c r="B1234" s="6" t="s">
        <v>559</v>
      </c>
      <c r="C1234" s="6" t="s">
        <v>564</v>
      </c>
      <c r="D1234" s="6" t="n">
        <v>6</v>
      </c>
      <c r="E1234" s="9" t="s">
        <v>5102</v>
      </c>
      <c r="F1234" s="1" t="n">
        <v>559000</v>
      </c>
      <c r="I1234" s="1" t="n">
        <v>342000</v>
      </c>
      <c r="J1234" s="1" t="n">
        <v>99000</v>
      </c>
      <c r="K1234" s="1" t="n">
        <v>47000</v>
      </c>
      <c r="L1234" s="1" t="n">
        <v>71000</v>
      </c>
      <c r="M1234" s="1" t="n">
        <v>1000</v>
      </c>
      <c r="N1234" s="1" t="n">
        <v>17000</v>
      </c>
      <c r="O1234" s="1" t="n">
        <v>104000</v>
      </c>
      <c r="P1234" s="1" t="n">
        <v>0</v>
      </c>
      <c r="Q1234" s="1" t="str">
        <f aca="false">IF($A1045="","",IF(OR(F1045="",I1045=""),"",F1045-I1045))</f>
        <v/>
      </c>
      <c r="R1234" s="1" t="str">
        <f aca="false">IF($A1045="","",IF(Q1045="","",Q1045+IF(O1045="",0,O1045)))</f>
        <v/>
      </c>
      <c r="S1234" s="1" t="n">
        <v>490000</v>
      </c>
      <c r="T1234" s="1" t="n">
        <f aca="false">IF($A1045="","",IF(R1045="","",R1045-IF(S1045="",0,S1045)))</f>
        <v>43000</v>
      </c>
      <c r="U1234" s="1" t="str">
        <f aca="false">IF($A1045="","",IF(I1045="","",I1045-SUM(J1045:P1045)))</f>
        <v/>
      </c>
      <c r="V1234" s="6" t="s">
        <v>5345</v>
      </c>
      <c r="W1234" s="9" t="s">
        <v>774</v>
      </c>
      <c r="X1234" s="6" t="s">
        <v>5346</v>
      </c>
      <c r="Y1234" s="9" t="s">
        <v>4897</v>
      </c>
      <c r="Z1234" s="9" t="s">
        <v>4898</v>
      </c>
      <c r="AA1234" s="9" t="s">
        <v>4899</v>
      </c>
    </row>
    <row r="1235" customFormat="false" ht="15" hidden="false" customHeight="true" outlineLevel="0" collapsed="false">
      <c r="A1235" s="6" t="s">
        <v>4546</v>
      </c>
      <c r="B1235" s="6" t="s">
        <v>559</v>
      </c>
      <c r="C1235" s="6" t="s">
        <v>564</v>
      </c>
      <c r="D1235" s="6" t="n">
        <v>6</v>
      </c>
      <c r="E1235" s="9" t="s">
        <v>5102</v>
      </c>
      <c r="F1235" s="1" t="n">
        <v>134000</v>
      </c>
      <c r="I1235" s="1" t="n">
        <v>80000</v>
      </c>
      <c r="J1235" s="1" t="n">
        <v>18000</v>
      </c>
      <c r="K1235" s="1" t="n">
        <v>12000</v>
      </c>
      <c r="L1235" s="1" t="n">
        <v>10000</v>
      </c>
      <c r="M1235" s="1" t="n">
        <v>0</v>
      </c>
      <c r="N1235" s="1" t="n">
        <v>10000</v>
      </c>
      <c r="O1235" s="1" t="n">
        <v>27000</v>
      </c>
      <c r="P1235" s="1" t="n">
        <v>0</v>
      </c>
      <c r="Q1235" s="1" t="str">
        <f aca="false">IF($A1046="","",IF(OR(F1046="",I1046=""),"",F1046-I1046))</f>
        <v/>
      </c>
      <c r="R1235" s="1" t="str">
        <f aca="false">IF($A1046="","",IF(Q1046="","",Q1046+IF(O1046="",0,O1046)))</f>
        <v/>
      </c>
      <c r="S1235" s="1" t="n">
        <v>2000</v>
      </c>
      <c r="T1235" s="1" t="n">
        <f aca="false">IF($A1046="","",IF(R1046="","",R1046-IF(S1046="",0,S1046)))</f>
        <v>-4000</v>
      </c>
      <c r="U1235" s="1" t="str">
        <f aca="false">IF($A1046="","",IF(I1046="","",I1046-SUM(J1046:P1046)))</f>
        <v/>
      </c>
      <c r="V1235" s="6" t="s">
        <v>5345</v>
      </c>
      <c r="W1235" s="9" t="s">
        <v>774</v>
      </c>
      <c r="X1235" s="6" t="s">
        <v>5346</v>
      </c>
      <c r="Y1235" s="9" t="s">
        <v>4897</v>
      </c>
      <c r="Z1235" s="9" t="s">
        <v>4898</v>
      </c>
      <c r="AA1235" s="9" t="s">
        <v>4899</v>
      </c>
    </row>
    <row r="1236" customFormat="false" ht="15" hidden="false" customHeight="true" outlineLevel="0" collapsed="false">
      <c r="A1236" s="6" t="s">
        <v>4549</v>
      </c>
      <c r="B1236" s="6" t="s">
        <v>559</v>
      </c>
      <c r="C1236" s="6" t="s">
        <v>564</v>
      </c>
      <c r="D1236" s="6" t="n">
        <v>6</v>
      </c>
      <c r="E1236" s="9" t="s">
        <v>5102</v>
      </c>
      <c r="F1236" s="1" t="n">
        <v>313000</v>
      </c>
      <c r="I1236" s="1" t="n">
        <v>214000</v>
      </c>
      <c r="J1236" s="1" t="n">
        <v>52000</v>
      </c>
      <c r="K1236" s="1" t="n">
        <v>24000</v>
      </c>
      <c r="L1236" s="1" t="n">
        <v>28000</v>
      </c>
      <c r="M1236" s="1" t="n">
        <v>0</v>
      </c>
      <c r="N1236" s="1" t="n">
        <v>37000</v>
      </c>
      <c r="O1236" s="1" t="n">
        <v>64000</v>
      </c>
      <c r="P1236" s="1" t="n">
        <v>6000</v>
      </c>
      <c r="Q1236" s="1" t="str">
        <f aca="false">IF($A1047="","",IF(OR(F1047="",I1047=""),"",F1047-I1047))</f>
        <v/>
      </c>
      <c r="R1236" s="1" t="str">
        <f aca="false">IF($A1047="","",IF(Q1047="","",Q1047+IF(O1047="",0,O1047)))</f>
        <v/>
      </c>
      <c r="S1236" s="1" t="n">
        <v>273000</v>
      </c>
      <c r="T1236" s="1" t="n">
        <f aca="false">IF($A1047="","",IF(R1047="","",R1047-IF(S1047="",0,S1047)))</f>
        <v>3000</v>
      </c>
      <c r="U1236" s="1" t="str">
        <f aca="false">IF($A1047="","",IF(I1047="","",I1047-SUM(J1047:P1047)))</f>
        <v/>
      </c>
      <c r="V1236" s="6" t="s">
        <v>5345</v>
      </c>
      <c r="W1236" s="9" t="s">
        <v>774</v>
      </c>
      <c r="X1236" s="6" t="s">
        <v>5346</v>
      </c>
      <c r="Y1236" s="9" t="s">
        <v>4897</v>
      </c>
      <c r="Z1236" s="9" t="s">
        <v>4898</v>
      </c>
      <c r="AA1236" s="9" t="s">
        <v>4899</v>
      </c>
    </row>
    <row r="1237" customFormat="false" ht="15" hidden="false" customHeight="true" outlineLevel="0" collapsed="false">
      <c r="A1237" s="6" t="s">
        <v>4552</v>
      </c>
      <c r="B1237" s="6" t="s">
        <v>559</v>
      </c>
      <c r="C1237" s="6" t="s">
        <v>564</v>
      </c>
      <c r="D1237" s="6" t="n">
        <v>6</v>
      </c>
      <c r="E1237" s="9" t="s">
        <v>5102</v>
      </c>
      <c r="F1237" s="1" t="n">
        <v>425000</v>
      </c>
      <c r="I1237" s="1" t="n">
        <v>223000</v>
      </c>
      <c r="J1237" s="1" t="n">
        <v>45000</v>
      </c>
      <c r="K1237" s="1" t="n">
        <v>40000</v>
      </c>
      <c r="L1237" s="1" t="n">
        <v>44000</v>
      </c>
      <c r="M1237" s="1" t="n">
        <v>0</v>
      </c>
      <c r="N1237" s="1" t="n">
        <v>28000</v>
      </c>
      <c r="O1237" s="1" t="n">
        <v>63000</v>
      </c>
      <c r="P1237" s="1" t="n">
        <v>0</v>
      </c>
      <c r="Q1237" s="1" t="str">
        <f aca="false">IF($A1048="","",IF(OR(F1048="",I1048=""),"",F1048-I1048))</f>
        <v/>
      </c>
      <c r="R1237" s="1" t="str">
        <f aca="false">IF($A1048="","",IF(Q1048="","",Q1048+IF(O1048="",0,O1048)))</f>
        <v/>
      </c>
      <c r="S1237" s="1" t="n">
        <v>14000</v>
      </c>
      <c r="T1237" s="1" t="n">
        <f aca="false">IF($A1048="","",IF(R1048="","",R1048-IF(S1048="",0,S1048)))</f>
        <v>72000</v>
      </c>
      <c r="U1237" s="1" t="str">
        <f aca="false">IF($A1048="","",IF(I1048="","",I1048-SUM(J1048:P1048)))</f>
        <v/>
      </c>
      <c r="V1237" s="6" t="s">
        <v>5345</v>
      </c>
      <c r="W1237" s="9" t="s">
        <v>774</v>
      </c>
      <c r="X1237" s="6" t="s">
        <v>5346</v>
      </c>
      <c r="Y1237" s="9" t="s">
        <v>4897</v>
      </c>
      <c r="Z1237" s="9" t="s">
        <v>4898</v>
      </c>
      <c r="AA1237" s="9" t="s">
        <v>4899</v>
      </c>
    </row>
    <row r="1238" customFormat="false" ht="15" hidden="false" customHeight="true" outlineLevel="0" collapsed="false">
      <c r="A1238" s="6" t="s">
        <v>4555</v>
      </c>
      <c r="B1238" s="6" t="s">
        <v>559</v>
      </c>
      <c r="C1238" s="6" t="s">
        <v>564</v>
      </c>
      <c r="D1238" s="6" t="n">
        <v>6</v>
      </c>
      <c r="E1238" s="9" t="s">
        <v>5102</v>
      </c>
      <c r="F1238" s="1" t="n">
        <v>575000</v>
      </c>
      <c r="I1238" s="1" t="n">
        <v>517000</v>
      </c>
      <c r="J1238" s="1" t="n">
        <v>105000</v>
      </c>
      <c r="K1238" s="1" t="n">
        <v>52000</v>
      </c>
      <c r="L1238" s="1" t="n">
        <v>83000</v>
      </c>
      <c r="M1238" s="1" t="n">
        <v>0</v>
      </c>
      <c r="N1238" s="1" t="n">
        <v>122000</v>
      </c>
      <c r="O1238" s="1" t="n">
        <v>147000</v>
      </c>
      <c r="P1238" s="1" t="n">
        <v>4000</v>
      </c>
      <c r="Q1238" s="1" t="str">
        <f aca="false">IF($A1049="","",IF(OR(F1049="",I1049=""),"",F1049-I1049))</f>
        <v/>
      </c>
      <c r="R1238" s="1" t="str">
        <f aca="false">IF($A1049="","",IF(Q1049="","",Q1049+IF(O1049="",0,O1049)))</f>
        <v/>
      </c>
      <c r="S1238" s="1" t="n">
        <v>400000</v>
      </c>
      <c r="T1238" s="1" t="n">
        <f aca="false">IF($A1049="","",IF(R1049="","",R1049-IF(S1049="",0,S1049)))</f>
        <v>6000</v>
      </c>
      <c r="U1238" s="1" t="str">
        <f aca="false">IF($A1049="","",IF(I1049="","",I1049-SUM(J1049:P1049)))</f>
        <v/>
      </c>
      <c r="V1238" s="6" t="s">
        <v>5345</v>
      </c>
      <c r="W1238" s="9" t="s">
        <v>774</v>
      </c>
      <c r="X1238" s="6" t="s">
        <v>5346</v>
      </c>
      <c r="Y1238" s="9" t="s">
        <v>4897</v>
      </c>
      <c r="Z1238" s="9" t="s">
        <v>4898</v>
      </c>
      <c r="AA1238" s="9" t="s">
        <v>4899</v>
      </c>
    </row>
    <row r="1239" customFormat="false" ht="15" hidden="false" customHeight="true" outlineLevel="0" collapsed="false">
      <c r="A1239" s="6" t="s">
        <v>4558</v>
      </c>
      <c r="B1239" s="6" t="s">
        <v>559</v>
      </c>
      <c r="C1239" s="6" t="s">
        <v>564</v>
      </c>
      <c r="D1239" s="6" t="n">
        <v>6</v>
      </c>
      <c r="E1239" s="9" t="s">
        <v>5102</v>
      </c>
      <c r="F1239" s="1" t="n">
        <v>257000</v>
      </c>
      <c r="I1239" s="1" t="n">
        <v>89000</v>
      </c>
      <c r="J1239" s="1" t="n">
        <v>32000</v>
      </c>
      <c r="K1239" s="1" t="n">
        <v>13000</v>
      </c>
      <c r="L1239" s="1" t="n">
        <v>12000</v>
      </c>
      <c r="M1239" s="1" t="n">
        <v>0</v>
      </c>
      <c r="N1239" s="1" t="n">
        <v>6000</v>
      </c>
      <c r="O1239" s="1" t="n">
        <v>22000</v>
      </c>
      <c r="P1239" s="1" t="n">
        <v>0</v>
      </c>
      <c r="Q1239" s="1" t="str">
        <f aca="false">IF($A1050="","",IF(OR(F1050="",I1050=""),"",F1050-I1050))</f>
        <v/>
      </c>
      <c r="R1239" s="1" t="str">
        <f aca="false">IF($A1050="","",IF(Q1050="","",Q1050+IF(O1050="",0,O1050)))</f>
        <v/>
      </c>
      <c r="S1239" s="1" t="n">
        <v>2000</v>
      </c>
      <c r="T1239" s="1" t="n">
        <f aca="false">IF($A1050="","",IF(R1050="","",R1050-IF(S1050="",0,S1050)))</f>
        <v>21000</v>
      </c>
      <c r="U1239" s="1" t="str">
        <f aca="false">IF($A1050="","",IF(I1050="","",I1050-SUM(J1050:P1050)))</f>
        <v/>
      </c>
      <c r="V1239" s="6" t="s">
        <v>5345</v>
      </c>
      <c r="W1239" s="9" t="s">
        <v>774</v>
      </c>
      <c r="X1239" s="6" t="s">
        <v>5346</v>
      </c>
      <c r="Y1239" s="9" t="s">
        <v>4897</v>
      </c>
      <c r="Z1239" s="9" t="s">
        <v>4898</v>
      </c>
      <c r="AA1239" s="9" t="s">
        <v>4899</v>
      </c>
    </row>
    <row r="1240" customFormat="false" ht="15" hidden="false" customHeight="true" outlineLevel="0" collapsed="false">
      <c r="A1240" s="6" t="s">
        <v>4561</v>
      </c>
      <c r="B1240" s="6" t="s">
        <v>559</v>
      </c>
      <c r="C1240" s="6" t="s">
        <v>564</v>
      </c>
      <c r="D1240" s="6" t="n">
        <v>6</v>
      </c>
      <c r="E1240" s="9" t="s">
        <v>5102</v>
      </c>
      <c r="Q1240" s="1" t="str">
        <f aca="false">IF($A1051="","",IF(OR(F1051="",I1051=""),"",F1051-I1051))</f>
        <v/>
      </c>
      <c r="R1240" s="1" t="str">
        <f aca="false">IF($A1051="","",IF(Q1051="","",Q1051+IF(O1051="",0,O1051)))</f>
        <v/>
      </c>
      <c r="S1240" s="1" t="n">
        <v>5000</v>
      </c>
      <c r="T1240" s="1" t="n">
        <f aca="false">IF($A1051="","",IF(R1051="","",R1051-IF(S1051="",0,S1051)))</f>
        <v>38000</v>
      </c>
      <c r="U1240" s="1" t="str">
        <f aca="false">IF($A1051="","",IF(I1051="","",I1051-SUM(J1051:P1051)))</f>
        <v/>
      </c>
      <c r="V1240" s="6" t="s">
        <v>5345</v>
      </c>
      <c r="W1240" s="9" t="s">
        <v>774</v>
      </c>
      <c r="X1240" s="6" t="s">
        <v>5346</v>
      </c>
      <c r="Y1240" s="9" t="s">
        <v>4897</v>
      </c>
      <c r="Z1240" s="9" t="s">
        <v>4898</v>
      </c>
      <c r="AA1240" s="9" t="s">
        <v>4899</v>
      </c>
    </row>
    <row r="1241" customFormat="false" ht="15" hidden="false" customHeight="true" outlineLevel="0" collapsed="false">
      <c r="A1241" s="6" t="s">
        <v>4564</v>
      </c>
      <c r="B1241" s="6" t="s">
        <v>559</v>
      </c>
      <c r="C1241" s="6" t="s">
        <v>564</v>
      </c>
      <c r="D1241" s="6" t="n">
        <v>6</v>
      </c>
      <c r="E1241" s="9" t="s">
        <v>5102</v>
      </c>
      <c r="Q1241" s="1" t="str">
        <f aca="false">IF($A1052="","",IF(OR(F1052="",I1052=""),"",F1052-I1052))</f>
        <v/>
      </c>
      <c r="R1241" s="1" t="str">
        <f aca="false">IF($A1052="","",IF(Q1052="","",Q1052+IF(O1052="",0,O1052)))</f>
        <v/>
      </c>
      <c r="S1241" s="1" t="n">
        <v>1000</v>
      </c>
      <c r="T1241" s="1" t="n">
        <f aca="false">IF($A1052="","",IF(R1052="","",R1052-IF(S1052="",0,S1052)))</f>
        <v>39000</v>
      </c>
      <c r="U1241" s="1" t="str">
        <f aca="false">IF($A1052="","",IF(I1052="","",I1052-SUM(J1052:P1052)))</f>
        <v/>
      </c>
      <c r="V1241" s="6" t="s">
        <v>5345</v>
      </c>
      <c r="W1241" s="9" t="s">
        <v>774</v>
      </c>
      <c r="X1241" s="6" t="s">
        <v>5346</v>
      </c>
      <c r="Y1241" s="9" t="s">
        <v>4897</v>
      </c>
      <c r="Z1241" s="9" t="s">
        <v>4898</v>
      </c>
      <c r="AA1241" s="9" t="s">
        <v>4899</v>
      </c>
    </row>
    <row r="1242" customFormat="false" ht="15" hidden="false" customHeight="true" outlineLevel="0" collapsed="false">
      <c r="A1242" s="6" t="s">
        <v>4567</v>
      </c>
      <c r="B1242" s="6" t="s">
        <v>559</v>
      </c>
      <c r="C1242" s="6" t="s">
        <v>564</v>
      </c>
      <c r="D1242" s="6" t="n">
        <v>6</v>
      </c>
      <c r="E1242" s="9" t="s">
        <v>5102</v>
      </c>
      <c r="F1242" s="1" t="n">
        <v>514000</v>
      </c>
      <c r="I1242" s="1" t="n">
        <v>255000</v>
      </c>
      <c r="J1242" s="1" t="n">
        <v>63000</v>
      </c>
      <c r="K1242" s="1" t="n">
        <v>32000</v>
      </c>
      <c r="L1242" s="1" t="n">
        <v>64000</v>
      </c>
      <c r="M1242" s="1" t="n">
        <v>0</v>
      </c>
      <c r="N1242" s="1" t="n">
        <v>4000</v>
      </c>
      <c r="O1242" s="1" t="n">
        <v>90000</v>
      </c>
      <c r="P1242" s="1" t="n">
        <v>0</v>
      </c>
      <c r="Q1242" s="1" t="str">
        <f aca="false">IF($A1053="","",IF(OR(F1053="",I1053=""),"",F1053-I1053))</f>
        <v/>
      </c>
      <c r="R1242" s="1" t="str">
        <f aca="false">IF($A1053="","",IF(Q1053="","",Q1053+IF(O1053="",0,O1053)))</f>
        <v/>
      </c>
      <c r="S1242" s="1" t="n">
        <v>11000</v>
      </c>
      <c r="T1242" s="1" t="n">
        <f aca="false">IF($A1053="","",IF(R1053="","",R1053-IF(S1053="",0,S1053)))</f>
        <v>44000</v>
      </c>
      <c r="U1242" s="1" t="str">
        <f aca="false">IF($A1053="","",IF(I1053="","",I1053-SUM(J1053:P1053)))</f>
        <v/>
      </c>
      <c r="V1242" s="6" t="s">
        <v>5345</v>
      </c>
      <c r="W1242" s="9" t="s">
        <v>774</v>
      </c>
      <c r="X1242" s="6" t="s">
        <v>5346</v>
      </c>
      <c r="Y1242" s="9" t="s">
        <v>4897</v>
      </c>
      <c r="Z1242" s="9" t="s">
        <v>4898</v>
      </c>
      <c r="AA1242" s="9" t="s">
        <v>4899</v>
      </c>
    </row>
    <row r="1243" customFormat="false" ht="15" hidden="false" customHeight="true" outlineLevel="0" collapsed="false">
      <c r="A1243" s="6" t="s">
        <v>4570</v>
      </c>
      <c r="B1243" s="6" t="s">
        <v>559</v>
      </c>
      <c r="C1243" s="6" t="s">
        <v>564</v>
      </c>
      <c r="D1243" s="6" t="n">
        <v>6</v>
      </c>
      <c r="E1243" s="9" t="s">
        <v>5102</v>
      </c>
      <c r="F1243" s="1" t="n">
        <v>294000</v>
      </c>
      <c r="I1243" s="1" t="n">
        <v>148000</v>
      </c>
      <c r="J1243" s="1" t="n">
        <v>45000</v>
      </c>
      <c r="K1243" s="1" t="n">
        <v>25000</v>
      </c>
      <c r="L1243" s="1" t="n">
        <v>40000</v>
      </c>
      <c r="M1243" s="1" t="n">
        <v>0</v>
      </c>
      <c r="N1243" s="1" t="n">
        <v>11000</v>
      </c>
      <c r="O1243" s="1" t="n">
        <v>24000</v>
      </c>
      <c r="P1243" s="1" t="n">
        <v>0</v>
      </c>
      <c r="Q1243" s="1" t="str">
        <f aca="false">IF($A1054="","",IF(OR(F1054="",I1054=""),"",F1054-I1054))</f>
        <v/>
      </c>
      <c r="R1243" s="1" t="str">
        <f aca="false">IF($A1054="","",IF(Q1054="","",Q1054+IF(O1054="",0,O1054)))</f>
        <v/>
      </c>
      <c r="S1243" s="1" t="n">
        <v>10000</v>
      </c>
      <c r="T1243" s="1" t="n">
        <f aca="false">IF($A1054="","",IF(R1054="","",R1054-IF(S1054="",0,S1054)))</f>
        <v>44000</v>
      </c>
      <c r="U1243" s="1" t="str">
        <f aca="false">IF($A1054="","",IF(I1054="","",I1054-SUM(J1054:P1054)))</f>
        <v/>
      </c>
      <c r="V1243" s="6" t="s">
        <v>5345</v>
      </c>
      <c r="W1243" s="9" t="s">
        <v>774</v>
      </c>
      <c r="X1243" s="6" t="s">
        <v>5346</v>
      </c>
      <c r="Y1243" s="9" t="s">
        <v>4897</v>
      </c>
      <c r="Z1243" s="9" t="s">
        <v>4898</v>
      </c>
      <c r="AA1243" s="9" t="s">
        <v>4899</v>
      </c>
    </row>
    <row r="1244" customFormat="false" ht="15" hidden="false" customHeight="true" outlineLevel="0" collapsed="false">
      <c r="A1244" s="6" t="s">
        <v>4573</v>
      </c>
      <c r="B1244" s="6" t="s">
        <v>559</v>
      </c>
      <c r="C1244" s="6" t="s">
        <v>564</v>
      </c>
      <c r="D1244" s="6" t="n">
        <v>6</v>
      </c>
      <c r="E1244" s="9" t="s">
        <v>5102</v>
      </c>
      <c r="F1244" s="1" t="n">
        <v>385000</v>
      </c>
      <c r="I1244" s="1" t="n">
        <v>217000</v>
      </c>
      <c r="J1244" s="1" t="n">
        <v>24000</v>
      </c>
      <c r="K1244" s="1" t="n">
        <v>27000</v>
      </c>
      <c r="L1244" s="1" t="n">
        <v>26000</v>
      </c>
      <c r="M1244" s="1" t="n">
        <v>0</v>
      </c>
      <c r="N1244" s="1" t="n">
        <v>7000</v>
      </c>
      <c r="O1244" s="1" t="n">
        <v>130000</v>
      </c>
      <c r="P1244" s="1" t="n">
        <v>0</v>
      </c>
      <c r="Q1244" s="1" t="str">
        <f aca="false">IF($A1055="","",IF(OR(F1055="",I1055=""),"",F1055-I1055))</f>
        <v/>
      </c>
      <c r="R1244" s="1" t="str">
        <f aca="false">IF($A1055="","",IF(Q1055="","",Q1055+IF(O1055="",0,O1055)))</f>
        <v/>
      </c>
      <c r="S1244" s="1" t="n">
        <v>11000</v>
      </c>
      <c r="T1244" s="1" t="n">
        <f aca="false">IF($A1055="","",IF(R1055="","",R1055-IF(S1055="",0,S1055)))</f>
        <v>-20000</v>
      </c>
      <c r="U1244" s="1" t="str">
        <f aca="false">IF($A1055="","",IF(I1055="","",I1055-SUM(J1055:P1055)))</f>
        <v/>
      </c>
      <c r="V1244" s="6" t="s">
        <v>5345</v>
      </c>
      <c r="W1244" s="9" t="s">
        <v>774</v>
      </c>
      <c r="X1244" s="6" t="s">
        <v>5346</v>
      </c>
      <c r="Y1244" s="9" t="s">
        <v>4897</v>
      </c>
      <c r="Z1244" s="9" t="s">
        <v>4898</v>
      </c>
      <c r="AA1244" s="9" t="s">
        <v>4899</v>
      </c>
    </row>
    <row r="1245" customFormat="false" ht="15" hidden="false" customHeight="true" outlineLevel="0" collapsed="false">
      <c r="A1245" s="6" t="s">
        <v>4576</v>
      </c>
      <c r="B1245" s="6" t="s">
        <v>559</v>
      </c>
      <c r="C1245" s="6" t="s">
        <v>564</v>
      </c>
      <c r="D1245" s="6" t="n">
        <v>6</v>
      </c>
      <c r="E1245" s="9" t="s">
        <v>5102</v>
      </c>
      <c r="F1245" s="1" t="n">
        <v>595000</v>
      </c>
      <c r="I1245" s="1" t="n">
        <v>301000</v>
      </c>
      <c r="J1245" s="1" t="n">
        <v>67000</v>
      </c>
      <c r="K1245" s="1" t="n">
        <v>44000</v>
      </c>
      <c r="L1245" s="1" t="n">
        <v>94000</v>
      </c>
      <c r="M1245" s="1" t="n">
        <v>0</v>
      </c>
      <c r="N1245" s="1" t="n">
        <v>10000</v>
      </c>
      <c r="O1245" s="1" t="n">
        <v>83000</v>
      </c>
      <c r="P1245" s="1" t="n">
        <v>0</v>
      </c>
      <c r="Q1245" s="1" t="str">
        <f aca="false">IF($A1056="","",IF(OR(F1056="",I1056=""),"",F1056-I1056))</f>
        <v/>
      </c>
      <c r="R1245" s="1" t="str">
        <f aca="false">IF($A1056="","",IF(Q1056="","",Q1056+IF(O1056="",0,O1056)))</f>
        <v/>
      </c>
      <c r="S1245" s="1" t="n">
        <v>0</v>
      </c>
      <c r="T1245" s="1" t="n">
        <f aca="false">IF($A1056="","",IF(R1056="","",R1056-IF(S1056="",0,S1056)))</f>
        <v>21000</v>
      </c>
      <c r="U1245" s="1" t="str">
        <f aca="false">IF($A1056="","",IF(I1056="","",I1056-SUM(J1056:P1056)))</f>
        <v/>
      </c>
      <c r="V1245" s="6" t="s">
        <v>5345</v>
      </c>
      <c r="W1245" s="9" t="s">
        <v>774</v>
      </c>
      <c r="X1245" s="6" t="s">
        <v>5346</v>
      </c>
      <c r="Y1245" s="9" t="s">
        <v>4897</v>
      </c>
      <c r="Z1245" s="9" t="s">
        <v>4898</v>
      </c>
      <c r="AA1245" s="9" t="s">
        <v>4899</v>
      </c>
    </row>
    <row r="1246" customFormat="false" ht="15" hidden="false" customHeight="true" outlineLevel="0" collapsed="false">
      <c r="A1246" s="6" t="s">
        <v>4579</v>
      </c>
      <c r="B1246" s="6" t="s">
        <v>559</v>
      </c>
      <c r="C1246" s="6" t="s">
        <v>564</v>
      </c>
      <c r="D1246" s="6" t="n">
        <v>6</v>
      </c>
      <c r="E1246" s="9" t="s">
        <v>5102</v>
      </c>
      <c r="F1246" s="1" t="n">
        <v>449000</v>
      </c>
      <c r="I1246" s="1" t="n">
        <v>214000</v>
      </c>
      <c r="J1246" s="1" t="n">
        <v>68000</v>
      </c>
      <c r="K1246" s="1" t="n">
        <v>31000</v>
      </c>
      <c r="L1246" s="1" t="n">
        <v>27000</v>
      </c>
      <c r="M1246" s="1" t="n">
        <v>0</v>
      </c>
      <c r="N1246" s="1" t="n">
        <v>11000</v>
      </c>
      <c r="O1246" s="1" t="n">
        <v>74000</v>
      </c>
      <c r="P1246" s="1" t="n">
        <v>0</v>
      </c>
      <c r="Q1246" s="1" t="str">
        <f aca="false">IF($A1057="","",IF(OR(F1057="",I1057=""),"",F1057-I1057))</f>
        <v/>
      </c>
      <c r="R1246" s="1" t="str">
        <f aca="false">IF($A1057="","",IF(Q1057="","",Q1057+IF(O1057="",0,O1057)))</f>
        <v/>
      </c>
      <c r="S1246" s="1" t="n">
        <v>6000</v>
      </c>
      <c r="T1246" s="1" t="n">
        <f aca="false">IF($A1057="","",IF(R1057="","",R1057-IF(S1057="",0,S1057)))</f>
        <v>22000</v>
      </c>
      <c r="U1246" s="1" t="str">
        <f aca="false">IF($A1057="","",IF(I1057="","",I1057-SUM(J1057:P1057)))</f>
        <v/>
      </c>
      <c r="V1246" s="6" t="s">
        <v>5345</v>
      </c>
      <c r="W1246" s="9" t="s">
        <v>774</v>
      </c>
      <c r="X1246" s="6" t="s">
        <v>5346</v>
      </c>
      <c r="Y1246" s="9" t="s">
        <v>4897</v>
      </c>
      <c r="Z1246" s="9" t="s">
        <v>4898</v>
      </c>
      <c r="AA1246" s="9" t="s">
        <v>4899</v>
      </c>
    </row>
    <row r="1247" customFormat="false" ht="15" hidden="false" customHeight="true" outlineLevel="0" collapsed="false">
      <c r="A1247" s="6" t="s">
        <v>4582</v>
      </c>
      <c r="B1247" s="6" t="s">
        <v>559</v>
      </c>
      <c r="C1247" s="6" t="s">
        <v>564</v>
      </c>
      <c r="D1247" s="6" t="n">
        <v>6</v>
      </c>
      <c r="E1247" s="9" t="s">
        <v>5102</v>
      </c>
      <c r="F1247" s="1" t="n">
        <v>277000</v>
      </c>
      <c r="I1247" s="1" t="n">
        <v>194000</v>
      </c>
      <c r="J1247" s="1" t="n">
        <v>33000</v>
      </c>
      <c r="K1247" s="1" t="n">
        <v>20000</v>
      </c>
      <c r="L1247" s="1" t="n">
        <v>17000</v>
      </c>
      <c r="M1247" s="1" t="n">
        <v>1000</v>
      </c>
      <c r="N1247" s="1" t="n">
        <v>78000</v>
      </c>
      <c r="O1247" s="1" t="n">
        <v>44000</v>
      </c>
      <c r="P1247" s="1" t="n">
        <v>0</v>
      </c>
      <c r="Q1247" s="1" t="str">
        <f aca="false">IF($A1058="","",IF(OR(F1058="",I1058=""),"",F1058-I1058))</f>
        <v/>
      </c>
      <c r="R1247" s="1" t="str">
        <f aca="false">IF($A1058="","",IF(Q1058="","",Q1058+IF(O1058="",0,O1058)))</f>
        <v/>
      </c>
      <c r="S1247" s="1" t="n">
        <v>428000</v>
      </c>
      <c r="T1247" s="1" t="n">
        <f aca="false">IF($A1058="","",IF(R1058="","",R1058-IF(S1058="",0,S1058)))</f>
        <v>-88000</v>
      </c>
      <c r="U1247" s="1" t="str">
        <f aca="false">IF($A1058="","",IF(I1058="","",I1058-SUM(J1058:P1058)))</f>
        <v/>
      </c>
      <c r="V1247" s="6" t="s">
        <v>5345</v>
      </c>
      <c r="W1247" s="9" t="s">
        <v>774</v>
      </c>
      <c r="X1247" s="6" t="s">
        <v>5346</v>
      </c>
      <c r="Y1247" s="9" t="s">
        <v>4897</v>
      </c>
      <c r="Z1247" s="9" t="s">
        <v>4898</v>
      </c>
      <c r="AA1247" s="9" t="s">
        <v>4899</v>
      </c>
    </row>
    <row r="1248" customFormat="false" ht="15" hidden="false" customHeight="true" outlineLevel="0" collapsed="false">
      <c r="A1248" s="6" t="s">
        <v>4585</v>
      </c>
      <c r="B1248" s="6" t="s">
        <v>559</v>
      </c>
      <c r="C1248" s="6" t="s">
        <v>564</v>
      </c>
      <c r="D1248" s="6" t="n">
        <v>6</v>
      </c>
      <c r="E1248" s="9" t="s">
        <v>5102</v>
      </c>
      <c r="F1248" s="1" t="n">
        <v>276000</v>
      </c>
      <c r="I1248" s="1" t="n">
        <v>252000</v>
      </c>
      <c r="J1248" s="1" t="n">
        <v>52000</v>
      </c>
      <c r="K1248" s="1" t="n">
        <v>26000</v>
      </c>
      <c r="L1248" s="1" t="n">
        <v>24000</v>
      </c>
      <c r="M1248" s="1" t="n">
        <v>0</v>
      </c>
      <c r="N1248" s="1" t="n">
        <v>33000</v>
      </c>
      <c r="O1248" s="1" t="n">
        <v>83000</v>
      </c>
      <c r="P1248" s="1" t="n">
        <v>31000</v>
      </c>
      <c r="Q1248" s="1" t="str">
        <f aca="false">IF($A1059="","",IF(OR(F1059="",I1059=""),"",F1059-I1059))</f>
        <v/>
      </c>
      <c r="R1248" s="1" t="str">
        <f aca="false">IF($A1059="","",IF(Q1059="","",Q1059+IF(O1059="",0,O1059)))</f>
        <v/>
      </c>
      <c r="S1248" s="1" t="n">
        <v>166000</v>
      </c>
      <c r="T1248" s="1" t="n">
        <f aca="false">IF($A1059="","",IF(R1059="","",R1059-IF(S1059="",0,S1059)))</f>
        <v>96000</v>
      </c>
      <c r="U1248" s="1" t="str">
        <f aca="false">IF($A1059="","",IF(I1059="","",I1059-SUM(J1059:P1059)))</f>
        <v/>
      </c>
      <c r="V1248" s="6" t="s">
        <v>5345</v>
      </c>
      <c r="W1248" s="9" t="s">
        <v>774</v>
      </c>
      <c r="X1248" s="6" t="s">
        <v>5346</v>
      </c>
      <c r="Y1248" s="9" t="s">
        <v>4897</v>
      </c>
      <c r="Z1248" s="9" t="s">
        <v>4898</v>
      </c>
      <c r="AA1248" s="9" t="s">
        <v>4899</v>
      </c>
    </row>
    <row r="1249" customFormat="false" ht="15" hidden="false" customHeight="true" outlineLevel="0" collapsed="false">
      <c r="A1249" s="6" t="s">
        <v>4588</v>
      </c>
      <c r="B1249" s="6" t="s">
        <v>559</v>
      </c>
      <c r="C1249" s="6" t="s">
        <v>564</v>
      </c>
      <c r="D1249" s="6" t="n">
        <v>6</v>
      </c>
      <c r="E1249" s="9" t="s">
        <v>5102</v>
      </c>
      <c r="F1249" s="1" t="n">
        <v>96000</v>
      </c>
      <c r="I1249" s="1" t="n">
        <v>46000</v>
      </c>
      <c r="J1249" s="1" t="n">
        <v>14000</v>
      </c>
      <c r="K1249" s="1" t="n">
        <v>6000</v>
      </c>
      <c r="L1249" s="1" t="n">
        <v>8000</v>
      </c>
      <c r="M1249" s="1" t="n">
        <v>0</v>
      </c>
      <c r="N1249" s="1" t="n">
        <v>3000</v>
      </c>
      <c r="O1249" s="1" t="n">
        <v>14000</v>
      </c>
      <c r="P1249" s="1" t="n">
        <v>0</v>
      </c>
      <c r="Q1249" s="1" t="str">
        <f aca="false">IF($A1060="","",IF(OR(F1060="",I1060=""),"",F1060-I1060))</f>
        <v/>
      </c>
      <c r="R1249" s="1" t="str">
        <f aca="false">IF($A1060="","",IF(Q1060="","",Q1060+IF(O1060="",0,O1060)))</f>
        <v/>
      </c>
      <c r="S1249" s="1" t="n">
        <v>4000</v>
      </c>
      <c r="T1249" s="1" t="n">
        <f aca="false">IF($A1060="","",IF(R1060="","",R1060-IF(S1060="",0,S1060)))</f>
        <v>52000</v>
      </c>
      <c r="U1249" s="1" t="str">
        <f aca="false">IF($A1060="","",IF(I1060="","",I1060-SUM(J1060:P1060)))</f>
        <v/>
      </c>
      <c r="V1249" s="6" t="s">
        <v>5345</v>
      </c>
      <c r="W1249" s="9" t="s">
        <v>774</v>
      </c>
      <c r="X1249" s="6" t="s">
        <v>5346</v>
      </c>
      <c r="Y1249" s="9" t="s">
        <v>4897</v>
      </c>
      <c r="Z1249" s="9" t="s">
        <v>4898</v>
      </c>
      <c r="AA1249" s="9" t="s">
        <v>4899</v>
      </c>
    </row>
    <row r="1250" customFormat="false" ht="15" hidden="false" customHeight="true" outlineLevel="0" collapsed="false">
      <c r="A1250" s="6" t="s">
        <v>4591</v>
      </c>
      <c r="B1250" s="6" t="s">
        <v>559</v>
      </c>
      <c r="C1250" s="6" t="s">
        <v>564</v>
      </c>
      <c r="D1250" s="6" t="n">
        <v>6</v>
      </c>
      <c r="E1250" s="9" t="s">
        <v>5102</v>
      </c>
      <c r="F1250" s="1" t="n">
        <v>154000</v>
      </c>
      <c r="I1250" s="1" t="n">
        <v>134000</v>
      </c>
      <c r="J1250" s="1" t="n">
        <v>20000</v>
      </c>
      <c r="K1250" s="1" t="n">
        <v>14000</v>
      </c>
      <c r="L1250" s="1" t="n">
        <v>21000</v>
      </c>
      <c r="M1250" s="1" t="n">
        <v>0</v>
      </c>
      <c r="N1250" s="1" t="n">
        <v>10000</v>
      </c>
      <c r="O1250" s="1" t="n">
        <v>68000</v>
      </c>
      <c r="P1250" s="1" t="n">
        <v>0</v>
      </c>
      <c r="Q1250" s="1" t="str">
        <f aca="false">IF($A1061="","",IF(OR(F1061="",I1061=""),"",F1061-I1061))</f>
        <v/>
      </c>
      <c r="R1250" s="1" t="str">
        <f aca="false">IF($A1061="","",IF(Q1061="","",Q1061+IF(O1061="",0,O1061)))</f>
        <v/>
      </c>
      <c r="S1250" s="1" t="n">
        <v>10000</v>
      </c>
      <c r="T1250" s="1" t="n">
        <f aca="false">IF($A1061="","",IF(R1061="","",R1061-IF(S1061="",0,S1061)))</f>
        <v>55000</v>
      </c>
      <c r="U1250" s="1" t="str">
        <f aca="false">IF($A1061="","",IF(I1061="","",I1061-SUM(J1061:P1061)))</f>
        <v/>
      </c>
      <c r="V1250" s="6" t="s">
        <v>5345</v>
      </c>
      <c r="W1250" s="9" t="s">
        <v>774</v>
      </c>
      <c r="X1250" s="6" t="s">
        <v>5346</v>
      </c>
      <c r="Y1250" s="9" t="s">
        <v>4897</v>
      </c>
      <c r="Z1250" s="9" t="s">
        <v>4898</v>
      </c>
      <c r="AA1250" s="9" t="s">
        <v>4899</v>
      </c>
    </row>
    <row r="1251" customFormat="false" ht="15" hidden="false" customHeight="true" outlineLevel="0" collapsed="false">
      <c r="A1251" s="6" t="s">
        <v>4594</v>
      </c>
      <c r="B1251" s="6" t="s">
        <v>559</v>
      </c>
      <c r="C1251" s="6" t="s">
        <v>564</v>
      </c>
      <c r="D1251" s="6" t="n">
        <v>6</v>
      </c>
      <c r="E1251" s="9" t="s">
        <v>5102</v>
      </c>
      <c r="F1251" s="1" t="n">
        <v>163000</v>
      </c>
      <c r="I1251" s="1" t="n">
        <v>84000</v>
      </c>
      <c r="J1251" s="1" t="n">
        <v>24000</v>
      </c>
      <c r="K1251" s="1" t="n">
        <v>19000</v>
      </c>
      <c r="L1251" s="1" t="n">
        <v>20000</v>
      </c>
      <c r="M1251" s="1" t="n">
        <v>0</v>
      </c>
      <c r="N1251" s="1" t="n">
        <v>1000</v>
      </c>
      <c r="O1251" s="1" t="n">
        <v>18000</v>
      </c>
      <c r="P1251" s="1" t="n">
        <v>0</v>
      </c>
      <c r="Q1251" s="1" t="str">
        <f aca="false">IF($A1062="","",IF(OR(F1062="",I1062=""),"",F1062-I1062))</f>
        <v/>
      </c>
      <c r="R1251" s="1" t="str">
        <f aca="false">IF($A1062="","",IF(Q1062="","",Q1062+IF(O1062="",0,O1062)))</f>
        <v/>
      </c>
      <c r="S1251" s="1" t="n">
        <v>0</v>
      </c>
      <c r="T1251" s="1" t="n">
        <f aca="false">IF($A1062="","",IF(R1062="","",R1062-IF(S1062="",0,S1062)))</f>
        <v>109000</v>
      </c>
      <c r="U1251" s="1" t="str">
        <f aca="false">IF($A1062="","",IF(I1062="","",I1062-SUM(J1062:P1062)))</f>
        <v/>
      </c>
      <c r="V1251" s="6" t="s">
        <v>5345</v>
      </c>
      <c r="W1251" s="9" t="s">
        <v>774</v>
      </c>
      <c r="X1251" s="6" t="s">
        <v>5346</v>
      </c>
      <c r="Y1251" s="9" t="s">
        <v>4897</v>
      </c>
      <c r="Z1251" s="9" t="s">
        <v>4898</v>
      </c>
      <c r="AA1251" s="9" t="s">
        <v>4899</v>
      </c>
    </row>
    <row r="1252" customFormat="false" ht="15" hidden="false" customHeight="true" outlineLevel="0" collapsed="false">
      <c r="A1252" s="6" t="s">
        <v>4597</v>
      </c>
      <c r="B1252" s="6" t="s">
        <v>559</v>
      </c>
      <c r="C1252" s="6" t="s">
        <v>564</v>
      </c>
      <c r="D1252" s="6" t="n">
        <v>6</v>
      </c>
      <c r="E1252" s="9" t="s">
        <v>5102</v>
      </c>
      <c r="F1252" s="1" t="n">
        <v>36817129</v>
      </c>
      <c r="G1252" s="1" t="n">
        <v>36743295</v>
      </c>
      <c r="H1252" s="1" t="n">
        <v>73833</v>
      </c>
      <c r="I1252" s="1" t="n">
        <v>19317966</v>
      </c>
      <c r="J1252" s="1" t="n">
        <v>4157545</v>
      </c>
      <c r="K1252" s="1" t="n">
        <v>2748341</v>
      </c>
      <c r="L1252" s="1" t="n">
        <v>3906597</v>
      </c>
      <c r="M1252" s="1" t="n">
        <v>50981</v>
      </c>
      <c r="N1252" s="1" t="n">
        <v>1832972</v>
      </c>
      <c r="O1252" s="1" t="n">
        <v>6309528</v>
      </c>
      <c r="P1252" s="1" t="n">
        <v>311999</v>
      </c>
      <c r="Q1252" s="1" t="str">
        <f aca="false">IF($A1063="","",IF(OR(F1063="",I1063=""),"",F1063-I1063))</f>
        <v/>
      </c>
      <c r="R1252" s="1" t="str">
        <f aca="false">IF($A1063="","",IF(Q1063="","",Q1063+IF(O1063="",0,O1063)))</f>
        <v/>
      </c>
      <c r="S1252" s="1" t="n">
        <v>5325000</v>
      </c>
      <c r="T1252" s="1" t="n">
        <f aca="false">IF($A1063="","",IF(R1063="","",R1063-IF(S1063="",0,S1063)))</f>
        <v>106000</v>
      </c>
      <c r="U1252" s="1" t="str">
        <f aca="false">IF($A1063="","",IF(I1063="","",I1063-SUM(J1063:P1063)))</f>
        <v/>
      </c>
      <c r="V1252" s="6" t="s">
        <v>5345</v>
      </c>
      <c r="W1252" s="49" t="s">
        <v>774</v>
      </c>
      <c r="X1252" s="6" t="s">
        <v>5346</v>
      </c>
      <c r="Y1252" s="9" t="s">
        <v>4897</v>
      </c>
      <c r="Z1252" s="9" t="s">
        <v>4898</v>
      </c>
      <c r="AA1252" s="9" t="s">
        <v>4899</v>
      </c>
    </row>
    <row r="1253" customFormat="false" ht="15" hidden="false" customHeight="true" outlineLevel="0" collapsed="false">
      <c r="A1253" s="6" t="s">
        <v>4600</v>
      </c>
      <c r="B1253" s="6" t="s">
        <v>559</v>
      </c>
      <c r="C1253" s="6" t="s">
        <v>564</v>
      </c>
      <c r="D1253" s="6" t="n">
        <v>6</v>
      </c>
      <c r="E1253" s="9" t="s">
        <v>5102</v>
      </c>
      <c r="F1253" s="1" t="n">
        <v>1739703</v>
      </c>
      <c r="I1253" s="1" t="n">
        <v>698351</v>
      </c>
      <c r="J1253" s="1" t="n">
        <v>210570</v>
      </c>
      <c r="K1253" s="1" t="n">
        <v>0</v>
      </c>
      <c r="L1253" s="1" t="n">
        <v>367983</v>
      </c>
      <c r="M1253" s="1" t="n">
        <v>4507</v>
      </c>
      <c r="O1253" s="1" t="n">
        <v>72682</v>
      </c>
      <c r="P1253" s="1" t="n">
        <v>42606</v>
      </c>
      <c r="Q1253" s="1" t="str">
        <f aca="false">IF($A1064="","",IF(OR(F1064="",I1064=""),"",F1064-I1064))</f>
        <v/>
      </c>
      <c r="R1253" s="1" t="str">
        <f aca="false">IF($A1064="","",IF(Q1064="","",Q1064+IF(O1064="",0,O1064)))</f>
        <v/>
      </c>
      <c r="S1253" s="1" t="n">
        <v>179364</v>
      </c>
      <c r="T1253" s="1" t="n">
        <f aca="false">IF($A1064="","",IF(R1064="","",R1064-IF(S1064="",0,S1064)))</f>
        <v>40000</v>
      </c>
      <c r="U1253" s="1" t="str">
        <f aca="false">IF($A1064="","",IF(I1064="","",I1064-SUM(J1064:P1064)))</f>
        <v/>
      </c>
      <c r="V1253" s="6" t="s">
        <v>5345</v>
      </c>
      <c r="W1253" s="9" t="s">
        <v>774</v>
      </c>
      <c r="X1253" s="6" t="s">
        <v>5346</v>
      </c>
      <c r="Y1253" s="9" t="s">
        <v>4897</v>
      </c>
      <c r="Z1253" s="9" t="s">
        <v>4898</v>
      </c>
      <c r="AA1253" s="9" t="s">
        <v>4899</v>
      </c>
    </row>
    <row r="1254" customFormat="false" ht="15" hidden="false" customHeight="true" outlineLevel="0" collapsed="false">
      <c r="A1254" s="6" t="s">
        <v>4603</v>
      </c>
      <c r="B1254" s="6" t="s">
        <v>559</v>
      </c>
      <c r="C1254" s="6" t="s">
        <v>564</v>
      </c>
      <c r="D1254" s="6" t="n">
        <v>6</v>
      </c>
      <c r="E1254" s="9" t="s">
        <v>5102</v>
      </c>
      <c r="F1254" s="1" t="n">
        <v>905345</v>
      </c>
      <c r="I1254" s="1" t="n">
        <v>318681</v>
      </c>
      <c r="J1254" s="1" t="n">
        <v>78003</v>
      </c>
      <c r="K1254" s="1" t="n">
        <v>34393</v>
      </c>
      <c r="L1254" s="1" t="n">
        <v>47797</v>
      </c>
      <c r="M1254" s="1" t="n">
        <v>572</v>
      </c>
      <c r="O1254" s="1" t="n">
        <v>156235</v>
      </c>
      <c r="P1254" s="1" t="n">
        <v>1679</v>
      </c>
      <c r="Q1254" s="1" t="str">
        <f aca="false">IF($A1065="","",IF(OR(F1065="",I1065=""),"",F1065-I1065))</f>
        <v/>
      </c>
      <c r="R1254" s="1" t="str">
        <f aca="false">IF($A1065="","",IF(Q1065="","",Q1065+IF(O1065="",0,O1065)))</f>
        <v/>
      </c>
      <c r="S1254" s="1" t="n">
        <v>0</v>
      </c>
      <c r="T1254" s="1" t="n">
        <f aca="false">IF($A1065="","",IF(R1065="","",R1065-IF(S1065="",0,S1065)))</f>
        <v>26000</v>
      </c>
      <c r="U1254" s="1" t="str">
        <f aca="false">IF($A1065="","",IF(I1065="","",I1065-SUM(J1065:P1065)))</f>
        <v/>
      </c>
      <c r="V1254" s="6" t="s">
        <v>5345</v>
      </c>
      <c r="W1254" s="9" t="s">
        <v>774</v>
      </c>
      <c r="X1254" s="6" t="s">
        <v>5346</v>
      </c>
      <c r="Y1254" s="9" t="s">
        <v>4897</v>
      </c>
      <c r="Z1254" s="9" t="s">
        <v>4898</v>
      </c>
      <c r="AA1254" s="9" t="s">
        <v>4899</v>
      </c>
    </row>
    <row r="1255" customFormat="false" ht="15" hidden="false" customHeight="true" outlineLevel="0" collapsed="false">
      <c r="A1255" s="6" t="s">
        <v>4606</v>
      </c>
      <c r="B1255" s="6" t="s">
        <v>559</v>
      </c>
      <c r="C1255" s="6" t="s">
        <v>564</v>
      </c>
      <c r="D1255" s="6" t="n">
        <v>6</v>
      </c>
      <c r="E1255" s="9" t="s">
        <v>5102</v>
      </c>
      <c r="Q1255" s="1" t="str">
        <f aca="false">IF($A1066="","",IF(OR(F1066="",I1066=""),"",F1066-I1066))</f>
        <v/>
      </c>
      <c r="R1255" s="1" t="str">
        <f aca="false">IF($A1066="","",IF(Q1066="","",Q1066+IF(O1066="",0,O1066)))</f>
        <v/>
      </c>
      <c r="S1255" s="1" t="n">
        <v>581</v>
      </c>
      <c r="T1255" s="1" t="n">
        <f aca="false">IF($A1066="","",IF(R1066="","",R1066-IF(S1066="",0,S1066)))</f>
        <v>21000</v>
      </c>
      <c r="U1255" s="1" t="str">
        <f aca="false">IF($A1066="","",IF(I1066="","",I1066-SUM(J1066:P1066)))</f>
        <v/>
      </c>
      <c r="V1255" s="6" t="s">
        <v>5345</v>
      </c>
      <c r="W1255" s="9" t="s">
        <v>774</v>
      </c>
      <c r="X1255" s="6" t="s">
        <v>5346</v>
      </c>
      <c r="Y1255" s="9" t="s">
        <v>4897</v>
      </c>
      <c r="Z1255" s="9" t="s">
        <v>4898</v>
      </c>
      <c r="AA1255" s="9" t="s">
        <v>4899</v>
      </c>
    </row>
    <row r="1256" customFormat="false" ht="15" hidden="false" customHeight="true" outlineLevel="0" collapsed="false">
      <c r="A1256" s="6" t="s">
        <v>4609</v>
      </c>
      <c r="B1256" s="6" t="s">
        <v>559</v>
      </c>
      <c r="C1256" s="6" t="s">
        <v>564</v>
      </c>
      <c r="D1256" s="6" t="n">
        <v>6</v>
      </c>
      <c r="E1256" s="9" t="s">
        <v>5102</v>
      </c>
      <c r="F1256" s="1" t="n">
        <v>1060985</v>
      </c>
      <c r="I1256" s="1" t="n">
        <v>474498</v>
      </c>
      <c r="J1256" s="1" t="n">
        <v>241642</v>
      </c>
      <c r="K1256" s="1" t="n">
        <v>61217</v>
      </c>
      <c r="L1256" s="1" t="n">
        <v>91289</v>
      </c>
      <c r="M1256" s="1" t="n">
        <v>1995</v>
      </c>
      <c r="O1256" s="1" t="n">
        <v>65473</v>
      </c>
      <c r="P1256" s="1" t="n">
        <v>12878</v>
      </c>
      <c r="Q1256" s="1" t="str">
        <f aca="false">IF($A1067="","",IF(OR(F1067="",I1067=""),"",F1067-I1067))</f>
        <v/>
      </c>
      <c r="R1256" s="1" t="str">
        <f aca="false">IF($A1067="","",IF(Q1067="","",Q1067+IF(O1067="",0,O1067)))</f>
        <v/>
      </c>
      <c r="S1256" s="1" t="n">
        <v>28890</v>
      </c>
      <c r="T1256" s="1" t="n">
        <f aca="false">IF($A1067="","",IF(R1067="","",R1067-IF(S1067="",0,S1067)))</f>
        <v>23000</v>
      </c>
      <c r="U1256" s="1" t="str">
        <f aca="false">IF($A1067="","",IF(I1067="","",I1067-SUM(J1067:P1067)))</f>
        <v/>
      </c>
      <c r="V1256" s="6" t="s">
        <v>5345</v>
      </c>
      <c r="W1256" s="9" t="s">
        <v>774</v>
      </c>
      <c r="X1256" s="6" t="s">
        <v>5346</v>
      </c>
      <c r="Y1256" s="9" t="s">
        <v>4897</v>
      </c>
      <c r="Z1256" s="9" t="s">
        <v>4898</v>
      </c>
      <c r="AA1256" s="9" t="s">
        <v>4899</v>
      </c>
    </row>
    <row r="1257" customFormat="false" ht="15" hidden="false" customHeight="true" outlineLevel="0" collapsed="false">
      <c r="A1257" s="6" t="s">
        <v>4612</v>
      </c>
      <c r="B1257" s="6" t="s">
        <v>559</v>
      </c>
      <c r="C1257" s="6" t="s">
        <v>564</v>
      </c>
      <c r="D1257" s="6" t="n">
        <v>6</v>
      </c>
      <c r="E1257" s="9" t="s">
        <v>5102</v>
      </c>
      <c r="F1257" s="1" t="n">
        <v>338219</v>
      </c>
      <c r="I1257" s="1" t="n">
        <v>84860</v>
      </c>
      <c r="J1257" s="1" t="n">
        <v>0</v>
      </c>
      <c r="K1257" s="1" t="n">
        <v>0</v>
      </c>
      <c r="L1257" s="1" t="n">
        <v>41893</v>
      </c>
      <c r="M1257" s="1" t="n">
        <v>1184</v>
      </c>
      <c r="O1257" s="1" t="n">
        <v>39038</v>
      </c>
      <c r="P1257" s="1" t="n">
        <v>2743</v>
      </c>
      <c r="Q1257" s="1" t="str">
        <f aca="false">IF($A1068="","",IF(OR(F1068="",I1068=""),"",F1068-I1068))</f>
        <v/>
      </c>
      <c r="R1257" s="1" t="str">
        <f aca="false">IF($A1068="","",IF(Q1068="","",Q1068+IF(O1068="",0,O1068)))</f>
        <v/>
      </c>
      <c r="S1257" s="1" t="n">
        <v>49279</v>
      </c>
      <c r="T1257" s="1" t="n">
        <f aca="false">IF($A1068="","",IF(R1068="","",R1068-IF(S1068="",0,S1068)))</f>
        <v>-13000</v>
      </c>
      <c r="U1257" s="1" t="str">
        <f aca="false">IF($A1068="","",IF(I1068="","",I1068-SUM(J1068:P1068)))</f>
        <v/>
      </c>
      <c r="V1257" s="6" t="s">
        <v>5345</v>
      </c>
      <c r="W1257" s="9" t="s">
        <v>774</v>
      </c>
      <c r="X1257" s="6" t="s">
        <v>5346</v>
      </c>
      <c r="Y1257" s="9" t="s">
        <v>4897</v>
      </c>
      <c r="Z1257" s="9" t="s">
        <v>4898</v>
      </c>
      <c r="AA1257" s="9" t="s">
        <v>4899</v>
      </c>
    </row>
    <row r="1258" customFormat="false" ht="15" hidden="false" customHeight="true" outlineLevel="0" collapsed="false">
      <c r="A1258" s="6" t="s">
        <v>4615</v>
      </c>
      <c r="B1258" s="6" t="s">
        <v>559</v>
      </c>
      <c r="C1258" s="6" t="s">
        <v>564</v>
      </c>
      <c r="D1258" s="6" t="n">
        <v>6</v>
      </c>
      <c r="E1258" s="9" t="s">
        <v>5102</v>
      </c>
      <c r="F1258" s="1" t="n">
        <v>170065</v>
      </c>
      <c r="I1258" s="1" t="n">
        <v>41432</v>
      </c>
      <c r="J1258" s="1" t="n">
        <v>8432</v>
      </c>
      <c r="K1258" s="1" t="n">
        <v>2448</v>
      </c>
      <c r="L1258" s="1" t="n">
        <v>12475</v>
      </c>
      <c r="M1258" s="1" t="n">
        <v>342</v>
      </c>
      <c r="O1258" s="1" t="n">
        <v>13027</v>
      </c>
      <c r="P1258" s="1" t="n">
        <v>4705</v>
      </c>
      <c r="Q1258" s="1" t="str">
        <f aca="false">IF($A1069="","",IF(OR(F1069="",I1069=""),"",F1069-I1069))</f>
        <v/>
      </c>
      <c r="R1258" s="1" t="str">
        <f aca="false">IF($A1069="","",IF(Q1069="","",Q1069+IF(O1069="",0,O1069)))</f>
        <v/>
      </c>
      <c r="S1258" s="1" t="n">
        <v>16358</v>
      </c>
      <c r="T1258" s="1" t="n">
        <f aca="false">IF($A1069="","",IF(R1069="","",R1069-IF(S1069="",0,S1069)))</f>
        <v>28000</v>
      </c>
      <c r="U1258" s="1" t="str">
        <f aca="false">IF($A1069="","",IF(I1069="","",I1069-SUM(J1069:P1069)))</f>
        <v/>
      </c>
      <c r="V1258" s="6" t="s">
        <v>5345</v>
      </c>
      <c r="W1258" s="9" t="s">
        <v>774</v>
      </c>
      <c r="X1258" s="6" t="s">
        <v>5346</v>
      </c>
      <c r="Y1258" s="9" t="s">
        <v>4897</v>
      </c>
      <c r="Z1258" s="9" t="s">
        <v>4898</v>
      </c>
      <c r="AA1258" s="9" t="s">
        <v>4899</v>
      </c>
    </row>
    <row r="1259" customFormat="false" ht="15" hidden="false" customHeight="true" outlineLevel="0" collapsed="false">
      <c r="A1259" s="6" t="s">
        <v>4618</v>
      </c>
      <c r="B1259" s="6" t="s">
        <v>559</v>
      </c>
      <c r="C1259" s="6" t="s">
        <v>564</v>
      </c>
      <c r="D1259" s="6" t="n">
        <v>6</v>
      </c>
      <c r="E1259" s="9" t="s">
        <v>5102</v>
      </c>
      <c r="F1259" s="1" t="n">
        <v>754601</v>
      </c>
      <c r="I1259" s="1" t="n">
        <v>307909</v>
      </c>
      <c r="J1259" s="1" t="n">
        <v>82472</v>
      </c>
      <c r="K1259" s="1" t="n">
        <v>94596</v>
      </c>
      <c r="L1259" s="1" t="n">
        <v>56047</v>
      </c>
      <c r="M1259" s="1" t="n">
        <v>1759</v>
      </c>
      <c r="O1259" s="1" t="n">
        <v>62854</v>
      </c>
      <c r="P1259" s="1" t="n">
        <v>10179</v>
      </c>
      <c r="Q1259" s="1" t="str">
        <f aca="false">IF($A1070="","",IF(OR(F1070="",I1070=""),"",F1070-I1070))</f>
        <v/>
      </c>
      <c r="R1259" s="1" t="str">
        <f aca="false">IF($A1070="","",IF(Q1070="","",Q1070+IF(O1070="",0,O1070)))</f>
        <v/>
      </c>
      <c r="S1259" s="1" t="n">
        <v>928</v>
      </c>
      <c r="T1259" s="1" t="n">
        <f aca="false">IF($A1070="","",IF(R1070="","",R1070-IF(S1070="",0,S1070)))</f>
        <v>20000</v>
      </c>
      <c r="U1259" s="1" t="str">
        <f aca="false">IF($A1070="","",IF(I1070="","",I1070-SUM(J1070:P1070)))</f>
        <v/>
      </c>
      <c r="V1259" s="6" t="s">
        <v>5345</v>
      </c>
      <c r="W1259" s="9" t="s">
        <v>774</v>
      </c>
      <c r="X1259" s="6" t="s">
        <v>5346</v>
      </c>
      <c r="Y1259" s="9" t="s">
        <v>4897</v>
      </c>
      <c r="Z1259" s="9" t="s">
        <v>4898</v>
      </c>
      <c r="AA1259" s="9" t="s">
        <v>4899</v>
      </c>
    </row>
    <row r="1260" customFormat="false" ht="15" hidden="false" customHeight="true" outlineLevel="0" collapsed="false">
      <c r="A1260" s="6" t="s">
        <v>4621</v>
      </c>
      <c r="B1260" s="6" t="s">
        <v>559</v>
      </c>
      <c r="C1260" s="6" t="s">
        <v>564</v>
      </c>
      <c r="D1260" s="6" t="n">
        <v>6</v>
      </c>
      <c r="E1260" s="9" t="s">
        <v>5102</v>
      </c>
      <c r="F1260" s="1" t="n">
        <v>319821</v>
      </c>
      <c r="I1260" s="1" t="n">
        <v>132631</v>
      </c>
      <c r="J1260" s="1" t="n">
        <v>34442</v>
      </c>
      <c r="K1260" s="1" t="n">
        <v>17043</v>
      </c>
      <c r="L1260" s="1" t="n">
        <v>51204</v>
      </c>
      <c r="M1260" s="1" t="n">
        <v>810</v>
      </c>
      <c r="O1260" s="1" t="n">
        <v>26014</v>
      </c>
      <c r="P1260" s="1" t="n">
        <v>3116</v>
      </c>
      <c r="Q1260" s="1" t="str">
        <f aca="false">IF($A1071="","",IF(OR(F1071="",I1071=""),"",F1071-I1071))</f>
        <v/>
      </c>
      <c r="R1260" s="1" t="str">
        <f aca="false">IF($A1071="","",IF(Q1071="","",Q1071+IF(O1071="",0,O1071)))</f>
        <v/>
      </c>
      <c r="S1260" s="1" t="n">
        <v>20989</v>
      </c>
      <c r="T1260" s="1" t="n">
        <f aca="false">IF($A1071="","",IF(R1071="","",R1071-IF(S1071="",0,S1071)))</f>
        <v>30000</v>
      </c>
      <c r="U1260" s="1" t="str">
        <f aca="false">IF($A1071="","",IF(I1071="","",I1071-SUM(J1071:P1071)))</f>
        <v/>
      </c>
      <c r="V1260" s="6" t="s">
        <v>5345</v>
      </c>
      <c r="W1260" s="9" t="s">
        <v>774</v>
      </c>
      <c r="X1260" s="6" t="s">
        <v>5346</v>
      </c>
      <c r="Y1260" s="9" t="s">
        <v>4897</v>
      </c>
      <c r="Z1260" s="9" t="s">
        <v>4898</v>
      </c>
      <c r="AA1260" s="9" t="s">
        <v>4899</v>
      </c>
    </row>
    <row r="1261" customFormat="false" ht="15" hidden="false" customHeight="true" outlineLevel="0" collapsed="false">
      <c r="A1261" s="6" t="s">
        <v>4624</v>
      </c>
      <c r="B1261" s="6" t="s">
        <v>559</v>
      </c>
      <c r="C1261" s="6" t="s">
        <v>564</v>
      </c>
      <c r="D1261" s="6" t="n">
        <v>6</v>
      </c>
      <c r="E1261" s="9" t="s">
        <v>5102</v>
      </c>
      <c r="F1261" s="1" t="n">
        <v>227548</v>
      </c>
      <c r="I1261" s="1" t="n">
        <v>92185</v>
      </c>
      <c r="J1261" s="1" t="n">
        <v>21333</v>
      </c>
      <c r="K1261" s="1" t="n">
        <v>13469</v>
      </c>
      <c r="L1261" s="1" t="n">
        <v>35778</v>
      </c>
      <c r="M1261" s="1" t="n">
        <v>312</v>
      </c>
      <c r="O1261" s="1" t="n">
        <v>14951</v>
      </c>
      <c r="P1261" s="1" t="n">
        <v>6340</v>
      </c>
      <c r="Q1261" s="1" t="str">
        <f aca="false">IF($A1072="","",IF(OR(F1072="",I1072=""),"",F1072-I1072))</f>
        <v/>
      </c>
      <c r="R1261" s="1" t="str">
        <f aca="false">IF($A1072="","",IF(Q1072="","",Q1072+IF(O1072="",0,O1072)))</f>
        <v/>
      </c>
      <c r="S1261" s="1" t="n">
        <v>4204</v>
      </c>
      <c r="T1261" s="1" t="n">
        <f aca="false">IF($A1072="","",IF(R1072="","",R1072-IF(S1072="",0,S1072)))</f>
        <v>32000</v>
      </c>
      <c r="U1261" s="1" t="str">
        <f aca="false">IF($A1072="","",IF(I1072="","",I1072-SUM(J1072:P1072)))</f>
        <v/>
      </c>
      <c r="V1261" s="6" t="s">
        <v>5345</v>
      </c>
      <c r="W1261" s="9" t="s">
        <v>774</v>
      </c>
      <c r="X1261" s="6" t="s">
        <v>5346</v>
      </c>
      <c r="Y1261" s="9" t="s">
        <v>4897</v>
      </c>
      <c r="Z1261" s="9" t="s">
        <v>4898</v>
      </c>
      <c r="AA1261" s="9" t="s">
        <v>4899</v>
      </c>
    </row>
    <row r="1262" customFormat="false" ht="15" hidden="false" customHeight="true" outlineLevel="0" collapsed="false">
      <c r="A1262" s="6" t="s">
        <v>4627</v>
      </c>
      <c r="B1262" s="6" t="s">
        <v>559</v>
      </c>
      <c r="C1262" s="6" t="s">
        <v>564</v>
      </c>
      <c r="D1262" s="6" t="n">
        <v>6</v>
      </c>
      <c r="E1262" s="9" t="s">
        <v>5102</v>
      </c>
      <c r="F1262" s="1" t="n">
        <v>362917</v>
      </c>
      <c r="I1262" s="1" t="n">
        <v>164015</v>
      </c>
      <c r="J1262" s="1" t="n">
        <v>47536</v>
      </c>
      <c r="K1262" s="1" t="n">
        <v>26663</v>
      </c>
      <c r="L1262" s="1" t="n">
        <v>31842</v>
      </c>
      <c r="M1262" s="1" t="n">
        <v>1198</v>
      </c>
      <c r="O1262" s="1" t="n">
        <v>52907</v>
      </c>
      <c r="P1262" s="1" t="n">
        <v>3866</v>
      </c>
      <c r="Q1262" s="1" t="str">
        <f aca="false">IF($A1073="","",IF(OR(F1073="",I1073=""),"",F1073-I1073))</f>
        <v/>
      </c>
      <c r="R1262" s="1" t="str">
        <f aca="false">IF($A1073="","",IF(Q1073="","",Q1073+IF(O1073="",0,O1073)))</f>
        <v/>
      </c>
      <c r="S1262" s="1" t="n">
        <v>780</v>
      </c>
      <c r="T1262" s="1" t="n">
        <f aca="false">IF($A1073="","",IF(R1073="","",R1073-IF(S1073="",0,S1073)))</f>
        <v>28000</v>
      </c>
      <c r="U1262" s="1" t="str">
        <f aca="false">IF($A1073="","",IF(I1073="","",I1073-SUM(J1073:P1073)))</f>
        <v/>
      </c>
      <c r="V1262" s="6" t="s">
        <v>5345</v>
      </c>
      <c r="W1262" s="9" t="s">
        <v>774</v>
      </c>
      <c r="X1262" s="6" t="s">
        <v>5346</v>
      </c>
      <c r="Y1262" s="9" t="s">
        <v>4897</v>
      </c>
      <c r="Z1262" s="9" t="s">
        <v>4898</v>
      </c>
      <c r="AA1262" s="9" t="s">
        <v>4899</v>
      </c>
    </row>
    <row r="1263" customFormat="false" ht="15" hidden="false" customHeight="true" outlineLevel="0" collapsed="false">
      <c r="A1263" s="6" t="s">
        <v>4630</v>
      </c>
      <c r="B1263" s="6" t="s">
        <v>559</v>
      </c>
      <c r="C1263" s="6" t="s">
        <v>564</v>
      </c>
      <c r="D1263" s="6" t="n">
        <v>6</v>
      </c>
      <c r="E1263" s="9" t="s">
        <v>5102</v>
      </c>
      <c r="F1263" s="1" t="n">
        <v>1077981</v>
      </c>
      <c r="I1263" s="1" t="n">
        <v>208825</v>
      </c>
      <c r="J1263" s="1" t="n">
        <v>0</v>
      </c>
      <c r="K1263" s="1" t="n">
        <v>0</v>
      </c>
      <c r="L1263" s="1" t="n">
        <v>138414</v>
      </c>
      <c r="M1263" s="1" t="n">
        <v>1965</v>
      </c>
      <c r="O1263" s="1" t="n">
        <v>67439</v>
      </c>
      <c r="P1263" s="1" t="n">
        <v>1006</v>
      </c>
      <c r="Q1263" s="1" t="str">
        <f aca="false">IF($A1074="","",IF(OR(F1074="",I1074=""),"",F1074-I1074))</f>
        <v/>
      </c>
      <c r="R1263" s="1" t="str">
        <f aca="false">IF($A1074="","",IF(Q1074="","",Q1074+IF(O1074="",0,O1074)))</f>
        <v/>
      </c>
      <c r="S1263" s="1" t="n">
        <v>9862</v>
      </c>
      <c r="T1263" s="1" t="n">
        <f aca="false">IF($A1074="","",IF(R1074="","",R1074-IF(S1074="",0,S1074)))</f>
        <v>56000</v>
      </c>
      <c r="U1263" s="1" t="str">
        <f aca="false">IF($A1074="","",IF(I1074="","",I1074-SUM(J1074:P1074)))</f>
        <v/>
      </c>
      <c r="V1263" s="6" t="s">
        <v>5345</v>
      </c>
      <c r="W1263" s="9" t="s">
        <v>774</v>
      </c>
      <c r="X1263" s="6" t="s">
        <v>5346</v>
      </c>
      <c r="Y1263" s="9" t="s">
        <v>4897</v>
      </c>
      <c r="Z1263" s="9" t="s">
        <v>4898</v>
      </c>
      <c r="AA1263" s="9" t="s">
        <v>4899</v>
      </c>
    </row>
    <row r="1264" customFormat="false" ht="15" hidden="false" customHeight="true" outlineLevel="0" collapsed="false">
      <c r="A1264" s="6" t="s">
        <v>4633</v>
      </c>
      <c r="B1264" s="6" t="s">
        <v>559</v>
      </c>
      <c r="C1264" s="6" t="s">
        <v>564</v>
      </c>
      <c r="D1264" s="6" t="n">
        <v>6</v>
      </c>
      <c r="E1264" s="9" t="s">
        <v>5102</v>
      </c>
      <c r="F1264" s="1" t="n">
        <v>626222</v>
      </c>
      <c r="I1264" s="1" t="n">
        <v>182363</v>
      </c>
      <c r="J1264" s="1" t="n">
        <v>0</v>
      </c>
      <c r="K1264" s="1" t="n">
        <v>0</v>
      </c>
      <c r="L1264" s="1" t="n">
        <v>67988</v>
      </c>
      <c r="M1264" s="1" t="n">
        <v>8585</v>
      </c>
      <c r="O1264" s="1" t="n">
        <v>91745</v>
      </c>
      <c r="P1264" s="1" t="n">
        <v>14043</v>
      </c>
      <c r="Q1264" s="1" t="str">
        <f aca="false">IF($A1075="","",IF(OR(F1075="",I1075=""),"",F1075-I1075))</f>
        <v/>
      </c>
      <c r="R1264" s="1" t="str">
        <f aca="false">IF($A1075="","",IF(Q1075="","",Q1075+IF(O1075="",0,O1075)))</f>
        <v/>
      </c>
      <c r="S1264" s="1" t="n">
        <v>136545</v>
      </c>
      <c r="T1264" s="1" t="n">
        <f aca="false">IF($A1075="","",IF(R1075="","",R1075-IF(S1075="",0,S1075)))</f>
        <v>32000</v>
      </c>
      <c r="U1264" s="1" t="str">
        <f aca="false">IF($A1075="","",IF(I1075="","",I1075-SUM(J1075:P1075)))</f>
        <v/>
      </c>
      <c r="V1264" s="6" t="s">
        <v>5345</v>
      </c>
      <c r="W1264" s="9" t="s">
        <v>774</v>
      </c>
      <c r="X1264" s="6" t="s">
        <v>5346</v>
      </c>
      <c r="Y1264" s="9" t="s">
        <v>4897</v>
      </c>
      <c r="Z1264" s="9" t="s">
        <v>4898</v>
      </c>
      <c r="AA1264" s="9" t="s">
        <v>4899</v>
      </c>
    </row>
    <row r="1265" customFormat="false" ht="15" hidden="false" customHeight="true" outlineLevel="0" collapsed="false">
      <c r="A1265" s="6" t="s">
        <v>4636</v>
      </c>
      <c r="B1265" s="6" t="s">
        <v>559</v>
      </c>
      <c r="C1265" s="6" t="s">
        <v>564</v>
      </c>
      <c r="D1265" s="6" t="n">
        <v>6</v>
      </c>
      <c r="E1265" s="9" t="s">
        <v>5102</v>
      </c>
      <c r="F1265" s="1" t="n">
        <v>209304</v>
      </c>
      <c r="I1265" s="1" t="n">
        <v>118824</v>
      </c>
      <c r="J1265" s="1" t="n">
        <v>0</v>
      </c>
      <c r="K1265" s="1" t="n">
        <v>0</v>
      </c>
      <c r="L1265" s="1" t="n">
        <v>39845</v>
      </c>
      <c r="M1265" s="1" t="n">
        <v>2233</v>
      </c>
      <c r="O1265" s="1" t="n">
        <v>65825</v>
      </c>
      <c r="P1265" s="1" t="n">
        <v>10919</v>
      </c>
      <c r="Q1265" s="1" t="str">
        <f aca="false">IF($A1076="","",IF(OR(F1076="",I1076=""),"",F1076-I1076))</f>
        <v/>
      </c>
      <c r="R1265" s="1" t="str">
        <f aca="false">IF($A1076="","",IF(Q1076="","",Q1076+IF(O1076="",0,O1076)))</f>
        <v/>
      </c>
      <c r="S1265" s="1" t="n">
        <v>45850</v>
      </c>
      <c r="T1265" s="1" t="n">
        <f aca="false">IF($A1076="","",IF(R1076="","",R1076-IF(S1076="",0,S1076)))</f>
        <v>51000</v>
      </c>
      <c r="U1265" s="1" t="str">
        <f aca="false">IF($A1076="","",IF(I1076="","",I1076-SUM(J1076:P1076)))</f>
        <v/>
      </c>
      <c r="V1265" s="6" t="s">
        <v>5345</v>
      </c>
      <c r="W1265" s="9" t="s">
        <v>774</v>
      </c>
      <c r="X1265" s="6" t="s">
        <v>5346</v>
      </c>
      <c r="Y1265" s="9" t="s">
        <v>4897</v>
      </c>
      <c r="Z1265" s="9" t="s">
        <v>4898</v>
      </c>
      <c r="AA1265" s="9" t="s">
        <v>4899</v>
      </c>
    </row>
    <row r="1266" customFormat="false" ht="15" hidden="false" customHeight="true" outlineLevel="0" collapsed="false">
      <c r="A1266" s="6" t="s">
        <v>4639</v>
      </c>
      <c r="B1266" s="6" t="s">
        <v>559</v>
      </c>
      <c r="C1266" s="6" t="s">
        <v>564</v>
      </c>
      <c r="D1266" s="6" t="n">
        <v>6</v>
      </c>
      <c r="E1266" s="9" t="s">
        <v>5102</v>
      </c>
      <c r="F1266" s="1" t="n">
        <v>505497</v>
      </c>
      <c r="I1266" s="1" t="n">
        <v>93982</v>
      </c>
      <c r="J1266" s="1" t="n">
        <v>0</v>
      </c>
      <c r="K1266" s="1" t="n">
        <v>0</v>
      </c>
      <c r="L1266" s="1" t="n">
        <v>14497</v>
      </c>
      <c r="M1266" s="1" t="n">
        <v>931</v>
      </c>
      <c r="O1266" s="1" t="n">
        <v>69126</v>
      </c>
      <c r="P1266" s="1" t="n">
        <v>9426</v>
      </c>
      <c r="Q1266" s="1" t="str">
        <f aca="false">IF($A1077="","",IF(OR(F1077="",I1077=""),"",F1077-I1077))</f>
        <v/>
      </c>
      <c r="R1266" s="1" t="str">
        <f aca="false">IF($A1077="","",IF(Q1077="","",Q1077+IF(O1077="",0,O1077)))</f>
        <v/>
      </c>
      <c r="S1266" s="1" t="n">
        <v>47047</v>
      </c>
      <c r="T1266" s="1" t="n">
        <f aca="false">IF($A1077="","",IF(R1077="","",R1077-IF(S1077="",0,S1077)))</f>
        <v>38000</v>
      </c>
      <c r="U1266" s="1" t="str">
        <f aca="false">IF($A1077="","",IF(I1077="","",I1077-SUM(J1077:P1077)))</f>
        <v/>
      </c>
      <c r="V1266" s="6" t="s">
        <v>5345</v>
      </c>
      <c r="W1266" s="9" t="s">
        <v>774</v>
      </c>
      <c r="X1266" s="6" t="s">
        <v>5346</v>
      </c>
      <c r="Y1266" s="9" t="s">
        <v>4897</v>
      </c>
      <c r="Z1266" s="9" t="s">
        <v>4898</v>
      </c>
      <c r="AA1266" s="9" t="s">
        <v>4899</v>
      </c>
    </row>
    <row r="1267" customFormat="false" ht="15" hidden="false" customHeight="true" outlineLevel="0" collapsed="false">
      <c r="A1267" s="6" t="s">
        <v>4642</v>
      </c>
      <c r="B1267" s="6" t="s">
        <v>559</v>
      </c>
      <c r="C1267" s="6" t="s">
        <v>564</v>
      </c>
      <c r="D1267" s="6" t="n">
        <v>6</v>
      </c>
      <c r="E1267" s="9" t="s">
        <v>5102</v>
      </c>
      <c r="F1267" s="1" t="n">
        <v>502021</v>
      </c>
      <c r="I1267" s="1" t="n">
        <v>68102</v>
      </c>
      <c r="J1267" s="1" t="n">
        <v>0</v>
      </c>
      <c r="K1267" s="1" t="n">
        <v>0</v>
      </c>
      <c r="L1267" s="1" t="n">
        <v>22991</v>
      </c>
      <c r="M1267" s="1" t="n">
        <v>472</v>
      </c>
      <c r="O1267" s="1" t="n">
        <v>40500</v>
      </c>
      <c r="P1267" s="1" t="n">
        <v>4137</v>
      </c>
      <c r="Q1267" s="1" t="str">
        <f aca="false">IF($A1078="","",IF(OR(F1078="",I1078=""),"",F1078-I1078))</f>
        <v/>
      </c>
      <c r="R1267" s="1" t="str">
        <f aca="false">IF($A1078="","",IF(Q1078="","",Q1078+IF(O1078="",0,O1078)))</f>
        <v/>
      </c>
      <c r="S1267" s="1" t="n">
        <v>3355</v>
      </c>
      <c r="T1267" s="1" t="n">
        <f aca="false">IF($A1078="","",IF(R1078="","",R1078-IF(S1078="",0,S1078)))</f>
        <v>27000</v>
      </c>
      <c r="U1267" s="1" t="str">
        <f aca="false">IF($A1078="","",IF(I1078="","",I1078-SUM(J1078:P1078)))</f>
        <v/>
      </c>
      <c r="V1267" s="6" t="s">
        <v>5345</v>
      </c>
      <c r="W1267" s="9" t="s">
        <v>774</v>
      </c>
      <c r="X1267" s="6" t="s">
        <v>5346</v>
      </c>
      <c r="Y1267" s="9" t="s">
        <v>4897</v>
      </c>
      <c r="Z1267" s="9" t="s">
        <v>4898</v>
      </c>
      <c r="AA1267" s="9" t="s">
        <v>4899</v>
      </c>
    </row>
    <row r="1268" customFormat="false" ht="15" hidden="false" customHeight="true" outlineLevel="0" collapsed="false">
      <c r="A1268" s="6" t="s">
        <v>4645</v>
      </c>
      <c r="B1268" s="6" t="s">
        <v>559</v>
      </c>
      <c r="C1268" s="6" t="s">
        <v>564</v>
      </c>
      <c r="D1268" s="6" t="n">
        <v>6</v>
      </c>
      <c r="E1268" s="9" t="s">
        <v>5102</v>
      </c>
      <c r="F1268" s="1" t="n">
        <v>653716</v>
      </c>
      <c r="I1268" s="1" t="n">
        <v>130272</v>
      </c>
      <c r="J1268" s="1" t="n">
        <v>0</v>
      </c>
      <c r="K1268" s="1" t="n">
        <v>0</v>
      </c>
      <c r="L1268" s="1" t="n">
        <v>76545</v>
      </c>
      <c r="M1268" s="1" t="n">
        <v>1358</v>
      </c>
      <c r="O1268" s="1" t="n">
        <v>52159</v>
      </c>
      <c r="P1268" s="1" t="n">
        <v>209</v>
      </c>
      <c r="Q1268" s="1" t="str">
        <f aca="false">IF($A1079="","",IF(OR(F1079="",I1079=""),"",F1079-I1079))</f>
        <v/>
      </c>
      <c r="R1268" s="1" t="str">
        <f aca="false">IF($A1079="","",IF(Q1079="","",Q1079+IF(O1079="",0,O1079)))</f>
        <v/>
      </c>
      <c r="S1268" s="1" t="n">
        <v>0</v>
      </c>
      <c r="T1268" s="1" t="n">
        <f aca="false">IF($A1079="","",IF(R1079="","",R1079-IF(S1079="",0,S1079)))</f>
        <v>5000</v>
      </c>
      <c r="U1268" s="1" t="str">
        <f aca="false">IF($A1079="","",IF(I1079="","",I1079-SUM(J1079:P1079)))</f>
        <v/>
      </c>
      <c r="V1268" s="6" t="s">
        <v>5345</v>
      </c>
      <c r="W1268" s="9" t="s">
        <v>774</v>
      </c>
      <c r="X1268" s="6" t="s">
        <v>5346</v>
      </c>
      <c r="Y1268" s="9" t="s">
        <v>4897</v>
      </c>
      <c r="Z1268" s="9" t="s">
        <v>4898</v>
      </c>
      <c r="AA1268" s="9" t="s">
        <v>4899</v>
      </c>
    </row>
    <row r="1269" customFormat="false" ht="15" hidden="false" customHeight="true" outlineLevel="0" collapsed="false">
      <c r="A1269" s="6" t="s">
        <v>4648</v>
      </c>
      <c r="B1269" s="6" t="s">
        <v>559</v>
      </c>
      <c r="C1269" s="6" t="s">
        <v>564</v>
      </c>
      <c r="D1269" s="6" t="n">
        <v>6</v>
      </c>
      <c r="E1269" s="9" t="s">
        <v>5102</v>
      </c>
      <c r="Q1269" s="1" t="str">
        <f aca="false">IF($A1080="","",IF(OR(F1080="",I1080=""),"",F1080-I1080))</f>
        <v/>
      </c>
      <c r="R1269" s="1" t="n">
        <f aca="false">IF($A1080="","",IF(Q1080="","",Q1080+IF(O1080="",0,O1080)))</f>
        <v>8026214</v>
      </c>
      <c r="S1269" s="1" t="n">
        <v>1659</v>
      </c>
      <c r="T1269" s="1" t="n">
        <f aca="false">IF($A1080="","",IF(R1080="","",R1080-IF(S1080="",0,S1080)))</f>
        <v>9042533</v>
      </c>
      <c r="U1269" s="1" t="str">
        <f aca="false">IF($A1080="","",IF(I1080="","",I1080-SUM(J1080:P1080)))</f>
        <v/>
      </c>
      <c r="V1269" s="6" t="s">
        <v>5345</v>
      </c>
      <c r="W1269" s="9" t="s">
        <v>774</v>
      </c>
      <c r="X1269" s="6" t="s">
        <v>5346</v>
      </c>
      <c r="Y1269" s="9" t="s">
        <v>4897</v>
      </c>
      <c r="Z1269" s="9" t="s">
        <v>4898</v>
      </c>
      <c r="AA1269" s="9" t="s">
        <v>4899</v>
      </c>
    </row>
    <row r="1270" customFormat="false" ht="15" hidden="false" customHeight="true" outlineLevel="0" collapsed="false">
      <c r="A1270" s="6" t="s">
        <v>4651</v>
      </c>
      <c r="B1270" s="6" t="s">
        <v>559</v>
      </c>
      <c r="C1270" s="6" t="s">
        <v>564</v>
      </c>
      <c r="D1270" s="6" t="n">
        <v>6</v>
      </c>
      <c r="E1270" s="9" t="s">
        <v>5102</v>
      </c>
      <c r="F1270" s="1" t="n">
        <v>375022</v>
      </c>
      <c r="I1270" s="1" t="n">
        <v>77279</v>
      </c>
      <c r="J1270" s="1" t="n">
        <v>780</v>
      </c>
      <c r="K1270" s="1" t="n">
        <v>0</v>
      </c>
      <c r="L1270" s="1" t="n">
        <v>38280</v>
      </c>
      <c r="M1270" s="1" t="n">
        <v>1379</v>
      </c>
      <c r="O1270" s="1" t="n">
        <v>36000</v>
      </c>
      <c r="P1270" s="1" t="n">
        <v>839</v>
      </c>
      <c r="Q1270" s="1" t="str">
        <f aca="false">IF($A1081="","",IF(OR(F1081="",I1081=""),"",F1081-I1081))</f>
        <v/>
      </c>
      <c r="R1270" s="1" t="n">
        <f aca="false">IF($A1081="","",IF(Q1081="","",Q1081+IF(O1081="",0,O1081)))</f>
        <v>1041352</v>
      </c>
      <c r="S1270" s="1" t="n">
        <v>6544</v>
      </c>
      <c r="T1270" s="1" t="n">
        <f aca="false">IF($A1081="","",IF(R1081="","",R1081-IF(S1081="",0,S1081)))</f>
        <v>1114034</v>
      </c>
      <c r="U1270" s="1" t="str">
        <f aca="false">IF($A1081="","",IF(I1081="","",I1081-SUM(J1081:P1081)))</f>
        <v/>
      </c>
      <c r="V1270" s="6" t="s">
        <v>5345</v>
      </c>
      <c r="W1270" s="9" t="s">
        <v>774</v>
      </c>
      <c r="X1270" s="6" t="s">
        <v>5346</v>
      </c>
      <c r="Y1270" s="9" t="s">
        <v>4897</v>
      </c>
      <c r="Z1270" s="9" t="s">
        <v>4898</v>
      </c>
      <c r="AA1270" s="9" t="s">
        <v>4899</v>
      </c>
    </row>
    <row r="1271" customFormat="false" ht="15" hidden="false" customHeight="true" outlineLevel="0" collapsed="false">
      <c r="A1271" s="6" t="s">
        <v>4654</v>
      </c>
      <c r="B1271" s="6" t="s">
        <v>559</v>
      </c>
      <c r="C1271" s="6" t="s">
        <v>564</v>
      </c>
      <c r="D1271" s="6" t="n">
        <v>6</v>
      </c>
      <c r="E1271" s="9" t="s">
        <v>5102</v>
      </c>
      <c r="F1271" s="1" t="n">
        <v>123609</v>
      </c>
      <c r="I1271" s="1" t="n">
        <v>8019</v>
      </c>
      <c r="J1271" s="1" t="n">
        <v>0</v>
      </c>
      <c r="K1271" s="1" t="n">
        <v>0</v>
      </c>
      <c r="L1271" s="1" t="n">
        <v>7269</v>
      </c>
      <c r="M1271" s="1" t="n">
        <v>0</v>
      </c>
      <c r="O1271" s="1" t="n">
        <v>0</v>
      </c>
      <c r="P1271" s="1" t="n">
        <v>750</v>
      </c>
      <c r="Q1271" s="1" t="str">
        <f aca="false">IF($A1082="","",IF(OR(F1082="",I1082=""),"",F1082-I1082))</f>
        <v/>
      </c>
      <c r="R1271" s="1" t="n">
        <f aca="false">IF($A1082="","",IF(Q1082="","",Q1082+IF(O1082="",0,O1082)))</f>
        <v>586664</v>
      </c>
      <c r="S1271" s="1" t="n">
        <v>0</v>
      </c>
      <c r="T1271" s="1" t="n">
        <f aca="false">IF($A1082="","",IF(R1082="","",R1082-IF(S1082="",0,S1082)))</f>
        <v>742899</v>
      </c>
      <c r="U1271" s="1" t="str">
        <f aca="false">IF($A1082="","",IF(I1082="","",I1082-SUM(J1082:P1082)))</f>
        <v/>
      </c>
      <c r="V1271" s="6" t="s">
        <v>5345</v>
      </c>
      <c r="W1271" s="9" t="s">
        <v>774</v>
      </c>
      <c r="X1271" s="6" t="s">
        <v>5346</v>
      </c>
      <c r="Y1271" s="9" t="s">
        <v>4897</v>
      </c>
      <c r="Z1271" s="9" t="s">
        <v>4898</v>
      </c>
      <c r="AA1271" s="9" t="s">
        <v>4899</v>
      </c>
    </row>
    <row r="1272" customFormat="false" ht="15" hidden="false" customHeight="true" outlineLevel="0" collapsed="false">
      <c r="A1272" s="6" t="s">
        <v>4657</v>
      </c>
      <c r="B1272" s="6" t="s">
        <v>559</v>
      </c>
      <c r="C1272" s="6" t="s">
        <v>564</v>
      </c>
      <c r="D1272" s="6" t="n">
        <v>6</v>
      </c>
      <c r="E1272" s="9" t="s">
        <v>5102</v>
      </c>
      <c r="F1272" s="1" t="n">
        <v>100605</v>
      </c>
      <c r="I1272" s="1" t="n">
        <v>32707</v>
      </c>
      <c r="J1272" s="1" t="n">
        <v>9808</v>
      </c>
      <c r="K1272" s="1" t="n">
        <v>1995</v>
      </c>
      <c r="L1272" s="1" t="n">
        <v>8736</v>
      </c>
      <c r="M1272" s="1" t="n">
        <v>238</v>
      </c>
      <c r="O1272" s="1" t="n">
        <v>7776</v>
      </c>
      <c r="P1272" s="1" t="n">
        <v>4152</v>
      </c>
      <c r="Q1272" s="1" t="str">
        <f aca="false">IF($A1083="","",IF(OR(F1083="",I1083=""),"",F1083-I1083))</f>
        <v/>
      </c>
      <c r="R1272" s="1" t="str">
        <f aca="false">IF($A1083="","",IF(Q1083="","",Q1083+IF(O1083="",0,O1083)))</f>
        <v/>
      </c>
      <c r="S1272" s="1" t="n">
        <v>16993</v>
      </c>
      <c r="T1272" s="1" t="str">
        <f aca="false">IF($A1083="","",IF(R1083="","",R1083-IF(S1083="",0,S1083)))</f>
        <v/>
      </c>
      <c r="U1272" s="1" t="str">
        <f aca="false">IF($A1083="","",IF(I1083="","",I1083-SUM(J1083:P1083)))</f>
        <v/>
      </c>
      <c r="V1272" s="6" t="s">
        <v>5345</v>
      </c>
      <c r="W1272" s="9" t="s">
        <v>774</v>
      </c>
      <c r="X1272" s="6" t="s">
        <v>5346</v>
      </c>
      <c r="Y1272" s="9" t="s">
        <v>4897</v>
      </c>
      <c r="Z1272" s="9" t="s">
        <v>4898</v>
      </c>
      <c r="AA1272" s="9" t="s">
        <v>4899</v>
      </c>
    </row>
    <row r="1273" customFormat="false" ht="15" hidden="false" customHeight="true" outlineLevel="0" collapsed="false">
      <c r="A1273" s="6" t="s">
        <v>4660</v>
      </c>
      <c r="B1273" s="6" t="s">
        <v>559</v>
      </c>
      <c r="C1273" s="6" t="s">
        <v>564</v>
      </c>
      <c r="D1273" s="6" t="n">
        <v>6</v>
      </c>
      <c r="E1273" s="9" t="s">
        <v>5102</v>
      </c>
      <c r="F1273" s="1" t="n">
        <v>11584936</v>
      </c>
      <c r="G1273" s="1" t="n">
        <v>11247205</v>
      </c>
      <c r="H1273" s="1" t="n">
        <v>337731</v>
      </c>
      <c r="I1273" s="1" t="n">
        <v>3558722</v>
      </c>
      <c r="J1273" s="1" t="n">
        <v>805651</v>
      </c>
      <c r="K1273" s="1" t="n">
        <v>301784</v>
      </c>
      <c r="L1273" s="1" t="n">
        <v>1257978</v>
      </c>
      <c r="M1273" s="1" t="n">
        <v>32004</v>
      </c>
      <c r="N1273" s="1" t="n">
        <v>110166</v>
      </c>
      <c r="O1273" s="1" t="n">
        <v>1016319</v>
      </c>
      <c r="P1273" s="1" t="n">
        <v>34818</v>
      </c>
      <c r="Q1273" s="1" t="str">
        <f aca="false">IF($A1084="","",IF(OR(F1084="",I1084=""),"",F1084-I1084))</f>
        <v/>
      </c>
      <c r="R1273" s="1" t="n">
        <f aca="false">IF($A1084="","",IF(Q1084="","",Q1084+IF(O1084="",0,O1084)))</f>
        <v>586487</v>
      </c>
      <c r="S1273" s="1" t="n">
        <v>569228</v>
      </c>
      <c r="T1273" s="1" t="n">
        <f aca="false">IF($A1084="","",IF(R1084="","",R1084-IF(S1084="",0,S1084)))</f>
        <v>651960</v>
      </c>
      <c r="U1273" s="1" t="str">
        <f aca="false">IF($A1084="","",IF(I1084="","",I1084-SUM(J1084:P1084)))</f>
        <v/>
      </c>
      <c r="V1273" s="6" t="s">
        <v>5345</v>
      </c>
      <c r="W1273" s="49" t="s">
        <v>774</v>
      </c>
      <c r="X1273" s="6" t="s">
        <v>5346</v>
      </c>
      <c r="Y1273" s="9" t="s">
        <v>4897</v>
      </c>
      <c r="Z1273" s="9" t="s">
        <v>4898</v>
      </c>
      <c r="AA1273" s="9" t="s">
        <v>4899</v>
      </c>
    </row>
    <row r="1274" customFormat="false" ht="15" hidden="false" customHeight="true" outlineLevel="0" collapsed="false">
      <c r="A1274" s="6" t="s">
        <v>4663</v>
      </c>
      <c r="B1274" s="6" t="s">
        <v>559</v>
      </c>
      <c r="C1274" s="6" t="s">
        <v>564</v>
      </c>
      <c r="D1274" s="6" t="n">
        <v>6</v>
      </c>
      <c r="E1274" s="9" t="s">
        <v>5102</v>
      </c>
      <c r="Q1274" s="1" t="str">
        <f aca="false">IF($A1085="","",IF(OR(F1085="",I1085=""),"",F1085-I1085))</f>
        <v/>
      </c>
      <c r="R1274" s="1" t="n">
        <f aca="false">IF($A1085="","",IF(Q1085="","",Q1085+IF(O1085="",0,O1085)))</f>
        <v>253359</v>
      </c>
      <c r="T1274" s="1" t="n">
        <f aca="false">IF($A1085="","",IF(R1085="","",R1085-IF(S1085="",0,S1085)))</f>
        <v>292397</v>
      </c>
      <c r="U1274" s="1" t="str">
        <f aca="false">IF($A1085="","",IF(I1085="","",I1085-SUM(J1085:P1085)))</f>
        <v/>
      </c>
      <c r="V1274" s="6" t="s">
        <v>5345</v>
      </c>
      <c r="W1274" s="9" t="s">
        <v>774</v>
      </c>
      <c r="X1274" s="6" t="s">
        <v>5346</v>
      </c>
      <c r="Y1274" s="9" t="s">
        <v>4897</v>
      </c>
      <c r="Z1274" s="9" t="s">
        <v>4898</v>
      </c>
      <c r="AA1274" s="9" t="s">
        <v>4899</v>
      </c>
    </row>
    <row r="1275" customFormat="false" ht="15" hidden="false" customHeight="true" outlineLevel="0" collapsed="false">
      <c r="A1275" s="27" t="s">
        <v>5348</v>
      </c>
      <c r="B1275" s="27" t="s">
        <v>566</v>
      </c>
      <c r="C1275" s="28" t="s">
        <v>572</v>
      </c>
      <c r="D1275" s="27" t="n">
        <v>6</v>
      </c>
      <c r="E1275" s="28" t="s">
        <v>5349</v>
      </c>
      <c r="F1275" s="27" t="n">
        <v>2156000</v>
      </c>
      <c r="I1275" s="27" t="n">
        <v>1058000</v>
      </c>
      <c r="O1275" s="27" t="n">
        <v>193000</v>
      </c>
      <c r="Q1275" s="1" t="n">
        <f aca="false">IF($A1275="","",IF(OR(F1275="",I1275=""),"",F1275-I1275))</f>
        <v>1098000</v>
      </c>
      <c r="R1275" s="27" t="n">
        <v>1291000</v>
      </c>
      <c r="S1275" s="27" t="n">
        <v>105000</v>
      </c>
      <c r="T1275" s="1" t="n">
        <f aca="false">IF($A1275="","",IF(R1275="","",R1275-IF(S1275="",0,S1275)))</f>
        <v>1186000</v>
      </c>
      <c r="U1275" s="1" t="n">
        <f aca="false">IF($A1275="","",IF(I1275="","",I1275-SUM(J1275:P1275)))</f>
        <v>865000</v>
      </c>
      <c r="V1275" s="28" t="s">
        <v>5350</v>
      </c>
      <c r="W1275" s="28" t="s">
        <v>774</v>
      </c>
      <c r="X1275" s="28" t="s">
        <v>5351</v>
      </c>
      <c r="Y1275" s="28" t="s">
        <v>4897</v>
      </c>
      <c r="Z1275" s="28" t="s">
        <v>4898</v>
      </c>
      <c r="AA1275" s="28" t="s">
        <v>4903</v>
      </c>
    </row>
    <row r="1276" customFormat="false" ht="15" hidden="false" customHeight="true" outlineLevel="0" collapsed="false">
      <c r="A1276" s="27" t="s">
        <v>4757</v>
      </c>
      <c r="B1276" s="27" t="s">
        <v>575</v>
      </c>
      <c r="C1276" s="28" t="s">
        <v>581</v>
      </c>
      <c r="D1276" s="27" t="n">
        <v>6</v>
      </c>
      <c r="E1276" s="28" t="s">
        <v>5352</v>
      </c>
      <c r="F1276" s="27" t="n">
        <v>214886</v>
      </c>
      <c r="G1276" s="27" t="n">
        <v>203343</v>
      </c>
      <c r="H1276" s="27" t="n">
        <v>11543</v>
      </c>
      <c r="I1276" s="27" t="n">
        <v>65699</v>
      </c>
      <c r="J1276" s="27" t="n">
        <v>16251</v>
      </c>
      <c r="K1276" s="27" t="n">
        <v>9710</v>
      </c>
      <c r="L1276" s="27" t="n">
        <v>9386</v>
      </c>
      <c r="M1276" s="27" t="n">
        <v>396</v>
      </c>
      <c r="N1276" s="27" t="n">
        <v>2939</v>
      </c>
      <c r="O1276" s="27" t="n">
        <v>27015</v>
      </c>
      <c r="P1276" s="27" t="n">
        <v>2</v>
      </c>
      <c r="Q1276" s="27" t="n">
        <v>149187</v>
      </c>
      <c r="R1276" s="27" t="n">
        <v>176202</v>
      </c>
      <c r="S1276" s="27" t="n">
        <v>5487</v>
      </c>
      <c r="T1276" s="27" t="n">
        <v>170715</v>
      </c>
      <c r="U1276" s="27" t="n">
        <v>0</v>
      </c>
      <c r="V1276" s="27" t="s">
        <v>5353</v>
      </c>
      <c r="W1276" s="28" t="s">
        <v>774</v>
      </c>
      <c r="X1276" s="28" t="s">
        <v>5354</v>
      </c>
      <c r="Y1276" s="28" t="s">
        <v>5355</v>
      </c>
      <c r="Z1276" s="28" t="s">
        <v>5356</v>
      </c>
      <c r="AA1276" s="28" t="s">
        <v>5357</v>
      </c>
    </row>
    <row r="1277" customFormat="false" ht="15" hidden="false" customHeight="true" outlineLevel="0" collapsed="false">
      <c r="A1277" s="27" t="s">
        <v>4763</v>
      </c>
      <c r="B1277" s="27" t="s">
        <v>575</v>
      </c>
      <c r="C1277" s="28" t="s">
        <v>581</v>
      </c>
      <c r="D1277" s="27" t="n">
        <v>6</v>
      </c>
      <c r="E1277" s="28" t="s">
        <v>5352</v>
      </c>
      <c r="F1277" s="27" t="n">
        <v>152534</v>
      </c>
      <c r="G1277" s="27" t="n">
        <v>140547</v>
      </c>
      <c r="H1277" s="27" t="n">
        <v>11987</v>
      </c>
      <c r="I1277" s="27" t="n">
        <v>70035</v>
      </c>
      <c r="J1277" s="27" t="n">
        <v>14963</v>
      </c>
      <c r="K1277" s="27" t="n">
        <v>12324</v>
      </c>
      <c r="L1277" s="27" t="n">
        <v>11696</v>
      </c>
      <c r="M1277" s="27" t="n">
        <v>429</v>
      </c>
      <c r="N1277" s="27" t="n">
        <v>3325</v>
      </c>
      <c r="O1277" s="27" t="n">
        <v>26795</v>
      </c>
      <c r="P1277" s="27" t="n">
        <v>503</v>
      </c>
      <c r="Q1277" s="27" t="n">
        <v>82498</v>
      </c>
      <c r="R1277" s="27" t="n">
        <v>109293</v>
      </c>
      <c r="S1277" s="27" t="n">
        <v>6746</v>
      </c>
      <c r="T1277" s="27" t="n">
        <v>102547</v>
      </c>
      <c r="U1277" s="27" t="n">
        <v>0</v>
      </c>
      <c r="V1277" s="27" t="s">
        <v>5353</v>
      </c>
      <c r="W1277" s="28" t="s">
        <v>774</v>
      </c>
      <c r="X1277" s="28" t="s">
        <v>5354</v>
      </c>
      <c r="Y1277" s="28" t="s">
        <v>5355</v>
      </c>
      <c r="Z1277" s="28" t="s">
        <v>5356</v>
      </c>
      <c r="AA1277" s="28" t="s">
        <v>5357</v>
      </c>
    </row>
    <row r="1278" customFormat="false" ht="15" hidden="false" customHeight="true" outlineLevel="0" collapsed="false">
      <c r="A1278" s="27" t="s">
        <v>4766</v>
      </c>
      <c r="B1278" s="27" t="s">
        <v>575</v>
      </c>
      <c r="C1278" s="28" t="s">
        <v>581</v>
      </c>
      <c r="D1278" s="27" t="n">
        <v>6</v>
      </c>
      <c r="E1278" s="28" t="s">
        <v>5352</v>
      </c>
      <c r="F1278" s="27" t="n">
        <v>125026</v>
      </c>
      <c r="G1278" s="27" t="n">
        <v>111734</v>
      </c>
      <c r="H1278" s="27" t="n">
        <v>13291</v>
      </c>
      <c r="I1278" s="27" t="n">
        <v>48508</v>
      </c>
      <c r="J1278" s="27" t="n">
        <v>8379</v>
      </c>
      <c r="K1278" s="27" t="n">
        <v>8860</v>
      </c>
      <c r="L1278" s="27" t="n">
        <v>12912</v>
      </c>
      <c r="M1278" s="27" t="n">
        <v>275</v>
      </c>
      <c r="N1278" s="27" t="n">
        <v>1778</v>
      </c>
      <c r="O1278" s="27" t="n">
        <v>15802</v>
      </c>
      <c r="P1278" s="27" t="n">
        <v>502</v>
      </c>
      <c r="Q1278" s="27" t="n">
        <v>76518</v>
      </c>
      <c r="R1278" s="27" t="n">
        <v>92320</v>
      </c>
      <c r="S1278" s="27" t="n">
        <v>9753</v>
      </c>
      <c r="T1278" s="27" t="n">
        <v>82567</v>
      </c>
      <c r="U1278" s="27" t="n">
        <v>0</v>
      </c>
      <c r="V1278" s="27" t="s">
        <v>5353</v>
      </c>
      <c r="W1278" s="28" t="s">
        <v>774</v>
      </c>
      <c r="X1278" s="28" t="s">
        <v>5354</v>
      </c>
      <c r="Y1278" s="28" t="s">
        <v>5355</v>
      </c>
      <c r="Z1278" s="28" t="s">
        <v>5356</v>
      </c>
      <c r="AA1278" s="28" t="s">
        <v>5357</v>
      </c>
    </row>
    <row r="1279" customFormat="false" ht="15" hidden="false" customHeight="true" outlineLevel="0" collapsed="false">
      <c r="A1279" s="27" t="s">
        <v>4769</v>
      </c>
      <c r="B1279" s="27" t="s">
        <v>575</v>
      </c>
      <c r="C1279" s="28" t="s">
        <v>581</v>
      </c>
      <c r="D1279" s="27" t="n">
        <v>6</v>
      </c>
      <c r="E1279" s="28" t="s">
        <v>5352</v>
      </c>
      <c r="F1279" s="27" t="n">
        <v>117129</v>
      </c>
      <c r="G1279" s="27" t="n">
        <v>107266</v>
      </c>
      <c r="H1279" s="27" t="n">
        <v>9862</v>
      </c>
      <c r="I1279" s="27" t="n">
        <v>45471</v>
      </c>
      <c r="J1279" s="27" t="n">
        <v>7910</v>
      </c>
      <c r="K1279" s="27" t="n">
        <v>7060</v>
      </c>
      <c r="L1279" s="27" t="n">
        <v>9040</v>
      </c>
      <c r="M1279" s="27" t="n">
        <v>219</v>
      </c>
      <c r="N1279" s="27" t="n">
        <v>5321</v>
      </c>
      <c r="O1279" s="27" t="n">
        <v>15419</v>
      </c>
      <c r="P1279" s="27" t="n">
        <v>502</v>
      </c>
      <c r="Q1279" s="27" t="n">
        <v>71658</v>
      </c>
      <c r="R1279" s="27" t="n">
        <v>87077</v>
      </c>
      <c r="S1279" s="27" t="n">
        <v>5202</v>
      </c>
      <c r="T1279" s="27" t="n">
        <v>81875</v>
      </c>
      <c r="U1279" s="27" t="n">
        <v>0</v>
      </c>
      <c r="V1279" s="27" t="s">
        <v>5353</v>
      </c>
      <c r="W1279" s="28" t="s">
        <v>774</v>
      </c>
      <c r="X1279" s="28" t="s">
        <v>5354</v>
      </c>
      <c r="Y1279" s="28" t="s">
        <v>5355</v>
      </c>
      <c r="Z1279" s="28" t="s">
        <v>5356</v>
      </c>
      <c r="AA1279" s="28" t="s">
        <v>5357</v>
      </c>
    </row>
    <row r="1280" customFormat="false" ht="15" hidden="false" customHeight="true" outlineLevel="0" collapsed="false">
      <c r="A1280" s="27" t="s">
        <v>4772</v>
      </c>
      <c r="B1280" s="27" t="s">
        <v>575</v>
      </c>
      <c r="C1280" s="28" t="s">
        <v>581</v>
      </c>
      <c r="D1280" s="27" t="n">
        <v>6</v>
      </c>
      <c r="E1280" s="28" t="s">
        <v>5352</v>
      </c>
      <c r="F1280" s="27" t="n">
        <v>47851</v>
      </c>
      <c r="G1280" s="27" t="n">
        <v>43101</v>
      </c>
      <c r="H1280" s="27" t="n">
        <v>4750</v>
      </c>
      <c r="I1280" s="27" t="n">
        <v>28541</v>
      </c>
      <c r="J1280" s="27" t="n">
        <v>7277</v>
      </c>
      <c r="K1280" s="27" t="n">
        <v>6750</v>
      </c>
      <c r="L1280" s="27" t="n">
        <v>4558</v>
      </c>
      <c r="M1280" s="27" t="n">
        <v>180</v>
      </c>
      <c r="N1280" s="27" t="n">
        <v>1432</v>
      </c>
      <c r="O1280" s="27" t="n">
        <v>7842</v>
      </c>
      <c r="P1280" s="27" t="n">
        <v>502</v>
      </c>
      <c r="Q1280" s="27" t="n">
        <v>19310</v>
      </c>
      <c r="R1280" s="27" t="n">
        <v>27152</v>
      </c>
      <c r="S1280" s="27" t="n">
        <v>0</v>
      </c>
      <c r="T1280" s="27" t="n">
        <v>27152</v>
      </c>
      <c r="U1280" s="27" t="n">
        <v>0</v>
      </c>
      <c r="V1280" s="27" t="s">
        <v>5353</v>
      </c>
      <c r="W1280" s="28" t="s">
        <v>774</v>
      </c>
      <c r="X1280" s="28" t="s">
        <v>5354</v>
      </c>
      <c r="Y1280" s="28" t="s">
        <v>5355</v>
      </c>
      <c r="Z1280" s="28" t="s">
        <v>5356</v>
      </c>
      <c r="AA1280" s="28" t="s">
        <v>5357</v>
      </c>
    </row>
    <row r="1281" customFormat="false" ht="15" hidden="false" customHeight="true" outlineLevel="0" collapsed="false">
      <c r="A1281" s="27" t="s">
        <v>4775</v>
      </c>
      <c r="B1281" s="27" t="s">
        <v>575</v>
      </c>
      <c r="C1281" s="28" t="s">
        <v>581</v>
      </c>
      <c r="D1281" s="27" t="n">
        <v>6</v>
      </c>
      <c r="E1281" s="28" t="s">
        <v>5352</v>
      </c>
      <c r="F1281" s="27" t="n">
        <v>245171</v>
      </c>
      <c r="G1281" s="27" t="n">
        <v>228296</v>
      </c>
      <c r="H1281" s="27" t="n">
        <v>16874</v>
      </c>
      <c r="I1281" s="27" t="n">
        <v>90127</v>
      </c>
      <c r="J1281" s="27" t="n">
        <v>18165</v>
      </c>
      <c r="K1281" s="27" t="n">
        <v>15324</v>
      </c>
      <c r="L1281" s="27" t="n">
        <v>17595</v>
      </c>
      <c r="M1281" s="27" t="n">
        <v>503</v>
      </c>
      <c r="N1281" s="27" t="n">
        <v>5266</v>
      </c>
      <c r="O1281" s="27" t="n">
        <v>32871</v>
      </c>
      <c r="P1281" s="27" t="n">
        <v>403</v>
      </c>
      <c r="Q1281" s="27" t="n">
        <v>155044</v>
      </c>
      <c r="R1281" s="27" t="n">
        <v>187915</v>
      </c>
      <c r="S1281" s="27" t="n">
        <v>31519</v>
      </c>
      <c r="T1281" s="27" t="n">
        <v>156396</v>
      </c>
      <c r="U1281" s="27" t="n">
        <v>0</v>
      </c>
      <c r="V1281" s="27" t="s">
        <v>5353</v>
      </c>
      <c r="W1281" s="28" t="s">
        <v>774</v>
      </c>
      <c r="X1281" s="28" t="s">
        <v>5354</v>
      </c>
      <c r="Y1281" s="28" t="s">
        <v>5355</v>
      </c>
      <c r="Z1281" s="28" t="s">
        <v>5356</v>
      </c>
      <c r="AA1281" s="28" t="s">
        <v>5357</v>
      </c>
    </row>
    <row r="1282" customFormat="false" ht="15" hidden="false" customHeight="true" outlineLevel="0" collapsed="false">
      <c r="A1282" s="27" t="s">
        <v>4779</v>
      </c>
      <c r="B1282" s="27" t="s">
        <v>575</v>
      </c>
      <c r="C1282" s="28" t="s">
        <v>581</v>
      </c>
      <c r="D1282" s="27" t="n">
        <v>6</v>
      </c>
      <c r="E1282" s="28" t="s">
        <v>5352</v>
      </c>
      <c r="F1282" s="27" t="n">
        <v>95077</v>
      </c>
      <c r="G1282" s="27" t="n">
        <v>89236</v>
      </c>
      <c r="H1282" s="27" t="n">
        <v>5841</v>
      </c>
      <c r="I1282" s="27" t="n">
        <v>34192</v>
      </c>
      <c r="J1282" s="27" t="n">
        <v>6821</v>
      </c>
      <c r="K1282" s="27" t="n">
        <v>6663</v>
      </c>
      <c r="L1282" s="27" t="n">
        <v>8546</v>
      </c>
      <c r="M1282" s="27" t="n">
        <v>196</v>
      </c>
      <c r="N1282" s="27" t="n">
        <v>885</v>
      </c>
      <c r="O1282" s="27" t="n">
        <v>10579</v>
      </c>
      <c r="P1282" s="27" t="n">
        <v>502</v>
      </c>
      <c r="Q1282" s="27" t="n">
        <v>60885</v>
      </c>
      <c r="R1282" s="27" t="n">
        <v>71464</v>
      </c>
      <c r="S1282" s="27" t="n">
        <v>790</v>
      </c>
      <c r="T1282" s="27" t="n">
        <v>70674</v>
      </c>
      <c r="U1282" s="27" t="n">
        <v>0</v>
      </c>
      <c r="V1282" s="27" t="s">
        <v>5353</v>
      </c>
      <c r="W1282" s="28" t="s">
        <v>774</v>
      </c>
      <c r="X1282" s="28" t="s">
        <v>5354</v>
      </c>
      <c r="Y1282" s="28" t="s">
        <v>5355</v>
      </c>
      <c r="Z1282" s="28" t="s">
        <v>5356</v>
      </c>
      <c r="AA1282" s="28" t="s">
        <v>5357</v>
      </c>
    </row>
    <row r="1283" customFormat="false" ht="15" hidden="false" customHeight="true" outlineLevel="0" collapsed="false">
      <c r="A1283" s="27" t="s">
        <v>4782</v>
      </c>
      <c r="B1283" s="27" t="s">
        <v>575</v>
      </c>
      <c r="C1283" s="28" t="s">
        <v>581</v>
      </c>
      <c r="D1283" s="27" t="n">
        <v>6</v>
      </c>
      <c r="E1283" s="28" t="s">
        <v>5352</v>
      </c>
      <c r="F1283" s="27" t="n">
        <v>122567</v>
      </c>
      <c r="G1283" s="27" t="n">
        <v>112404</v>
      </c>
      <c r="H1283" s="27" t="n">
        <v>10162</v>
      </c>
      <c r="I1283" s="27" t="n">
        <v>48629</v>
      </c>
      <c r="J1283" s="27" t="n">
        <v>9393</v>
      </c>
      <c r="K1283" s="27" t="n">
        <v>8126</v>
      </c>
      <c r="L1283" s="27" t="n">
        <v>7792</v>
      </c>
      <c r="M1283" s="27" t="n">
        <v>309</v>
      </c>
      <c r="N1283" s="27" t="n">
        <v>1973</v>
      </c>
      <c r="O1283" s="27" t="n">
        <v>20584</v>
      </c>
      <c r="P1283" s="27" t="n">
        <v>452</v>
      </c>
      <c r="Q1283" s="27" t="n">
        <v>73937</v>
      </c>
      <c r="R1283" s="27" t="n">
        <v>94521</v>
      </c>
      <c r="S1283" s="27" t="n">
        <v>3636</v>
      </c>
      <c r="T1283" s="27" t="n">
        <v>90885</v>
      </c>
      <c r="U1283" s="27" t="n">
        <v>0</v>
      </c>
      <c r="V1283" s="27" t="s">
        <v>5353</v>
      </c>
      <c r="W1283" s="28" t="s">
        <v>774</v>
      </c>
      <c r="X1283" s="28" t="s">
        <v>5354</v>
      </c>
      <c r="Y1283" s="28" t="s">
        <v>5355</v>
      </c>
      <c r="Z1283" s="28" t="s">
        <v>5356</v>
      </c>
      <c r="AA1283" s="28" t="s">
        <v>5357</v>
      </c>
    </row>
    <row r="1284" customFormat="false" ht="15" hidden="false" customHeight="true" outlineLevel="0" collapsed="false">
      <c r="A1284" s="27" t="s">
        <v>4786</v>
      </c>
      <c r="B1284" s="27" t="s">
        <v>575</v>
      </c>
      <c r="C1284" s="28" t="s">
        <v>581</v>
      </c>
      <c r="D1284" s="27" t="n">
        <v>6</v>
      </c>
      <c r="E1284" s="28" t="s">
        <v>5352</v>
      </c>
      <c r="F1284" s="27" t="n">
        <v>75437</v>
      </c>
      <c r="G1284" s="27" t="n">
        <v>67563</v>
      </c>
      <c r="H1284" s="27" t="n">
        <v>7874</v>
      </c>
      <c r="I1284" s="27" t="n">
        <v>31594</v>
      </c>
      <c r="J1284" s="27" t="n">
        <v>6781</v>
      </c>
      <c r="K1284" s="27" t="n">
        <v>4529</v>
      </c>
      <c r="L1284" s="27" t="n">
        <v>5329</v>
      </c>
      <c r="M1284" s="27" t="n">
        <v>174</v>
      </c>
      <c r="N1284" s="27" t="n">
        <v>6740</v>
      </c>
      <c r="O1284" s="27" t="n">
        <v>7539</v>
      </c>
      <c r="P1284" s="27" t="n">
        <v>502</v>
      </c>
      <c r="Q1284" s="27" t="n">
        <v>43843</v>
      </c>
      <c r="R1284" s="27" t="n">
        <v>51382</v>
      </c>
      <c r="S1284" s="27" t="n">
        <v>6905</v>
      </c>
      <c r="T1284" s="27" t="n">
        <v>44477</v>
      </c>
      <c r="U1284" s="27" t="n">
        <v>0</v>
      </c>
      <c r="V1284" s="27" t="s">
        <v>5353</v>
      </c>
      <c r="W1284" s="28" t="s">
        <v>774</v>
      </c>
      <c r="X1284" s="28" t="s">
        <v>5354</v>
      </c>
      <c r="Y1284" s="28" t="s">
        <v>5355</v>
      </c>
      <c r="Z1284" s="28" t="s">
        <v>5356</v>
      </c>
      <c r="AA1284" s="28" t="s">
        <v>5357</v>
      </c>
    </row>
    <row r="1285" customFormat="false" ht="15" hidden="false" customHeight="true" outlineLevel="0" collapsed="false">
      <c r="A1285" s="27" t="s">
        <v>4789</v>
      </c>
      <c r="B1285" s="27" t="s">
        <v>575</v>
      </c>
      <c r="C1285" s="28" t="s">
        <v>581</v>
      </c>
      <c r="D1285" s="27" t="n">
        <v>6</v>
      </c>
      <c r="E1285" s="28" t="s">
        <v>5352</v>
      </c>
      <c r="F1285" s="27" t="n">
        <v>90260</v>
      </c>
      <c r="G1285" s="27" t="n">
        <v>81216</v>
      </c>
      <c r="H1285" s="27" t="n">
        <v>9044</v>
      </c>
      <c r="I1285" s="27" t="n">
        <v>45070</v>
      </c>
      <c r="J1285" s="27" t="n">
        <v>13135</v>
      </c>
      <c r="K1285" s="27" t="n">
        <v>9310</v>
      </c>
      <c r="L1285" s="27" t="n">
        <v>7951</v>
      </c>
      <c r="M1285" s="27" t="n">
        <v>259</v>
      </c>
      <c r="N1285" s="27" t="n">
        <v>3012</v>
      </c>
      <c r="O1285" s="27" t="n">
        <v>10901</v>
      </c>
      <c r="P1285" s="27" t="n">
        <v>502</v>
      </c>
      <c r="Q1285" s="27" t="n">
        <v>45190</v>
      </c>
      <c r="R1285" s="27" t="n">
        <v>56091</v>
      </c>
      <c r="S1285" s="27" t="n">
        <v>19204</v>
      </c>
      <c r="T1285" s="27" t="n">
        <v>36887</v>
      </c>
      <c r="U1285" s="27" t="n">
        <v>0</v>
      </c>
      <c r="V1285" s="27" t="s">
        <v>5353</v>
      </c>
      <c r="W1285" s="28" t="s">
        <v>774</v>
      </c>
      <c r="X1285" s="28" t="s">
        <v>5354</v>
      </c>
      <c r="Y1285" s="28" t="s">
        <v>5355</v>
      </c>
      <c r="Z1285" s="28" t="s">
        <v>5356</v>
      </c>
      <c r="AA1285" s="28" t="s">
        <v>5357</v>
      </c>
    </row>
    <row r="1286" customFormat="false" ht="15" hidden="false" customHeight="true" outlineLevel="0" collapsed="false">
      <c r="A1286" s="27" t="s">
        <v>4793</v>
      </c>
      <c r="B1286" s="27" t="s">
        <v>575</v>
      </c>
      <c r="C1286" s="28" t="s">
        <v>581</v>
      </c>
      <c r="D1286" s="27" t="n">
        <v>6</v>
      </c>
      <c r="E1286" s="28" t="s">
        <v>5352</v>
      </c>
      <c r="F1286" s="27" t="n">
        <v>372249</v>
      </c>
      <c r="G1286" s="27" t="n">
        <v>337845</v>
      </c>
      <c r="H1286" s="27" t="n">
        <v>34404</v>
      </c>
      <c r="I1286" s="27" t="n">
        <v>141174</v>
      </c>
      <c r="J1286" s="27" t="n">
        <v>27019</v>
      </c>
      <c r="K1286" s="27" t="n">
        <v>37097</v>
      </c>
      <c r="L1286" s="27" t="n">
        <v>19732</v>
      </c>
      <c r="M1286" s="27" t="n">
        <v>1040</v>
      </c>
      <c r="N1286" s="27" t="n">
        <v>14093</v>
      </c>
      <c r="O1286" s="27" t="n">
        <v>41541</v>
      </c>
      <c r="P1286" s="27" t="n">
        <v>652</v>
      </c>
      <c r="Q1286" s="27" t="n">
        <v>231075</v>
      </c>
      <c r="R1286" s="27" t="n">
        <v>272616</v>
      </c>
      <c r="S1286" s="27" t="n">
        <v>7893</v>
      </c>
      <c r="T1286" s="27" t="n">
        <v>264723</v>
      </c>
      <c r="U1286" s="27" t="n">
        <v>0</v>
      </c>
      <c r="V1286" s="27" t="s">
        <v>5353</v>
      </c>
      <c r="W1286" s="28" t="s">
        <v>774</v>
      </c>
      <c r="X1286" s="28" t="s">
        <v>5354</v>
      </c>
      <c r="Y1286" s="28" t="s">
        <v>5355</v>
      </c>
      <c r="Z1286" s="28" t="s">
        <v>5356</v>
      </c>
      <c r="AA1286" s="28" t="s">
        <v>5357</v>
      </c>
    </row>
    <row r="1287" customFormat="false" ht="15" hidden="false" customHeight="true" outlineLevel="0" collapsed="false">
      <c r="A1287" s="27" t="s">
        <v>4795</v>
      </c>
      <c r="B1287" s="27" t="s">
        <v>575</v>
      </c>
      <c r="C1287" s="28" t="s">
        <v>581</v>
      </c>
      <c r="D1287" s="27" t="n">
        <v>6</v>
      </c>
      <c r="E1287" s="28" t="s">
        <v>5352</v>
      </c>
      <c r="F1287" s="27" t="n">
        <v>126960</v>
      </c>
      <c r="G1287" s="27" t="n">
        <v>118941</v>
      </c>
      <c r="H1287" s="27" t="n">
        <v>8018</v>
      </c>
      <c r="I1287" s="27" t="n">
        <v>50876</v>
      </c>
      <c r="J1287" s="27" t="n">
        <v>9438</v>
      </c>
      <c r="K1287" s="27" t="n">
        <v>10306</v>
      </c>
      <c r="L1287" s="27" t="n">
        <v>11427</v>
      </c>
      <c r="M1287" s="27" t="n">
        <v>385</v>
      </c>
      <c r="N1287" s="27" t="n">
        <v>4949</v>
      </c>
      <c r="O1287" s="27" t="n">
        <v>13869</v>
      </c>
      <c r="P1287" s="27" t="n">
        <v>502</v>
      </c>
      <c r="Q1287" s="27" t="n">
        <v>76083</v>
      </c>
      <c r="R1287" s="27" t="n">
        <v>89952</v>
      </c>
      <c r="S1287" s="27" t="n">
        <v>36772</v>
      </c>
      <c r="T1287" s="27" t="n">
        <v>53180</v>
      </c>
      <c r="U1287" s="27" t="n">
        <v>0</v>
      </c>
      <c r="V1287" s="27" t="s">
        <v>5353</v>
      </c>
      <c r="W1287" s="28" t="s">
        <v>774</v>
      </c>
      <c r="X1287" s="28" t="s">
        <v>5354</v>
      </c>
      <c r="Y1287" s="28" t="s">
        <v>5355</v>
      </c>
      <c r="Z1287" s="28" t="s">
        <v>5356</v>
      </c>
      <c r="AA1287" s="28" t="s">
        <v>5357</v>
      </c>
    </row>
    <row r="1288" customFormat="false" ht="15" hidden="false" customHeight="true" outlineLevel="0" collapsed="false">
      <c r="A1288" s="27" t="s">
        <v>4799</v>
      </c>
      <c r="B1288" s="27" t="s">
        <v>575</v>
      </c>
      <c r="C1288" s="28" t="s">
        <v>581</v>
      </c>
      <c r="D1288" s="27" t="n">
        <v>6</v>
      </c>
      <c r="E1288" s="28" t="s">
        <v>5352</v>
      </c>
      <c r="F1288" s="27" t="n">
        <v>138821</v>
      </c>
      <c r="G1288" s="27" t="n">
        <v>128618</v>
      </c>
      <c r="H1288" s="27" t="n">
        <v>10203</v>
      </c>
      <c r="I1288" s="27" t="n">
        <v>41865</v>
      </c>
      <c r="J1288" s="27" t="n">
        <v>8079</v>
      </c>
      <c r="K1288" s="27" t="n">
        <v>9305</v>
      </c>
      <c r="L1288" s="27" t="n">
        <v>11491</v>
      </c>
      <c r="M1288" s="27" t="n">
        <v>274</v>
      </c>
      <c r="N1288" s="27" t="n">
        <v>2341</v>
      </c>
      <c r="O1288" s="27" t="n">
        <v>9873</v>
      </c>
      <c r="P1288" s="27" t="n">
        <v>502</v>
      </c>
      <c r="Q1288" s="27" t="n">
        <v>96956</v>
      </c>
      <c r="R1288" s="27" t="n">
        <v>106829</v>
      </c>
      <c r="S1288" s="27" t="n">
        <v>7487</v>
      </c>
      <c r="T1288" s="27" t="n">
        <v>99342</v>
      </c>
      <c r="U1288" s="27" t="n">
        <v>0</v>
      </c>
      <c r="V1288" s="27" t="s">
        <v>5353</v>
      </c>
      <c r="W1288" s="28" t="s">
        <v>774</v>
      </c>
      <c r="X1288" s="28" t="s">
        <v>5354</v>
      </c>
      <c r="Y1288" s="28" t="s">
        <v>5355</v>
      </c>
      <c r="Z1288" s="28" t="s">
        <v>5356</v>
      </c>
      <c r="AA1288" s="28" t="s">
        <v>5357</v>
      </c>
    </row>
    <row r="1289" customFormat="false" ht="15" hidden="false" customHeight="true" outlineLevel="0" collapsed="false">
      <c r="A1289" s="27" t="s">
        <v>4803</v>
      </c>
      <c r="B1289" s="27" t="s">
        <v>575</v>
      </c>
      <c r="C1289" s="28" t="s">
        <v>581</v>
      </c>
      <c r="D1289" s="27" t="n">
        <v>6</v>
      </c>
      <c r="E1289" s="28" t="s">
        <v>5352</v>
      </c>
      <c r="F1289" s="27" t="n">
        <v>49993</v>
      </c>
      <c r="G1289" s="27" t="n">
        <v>45676</v>
      </c>
      <c r="H1289" s="27" t="n">
        <v>4317</v>
      </c>
      <c r="I1289" s="27" t="n">
        <v>18937</v>
      </c>
      <c r="J1289" s="27" t="n">
        <v>3915</v>
      </c>
      <c r="K1289" s="27" t="n">
        <v>3179</v>
      </c>
      <c r="L1289" s="27" t="n">
        <v>4794</v>
      </c>
      <c r="M1289" s="27" t="n">
        <v>87</v>
      </c>
      <c r="N1289" s="27" t="n">
        <v>1405</v>
      </c>
      <c r="O1289" s="27" t="n">
        <v>5055</v>
      </c>
      <c r="P1289" s="27" t="n">
        <v>502</v>
      </c>
      <c r="Q1289" s="27" t="n">
        <v>31056</v>
      </c>
      <c r="R1289" s="27" t="n">
        <v>36111</v>
      </c>
      <c r="S1289" s="27" t="n">
        <v>8493</v>
      </c>
      <c r="T1289" s="27" t="n">
        <v>27618</v>
      </c>
      <c r="U1289" s="27" t="n">
        <v>0</v>
      </c>
      <c r="V1289" s="27" t="s">
        <v>5353</v>
      </c>
      <c r="W1289" s="28" t="s">
        <v>774</v>
      </c>
      <c r="X1289" s="28" t="s">
        <v>5354</v>
      </c>
      <c r="Y1289" s="28" t="s">
        <v>5355</v>
      </c>
      <c r="Z1289" s="28" t="s">
        <v>5356</v>
      </c>
      <c r="AA1289" s="28" t="s">
        <v>5357</v>
      </c>
    </row>
    <row r="1290" customFormat="false" ht="15" hidden="false" customHeight="true" outlineLevel="0" collapsed="false">
      <c r="A1290" s="27" t="s">
        <v>4806</v>
      </c>
      <c r="B1290" s="27" t="s">
        <v>575</v>
      </c>
      <c r="C1290" s="28" t="s">
        <v>581</v>
      </c>
      <c r="D1290" s="27" t="n">
        <v>6</v>
      </c>
      <c r="E1290" s="28" t="s">
        <v>5352</v>
      </c>
      <c r="F1290" s="27" t="n">
        <v>88920</v>
      </c>
      <c r="G1290" s="27" t="n">
        <v>78646</v>
      </c>
      <c r="H1290" s="27" t="n">
        <v>10274</v>
      </c>
      <c r="I1290" s="27" t="n">
        <v>31561</v>
      </c>
      <c r="J1290" s="27" t="n">
        <v>6374</v>
      </c>
      <c r="K1290" s="27" t="n">
        <v>6695</v>
      </c>
      <c r="L1290" s="27" t="n">
        <v>5543</v>
      </c>
      <c r="M1290" s="27" t="n">
        <v>205</v>
      </c>
      <c r="N1290" s="27" t="n">
        <v>3622</v>
      </c>
      <c r="O1290" s="27" t="n">
        <v>8621</v>
      </c>
      <c r="P1290" s="27" t="n">
        <v>501</v>
      </c>
      <c r="Q1290" s="27" t="n">
        <v>57358</v>
      </c>
      <c r="R1290" s="27" t="n">
        <v>65979</v>
      </c>
      <c r="S1290" s="27" t="n">
        <v>3922</v>
      </c>
      <c r="T1290" s="27" t="n">
        <v>62057</v>
      </c>
      <c r="U1290" s="27" t="n">
        <v>0</v>
      </c>
      <c r="V1290" s="27" t="s">
        <v>5353</v>
      </c>
      <c r="W1290" s="28" t="s">
        <v>774</v>
      </c>
      <c r="X1290" s="28" t="s">
        <v>5354</v>
      </c>
      <c r="Y1290" s="28" t="s">
        <v>5355</v>
      </c>
      <c r="Z1290" s="28" t="s">
        <v>5356</v>
      </c>
      <c r="AA1290" s="28" t="s">
        <v>5357</v>
      </c>
    </row>
    <row r="1291" customFormat="false" ht="15" hidden="false" customHeight="true" outlineLevel="0" collapsed="false">
      <c r="A1291" s="27" t="s">
        <v>4809</v>
      </c>
      <c r="B1291" s="27" t="s">
        <v>575</v>
      </c>
      <c r="C1291" s="28" t="s">
        <v>581</v>
      </c>
      <c r="D1291" s="27" t="n">
        <v>6</v>
      </c>
      <c r="E1291" s="28" t="s">
        <v>5352</v>
      </c>
      <c r="F1291" s="27" t="n">
        <v>181119</v>
      </c>
      <c r="G1291" s="27" t="n">
        <v>152190</v>
      </c>
      <c r="H1291" s="27" t="n">
        <v>28929</v>
      </c>
      <c r="I1291" s="27" t="n">
        <v>78182</v>
      </c>
      <c r="J1291" s="27" t="n">
        <v>19746</v>
      </c>
      <c r="K1291" s="27" t="n">
        <v>18088</v>
      </c>
      <c r="L1291" s="27" t="n">
        <v>13205</v>
      </c>
      <c r="M1291" s="27" t="n">
        <v>459</v>
      </c>
      <c r="N1291" s="27" t="n">
        <v>2438</v>
      </c>
      <c r="O1291" s="27" t="n">
        <v>23744</v>
      </c>
      <c r="P1291" s="27" t="n">
        <v>502</v>
      </c>
      <c r="Q1291" s="27" t="n">
        <v>102937</v>
      </c>
      <c r="R1291" s="27" t="n">
        <v>126681</v>
      </c>
      <c r="S1291" s="27" t="n">
        <v>14896</v>
      </c>
      <c r="T1291" s="27" t="n">
        <v>111785</v>
      </c>
      <c r="U1291" s="27" t="n">
        <v>0</v>
      </c>
      <c r="V1291" s="27" t="s">
        <v>5353</v>
      </c>
      <c r="W1291" s="28" t="s">
        <v>774</v>
      </c>
      <c r="X1291" s="28" t="s">
        <v>5354</v>
      </c>
      <c r="Y1291" s="28" t="s">
        <v>5355</v>
      </c>
      <c r="Z1291" s="28" t="s">
        <v>5356</v>
      </c>
      <c r="AA1291" s="28" t="s">
        <v>5357</v>
      </c>
    </row>
    <row r="1292" customFormat="false" ht="15" hidden="false" customHeight="true" outlineLevel="0" collapsed="false">
      <c r="A1292" s="27" t="s">
        <v>4812</v>
      </c>
      <c r="B1292" s="27" t="s">
        <v>575</v>
      </c>
      <c r="C1292" s="28" t="s">
        <v>581</v>
      </c>
      <c r="D1292" s="27" t="n">
        <v>6</v>
      </c>
      <c r="E1292" s="28" t="s">
        <v>5352</v>
      </c>
      <c r="F1292" s="27" t="n">
        <v>41709</v>
      </c>
      <c r="G1292" s="27" t="n">
        <v>34509</v>
      </c>
      <c r="H1292" s="27" t="n">
        <v>7199</v>
      </c>
      <c r="I1292" s="27" t="n">
        <v>25278</v>
      </c>
      <c r="J1292" s="27" t="n">
        <v>6514</v>
      </c>
      <c r="K1292" s="27" t="n">
        <v>5165</v>
      </c>
      <c r="L1292" s="27" t="n">
        <v>4051</v>
      </c>
      <c r="M1292" s="27" t="n">
        <v>113</v>
      </c>
      <c r="N1292" s="27" t="n">
        <v>5253</v>
      </c>
      <c r="O1292" s="27" t="n">
        <v>3680</v>
      </c>
      <c r="P1292" s="27" t="n">
        <v>502</v>
      </c>
      <c r="Q1292" s="27" t="n">
        <v>16431</v>
      </c>
      <c r="R1292" s="27" t="n">
        <v>20111</v>
      </c>
      <c r="S1292" s="27" t="n">
        <v>7572</v>
      </c>
      <c r="T1292" s="27" t="n">
        <v>12539</v>
      </c>
      <c r="U1292" s="27" t="n">
        <v>0</v>
      </c>
      <c r="V1292" s="27" t="s">
        <v>5353</v>
      </c>
      <c r="W1292" s="28" t="s">
        <v>774</v>
      </c>
      <c r="X1292" s="28" t="s">
        <v>5354</v>
      </c>
      <c r="Y1292" s="28" t="s">
        <v>5355</v>
      </c>
      <c r="Z1292" s="28" t="s">
        <v>5356</v>
      </c>
      <c r="AA1292" s="28" t="s">
        <v>5357</v>
      </c>
    </row>
    <row r="1293" customFormat="false" ht="15" hidden="false" customHeight="true" outlineLevel="0" collapsed="false">
      <c r="A1293" s="27" t="s">
        <v>4816</v>
      </c>
      <c r="B1293" s="27" t="s">
        <v>575</v>
      </c>
      <c r="C1293" s="28" t="s">
        <v>581</v>
      </c>
      <c r="D1293" s="27" t="n">
        <v>6</v>
      </c>
      <c r="E1293" s="28" t="s">
        <v>5352</v>
      </c>
      <c r="F1293" s="27" t="n">
        <v>52178</v>
      </c>
      <c r="G1293" s="27" t="n">
        <v>45076</v>
      </c>
      <c r="H1293" s="27" t="n">
        <v>7101</v>
      </c>
      <c r="I1293" s="27" t="n">
        <v>21064</v>
      </c>
      <c r="J1293" s="27" t="n">
        <v>4636</v>
      </c>
      <c r="K1293" s="27" t="n">
        <v>4982</v>
      </c>
      <c r="L1293" s="27" t="n">
        <v>2748</v>
      </c>
      <c r="M1293" s="27" t="n">
        <v>94</v>
      </c>
      <c r="N1293" s="27" t="n">
        <v>1517</v>
      </c>
      <c r="O1293" s="27" t="n">
        <v>6584</v>
      </c>
      <c r="P1293" s="27" t="n">
        <v>503</v>
      </c>
      <c r="Q1293" s="27" t="n">
        <v>31113</v>
      </c>
      <c r="R1293" s="27" t="n">
        <v>37697</v>
      </c>
      <c r="S1293" s="27" t="n">
        <v>2429</v>
      </c>
      <c r="T1293" s="27" t="n">
        <v>35268</v>
      </c>
      <c r="U1293" s="27" t="n">
        <v>0</v>
      </c>
      <c r="V1293" s="27" t="s">
        <v>5353</v>
      </c>
      <c r="W1293" s="28" t="s">
        <v>774</v>
      </c>
      <c r="X1293" s="28" t="s">
        <v>5354</v>
      </c>
      <c r="Y1293" s="28" t="s">
        <v>5355</v>
      </c>
      <c r="Z1293" s="28" t="s">
        <v>5356</v>
      </c>
      <c r="AA1293" s="28" t="s">
        <v>5357</v>
      </c>
    </row>
    <row r="1294" customFormat="false" ht="15" hidden="false" customHeight="true" outlineLevel="0" collapsed="false">
      <c r="A1294" s="27" t="s">
        <v>4819</v>
      </c>
      <c r="B1294" s="27" t="s">
        <v>575</v>
      </c>
      <c r="C1294" s="28" t="s">
        <v>581</v>
      </c>
      <c r="D1294" s="27" t="n">
        <v>6</v>
      </c>
      <c r="E1294" s="28" t="s">
        <v>5352</v>
      </c>
      <c r="F1294" s="27" t="n">
        <v>90921</v>
      </c>
      <c r="G1294" s="27" t="n">
        <v>82815</v>
      </c>
      <c r="H1294" s="27" t="n">
        <v>8106</v>
      </c>
      <c r="I1294" s="27" t="n">
        <v>39486</v>
      </c>
      <c r="J1294" s="27" t="n">
        <v>10925</v>
      </c>
      <c r="K1294" s="27" t="n">
        <v>5931</v>
      </c>
      <c r="L1294" s="27" t="n">
        <v>8238</v>
      </c>
      <c r="M1294" s="27" t="n">
        <v>137</v>
      </c>
      <c r="N1294" s="27" t="n">
        <v>285</v>
      </c>
      <c r="O1294" s="27" t="n">
        <v>13468</v>
      </c>
      <c r="P1294" s="27" t="n">
        <v>502</v>
      </c>
      <c r="Q1294" s="27" t="n">
        <v>51435</v>
      </c>
      <c r="R1294" s="27" t="n">
        <v>64903</v>
      </c>
      <c r="S1294" s="27" t="n">
        <v>0</v>
      </c>
      <c r="T1294" s="27" t="n">
        <v>64903</v>
      </c>
      <c r="U1294" s="27" t="n">
        <v>0</v>
      </c>
      <c r="V1294" s="27" t="s">
        <v>5353</v>
      </c>
      <c r="W1294" s="28" t="s">
        <v>774</v>
      </c>
      <c r="X1294" s="28" t="s">
        <v>5354</v>
      </c>
      <c r="Y1294" s="28" t="s">
        <v>5355</v>
      </c>
      <c r="Z1294" s="28" t="s">
        <v>5356</v>
      </c>
      <c r="AA1294" s="28" t="s">
        <v>5357</v>
      </c>
    </row>
    <row r="1295" customFormat="false" ht="15" hidden="false" customHeight="true" outlineLevel="0" collapsed="false">
      <c r="A1295" s="27" t="s">
        <v>4826</v>
      </c>
      <c r="B1295" s="27" t="s">
        <v>575</v>
      </c>
      <c r="C1295" s="28" t="s">
        <v>581</v>
      </c>
      <c r="D1295" s="27" t="n">
        <v>6</v>
      </c>
      <c r="E1295" s="28" t="s">
        <v>5352</v>
      </c>
      <c r="F1295" s="27" t="n">
        <v>229251</v>
      </c>
      <c r="G1295" s="27" t="n">
        <v>208253</v>
      </c>
      <c r="H1295" s="27" t="n">
        <v>20998</v>
      </c>
      <c r="I1295" s="27" t="n">
        <v>115587</v>
      </c>
      <c r="J1295" s="27" t="n">
        <v>18471</v>
      </c>
      <c r="K1295" s="27" t="n">
        <v>19747</v>
      </c>
      <c r="L1295" s="27" t="n">
        <v>16063</v>
      </c>
      <c r="M1295" s="27" t="n">
        <v>609</v>
      </c>
      <c r="N1295" s="27" t="n">
        <v>13970</v>
      </c>
      <c r="O1295" s="27" t="n">
        <v>46226</v>
      </c>
      <c r="P1295" s="27" t="n">
        <v>501</v>
      </c>
      <c r="Q1295" s="27" t="n">
        <v>113664</v>
      </c>
      <c r="R1295" s="27" t="n">
        <v>159890</v>
      </c>
      <c r="S1295" s="27" t="n">
        <v>36532</v>
      </c>
      <c r="T1295" s="27" t="n">
        <v>123358</v>
      </c>
      <c r="U1295" s="27" t="n">
        <v>0</v>
      </c>
      <c r="V1295" s="27" t="s">
        <v>5353</v>
      </c>
      <c r="W1295" s="28" t="s">
        <v>774</v>
      </c>
      <c r="X1295" s="28" t="s">
        <v>5354</v>
      </c>
      <c r="Y1295" s="28" t="s">
        <v>5355</v>
      </c>
      <c r="Z1295" s="28" t="s">
        <v>5356</v>
      </c>
      <c r="AA1295" s="28" t="s">
        <v>5357</v>
      </c>
    </row>
    <row r="1296" customFormat="false" ht="15" hidden="false" customHeight="true" outlineLevel="0" collapsed="false">
      <c r="A1296" s="27" t="s">
        <v>4829</v>
      </c>
      <c r="B1296" s="27" t="s">
        <v>575</v>
      </c>
      <c r="C1296" s="28" t="s">
        <v>581</v>
      </c>
      <c r="D1296" s="27" t="n">
        <v>6</v>
      </c>
      <c r="E1296" s="28" t="s">
        <v>5352</v>
      </c>
      <c r="F1296" s="27" t="n">
        <v>188487</v>
      </c>
      <c r="G1296" s="27" t="n">
        <v>174817</v>
      </c>
      <c r="H1296" s="27" t="n">
        <v>13670</v>
      </c>
      <c r="I1296" s="27" t="n">
        <v>121519</v>
      </c>
      <c r="J1296" s="27" t="n">
        <v>26405</v>
      </c>
      <c r="K1296" s="27" t="n">
        <v>18041</v>
      </c>
      <c r="L1296" s="27" t="n">
        <v>34495</v>
      </c>
      <c r="M1296" s="27" t="n">
        <v>608</v>
      </c>
      <c r="N1296" s="27" t="n">
        <v>5753</v>
      </c>
      <c r="O1296" s="27" t="n">
        <v>35715</v>
      </c>
      <c r="P1296" s="27" t="n">
        <v>502</v>
      </c>
      <c r="Q1296" s="27" t="n">
        <v>66968</v>
      </c>
      <c r="R1296" s="27" t="n">
        <v>102683</v>
      </c>
      <c r="S1296" s="27" t="n">
        <v>28776</v>
      </c>
      <c r="T1296" s="27" t="n">
        <v>73907</v>
      </c>
      <c r="U1296" s="27" t="n">
        <v>0</v>
      </c>
      <c r="V1296" s="27" t="s">
        <v>5353</v>
      </c>
      <c r="W1296" s="28" t="s">
        <v>774</v>
      </c>
      <c r="X1296" s="28" t="s">
        <v>5354</v>
      </c>
      <c r="Y1296" s="28" t="s">
        <v>5355</v>
      </c>
      <c r="Z1296" s="28" t="s">
        <v>5356</v>
      </c>
      <c r="AA1296" s="28" t="s">
        <v>5357</v>
      </c>
    </row>
    <row r="1297" customFormat="false" ht="15" hidden="false" customHeight="true" outlineLevel="0" collapsed="false">
      <c r="A1297" s="27" t="s">
        <v>4834</v>
      </c>
      <c r="B1297" s="27" t="s">
        <v>575</v>
      </c>
      <c r="C1297" s="28" t="s">
        <v>581</v>
      </c>
      <c r="D1297" s="27" t="n">
        <v>6</v>
      </c>
      <c r="E1297" s="28" t="s">
        <v>5352</v>
      </c>
      <c r="F1297" s="27" t="n">
        <v>132492</v>
      </c>
      <c r="G1297" s="27" t="n">
        <v>119120</v>
      </c>
      <c r="H1297" s="27" t="n">
        <v>13371</v>
      </c>
      <c r="I1297" s="27" t="n">
        <v>68894</v>
      </c>
      <c r="J1297" s="27" t="n">
        <v>13853</v>
      </c>
      <c r="K1297" s="27" t="n">
        <v>10600</v>
      </c>
      <c r="L1297" s="27" t="n">
        <v>11209</v>
      </c>
      <c r="M1297" s="27" t="n">
        <v>395</v>
      </c>
      <c r="N1297" s="27" t="n">
        <v>7665</v>
      </c>
      <c r="O1297" s="27" t="n">
        <v>24669</v>
      </c>
      <c r="P1297" s="27" t="n">
        <v>503</v>
      </c>
      <c r="Q1297" s="27" t="n">
        <v>63597</v>
      </c>
      <c r="R1297" s="27" t="n">
        <v>88266</v>
      </c>
      <c r="S1297" s="27" t="n">
        <v>1553</v>
      </c>
      <c r="T1297" s="27" t="n">
        <v>86713</v>
      </c>
      <c r="U1297" s="27" t="n">
        <v>0</v>
      </c>
      <c r="V1297" s="27" t="s">
        <v>5353</v>
      </c>
      <c r="W1297" s="28" t="s">
        <v>774</v>
      </c>
      <c r="X1297" s="28" t="s">
        <v>5354</v>
      </c>
      <c r="Y1297" s="28" t="s">
        <v>5355</v>
      </c>
      <c r="Z1297" s="28" t="s">
        <v>5356</v>
      </c>
      <c r="AA1297" s="28" t="s">
        <v>5357</v>
      </c>
    </row>
    <row r="1298" customFormat="false" ht="15" hidden="false" customHeight="true" outlineLevel="0" collapsed="false">
      <c r="A1298" s="27" t="s">
        <v>4836</v>
      </c>
      <c r="B1298" s="27" t="s">
        <v>575</v>
      </c>
      <c r="C1298" s="28" t="s">
        <v>581</v>
      </c>
      <c r="D1298" s="27" t="n">
        <v>6</v>
      </c>
      <c r="E1298" s="28" t="s">
        <v>5352</v>
      </c>
      <c r="F1298" s="27" t="n">
        <v>207093</v>
      </c>
      <c r="G1298" s="27" t="n">
        <v>190999</v>
      </c>
      <c r="H1298" s="27" t="n">
        <v>16093</v>
      </c>
      <c r="I1298" s="27" t="n">
        <v>95332</v>
      </c>
      <c r="J1298" s="27" t="n">
        <v>22841</v>
      </c>
      <c r="K1298" s="27" t="n">
        <v>17942</v>
      </c>
      <c r="L1298" s="27" t="n">
        <v>21418</v>
      </c>
      <c r="M1298" s="27" t="n">
        <v>615</v>
      </c>
      <c r="N1298" s="27" t="n">
        <v>6458</v>
      </c>
      <c r="O1298" s="27" t="n">
        <v>25556</v>
      </c>
      <c r="P1298" s="27" t="n">
        <v>502</v>
      </c>
      <c r="Q1298" s="27" t="n">
        <v>111761</v>
      </c>
      <c r="R1298" s="27" t="n">
        <v>137317</v>
      </c>
      <c r="S1298" s="27" t="n">
        <v>14757</v>
      </c>
      <c r="T1298" s="27" t="n">
        <v>122560</v>
      </c>
      <c r="U1298" s="27" t="n">
        <v>0</v>
      </c>
      <c r="V1298" s="27" t="s">
        <v>5353</v>
      </c>
      <c r="W1298" s="28" t="s">
        <v>774</v>
      </c>
      <c r="X1298" s="28" t="s">
        <v>5354</v>
      </c>
      <c r="Y1298" s="28" t="s">
        <v>5355</v>
      </c>
      <c r="Z1298" s="28" t="s">
        <v>5356</v>
      </c>
      <c r="AA1298" s="28" t="s">
        <v>5357</v>
      </c>
    </row>
    <row r="1299" customFormat="false" ht="15" hidden="false" customHeight="true" outlineLevel="0" collapsed="false">
      <c r="A1299" s="27" t="s">
        <v>4841</v>
      </c>
      <c r="B1299" s="27" t="s">
        <v>575</v>
      </c>
      <c r="C1299" s="28" t="s">
        <v>581</v>
      </c>
      <c r="D1299" s="27" t="n">
        <v>6</v>
      </c>
      <c r="E1299" s="28" t="s">
        <v>5352</v>
      </c>
      <c r="F1299" s="27" t="n">
        <v>469401</v>
      </c>
      <c r="G1299" s="27" t="n">
        <v>428578</v>
      </c>
      <c r="H1299" s="27" t="n">
        <v>40823</v>
      </c>
      <c r="I1299" s="27" t="n">
        <v>241171</v>
      </c>
      <c r="J1299" s="27" t="n">
        <v>49679</v>
      </c>
      <c r="K1299" s="27" t="n">
        <v>53257</v>
      </c>
      <c r="L1299" s="27" t="n">
        <v>70681</v>
      </c>
      <c r="M1299" s="27" t="n">
        <v>1413</v>
      </c>
      <c r="N1299" s="27" t="n">
        <v>12214</v>
      </c>
      <c r="O1299" s="27" t="n">
        <v>53274</v>
      </c>
      <c r="P1299" s="27" t="n">
        <v>653</v>
      </c>
      <c r="Q1299" s="27" t="n">
        <v>228230</v>
      </c>
      <c r="R1299" s="27" t="n">
        <v>281504</v>
      </c>
      <c r="S1299" s="27" t="n">
        <v>134549</v>
      </c>
      <c r="T1299" s="27" t="n">
        <v>146955</v>
      </c>
      <c r="U1299" s="27" t="n">
        <v>0</v>
      </c>
      <c r="V1299" s="27" t="s">
        <v>5353</v>
      </c>
      <c r="W1299" s="28" t="s">
        <v>774</v>
      </c>
      <c r="X1299" s="28" t="s">
        <v>5354</v>
      </c>
      <c r="Y1299" s="28" t="s">
        <v>5355</v>
      </c>
      <c r="Z1299" s="28" t="s">
        <v>5356</v>
      </c>
      <c r="AA1299" s="28" t="s">
        <v>5357</v>
      </c>
    </row>
    <row r="1300" customFormat="false" ht="15" hidden="false" customHeight="true" outlineLevel="0" collapsed="false">
      <c r="A1300" s="27" t="s">
        <v>4844</v>
      </c>
      <c r="B1300" s="27" t="s">
        <v>575</v>
      </c>
      <c r="C1300" s="28" t="s">
        <v>581</v>
      </c>
      <c r="D1300" s="27" t="n">
        <v>6</v>
      </c>
      <c r="E1300" s="28" t="s">
        <v>5352</v>
      </c>
      <c r="F1300" s="27" t="n">
        <v>390944</v>
      </c>
      <c r="G1300" s="27" t="n">
        <v>357600</v>
      </c>
      <c r="H1300" s="27" t="n">
        <v>33343</v>
      </c>
      <c r="I1300" s="27" t="n">
        <v>193985</v>
      </c>
      <c r="J1300" s="27" t="n">
        <v>36646</v>
      </c>
      <c r="K1300" s="27" t="n">
        <v>47195</v>
      </c>
      <c r="L1300" s="27" t="n">
        <v>36549</v>
      </c>
      <c r="M1300" s="27" t="n">
        <v>1219</v>
      </c>
      <c r="N1300" s="27" t="n">
        <v>11024</v>
      </c>
      <c r="O1300" s="27" t="n">
        <v>60700</v>
      </c>
      <c r="P1300" s="27" t="n">
        <v>652</v>
      </c>
      <c r="Q1300" s="27" t="n">
        <v>196958</v>
      </c>
      <c r="R1300" s="27" t="n">
        <v>257658</v>
      </c>
      <c r="S1300" s="27" t="n">
        <v>124564</v>
      </c>
      <c r="T1300" s="27" t="n">
        <v>133094</v>
      </c>
      <c r="U1300" s="27" t="n">
        <v>0</v>
      </c>
      <c r="V1300" s="27" t="s">
        <v>5353</v>
      </c>
      <c r="W1300" s="28" t="s">
        <v>774</v>
      </c>
      <c r="X1300" s="28" t="s">
        <v>5354</v>
      </c>
      <c r="Y1300" s="28" t="s">
        <v>5355</v>
      </c>
      <c r="Z1300" s="28" t="s">
        <v>5356</v>
      </c>
      <c r="AA1300" s="28" t="s">
        <v>5357</v>
      </c>
    </row>
    <row r="1301" customFormat="false" ht="15" hidden="false" customHeight="true" outlineLevel="0" collapsed="false">
      <c r="A1301" s="27" t="s">
        <v>4847</v>
      </c>
      <c r="B1301" s="27" t="s">
        <v>575</v>
      </c>
      <c r="C1301" s="28" t="s">
        <v>581</v>
      </c>
      <c r="D1301" s="27" t="n">
        <v>6</v>
      </c>
      <c r="E1301" s="28" t="s">
        <v>5352</v>
      </c>
      <c r="F1301" s="27" t="n">
        <v>76740</v>
      </c>
      <c r="G1301" s="27" t="n">
        <v>69946</v>
      </c>
      <c r="H1301" s="27" t="n">
        <v>6794</v>
      </c>
      <c r="I1301" s="27" t="n">
        <v>37964</v>
      </c>
      <c r="J1301" s="27" t="n">
        <v>9132</v>
      </c>
      <c r="K1301" s="27" t="n">
        <v>6369</v>
      </c>
      <c r="L1301" s="27" t="n">
        <v>4750</v>
      </c>
      <c r="M1301" s="27" t="n">
        <v>283</v>
      </c>
      <c r="N1301" s="27" t="n">
        <v>487</v>
      </c>
      <c r="O1301" s="27" t="n">
        <v>16440</v>
      </c>
      <c r="P1301" s="27" t="n">
        <v>503</v>
      </c>
      <c r="Q1301" s="27" t="n">
        <v>38776</v>
      </c>
      <c r="R1301" s="27" t="n">
        <v>55216</v>
      </c>
      <c r="S1301" s="27" t="n">
        <v>4503</v>
      </c>
      <c r="T1301" s="27" t="n">
        <v>50713</v>
      </c>
      <c r="U1301" s="27" t="n">
        <v>0</v>
      </c>
      <c r="V1301" s="27" t="s">
        <v>5353</v>
      </c>
      <c r="W1301" s="28" t="s">
        <v>774</v>
      </c>
      <c r="X1301" s="28" t="s">
        <v>5354</v>
      </c>
      <c r="Y1301" s="28" t="s">
        <v>5355</v>
      </c>
      <c r="Z1301" s="28" t="s">
        <v>5356</v>
      </c>
      <c r="AA1301" s="28" t="s">
        <v>5357</v>
      </c>
    </row>
    <row r="1302" customFormat="false" ht="15" hidden="false" customHeight="true" outlineLevel="0" collapsed="false">
      <c r="A1302" s="27" t="s">
        <v>4852</v>
      </c>
      <c r="B1302" s="27" t="s">
        <v>575</v>
      </c>
      <c r="C1302" s="28" t="s">
        <v>581</v>
      </c>
      <c r="D1302" s="27" t="n">
        <v>6</v>
      </c>
      <c r="E1302" s="28" t="s">
        <v>5358</v>
      </c>
      <c r="F1302" s="1" t="n">
        <v>214886</v>
      </c>
      <c r="G1302" s="1" t="n">
        <v>203343</v>
      </c>
      <c r="H1302" s="1" t="n">
        <v>11543</v>
      </c>
      <c r="I1302" s="1" t="n">
        <v>65699</v>
      </c>
      <c r="J1302" s="1" t="n">
        <v>16251</v>
      </c>
      <c r="K1302" s="1" t="n">
        <v>9710</v>
      </c>
      <c r="L1302" s="1" t="n">
        <v>9386</v>
      </c>
      <c r="M1302" s="1" t="n">
        <v>396</v>
      </c>
      <c r="N1302" s="1" t="n">
        <v>2939</v>
      </c>
      <c r="O1302" s="27" t="n">
        <v>27339</v>
      </c>
      <c r="P1302" s="1" t="n">
        <v>2</v>
      </c>
      <c r="Q1302" s="27" t="n">
        <v>176490</v>
      </c>
      <c r="R1302" s="27" t="n">
        <v>203829</v>
      </c>
      <c r="S1302" s="27" t="n">
        <v>0</v>
      </c>
      <c r="T1302" s="27" t="n">
        <v>203829</v>
      </c>
      <c r="U1302" s="1" t="n">
        <v>0</v>
      </c>
      <c r="V1302" s="27" t="s">
        <v>5353</v>
      </c>
      <c r="W1302" s="28" t="s">
        <v>774</v>
      </c>
      <c r="X1302" s="28" t="s">
        <v>5359</v>
      </c>
      <c r="Y1302" s="28" t="s">
        <v>4897</v>
      </c>
      <c r="Z1302" s="28" t="s">
        <v>4898</v>
      </c>
      <c r="AA1302" s="36" t="s">
        <v>5357</v>
      </c>
    </row>
    <row r="1303" customFormat="false" ht="15" hidden="false" customHeight="true" outlineLevel="0" collapsed="false">
      <c r="A1303" s="27" t="s">
        <v>4856</v>
      </c>
      <c r="B1303" s="27" t="s">
        <v>575</v>
      </c>
      <c r="C1303" s="28" t="s">
        <v>581</v>
      </c>
      <c r="D1303" s="27" t="n">
        <v>2.4</v>
      </c>
      <c r="E1303" s="28" t="s">
        <v>5358</v>
      </c>
      <c r="F1303" s="1" t="n">
        <v>152534</v>
      </c>
      <c r="G1303" s="1" t="n">
        <v>140547</v>
      </c>
      <c r="H1303" s="1" t="n">
        <v>11987</v>
      </c>
      <c r="I1303" s="1" t="n">
        <v>70035</v>
      </c>
      <c r="J1303" s="1" t="n">
        <v>14963</v>
      </c>
      <c r="K1303" s="1" t="n">
        <v>12324</v>
      </c>
      <c r="L1303" s="1" t="n">
        <v>11696</v>
      </c>
      <c r="M1303" s="1" t="n">
        <v>429</v>
      </c>
      <c r="N1303" s="1" t="n">
        <v>3325</v>
      </c>
      <c r="O1303" s="27" t="n">
        <v>9974</v>
      </c>
      <c r="P1303" s="1" t="n">
        <v>503</v>
      </c>
      <c r="Q1303" s="27" t="n">
        <v>31132</v>
      </c>
      <c r="R1303" s="27" t="n">
        <v>41106</v>
      </c>
      <c r="S1303" s="27" t="n">
        <v>0</v>
      </c>
      <c r="T1303" s="27" t="n">
        <v>41106</v>
      </c>
      <c r="U1303" s="1" t="n">
        <v>0</v>
      </c>
      <c r="V1303" s="27" t="s">
        <v>5353</v>
      </c>
      <c r="W1303" s="28" t="s">
        <v>774</v>
      </c>
      <c r="X1303" s="28" t="s">
        <v>5359</v>
      </c>
      <c r="Y1303" s="27" t="s">
        <v>5360</v>
      </c>
      <c r="Z1303" s="28" t="s">
        <v>5361</v>
      </c>
      <c r="AA1303" s="36" t="s">
        <v>5357</v>
      </c>
    </row>
    <row r="1304" customFormat="false" ht="15" hidden="false" customHeight="true" outlineLevel="0" collapsed="false"/>
    <row r="1305" customFormat="false" ht="15" hidden="false" customHeight="true" outlineLevel="0" collapsed="false"/>
    <row r="1306" customFormat="false" ht="15" hidden="false" customHeight="true" outlineLevel="0" collapsed="false"/>
    <row r="1307" customFormat="false" ht="15" hidden="false" customHeight="true" outlineLevel="0" collapsed="false"/>
    <row r="1308" customFormat="false" ht="15" hidden="false" customHeight="true" outlineLevel="0" collapsed="false"/>
    <row r="1309" customFormat="false" ht="15" hidden="false" customHeight="true" outlineLevel="0" collapsed="false"/>
    <row r="1310" customFormat="false" ht="15" hidden="false" customHeight="true" outlineLevel="0" collapsed="false"/>
    <row r="1311" customFormat="false" ht="15" hidden="false" customHeight="true" outlineLevel="0" collapsed="false"/>
    <row r="1312" customFormat="false" ht="15" hidden="false" customHeight="true" outlineLevel="0" collapsed="false"/>
    <row r="1313" customFormat="false" ht="15" hidden="false" customHeight="true" outlineLevel="0" collapsed="false"/>
    <row r="1314" customFormat="false" ht="15" hidden="false" customHeight="true" outlineLevel="0" collapsed="false"/>
    <row r="1315" customFormat="false" ht="15" hidden="false" customHeight="true" outlineLevel="0" collapsed="false"/>
    <row r="1316" customFormat="false" ht="15" hidden="false" customHeight="true" outlineLevel="0" collapsed="false"/>
    <row r="1317" customFormat="false" ht="15" hidden="false" customHeight="true" outlineLevel="0" collapsed="false"/>
    <row r="1318" customFormat="false" ht="15" hidden="false" customHeight="true" outlineLevel="0" collapsed="false"/>
    <row r="1319" customFormat="false" ht="15" hidden="false" customHeight="true" outlineLevel="0" collapsed="false"/>
    <row r="1320" customFormat="false" ht="15" hidden="false" customHeight="true" outlineLevel="0" collapsed="false"/>
    <row r="1321" customFormat="false" ht="15" hidden="false" customHeight="true" outlineLevel="0" collapsed="false"/>
    <row r="1322" customFormat="false" ht="15" hidden="false" customHeight="true" outlineLevel="0" collapsed="false"/>
    <row r="1323" customFormat="false" ht="15" hidden="false" customHeight="true" outlineLevel="0" collapsed="false"/>
    <row r="1324" customFormat="false" ht="15" hidden="false" customHeight="true" outlineLevel="0" collapsed="false"/>
    <row r="1325" customFormat="false" ht="15" hidden="false" customHeight="true" outlineLevel="0" collapsed="false"/>
    <row r="1326" customFormat="false" ht="15" hidden="false" customHeight="true" outlineLevel="0" collapsed="false"/>
    <row r="1327" customFormat="false" ht="15" hidden="false" customHeight="true" outlineLevel="0" collapsed="false"/>
    <row r="1328" customFormat="false" ht="15" hidden="false" customHeight="true" outlineLevel="0" collapsed="false"/>
    <row r="1329" customFormat="false" ht="15" hidden="false" customHeight="true" outlineLevel="0" collapsed="false"/>
  </sheetData>
  <autoFilter ref="A1:X3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12"/>
    <col collapsed="false" customWidth="true" hidden="false" outlineLevel="0" max="4" min="4" style="1" width="30"/>
    <col collapsed="false" customWidth="true" hidden="false" outlineLevel="0" max="5" min="5" style="1" width="14"/>
    <col collapsed="false" customWidth="true" hidden="false" outlineLevel="0" max="7" min="6" style="1" width="10"/>
    <col collapsed="false" customWidth="true" hidden="false" outlineLevel="0" max="8" min="8" style="1" width="30"/>
    <col collapsed="false" customWidth="true" hidden="false" outlineLevel="0" max="9" min="9" style="1" width="60"/>
  </cols>
  <sheetData>
    <row r="1" customFormat="false" ht="15" hidden="false" customHeight="true" outlineLevel="0" collapsed="false">
      <c r="A1" s="35" t="s">
        <v>731</v>
      </c>
      <c r="B1" s="35" t="s">
        <v>435</v>
      </c>
      <c r="C1" s="35" t="s">
        <v>5362</v>
      </c>
      <c r="D1" s="35" t="s">
        <v>5363</v>
      </c>
      <c r="E1" s="35" t="s">
        <v>5364</v>
      </c>
      <c r="F1" s="35" t="s">
        <v>5365</v>
      </c>
      <c r="G1" s="35" t="s">
        <v>747</v>
      </c>
      <c r="H1" s="35" t="s">
        <v>5366</v>
      </c>
      <c r="I1" s="35" t="s">
        <v>447</v>
      </c>
    </row>
    <row r="2" customFormat="false" ht="15" hidden="false" customHeight="true" outlineLevel="0" collapsed="false">
      <c r="A2" s="27" t="s">
        <v>769</v>
      </c>
      <c r="B2" s="27" t="s">
        <v>448</v>
      </c>
      <c r="C2" s="27" t="s">
        <v>5367</v>
      </c>
      <c r="D2" s="27" t="s">
        <v>5368</v>
      </c>
      <c r="E2" s="27"/>
      <c r="F2" s="27" t="s">
        <v>5369</v>
      </c>
      <c r="G2" s="27"/>
      <c r="H2" s="28" t="s">
        <v>770</v>
      </c>
      <c r="I2" s="27"/>
    </row>
    <row r="3" customFormat="false" ht="15" hidden="false" customHeight="true" outlineLevel="0" collapsed="false">
      <c r="A3" s="27" t="s">
        <v>776</v>
      </c>
      <c r="B3" s="27" t="s">
        <v>448</v>
      </c>
      <c r="C3" s="27" t="s">
        <v>5367</v>
      </c>
      <c r="D3" s="27" t="s">
        <v>5368</v>
      </c>
      <c r="E3" s="27"/>
      <c r="F3" s="27" t="s">
        <v>5369</v>
      </c>
      <c r="G3" s="27"/>
      <c r="H3" s="28" t="s">
        <v>777</v>
      </c>
      <c r="I3" s="27"/>
    </row>
    <row r="4" customFormat="false" ht="15" hidden="false" customHeight="true" outlineLevel="0" collapsed="false">
      <c r="A4" s="27" t="s">
        <v>780</v>
      </c>
      <c r="B4" s="27" t="s">
        <v>448</v>
      </c>
      <c r="C4" s="27" t="s">
        <v>5367</v>
      </c>
      <c r="D4" s="27" t="s">
        <v>5368</v>
      </c>
      <c r="E4" s="27"/>
      <c r="F4" s="27" t="s">
        <v>5369</v>
      </c>
      <c r="G4" s="27"/>
      <c r="H4" s="28" t="s">
        <v>781</v>
      </c>
      <c r="I4" s="27"/>
    </row>
    <row r="5" customFormat="false" ht="15" hidden="false" customHeight="true" outlineLevel="0" collapsed="false">
      <c r="A5" s="27" t="s">
        <v>784</v>
      </c>
      <c r="B5" s="27" t="s">
        <v>448</v>
      </c>
      <c r="C5" s="27" t="s">
        <v>5367</v>
      </c>
      <c r="D5" s="27" t="s">
        <v>5368</v>
      </c>
      <c r="E5" s="27"/>
      <c r="F5" s="27" t="s">
        <v>5369</v>
      </c>
      <c r="G5" s="27"/>
      <c r="H5" s="28" t="s">
        <v>785</v>
      </c>
      <c r="I5" s="27"/>
    </row>
    <row r="6" customFormat="false" ht="15" hidden="false" customHeight="true" outlineLevel="0" collapsed="false">
      <c r="A6" s="27" t="s">
        <v>788</v>
      </c>
      <c r="B6" s="27" t="s">
        <v>448</v>
      </c>
      <c r="C6" s="27" t="s">
        <v>5367</v>
      </c>
      <c r="D6" s="27" t="s">
        <v>5368</v>
      </c>
      <c r="E6" s="27"/>
      <c r="F6" s="27" t="s">
        <v>5369</v>
      </c>
      <c r="G6" s="27"/>
      <c r="H6" s="28" t="s">
        <v>789</v>
      </c>
      <c r="I6" s="27"/>
    </row>
    <row r="7" customFormat="false" ht="15" hidden="false" customHeight="true" outlineLevel="0" collapsed="false">
      <c r="A7" s="27" t="s">
        <v>793</v>
      </c>
      <c r="B7" s="27" t="s">
        <v>448</v>
      </c>
      <c r="C7" s="27" t="s">
        <v>5367</v>
      </c>
      <c r="D7" s="27" t="s">
        <v>5368</v>
      </c>
      <c r="E7" s="27"/>
      <c r="F7" s="27" t="s">
        <v>5369</v>
      </c>
      <c r="G7" s="27"/>
      <c r="H7" s="27" t="s">
        <v>5370</v>
      </c>
      <c r="I7" s="27"/>
    </row>
    <row r="8" customFormat="false" ht="15" hidden="false" customHeight="true" outlineLevel="0" collapsed="false">
      <c r="A8" s="27" t="s">
        <v>797</v>
      </c>
      <c r="B8" s="27" t="s">
        <v>448</v>
      </c>
      <c r="C8" s="27" t="s">
        <v>5367</v>
      </c>
      <c r="D8" s="27" t="s">
        <v>5368</v>
      </c>
      <c r="E8" s="27"/>
      <c r="F8" s="27" t="s">
        <v>5369</v>
      </c>
      <c r="G8" s="27"/>
      <c r="H8" s="27" t="s">
        <v>5371</v>
      </c>
      <c r="I8" s="27"/>
    </row>
    <row r="9" customFormat="false" ht="15" hidden="false" customHeight="true" outlineLevel="0" collapsed="false">
      <c r="A9" s="27" t="s">
        <v>802</v>
      </c>
      <c r="B9" s="27" t="s">
        <v>448</v>
      </c>
      <c r="C9" s="27" t="s">
        <v>5367</v>
      </c>
      <c r="D9" s="27" t="s">
        <v>5368</v>
      </c>
      <c r="E9" s="27"/>
      <c r="F9" s="27" t="s">
        <v>5369</v>
      </c>
      <c r="G9" s="27"/>
      <c r="H9" s="27" t="s">
        <v>5372</v>
      </c>
      <c r="I9" s="27"/>
    </row>
    <row r="10" customFormat="false" ht="15" hidden="false" customHeight="true" outlineLevel="0" collapsed="false">
      <c r="A10" s="27" t="s">
        <v>805</v>
      </c>
      <c r="B10" s="27" t="s">
        <v>448</v>
      </c>
      <c r="C10" s="27" t="s">
        <v>5367</v>
      </c>
      <c r="D10" s="27" t="s">
        <v>5368</v>
      </c>
      <c r="E10" s="27"/>
      <c r="F10" s="27" t="s">
        <v>5369</v>
      </c>
      <c r="G10" s="27"/>
      <c r="H10" s="27" t="s">
        <v>5373</v>
      </c>
      <c r="I10" s="27"/>
    </row>
    <row r="11" customFormat="false" ht="15" hidden="false" customHeight="true" outlineLevel="0" collapsed="false">
      <c r="A11" s="27" t="s">
        <v>809</v>
      </c>
      <c r="B11" s="27" t="s">
        <v>448</v>
      </c>
      <c r="C11" s="27" t="s">
        <v>5367</v>
      </c>
      <c r="D11" s="27" t="s">
        <v>5368</v>
      </c>
      <c r="E11" s="27"/>
      <c r="F11" s="27" t="s">
        <v>5369</v>
      </c>
      <c r="G11" s="27"/>
      <c r="H11" s="28" t="s">
        <v>810</v>
      </c>
      <c r="I11" s="27"/>
    </row>
    <row r="12" customFormat="false" ht="15" hidden="false" customHeight="true" outlineLevel="0" collapsed="false">
      <c r="A12" s="27" t="s">
        <v>813</v>
      </c>
      <c r="B12" s="27" t="s">
        <v>448</v>
      </c>
      <c r="C12" s="27" t="s">
        <v>5367</v>
      </c>
      <c r="D12" s="27" t="s">
        <v>5368</v>
      </c>
      <c r="E12" s="27"/>
      <c r="F12" s="27" t="s">
        <v>5369</v>
      </c>
      <c r="G12" s="27"/>
      <c r="H12" s="27" t="s">
        <v>5374</v>
      </c>
      <c r="I12" s="27"/>
    </row>
    <row r="13" customFormat="false" ht="15" hidden="false" customHeight="true" outlineLevel="0" collapsed="false">
      <c r="A13" s="27" t="s">
        <v>818</v>
      </c>
      <c r="B13" s="27" t="s">
        <v>448</v>
      </c>
      <c r="C13" s="27" t="s">
        <v>5367</v>
      </c>
      <c r="D13" s="27" t="s">
        <v>5368</v>
      </c>
      <c r="E13" s="27"/>
      <c r="F13" s="27" t="s">
        <v>5375</v>
      </c>
      <c r="G13" s="27"/>
      <c r="H13" s="27" t="s">
        <v>5376</v>
      </c>
      <c r="I13" s="27"/>
    </row>
    <row r="14" customFormat="false" ht="15" hidden="false" customHeight="true" outlineLevel="0" collapsed="false">
      <c r="A14" s="27" t="s">
        <v>824</v>
      </c>
      <c r="B14" s="27" t="s">
        <v>448</v>
      </c>
      <c r="C14" s="27" t="s">
        <v>5367</v>
      </c>
      <c r="D14" s="27" t="s">
        <v>5368</v>
      </c>
      <c r="E14" s="27"/>
      <c r="F14" s="27" t="s">
        <v>5369</v>
      </c>
      <c r="G14" s="27"/>
      <c r="H14" s="28" t="s">
        <v>825</v>
      </c>
      <c r="I14" s="27"/>
    </row>
    <row r="15" customFormat="false" ht="15" hidden="false" customHeight="true" outlineLevel="0" collapsed="false">
      <c r="A15" s="27" t="s">
        <v>827</v>
      </c>
      <c r="B15" s="27" t="s">
        <v>448</v>
      </c>
      <c r="C15" s="27" t="s">
        <v>5367</v>
      </c>
      <c r="D15" s="27" t="s">
        <v>5368</v>
      </c>
      <c r="E15" s="27"/>
      <c r="F15" s="27" t="s">
        <v>5375</v>
      </c>
      <c r="G15" s="27"/>
      <c r="H15" s="28" t="s">
        <v>5377</v>
      </c>
      <c r="I15" s="27"/>
    </row>
    <row r="16" customFormat="false" ht="15" hidden="false" customHeight="true" outlineLevel="0" collapsed="false">
      <c r="A16" s="27" t="s">
        <v>832</v>
      </c>
      <c r="B16" s="27" t="s">
        <v>448</v>
      </c>
      <c r="C16" s="27" t="s">
        <v>5367</v>
      </c>
      <c r="D16" s="27" t="s">
        <v>5368</v>
      </c>
      <c r="E16" s="27"/>
      <c r="F16" s="27" t="s">
        <v>5369</v>
      </c>
      <c r="G16" s="27"/>
      <c r="H16" s="28" t="s">
        <v>5378</v>
      </c>
      <c r="I16" s="27"/>
    </row>
    <row r="17" customFormat="false" ht="15" hidden="false" customHeight="true" outlineLevel="0" collapsed="false">
      <c r="A17" s="27" t="s">
        <v>834</v>
      </c>
      <c r="B17" s="27" t="s">
        <v>448</v>
      </c>
      <c r="C17" s="27" t="s">
        <v>5367</v>
      </c>
      <c r="D17" s="27" t="s">
        <v>5368</v>
      </c>
      <c r="E17" s="27"/>
      <c r="F17" s="27" t="s">
        <v>5375</v>
      </c>
      <c r="G17" s="27"/>
      <c r="H17" s="28" t="s">
        <v>5379</v>
      </c>
      <c r="I17" s="27"/>
    </row>
    <row r="18" customFormat="false" ht="15" hidden="false" customHeight="true" outlineLevel="0" collapsed="false">
      <c r="A18" s="27" t="s">
        <v>842</v>
      </c>
      <c r="B18" s="27" t="s">
        <v>448</v>
      </c>
      <c r="C18" s="27" t="s">
        <v>5367</v>
      </c>
      <c r="D18" s="27" t="s">
        <v>5368</v>
      </c>
      <c r="E18" s="27"/>
      <c r="F18" s="27" t="s">
        <v>5369</v>
      </c>
      <c r="G18" s="27"/>
      <c r="H18" s="28" t="s">
        <v>843</v>
      </c>
      <c r="I18" s="27"/>
    </row>
    <row r="19" customFormat="false" ht="15" hidden="false" customHeight="true" outlineLevel="0" collapsed="false">
      <c r="A19" s="27" t="s">
        <v>846</v>
      </c>
      <c r="B19" s="27" t="s">
        <v>448</v>
      </c>
      <c r="C19" s="27" t="s">
        <v>5367</v>
      </c>
      <c r="D19" s="27" t="s">
        <v>5368</v>
      </c>
      <c r="E19" s="27"/>
      <c r="F19" s="27" t="s">
        <v>5369</v>
      </c>
      <c r="G19" s="27"/>
      <c r="H19" s="27" t="s">
        <v>5380</v>
      </c>
      <c r="I19" s="27"/>
    </row>
    <row r="20" customFormat="false" ht="15" hidden="false" customHeight="true" outlineLevel="0" collapsed="false">
      <c r="A20" s="27" t="s">
        <v>849</v>
      </c>
      <c r="B20" s="27" t="s">
        <v>448</v>
      </c>
      <c r="C20" s="27" t="s">
        <v>5367</v>
      </c>
      <c r="D20" s="27" t="s">
        <v>5368</v>
      </c>
      <c r="E20" s="27"/>
      <c r="F20" s="27" t="s">
        <v>5375</v>
      </c>
      <c r="G20" s="27"/>
      <c r="H20" s="28" t="s">
        <v>850</v>
      </c>
      <c r="I20" s="27"/>
    </row>
    <row r="21" customFormat="false" ht="15" hidden="false" customHeight="true" outlineLevel="0" collapsed="false">
      <c r="A21" s="27" t="s">
        <v>852</v>
      </c>
      <c r="B21" s="27" t="s">
        <v>448</v>
      </c>
      <c r="C21" s="27" t="s">
        <v>5367</v>
      </c>
      <c r="D21" s="27" t="s">
        <v>5368</v>
      </c>
      <c r="E21" s="27"/>
      <c r="F21" s="27" t="s">
        <v>5369</v>
      </c>
      <c r="G21" s="27"/>
      <c r="H21" s="27" t="s">
        <v>5381</v>
      </c>
      <c r="I21" s="27"/>
    </row>
    <row r="22" customFormat="false" ht="15" hidden="false" customHeight="true" outlineLevel="0" collapsed="false">
      <c r="A22" s="27" t="s">
        <v>854</v>
      </c>
      <c r="B22" s="27" t="s">
        <v>448</v>
      </c>
      <c r="C22" s="27" t="s">
        <v>5367</v>
      </c>
      <c r="D22" s="27" t="s">
        <v>5368</v>
      </c>
      <c r="E22" s="27"/>
      <c r="F22" s="27" t="s">
        <v>5375</v>
      </c>
      <c r="G22" s="27"/>
      <c r="H22" s="27" t="s">
        <v>5382</v>
      </c>
      <c r="I22" s="27"/>
    </row>
    <row r="23" customFormat="false" ht="15" hidden="false" customHeight="true" outlineLevel="0" collapsed="false">
      <c r="A23" s="27" t="s">
        <v>856</v>
      </c>
      <c r="B23" s="27" t="s">
        <v>448</v>
      </c>
      <c r="C23" s="27" t="s">
        <v>5367</v>
      </c>
      <c r="D23" s="27" t="s">
        <v>5368</v>
      </c>
      <c r="E23" s="27"/>
      <c r="F23" s="27" t="s">
        <v>5375</v>
      </c>
      <c r="G23" s="27"/>
      <c r="H23" s="27" t="s">
        <v>5383</v>
      </c>
      <c r="I23" s="27"/>
    </row>
    <row r="24" customFormat="false" ht="15" hidden="false" customHeight="true" outlineLevel="0" collapsed="false">
      <c r="A24" s="27" t="s">
        <v>858</v>
      </c>
      <c r="B24" s="27" t="s">
        <v>448</v>
      </c>
      <c r="C24" s="27" t="s">
        <v>5367</v>
      </c>
      <c r="D24" s="27" t="s">
        <v>5368</v>
      </c>
      <c r="E24" s="27"/>
      <c r="F24" s="27" t="s">
        <v>5375</v>
      </c>
      <c r="G24" s="27"/>
      <c r="H24" s="27" t="s">
        <v>5384</v>
      </c>
      <c r="I24" s="27"/>
    </row>
    <row r="25" customFormat="false" ht="15" hidden="false" customHeight="true" outlineLevel="0" collapsed="false">
      <c r="A25" s="27" t="s">
        <v>860</v>
      </c>
      <c r="B25" s="27" t="s">
        <v>448</v>
      </c>
      <c r="C25" s="27" t="s">
        <v>5367</v>
      </c>
      <c r="D25" s="27" t="s">
        <v>5368</v>
      </c>
      <c r="E25" s="27"/>
      <c r="F25" s="27" t="s">
        <v>5375</v>
      </c>
      <c r="G25" s="27"/>
      <c r="H25" s="27" t="s">
        <v>5385</v>
      </c>
      <c r="I25" s="27"/>
    </row>
    <row r="26" customFormat="false" ht="15" hidden="false" customHeight="true" outlineLevel="0" collapsed="false">
      <c r="A26" s="27" t="s">
        <v>863</v>
      </c>
      <c r="B26" s="27" t="s">
        <v>448</v>
      </c>
      <c r="C26" s="27" t="s">
        <v>5367</v>
      </c>
      <c r="D26" s="27" t="s">
        <v>5368</v>
      </c>
      <c r="E26" s="27"/>
      <c r="F26" s="27" t="s">
        <v>5369</v>
      </c>
      <c r="G26" s="27"/>
      <c r="H26" s="28" t="s">
        <v>864</v>
      </c>
      <c r="I26" s="27"/>
    </row>
    <row r="27" customFormat="false" ht="15" hidden="false" customHeight="true" outlineLevel="0" collapsed="false">
      <c r="A27" s="27" t="s">
        <v>866</v>
      </c>
      <c r="B27" s="27" t="s">
        <v>448</v>
      </c>
      <c r="C27" s="27" t="s">
        <v>5367</v>
      </c>
      <c r="D27" s="27" t="s">
        <v>5368</v>
      </c>
      <c r="E27" s="27"/>
      <c r="F27" s="27" t="s">
        <v>5375</v>
      </c>
      <c r="G27" s="27"/>
      <c r="H27" s="27" t="s">
        <v>5386</v>
      </c>
      <c r="I27" s="27"/>
    </row>
    <row r="28" customFormat="false" ht="15" hidden="false" customHeight="true" outlineLevel="0" collapsed="false">
      <c r="A28" s="27" t="s">
        <v>869</v>
      </c>
      <c r="B28" s="27" t="s">
        <v>448</v>
      </c>
      <c r="C28" s="27" t="s">
        <v>5367</v>
      </c>
      <c r="D28" s="27" t="s">
        <v>5368</v>
      </c>
      <c r="E28" s="27"/>
      <c r="F28" s="27" t="s">
        <v>5375</v>
      </c>
      <c r="G28" s="27"/>
      <c r="H28" s="28" t="s">
        <v>5387</v>
      </c>
      <c r="I28" s="27"/>
    </row>
    <row r="29" customFormat="false" ht="15" hidden="false" customHeight="true" outlineLevel="0" collapsed="false">
      <c r="A29" s="27" t="s">
        <v>872</v>
      </c>
      <c r="B29" s="27" t="s">
        <v>448</v>
      </c>
      <c r="C29" s="27" t="s">
        <v>5367</v>
      </c>
      <c r="D29" s="27" t="s">
        <v>5368</v>
      </c>
      <c r="E29" s="27"/>
      <c r="F29" s="27" t="s">
        <v>5369</v>
      </c>
      <c r="G29" s="27"/>
      <c r="H29" s="27" t="s">
        <v>5388</v>
      </c>
      <c r="I29" s="27"/>
    </row>
    <row r="30" customFormat="false" ht="15" hidden="false" customHeight="true" outlineLevel="0" collapsed="false">
      <c r="A30" s="27" t="s">
        <v>875</v>
      </c>
      <c r="B30" s="27" t="s">
        <v>448</v>
      </c>
      <c r="C30" s="27" t="s">
        <v>5367</v>
      </c>
      <c r="D30" s="27" t="s">
        <v>5368</v>
      </c>
      <c r="E30" s="27"/>
      <c r="F30" s="27" t="s">
        <v>5375</v>
      </c>
      <c r="G30" s="27"/>
      <c r="H30" s="28" t="s">
        <v>876</v>
      </c>
      <c r="I30" s="27"/>
    </row>
    <row r="31" customFormat="false" ht="15" hidden="false" customHeight="true" outlineLevel="0" collapsed="false">
      <c r="A31" s="27" t="s">
        <v>877</v>
      </c>
      <c r="B31" s="27" t="s">
        <v>448</v>
      </c>
      <c r="C31" s="27" t="s">
        <v>5367</v>
      </c>
      <c r="D31" s="27" t="s">
        <v>5368</v>
      </c>
      <c r="E31" s="27"/>
      <c r="F31" s="27" t="s">
        <v>5369</v>
      </c>
      <c r="G31" s="27"/>
      <c r="H31" s="28" t="s">
        <v>5389</v>
      </c>
      <c r="I31" s="27"/>
    </row>
    <row r="32" customFormat="false" ht="15" hidden="false" customHeight="true" outlineLevel="0" collapsed="false">
      <c r="A32" s="27" t="s">
        <v>879</v>
      </c>
      <c r="B32" s="27" t="s">
        <v>448</v>
      </c>
      <c r="C32" s="27" t="s">
        <v>5367</v>
      </c>
      <c r="D32" s="27" t="s">
        <v>5368</v>
      </c>
      <c r="E32" s="27"/>
      <c r="F32" s="27" t="s">
        <v>5369</v>
      </c>
      <c r="G32" s="27"/>
      <c r="H32" s="28" t="s">
        <v>880</v>
      </c>
      <c r="I32" s="27"/>
    </row>
    <row r="33" customFormat="false" ht="15" hidden="false" customHeight="true" outlineLevel="0" collapsed="false">
      <c r="A33" s="27" t="s">
        <v>884</v>
      </c>
      <c r="B33" s="27" t="s">
        <v>448</v>
      </c>
      <c r="C33" s="27" t="s">
        <v>5367</v>
      </c>
      <c r="D33" s="27" t="s">
        <v>5368</v>
      </c>
      <c r="E33" s="27"/>
      <c r="F33" s="27" t="s">
        <v>5369</v>
      </c>
      <c r="G33" s="27"/>
      <c r="H33" s="27" t="s">
        <v>5390</v>
      </c>
      <c r="I33" s="27"/>
    </row>
    <row r="34" customFormat="false" ht="15" hidden="false" customHeight="true" outlineLevel="0" collapsed="false">
      <c r="A34" s="27" t="s">
        <v>887</v>
      </c>
      <c r="B34" s="27" t="s">
        <v>448</v>
      </c>
      <c r="C34" s="27" t="s">
        <v>5367</v>
      </c>
      <c r="D34" s="27" t="s">
        <v>5368</v>
      </c>
      <c r="E34" s="27"/>
      <c r="F34" s="27" t="s">
        <v>5369</v>
      </c>
      <c r="G34" s="27"/>
      <c r="H34" s="28" t="s">
        <v>888</v>
      </c>
      <c r="I34" s="27"/>
    </row>
    <row r="35" customFormat="false" ht="15" hidden="false" customHeight="true" outlineLevel="0" collapsed="false">
      <c r="A35" s="27" t="s">
        <v>887</v>
      </c>
      <c r="B35" s="27" t="s">
        <v>448</v>
      </c>
      <c r="C35" s="27" t="s">
        <v>5367</v>
      </c>
      <c r="D35" s="27" t="s">
        <v>5391</v>
      </c>
      <c r="E35" s="27"/>
      <c r="F35" s="27"/>
      <c r="G35" s="27"/>
      <c r="H35" s="28" t="s">
        <v>888</v>
      </c>
      <c r="I35" s="27"/>
    </row>
    <row r="36" customFormat="false" ht="15" hidden="false" customHeight="true" outlineLevel="0" collapsed="false">
      <c r="A36" s="27" t="s">
        <v>890</v>
      </c>
      <c r="B36" s="27" t="s">
        <v>448</v>
      </c>
      <c r="C36" s="27" t="s">
        <v>5367</v>
      </c>
      <c r="D36" s="27" t="s">
        <v>5368</v>
      </c>
      <c r="E36" s="27"/>
      <c r="F36" s="27" t="s">
        <v>5369</v>
      </c>
      <c r="G36" s="27"/>
      <c r="H36" s="27" t="s">
        <v>5392</v>
      </c>
      <c r="I36" s="27"/>
    </row>
    <row r="37" customFormat="false" ht="15" hidden="false" customHeight="true" outlineLevel="0" collapsed="false">
      <c r="A37" s="27" t="s">
        <v>893</v>
      </c>
      <c r="B37" s="27" t="s">
        <v>448</v>
      </c>
      <c r="C37" s="27" t="s">
        <v>5367</v>
      </c>
      <c r="D37" s="27" t="s">
        <v>5368</v>
      </c>
      <c r="E37" s="27"/>
      <c r="F37" s="27" t="s">
        <v>5369</v>
      </c>
      <c r="G37" s="27"/>
      <c r="H37" s="28" t="s">
        <v>894</v>
      </c>
      <c r="I37" s="27"/>
    </row>
    <row r="38" customFormat="false" ht="15" hidden="false" customHeight="true" outlineLevel="0" collapsed="false">
      <c r="A38" s="27" t="s">
        <v>897</v>
      </c>
      <c r="B38" s="27" t="s">
        <v>448</v>
      </c>
      <c r="C38" s="27" t="s">
        <v>5367</v>
      </c>
      <c r="D38" s="27" t="s">
        <v>5368</v>
      </c>
      <c r="E38" s="27"/>
      <c r="F38" s="27" t="s">
        <v>5375</v>
      </c>
      <c r="G38" s="27"/>
      <c r="H38" s="27" t="s">
        <v>5393</v>
      </c>
      <c r="I38" s="27"/>
    </row>
    <row r="39" customFormat="false" ht="15" hidden="false" customHeight="true" outlineLevel="0" collapsed="false">
      <c r="A39" s="27" t="s">
        <v>900</v>
      </c>
      <c r="B39" s="27" t="s">
        <v>448</v>
      </c>
      <c r="C39" s="27" t="s">
        <v>5367</v>
      </c>
      <c r="D39" s="27" t="s">
        <v>5368</v>
      </c>
      <c r="E39" s="27"/>
      <c r="F39" s="27" t="s">
        <v>5369</v>
      </c>
      <c r="G39" s="27"/>
      <c r="H39" s="28" t="s">
        <v>5394</v>
      </c>
      <c r="I39" s="27"/>
    </row>
    <row r="40" customFormat="false" ht="15" hidden="false" customHeight="true" outlineLevel="0" collapsed="false">
      <c r="A40" s="27" t="s">
        <v>903</v>
      </c>
      <c r="B40" s="27" t="s">
        <v>448</v>
      </c>
      <c r="C40" s="27" t="s">
        <v>5367</v>
      </c>
      <c r="D40" s="27" t="s">
        <v>5368</v>
      </c>
      <c r="E40" s="27"/>
      <c r="F40" s="27" t="s">
        <v>5369</v>
      </c>
      <c r="G40" s="27"/>
      <c r="H40" s="28" t="s">
        <v>5395</v>
      </c>
      <c r="I40" s="27"/>
    </row>
    <row r="41" customFormat="false" ht="15" hidden="false" customHeight="true" outlineLevel="0" collapsed="false">
      <c r="A41" s="27" t="s">
        <v>907</v>
      </c>
      <c r="B41" s="27" t="s">
        <v>448</v>
      </c>
      <c r="C41" s="27" t="s">
        <v>5367</v>
      </c>
      <c r="D41" s="27" t="s">
        <v>5368</v>
      </c>
      <c r="E41" s="27"/>
      <c r="F41" s="27" t="s">
        <v>5369</v>
      </c>
      <c r="G41" s="27"/>
      <c r="H41" s="28" t="s">
        <v>908</v>
      </c>
      <c r="I41" s="27"/>
    </row>
    <row r="42" customFormat="false" ht="15" hidden="false" customHeight="true" outlineLevel="0" collapsed="false">
      <c r="A42" s="27" t="s">
        <v>909</v>
      </c>
      <c r="B42" s="27" t="s">
        <v>448</v>
      </c>
      <c r="C42" s="27" t="s">
        <v>5367</v>
      </c>
      <c r="D42" s="27" t="s">
        <v>5368</v>
      </c>
      <c r="E42" s="27"/>
      <c r="F42" s="27" t="s">
        <v>5369</v>
      </c>
      <c r="G42" s="27"/>
      <c r="H42" s="27" t="s">
        <v>5396</v>
      </c>
      <c r="I42" s="27"/>
    </row>
    <row r="43" customFormat="false" ht="15" hidden="false" customHeight="true" outlineLevel="0" collapsed="false">
      <c r="A43" s="27" t="s">
        <v>912</v>
      </c>
      <c r="B43" s="27" t="s">
        <v>448</v>
      </c>
      <c r="C43" s="27" t="s">
        <v>5367</v>
      </c>
      <c r="D43" s="27" t="s">
        <v>5368</v>
      </c>
      <c r="E43" s="27"/>
      <c r="F43" s="27" t="s">
        <v>5369</v>
      </c>
      <c r="G43" s="27"/>
      <c r="H43" s="28" t="s">
        <v>913</v>
      </c>
      <c r="I43" s="27"/>
    </row>
    <row r="44" customFormat="false" ht="15" hidden="false" customHeight="true" outlineLevel="0" collapsed="false">
      <c r="A44" s="27" t="s">
        <v>914</v>
      </c>
      <c r="B44" s="27" t="s">
        <v>448</v>
      </c>
      <c r="C44" s="27" t="s">
        <v>5367</v>
      </c>
      <c r="D44" s="27" t="s">
        <v>5368</v>
      </c>
      <c r="E44" s="27"/>
      <c r="F44" s="27" t="s">
        <v>5375</v>
      </c>
      <c r="G44" s="27"/>
      <c r="H44" s="27" t="s">
        <v>5397</v>
      </c>
      <c r="I44" s="27"/>
    </row>
    <row r="45" customFormat="false" ht="15" hidden="false" customHeight="true" outlineLevel="0" collapsed="false">
      <c r="A45" s="27" t="s">
        <v>916</v>
      </c>
      <c r="B45" s="27" t="s">
        <v>448</v>
      </c>
      <c r="C45" s="27" t="s">
        <v>5367</v>
      </c>
      <c r="D45" s="27" t="s">
        <v>5368</v>
      </c>
      <c r="E45" s="27"/>
      <c r="F45" s="27" t="s">
        <v>5375</v>
      </c>
      <c r="G45" s="27"/>
      <c r="H45" s="27" t="s">
        <v>5398</v>
      </c>
      <c r="I45" s="27"/>
    </row>
    <row r="46" customFormat="false" ht="15" hidden="false" customHeight="true" outlineLevel="0" collapsed="false">
      <c r="A46" s="27" t="s">
        <v>918</v>
      </c>
      <c r="B46" s="27" t="s">
        <v>448</v>
      </c>
      <c r="C46" s="27" t="s">
        <v>5367</v>
      </c>
      <c r="D46" s="27" t="s">
        <v>5368</v>
      </c>
      <c r="E46" s="27"/>
      <c r="F46" s="27" t="s">
        <v>5369</v>
      </c>
      <c r="G46" s="27"/>
      <c r="H46" s="28" t="s">
        <v>919</v>
      </c>
      <c r="I46" s="27"/>
    </row>
    <row r="47" customFormat="false" ht="15" hidden="false" customHeight="true" outlineLevel="0" collapsed="false">
      <c r="A47" s="27" t="s">
        <v>923</v>
      </c>
      <c r="B47" s="27" t="s">
        <v>448</v>
      </c>
      <c r="C47" s="27" t="s">
        <v>5399</v>
      </c>
      <c r="D47" s="27" t="s">
        <v>5400</v>
      </c>
      <c r="E47" s="27"/>
      <c r="F47" s="27"/>
      <c r="G47" s="27"/>
      <c r="H47" s="28" t="s">
        <v>924</v>
      </c>
      <c r="I47" s="28" t="s">
        <v>5401</v>
      </c>
    </row>
    <row r="48" customFormat="false" ht="15" hidden="false" customHeight="true" outlineLevel="0" collapsed="false">
      <c r="A48" s="27" t="s">
        <v>923</v>
      </c>
      <c r="B48" s="27" t="s">
        <v>448</v>
      </c>
      <c r="C48" s="27" t="s">
        <v>5367</v>
      </c>
      <c r="D48" s="27" t="s">
        <v>5368</v>
      </c>
      <c r="E48" s="27"/>
      <c r="F48" s="27" t="s">
        <v>5369</v>
      </c>
      <c r="G48" s="27"/>
      <c r="H48" s="28" t="s">
        <v>924</v>
      </c>
      <c r="I48" s="27"/>
    </row>
    <row r="49" customFormat="false" ht="15" hidden="false" customHeight="true" outlineLevel="0" collapsed="false">
      <c r="A49" s="27" t="s">
        <v>928</v>
      </c>
      <c r="B49" s="27" t="s">
        <v>448</v>
      </c>
      <c r="C49" s="27" t="s">
        <v>5367</v>
      </c>
      <c r="D49" s="27" t="s">
        <v>5368</v>
      </c>
      <c r="E49" s="27"/>
      <c r="F49" s="27" t="s">
        <v>5369</v>
      </c>
      <c r="G49" s="27"/>
      <c r="H49" s="28" t="s">
        <v>5402</v>
      </c>
      <c r="I49" s="27"/>
    </row>
    <row r="50" customFormat="false" ht="15" hidden="false" customHeight="true" outlineLevel="0" collapsed="false">
      <c r="A50" s="27" t="s">
        <v>932</v>
      </c>
      <c r="B50" s="27" t="s">
        <v>448</v>
      </c>
      <c r="C50" s="27" t="s">
        <v>5367</v>
      </c>
      <c r="D50" s="27" t="s">
        <v>5368</v>
      </c>
      <c r="E50" s="27"/>
      <c r="F50" s="27" t="s">
        <v>5369</v>
      </c>
      <c r="G50" s="27"/>
      <c r="H50" s="28" t="s">
        <v>5403</v>
      </c>
      <c r="I50" s="27"/>
    </row>
    <row r="51" customFormat="false" ht="15" hidden="false" customHeight="true" outlineLevel="0" collapsed="false">
      <c r="A51" s="27" t="s">
        <v>935</v>
      </c>
      <c r="B51" s="27" t="s">
        <v>448</v>
      </c>
      <c r="C51" s="27" t="s">
        <v>5367</v>
      </c>
      <c r="D51" s="27" t="s">
        <v>5368</v>
      </c>
      <c r="E51" s="27"/>
      <c r="F51" s="27" t="s">
        <v>5369</v>
      </c>
      <c r="G51" s="27"/>
      <c r="H51" s="28" t="s">
        <v>936</v>
      </c>
      <c r="I51" s="27"/>
    </row>
    <row r="52" customFormat="false" ht="15" hidden="false" customHeight="true" outlineLevel="0" collapsed="false">
      <c r="A52" s="27" t="s">
        <v>937</v>
      </c>
      <c r="B52" s="27" t="s">
        <v>448</v>
      </c>
      <c r="C52" s="27" t="s">
        <v>5367</v>
      </c>
      <c r="D52" s="27" t="s">
        <v>5368</v>
      </c>
      <c r="E52" s="27"/>
      <c r="F52" s="27" t="s">
        <v>5369</v>
      </c>
      <c r="G52" s="27"/>
      <c r="H52" s="28" t="s">
        <v>938</v>
      </c>
      <c r="I52" s="27"/>
    </row>
    <row r="53" customFormat="false" ht="15" hidden="false" customHeight="true" outlineLevel="0" collapsed="false">
      <c r="A53" s="27" t="s">
        <v>942</v>
      </c>
      <c r="B53" s="27" t="s">
        <v>448</v>
      </c>
      <c r="C53" s="27" t="s">
        <v>5367</v>
      </c>
      <c r="D53" s="27" t="s">
        <v>5368</v>
      </c>
      <c r="E53" s="27"/>
      <c r="F53" s="27" t="s">
        <v>5375</v>
      </c>
      <c r="G53" s="27"/>
      <c r="H53" s="27" t="s">
        <v>5404</v>
      </c>
      <c r="I53" s="27"/>
    </row>
    <row r="54" customFormat="false" ht="15" hidden="false" customHeight="true" outlineLevel="0" collapsed="false">
      <c r="A54" s="27" t="s">
        <v>944</v>
      </c>
      <c r="B54" s="27" t="s">
        <v>448</v>
      </c>
      <c r="C54" s="27" t="s">
        <v>5367</v>
      </c>
      <c r="D54" s="27" t="s">
        <v>5368</v>
      </c>
      <c r="E54" s="27"/>
      <c r="F54" s="27" t="s">
        <v>5375</v>
      </c>
      <c r="G54" s="27"/>
      <c r="H54" s="27" t="s">
        <v>5405</v>
      </c>
      <c r="I54" s="27"/>
    </row>
    <row r="55" customFormat="false" ht="15" hidden="false" customHeight="true" outlineLevel="0" collapsed="false">
      <c r="A55" s="27" t="s">
        <v>955</v>
      </c>
      <c r="B55" s="27" t="s">
        <v>448</v>
      </c>
      <c r="C55" s="27" t="s">
        <v>5367</v>
      </c>
      <c r="D55" s="27" t="s">
        <v>5368</v>
      </c>
      <c r="E55" s="27"/>
      <c r="F55" s="27" t="s">
        <v>5369</v>
      </c>
      <c r="G55" s="27"/>
      <c r="H55" s="28" t="s">
        <v>956</v>
      </c>
      <c r="I55" s="27"/>
    </row>
    <row r="56" customFormat="false" ht="15" hidden="false" customHeight="true" outlineLevel="0" collapsed="false">
      <c r="A56" s="27" t="s">
        <v>958</v>
      </c>
      <c r="B56" s="27" t="s">
        <v>448</v>
      </c>
      <c r="C56" s="27" t="s">
        <v>5367</v>
      </c>
      <c r="D56" s="27" t="s">
        <v>5368</v>
      </c>
      <c r="E56" s="27"/>
      <c r="F56" s="27" t="s">
        <v>5375</v>
      </c>
      <c r="G56" s="27"/>
      <c r="H56" s="27" t="s">
        <v>5406</v>
      </c>
      <c r="I56" s="27"/>
    </row>
    <row r="57" customFormat="false" ht="15" hidden="false" customHeight="true" outlineLevel="0" collapsed="false">
      <c r="A57" s="27" t="s">
        <v>961</v>
      </c>
      <c r="B57" s="27" t="s">
        <v>448</v>
      </c>
      <c r="C57" s="27" t="s">
        <v>5407</v>
      </c>
      <c r="D57" s="27" t="s">
        <v>5408</v>
      </c>
      <c r="E57" s="27"/>
      <c r="F57" s="27"/>
      <c r="G57" s="27"/>
      <c r="H57" s="27" t="s">
        <v>5409</v>
      </c>
      <c r="I57" s="28" t="s">
        <v>5410</v>
      </c>
    </row>
    <row r="58" customFormat="false" ht="15" hidden="false" customHeight="true" outlineLevel="0" collapsed="false">
      <c r="A58" s="27" t="s">
        <v>961</v>
      </c>
      <c r="B58" s="27" t="s">
        <v>448</v>
      </c>
      <c r="C58" s="27" t="s">
        <v>5367</v>
      </c>
      <c r="D58" s="27" t="s">
        <v>5368</v>
      </c>
      <c r="E58" s="27"/>
      <c r="F58" s="27" t="s">
        <v>5369</v>
      </c>
      <c r="G58" s="27"/>
      <c r="H58" s="27" t="s">
        <v>5409</v>
      </c>
      <c r="I58" s="27"/>
    </row>
    <row r="59" customFormat="false" ht="15" hidden="false" customHeight="true" outlineLevel="0" collapsed="false">
      <c r="A59" s="27" t="s">
        <v>967</v>
      </c>
      <c r="B59" s="27" t="s">
        <v>448</v>
      </c>
      <c r="C59" s="27" t="s">
        <v>5367</v>
      </c>
      <c r="D59" s="27" t="s">
        <v>5368</v>
      </c>
      <c r="E59" s="27"/>
      <c r="F59" s="27" t="s">
        <v>5369</v>
      </c>
      <c r="G59" s="27"/>
      <c r="H59" s="28" t="s">
        <v>968</v>
      </c>
      <c r="I59" s="27"/>
    </row>
    <row r="60" customFormat="false" ht="15" hidden="false" customHeight="true" outlineLevel="0" collapsed="false">
      <c r="A60" s="27" t="s">
        <v>972</v>
      </c>
      <c r="B60" s="27" t="s">
        <v>448</v>
      </c>
      <c r="C60" s="27" t="s">
        <v>5367</v>
      </c>
      <c r="D60" s="27" t="s">
        <v>5368</v>
      </c>
      <c r="E60" s="27"/>
      <c r="F60" s="27" t="s">
        <v>5369</v>
      </c>
      <c r="G60" s="27"/>
      <c r="H60" s="28" t="s">
        <v>973</v>
      </c>
      <c r="I60" s="27"/>
    </row>
    <row r="61" customFormat="false" ht="15" hidden="false" customHeight="true" outlineLevel="0" collapsed="false">
      <c r="A61" s="27" t="s">
        <v>974</v>
      </c>
      <c r="B61" s="27" t="s">
        <v>448</v>
      </c>
      <c r="C61" s="27" t="s">
        <v>5367</v>
      </c>
      <c r="D61" s="27" t="s">
        <v>5368</v>
      </c>
      <c r="E61" s="27"/>
      <c r="F61" s="27" t="s">
        <v>5369</v>
      </c>
      <c r="G61" s="27"/>
      <c r="H61" s="28" t="s">
        <v>975</v>
      </c>
      <c r="I61" s="27"/>
    </row>
    <row r="62" customFormat="false" ht="15" hidden="false" customHeight="true" outlineLevel="0" collapsed="false">
      <c r="A62" s="27" t="s">
        <v>976</v>
      </c>
      <c r="B62" s="27" t="s">
        <v>448</v>
      </c>
      <c r="C62" s="27" t="s">
        <v>5367</v>
      </c>
      <c r="D62" s="27" t="s">
        <v>5368</v>
      </c>
      <c r="E62" s="27"/>
      <c r="F62" s="27" t="s">
        <v>5369</v>
      </c>
      <c r="G62" s="27"/>
      <c r="H62" s="27" t="s">
        <v>5411</v>
      </c>
      <c r="I62" s="27"/>
    </row>
    <row r="63" customFormat="false" ht="15" hidden="false" customHeight="true" outlineLevel="0" collapsed="false">
      <c r="A63" s="27" t="s">
        <v>979</v>
      </c>
      <c r="B63" s="27" t="s">
        <v>448</v>
      </c>
      <c r="C63" s="27" t="s">
        <v>5367</v>
      </c>
      <c r="D63" s="27" t="s">
        <v>5368</v>
      </c>
      <c r="E63" s="27"/>
      <c r="F63" s="27" t="s">
        <v>5369</v>
      </c>
      <c r="G63" s="27"/>
      <c r="H63" s="28" t="s">
        <v>980</v>
      </c>
      <c r="I63" s="27"/>
    </row>
    <row r="64" customFormat="false" ht="15" hidden="false" customHeight="true" outlineLevel="0" collapsed="false">
      <c r="A64" s="27" t="s">
        <v>983</v>
      </c>
      <c r="B64" s="27" t="s">
        <v>448</v>
      </c>
      <c r="C64" s="27" t="s">
        <v>5367</v>
      </c>
      <c r="D64" s="27" t="s">
        <v>5368</v>
      </c>
      <c r="E64" s="27"/>
      <c r="F64" s="27" t="s">
        <v>5369</v>
      </c>
      <c r="G64" s="27"/>
      <c r="H64" s="28" t="s">
        <v>5412</v>
      </c>
      <c r="I64" s="27"/>
    </row>
    <row r="65" customFormat="false" ht="15" hidden="false" customHeight="true" outlineLevel="0" collapsed="false">
      <c r="A65" s="27" t="s">
        <v>985</v>
      </c>
      <c r="B65" s="27" t="s">
        <v>448</v>
      </c>
      <c r="C65" s="27" t="s">
        <v>5367</v>
      </c>
      <c r="D65" s="27" t="s">
        <v>5368</v>
      </c>
      <c r="E65" s="27"/>
      <c r="F65" s="27" t="s">
        <v>5369</v>
      </c>
      <c r="G65" s="27"/>
      <c r="H65" s="28" t="s">
        <v>986</v>
      </c>
      <c r="I65" s="27"/>
    </row>
    <row r="66" customFormat="false" ht="15" hidden="false" customHeight="true" outlineLevel="0" collapsed="false">
      <c r="A66" s="27" t="s">
        <v>987</v>
      </c>
      <c r="B66" s="27" t="s">
        <v>448</v>
      </c>
      <c r="C66" s="27" t="s">
        <v>5367</v>
      </c>
      <c r="D66" s="27" t="s">
        <v>5368</v>
      </c>
      <c r="E66" s="27"/>
      <c r="F66" s="27" t="s">
        <v>5375</v>
      </c>
      <c r="G66" s="27"/>
      <c r="H66" s="28" t="s">
        <v>988</v>
      </c>
      <c r="I66" s="27"/>
    </row>
    <row r="67" customFormat="false" ht="15" hidden="false" customHeight="true" outlineLevel="0" collapsed="false">
      <c r="A67" s="27" t="s">
        <v>989</v>
      </c>
      <c r="B67" s="27" t="s">
        <v>448</v>
      </c>
      <c r="C67" s="27" t="s">
        <v>5367</v>
      </c>
      <c r="D67" s="27" t="s">
        <v>5368</v>
      </c>
      <c r="E67" s="27"/>
      <c r="F67" s="27" t="s">
        <v>5369</v>
      </c>
      <c r="G67" s="27"/>
      <c r="H67" s="28" t="s">
        <v>990</v>
      </c>
      <c r="I67" s="27"/>
    </row>
    <row r="68" customFormat="false" ht="15" hidden="false" customHeight="true" outlineLevel="0" collapsed="false">
      <c r="A68" s="27" t="s">
        <v>992</v>
      </c>
      <c r="B68" s="27" t="s">
        <v>448</v>
      </c>
      <c r="C68" s="27" t="s">
        <v>5367</v>
      </c>
      <c r="D68" s="27" t="s">
        <v>5368</v>
      </c>
      <c r="E68" s="27"/>
      <c r="F68" s="27" t="s">
        <v>5375</v>
      </c>
      <c r="G68" s="27"/>
      <c r="H68" s="28" t="s">
        <v>993</v>
      </c>
      <c r="I68" s="27"/>
    </row>
    <row r="69" customFormat="false" ht="15" hidden="false" customHeight="true" outlineLevel="0" collapsed="false">
      <c r="A69" s="27" t="s">
        <v>994</v>
      </c>
      <c r="B69" s="27" t="s">
        <v>448</v>
      </c>
      <c r="C69" s="27" t="s">
        <v>5367</v>
      </c>
      <c r="D69" s="27" t="s">
        <v>5368</v>
      </c>
      <c r="E69" s="27"/>
      <c r="F69" s="27" t="s">
        <v>5369</v>
      </c>
      <c r="G69" s="27"/>
      <c r="H69" s="28" t="s">
        <v>995</v>
      </c>
      <c r="I69" s="27"/>
    </row>
    <row r="70" customFormat="false" ht="15" hidden="false" customHeight="true" outlineLevel="0" collapsed="false">
      <c r="A70" s="27" t="s">
        <v>999</v>
      </c>
      <c r="B70" s="27" t="s">
        <v>448</v>
      </c>
      <c r="C70" s="27" t="s">
        <v>5367</v>
      </c>
      <c r="D70" s="27" t="s">
        <v>5368</v>
      </c>
      <c r="E70" s="27"/>
      <c r="F70" s="27" t="s">
        <v>5369</v>
      </c>
      <c r="G70" s="27"/>
      <c r="H70" s="27" t="s">
        <v>5413</v>
      </c>
      <c r="I70" s="27"/>
    </row>
    <row r="71" customFormat="false" ht="15" hidden="false" customHeight="true" outlineLevel="0" collapsed="false">
      <c r="A71" s="27" t="s">
        <v>1003</v>
      </c>
      <c r="B71" s="27" t="s">
        <v>448</v>
      </c>
      <c r="C71" s="27" t="s">
        <v>5367</v>
      </c>
      <c r="D71" s="27" t="s">
        <v>5368</v>
      </c>
      <c r="E71" s="27"/>
      <c r="F71" s="27" t="s">
        <v>5375</v>
      </c>
      <c r="G71" s="27"/>
      <c r="H71" s="28" t="s">
        <v>5414</v>
      </c>
      <c r="I71" s="27"/>
    </row>
    <row r="72" customFormat="false" ht="15" hidden="false" customHeight="true" outlineLevel="0" collapsed="false">
      <c r="A72" s="27" t="s">
        <v>1007</v>
      </c>
      <c r="B72" s="27" t="s">
        <v>448</v>
      </c>
      <c r="C72" s="27" t="s">
        <v>5367</v>
      </c>
      <c r="D72" s="27" t="s">
        <v>5368</v>
      </c>
      <c r="E72" s="27"/>
      <c r="F72" s="27" t="s">
        <v>5369</v>
      </c>
      <c r="G72" s="27"/>
      <c r="H72" s="27" t="s">
        <v>5415</v>
      </c>
      <c r="I72" s="27"/>
    </row>
    <row r="73" customFormat="false" ht="15" hidden="false" customHeight="true" outlineLevel="0" collapsed="false">
      <c r="A73" s="27" t="s">
        <v>1016</v>
      </c>
      <c r="B73" s="27" t="s">
        <v>458</v>
      </c>
      <c r="C73" s="27" t="s">
        <v>5407</v>
      </c>
      <c r="D73" s="27" t="s">
        <v>5408</v>
      </c>
      <c r="E73" s="27"/>
      <c r="F73" s="27" t="s">
        <v>5416</v>
      </c>
      <c r="G73" s="27"/>
      <c r="H73" s="28" t="s">
        <v>1017</v>
      </c>
      <c r="I73" s="27"/>
    </row>
    <row r="74" customFormat="false" ht="15" hidden="false" customHeight="true" outlineLevel="0" collapsed="false">
      <c r="A74" s="27" t="s">
        <v>1016</v>
      </c>
      <c r="B74" s="27" t="s">
        <v>458</v>
      </c>
      <c r="C74" s="27" t="s">
        <v>5367</v>
      </c>
      <c r="D74" s="27" t="s">
        <v>5368</v>
      </c>
      <c r="E74" s="27"/>
      <c r="F74" s="27" t="s">
        <v>5369</v>
      </c>
      <c r="G74" s="27"/>
      <c r="H74" s="28" t="s">
        <v>1017</v>
      </c>
      <c r="I74" s="27"/>
    </row>
    <row r="75" customFormat="false" ht="15" hidden="false" customHeight="true" outlineLevel="0" collapsed="false">
      <c r="A75" s="27" t="s">
        <v>1019</v>
      </c>
      <c r="B75" s="27" t="s">
        <v>458</v>
      </c>
      <c r="C75" s="27" t="s">
        <v>5367</v>
      </c>
      <c r="D75" s="27" t="s">
        <v>5368</v>
      </c>
      <c r="E75" s="27"/>
      <c r="F75" s="27" t="s">
        <v>5369</v>
      </c>
      <c r="G75" s="27"/>
      <c r="H75" s="28" t="s">
        <v>1020</v>
      </c>
      <c r="I75" s="27"/>
    </row>
    <row r="76" customFormat="false" ht="15" hidden="false" customHeight="true" outlineLevel="0" collapsed="false">
      <c r="A76" s="27" t="s">
        <v>1022</v>
      </c>
      <c r="B76" s="27" t="s">
        <v>458</v>
      </c>
      <c r="C76" s="27" t="s">
        <v>5399</v>
      </c>
      <c r="D76" s="27" t="s">
        <v>5400</v>
      </c>
      <c r="E76" s="27"/>
      <c r="F76" s="27" t="s">
        <v>5417</v>
      </c>
      <c r="G76" s="27"/>
      <c r="H76" s="28" t="s">
        <v>1023</v>
      </c>
      <c r="I76" s="27"/>
    </row>
    <row r="77" customFormat="false" ht="15" hidden="false" customHeight="true" outlineLevel="0" collapsed="false">
      <c r="A77" s="27" t="s">
        <v>1025</v>
      </c>
      <c r="B77" s="27" t="s">
        <v>458</v>
      </c>
      <c r="C77" s="27" t="s">
        <v>5399</v>
      </c>
      <c r="D77" s="27" t="s">
        <v>5400</v>
      </c>
      <c r="E77" s="27"/>
      <c r="F77" s="27" t="s">
        <v>5418</v>
      </c>
      <c r="G77" s="27"/>
      <c r="H77" s="28" t="s">
        <v>1026</v>
      </c>
      <c r="I77" s="27"/>
    </row>
    <row r="78" customFormat="false" ht="15" hidden="false" customHeight="true" outlineLevel="0" collapsed="false">
      <c r="A78" s="27" t="s">
        <v>1028</v>
      </c>
      <c r="B78" s="27" t="s">
        <v>458</v>
      </c>
      <c r="C78" s="27" t="s">
        <v>5399</v>
      </c>
      <c r="D78" s="27" t="s">
        <v>5400</v>
      </c>
      <c r="E78" s="27"/>
      <c r="F78" s="27" t="s">
        <v>5419</v>
      </c>
      <c r="G78" s="27"/>
      <c r="H78" s="28" t="s">
        <v>1029</v>
      </c>
      <c r="I78" s="27"/>
    </row>
    <row r="79" customFormat="false" ht="15" hidden="false" customHeight="true" outlineLevel="0" collapsed="false">
      <c r="A79" s="27" t="s">
        <v>1031</v>
      </c>
      <c r="B79" s="27" t="s">
        <v>458</v>
      </c>
      <c r="C79" s="27" t="s">
        <v>5399</v>
      </c>
      <c r="D79" s="27" t="s">
        <v>5400</v>
      </c>
      <c r="E79" s="27"/>
      <c r="F79" s="27" t="s">
        <v>5417</v>
      </c>
      <c r="G79" s="27"/>
      <c r="H79" s="28" t="s">
        <v>1032</v>
      </c>
      <c r="I79" s="27"/>
    </row>
    <row r="80" customFormat="false" ht="15" hidden="false" customHeight="true" outlineLevel="0" collapsed="false">
      <c r="A80" s="27" t="s">
        <v>1034</v>
      </c>
      <c r="B80" s="27" t="s">
        <v>458</v>
      </c>
      <c r="C80" s="27" t="s">
        <v>5399</v>
      </c>
      <c r="D80" s="27" t="s">
        <v>5400</v>
      </c>
      <c r="E80" s="27"/>
      <c r="F80" s="27" t="s">
        <v>5419</v>
      </c>
      <c r="G80" s="27"/>
      <c r="H80" s="28" t="s">
        <v>1035</v>
      </c>
      <c r="I80" s="27"/>
    </row>
    <row r="81" customFormat="false" ht="15" hidden="false" customHeight="true" outlineLevel="0" collapsed="false">
      <c r="A81" s="27" t="s">
        <v>1037</v>
      </c>
      <c r="B81" s="27" t="s">
        <v>458</v>
      </c>
      <c r="C81" s="27" t="s">
        <v>5367</v>
      </c>
      <c r="D81" s="27" t="s">
        <v>5420</v>
      </c>
      <c r="E81" s="27"/>
      <c r="F81" s="27" t="s">
        <v>5375</v>
      </c>
      <c r="G81" s="27"/>
      <c r="H81" s="28" t="s">
        <v>1038</v>
      </c>
      <c r="I81" s="28" t="s">
        <v>5421</v>
      </c>
    </row>
    <row r="82" customFormat="false" ht="15" hidden="false" customHeight="true" outlineLevel="0" collapsed="false">
      <c r="A82" s="27" t="s">
        <v>1039</v>
      </c>
      <c r="B82" s="27" t="s">
        <v>458</v>
      </c>
      <c r="C82" s="27" t="s">
        <v>5407</v>
      </c>
      <c r="D82" s="27" t="s">
        <v>5408</v>
      </c>
      <c r="E82" s="27"/>
      <c r="F82" s="27" t="s">
        <v>5419</v>
      </c>
      <c r="G82" s="27"/>
      <c r="H82" s="27" t="s">
        <v>1040</v>
      </c>
      <c r="I82" s="27"/>
    </row>
    <row r="83" customFormat="false" ht="15" hidden="false" customHeight="true" outlineLevel="0" collapsed="false">
      <c r="A83" s="27" t="s">
        <v>1042</v>
      </c>
      <c r="B83" s="27" t="s">
        <v>458</v>
      </c>
      <c r="C83" s="27" t="s">
        <v>5399</v>
      </c>
      <c r="D83" s="27" t="s">
        <v>5400</v>
      </c>
      <c r="E83" s="27"/>
      <c r="F83" s="27" t="s">
        <v>5417</v>
      </c>
      <c r="G83" s="27"/>
      <c r="H83" s="28" t="s">
        <v>1043</v>
      </c>
      <c r="I83" s="27"/>
    </row>
    <row r="84" customFormat="false" ht="15" hidden="false" customHeight="true" outlineLevel="0" collapsed="false">
      <c r="A84" s="27" t="s">
        <v>1045</v>
      </c>
      <c r="B84" s="27" t="s">
        <v>458</v>
      </c>
      <c r="C84" s="27" t="s">
        <v>5399</v>
      </c>
      <c r="D84" s="27" t="s">
        <v>5400</v>
      </c>
      <c r="E84" s="27"/>
      <c r="F84" s="27" t="s">
        <v>5417</v>
      </c>
      <c r="G84" s="27"/>
      <c r="H84" s="28" t="s">
        <v>1046</v>
      </c>
      <c r="I84" s="27"/>
    </row>
    <row r="85" customFormat="false" ht="15" hidden="false" customHeight="true" outlineLevel="0" collapsed="false">
      <c r="A85" s="27" t="s">
        <v>1048</v>
      </c>
      <c r="B85" s="27" t="s">
        <v>458</v>
      </c>
      <c r="C85" s="27" t="s">
        <v>5407</v>
      </c>
      <c r="D85" s="27" t="s">
        <v>5408</v>
      </c>
      <c r="E85" s="27"/>
      <c r="F85" s="27" t="s">
        <v>5417</v>
      </c>
      <c r="G85" s="27"/>
      <c r="H85" s="28" t="s">
        <v>1049</v>
      </c>
      <c r="I85" s="27"/>
    </row>
    <row r="86" customFormat="false" ht="15" hidden="false" customHeight="true" outlineLevel="0" collapsed="false">
      <c r="A86" s="27" t="s">
        <v>1048</v>
      </c>
      <c r="B86" s="27" t="s">
        <v>458</v>
      </c>
      <c r="C86" s="27" t="s">
        <v>5367</v>
      </c>
      <c r="D86" s="27" t="s">
        <v>5368</v>
      </c>
      <c r="E86" s="27"/>
      <c r="F86" s="27" t="s">
        <v>5369</v>
      </c>
      <c r="G86" s="27"/>
      <c r="H86" s="28" t="s">
        <v>1049</v>
      </c>
      <c r="I86" s="27"/>
    </row>
    <row r="87" customFormat="false" ht="15" hidden="false" customHeight="true" outlineLevel="0" collapsed="false">
      <c r="A87" s="27" t="s">
        <v>1051</v>
      </c>
      <c r="B87" s="27" t="s">
        <v>458</v>
      </c>
      <c r="C87" s="27" t="s">
        <v>5407</v>
      </c>
      <c r="D87" s="27" t="s">
        <v>5422</v>
      </c>
      <c r="E87" s="27"/>
      <c r="F87" s="27"/>
      <c r="G87" s="27"/>
      <c r="H87" s="28" t="s">
        <v>1052</v>
      </c>
      <c r="I87" s="28" t="s">
        <v>5423</v>
      </c>
    </row>
    <row r="88" customFormat="false" ht="15" hidden="false" customHeight="true" outlineLevel="0" collapsed="false">
      <c r="A88" s="27" t="s">
        <v>1057</v>
      </c>
      <c r="B88" s="27" t="s">
        <v>458</v>
      </c>
      <c r="C88" s="27" t="s">
        <v>5407</v>
      </c>
      <c r="D88" s="27" t="s">
        <v>5422</v>
      </c>
      <c r="E88" s="27"/>
      <c r="F88" s="27"/>
      <c r="G88" s="27"/>
      <c r="H88" s="28" t="s">
        <v>1058</v>
      </c>
      <c r="I88" s="28" t="s">
        <v>5423</v>
      </c>
    </row>
    <row r="89" customFormat="false" ht="15" hidden="false" customHeight="true" outlineLevel="0" collapsed="false">
      <c r="A89" s="27" t="s">
        <v>1057</v>
      </c>
      <c r="B89" s="27" t="s">
        <v>458</v>
      </c>
      <c r="C89" s="27" t="s">
        <v>5367</v>
      </c>
      <c r="D89" s="27" t="s">
        <v>5420</v>
      </c>
      <c r="E89" s="27"/>
      <c r="F89" s="27" t="s">
        <v>5375</v>
      </c>
      <c r="G89" s="27"/>
      <c r="H89" s="28" t="s">
        <v>1058</v>
      </c>
      <c r="I89" s="28" t="s">
        <v>5421</v>
      </c>
    </row>
    <row r="90" customFormat="false" ht="15" hidden="false" customHeight="true" outlineLevel="0" collapsed="false">
      <c r="A90" s="27" t="s">
        <v>1060</v>
      </c>
      <c r="B90" s="27" t="s">
        <v>458</v>
      </c>
      <c r="C90" s="27" t="s">
        <v>5399</v>
      </c>
      <c r="D90" s="27" t="s">
        <v>5400</v>
      </c>
      <c r="E90" s="27"/>
      <c r="F90" s="27" t="s">
        <v>5417</v>
      </c>
      <c r="G90" s="27"/>
      <c r="H90" s="28" t="s">
        <v>1061</v>
      </c>
      <c r="I90" s="27"/>
    </row>
    <row r="91" customFormat="false" ht="15" hidden="false" customHeight="true" outlineLevel="0" collapsed="false">
      <c r="A91" s="27" t="s">
        <v>1063</v>
      </c>
      <c r="B91" s="27" t="s">
        <v>458</v>
      </c>
      <c r="C91" s="27" t="s">
        <v>5367</v>
      </c>
      <c r="D91" s="27" t="s">
        <v>5420</v>
      </c>
      <c r="E91" s="27"/>
      <c r="F91" s="27" t="s">
        <v>5375</v>
      </c>
      <c r="G91" s="27"/>
      <c r="H91" s="28" t="s">
        <v>1064</v>
      </c>
      <c r="I91" s="28" t="s">
        <v>5421</v>
      </c>
    </row>
    <row r="92" customFormat="false" ht="15" hidden="false" customHeight="true" outlineLevel="0" collapsed="false">
      <c r="A92" s="27" t="s">
        <v>1066</v>
      </c>
      <c r="B92" s="27" t="s">
        <v>458</v>
      </c>
      <c r="C92" s="27" t="s">
        <v>5399</v>
      </c>
      <c r="D92" s="27" t="s">
        <v>5400</v>
      </c>
      <c r="E92" s="27"/>
      <c r="F92" s="27" t="s">
        <v>5417</v>
      </c>
      <c r="G92" s="27"/>
      <c r="H92" s="28" t="s">
        <v>1067</v>
      </c>
      <c r="I92" s="27"/>
    </row>
    <row r="93" customFormat="false" ht="15" hidden="false" customHeight="true" outlineLevel="0" collapsed="false">
      <c r="A93" s="27" t="s">
        <v>1069</v>
      </c>
      <c r="B93" s="27" t="s">
        <v>458</v>
      </c>
      <c r="C93" s="27" t="s">
        <v>5399</v>
      </c>
      <c r="D93" s="27" t="s">
        <v>5400</v>
      </c>
      <c r="E93" s="27"/>
      <c r="F93" s="27" t="s">
        <v>5418</v>
      </c>
      <c r="G93" s="27"/>
      <c r="H93" s="27" t="s">
        <v>1070</v>
      </c>
      <c r="I93" s="27"/>
    </row>
    <row r="94" customFormat="false" ht="15" hidden="false" customHeight="true" outlineLevel="0" collapsed="false">
      <c r="A94" s="27" t="s">
        <v>1072</v>
      </c>
      <c r="B94" s="27" t="s">
        <v>458</v>
      </c>
      <c r="C94" s="27" t="s">
        <v>5407</v>
      </c>
      <c r="D94" s="27" t="s">
        <v>5408</v>
      </c>
      <c r="E94" s="27"/>
      <c r="F94" s="27" t="s">
        <v>5417</v>
      </c>
      <c r="G94" s="27"/>
      <c r="H94" s="27" t="s">
        <v>1073</v>
      </c>
      <c r="I94" s="27"/>
    </row>
    <row r="95" customFormat="false" ht="15" hidden="false" customHeight="true" outlineLevel="0" collapsed="false">
      <c r="A95" s="27" t="s">
        <v>1072</v>
      </c>
      <c r="B95" s="27" t="s">
        <v>458</v>
      </c>
      <c r="C95" s="27" t="s">
        <v>5399</v>
      </c>
      <c r="D95" s="27" t="s">
        <v>5400</v>
      </c>
      <c r="E95" s="27"/>
      <c r="F95" s="27" t="s">
        <v>5418</v>
      </c>
      <c r="G95" s="27"/>
      <c r="H95" s="27" t="s">
        <v>1073</v>
      </c>
      <c r="I95" s="27"/>
    </row>
    <row r="96" customFormat="false" ht="15" hidden="false" customHeight="true" outlineLevel="0" collapsed="false">
      <c r="A96" s="27" t="s">
        <v>1075</v>
      </c>
      <c r="B96" s="27" t="s">
        <v>458</v>
      </c>
      <c r="C96" s="27" t="s">
        <v>5367</v>
      </c>
      <c r="D96" s="27" t="s">
        <v>5420</v>
      </c>
      <c r="E96" s="27"/>
      <c r="F96" s="27" t="s">
        <v>5375</v>
      </c>
      <c r="G96" s="27"/>
      <c r="H96" s="28" t="s">
        <v>1076</v>
      </c>
      <c r="I96" s="28" t="s">
        <v>5421</v>
      </c>
    </row>
    <row r="97" customFormat="false" ht="15" hidden="false" customHeight="true" outlineLevel="0" collapsed="false">
      <c r="A97" s="27" t="s">
        <v>1078</v>
      </c>
      <c r="B97" s="27" t="s">
        <v>458</v>
      </c>
      <c r="C97" s="27" t="s">
        <v>5367</v>
      </c>
      <c r="D97" s="27" t="s">
        <v>5420</v>
      </c>
      <c r="E97" s="27"/>
      <c r="F97" s="27" t="s">
        <v>5375</v>
      </c>
      <c r="G97" s="27"/>
      <c r="H97" s="28" t="s">
        <v>1079</v>
      </c>
      <c r="I97" s="28" t="s">
        <v>5421</v>
      </c>
    </row>
    <row r="98" customFormat="false" ht="15" hidden="false" customHeight="true" outlineLevel="0" collapsed="false">
      <c r="A98" s="27" t="s">
        <v>1081</v>
      </c>
      <c r="B98" s="27" t="s">
        <v>458</v>
      </c>
      <c r="C98" s="27" t="s">
        <v>5399</v>
      </c>
      <c r="D98" s="27" t="s">
        <v>5400</v>
      </c>
      <c r="E98" s="27"/>
      <c r="F98" s="27" t="s">
        <v>5419</v>
      </c>
      <c r="G98" s="27"/>
      <c r="H98" s="28" t="s">
        <v>1082</v>
      </c>
      <c r="I98" s="27"/>
    </row>
    <row r="99" customFormat="false" ht="15" hidden="false" customHeight="true" outlineLevel="0" collapsed="false">
      <c r="A99" s="27" t="s">
        <v>1084</v>
      </c>
      <c r="B99" s="27" t="s">
        <v>458</v>
      </c>
      <c r="C99" s="27" t="s">
        <v>5367</v>
      </c>
      <c r="D99" s="27" t="s">
        <v>5368</v>
      </c>
      <c r="E99" s="27"/>
      <c r="F99" s="27" t="s">
        <v>5369</v>
      </c>
      <c r="G99" s="27"/>
      <c r="H99" s="28" t="s">
        <v>1085</v>
      </c>
      <c r="I99" s="27"/>
    </row>
    <row r="100" customFormat="false" ht="15" hidden="false" customHeight="true" outlineLevel="0" collapsed="false">
      <c r="A100" s="27" t="s">
        <v>1087</v>
      </c>
      <c r="B100" s="27" t="s">
        <v>458</v>
      </c>
      <c r="C100" s="27" t="s">
        <v>5367</v>
      </c>
      <c r="D100" s="27" t="s">
        <v>5368</v>
      </c>
      <c r="E100" s="27"/>
      <c r="F100" s="27" t="s">
        <v>5369</v>
      </c>
      <c r="G100" s="27"/>
      <c r="H100" s="28" t="s">
        <v>1088</v>
      </c>
      <c r="I100" s="27"/>
    </row>
    <row r="101" customFormat="false" ht="15" hidden="false" customHeight="true" outlineLevel="0" collapsed="false">
      <c r="A101" s="27" t="s">
        <v>1089</v>
      </c>
      <c r="B101" s="27" t="s">
        <v>458</v>
      </c>
      <c r="C101" s="27" t="s">
        <v>5367</v>
      </c>
      <c r="D101" s="27" t="s">
        <v>5368</v>
      </c>
      <c r="E101" s="27"/>
      <c r="F101" s="27" t="s">
        <v>5369</v>
      </c>
      <c r="G101" s="27"/>
      <c r="H101" s="28" t="s">
        <v>5424</v>
      </c>
      <c r="I101" s="27"/>
    </row>
    <row r="102" customFormat="false" ht="15" hidden="false" customHeight="true" outlineLevel="0" collapsed="false">
      <c r="A102" s="27" t="s">
        <v>1092</v>
      </c>
      <c r="B102" s="27" t="s">
        <v>458</v>
      </c>
      <c r="C102" s="27" t="s">
        <v>5407</v>
      </c>
      <c r="D102" s="27" t="s">
        <v>5408</v>
      </c>
      <c r="E102" s="27"/>
      <c r="F102" s="27" t="s">
        <v>5425</v>
      </c>
      <c r="G102" s="27"/>
      <c r="H102" s="28" t="s">
        <v>1093</v>
      </c>
      <c r="I102" s="27"/>
    </row>
    <row r="103" customFormat="false" ht="15" hidden="false" customHeight="true" outlineLevel="0" collapsed="false">
      <c r="A103" s="27" t="s">
        <v>1092</v>
      </c>
      <c r="B103" s="27" t="s">
        <v>458</v>
      </c>
      <c r="C103" s="27" t="s">
        <v>5367</v>
      </c>
      <c r="D103" s="27" t="s">
        <v>5368</v>
      </c>
      <c r="E103" s="27"/>
      <c r="F103" s="27" t="s">
        <v>5369</v>
      </c>
      <c r="G103" s="27"/>
      <c r="H103" s="28" t="s">
        <v>1093</v>
      </c>
      <c r="I103" s="27"/>
    </row>
    <row r="104" customFormat="false" ht="15" hidden="false" customHeight="true" outlineLevel="0" collapsed="false">
      <c r="A104" s="27" t="s">
        <v>1095</v>
      </c>
      <c r="B104" s="27" t="s">
        <v>458</v>
      </c>
      <c r="C104" s="27" t="s">
        <v>5399</v>
      </c>
      <c r="D104" s="27" t="s">
        <v>5400</v>
      </c>
      <c r="E104" s="27"/>
      <c r="F104" s="27" t="s">
        <v>5419</v>
      </c>
      <c r="G104" s="27"/>
      <c r="H104" s="28" t="s">
        <v>1096</v>
      </c>
      <c r="I104" s="27"/>
    </row>
    <row r="105" customFormat="false" ht="15" hidden="false" customHeight="true" outlineLevel="0" collapsed="false">
      <c r="A105" s="27" t="s">
        <v>1098</v>
      </c>
      <c r="B105" s="27" t="s">
        <v>458</v>
      </c>
      <c r="C105" s="27" t="s">
        <v>5399</v>
      </c>
      <c r="D105" s="27" t="s">
        <v>5400</v>
      </c>
      <c r="E105" s="27"/>
      <c r="F105" s="27" t="s">
        <v>5418</v>
      </c>
      <c r="G105" s="27"/>
      <c r="H105" s="28" t="s">
        <v>1099</v>
      </c>
      <c r="I105" s="27"/>
    </row>
    <row r="106" customFormat="false" ht="15" hidden="false" customHeight="true" outlineLevel="0" collapsed="false">
      <c r="A106" s="27" t="s">
        <v>1104</v>
      </c>
      <c r="B106" s="27" t="s">
        <v>458</v>
      </c>
      <c r="C106" s="27" t="s">
        <v>5367</v>
      </c>
      <c r="D106" s="27" t="s">
        <v>5420</v>
      </c>
      <c r="E106" s="27"/>
      <c r="F106" s="27" t="s">
        <v>5375</v>
      </c>
      <c r="G106" s="27"/>
      <c r="H106" s="28" t="s">
        <v>1105</v>
      </c>
      <c r="I106" s="28" t="s">
        <v>5421</v>
      </c>
    </row>
    <row r="107" customFormat="false" ht="15" hidden="false" customHeight="true" outlineLevel="0" collapsed="false">
      <c r="A107" s="27" t="s">
        <v>1107</v>
      </c>
      <c r="B107" s="27" t="s">
        <v>458</v>
      </c>
      <c r="C107" s="27" t="s">
        <v>5399</v>
      </c>
      <c r="D107" s="27" t="s">
        <v>5400</v>
      </c>
      <c r="E107" s="27"/>
      <c r="F107" s="27" t="s">
        <v>5418</v>
      </c>
      <c r="G107" s="27"/>
      <c r="H107" s="28" t="s">
        <v>1108</v>
      </c>
      <c r="I107" s="27"/>
    </row>
    <row r="108" customFormat="false" ht="15" hidden="false" customHeight="true" outlineLevel="0" collapsed="false">
      <c r="A108" s="27" t="s">
        <v>1110</v>
      </c>
      <c r="B108" s="27" t="s">
        <v>458</v>
      </c>
      <c r="C108" s="27" t="s">
        <v>5367</v>
      </c>
      <c r="D108" s="27" t="s">
        <v>5420</v>
      </c>
      <c r="E108" s="27"/>
      <c r="F108" s="27" t="s">
        <v>5375</v>
      </c>
      <c r="G108" s="27"/>
      <c r="H108" s="28" t="s">
        <v>1111</v>
      </c>
      <c r="I108" s="28" t="s">
        <v>5421</v>
      </c>
    </row>
    <row r="109" customFormat="false" ht="15" hidden="false" customHeight="true" outlineLevel="0" collapsed="false">
      <c r="A109" s="27" t="s">
        <v>1113</v>
      </c>
      <c r="B109" s="27" t="s">
        <v>458</v>
      </c>
      <c r="C109" s="27" t="s">
        <v>5399</v>
      </c>
      <c r="D109" s="27" t="s">
        <v>5400</v>
      </c>
      <c r="E109" s="27"/>
      <c r="F109" s="27" t="s">
        <v>5418</v>
      </c>
      <c r="G109" s="27"/>
      <c r="H109" s="28" t="s">
        <v>1114</v>
      </c>
      <c r="I109" s="27"/>
    </row>
    <row r="110" customFormat="false" ht="15" hidden="false" customHeight="true" outlineLevel="0" collapsed="false">
      <c r="A110" s="27" t="s">
        <v>1116</v>
      </c>
      <c r="B110" s="27" t="s">
        <v>458</v>
      </c>
      <c r="C110" s="27" t="s">
        <v>5407</v>
      </c>
      <c r="D110" s="27" t="s">
        <v>5426</v>
      </c>
      <c r="E110" s="27"/>
      <c r="F110" s="27"/>
      <c r="G110" s="27"/>
      <c r="H110" s="28" t="s">
        <v>1117</v>
      </c>
      <c r="I110" s="28" t="s">
        <v>5423</v>
      </c>
    </row>
    <row r="111" customFormat="false" ht="15" hidden="false" customHeight="true" outlineLevel="0" collapsed="false">
      <c r="A111" s="27" t="s">
        <v>1116</v>
      </c>
      <c r="B111" s="27" t="s">
        <v>458</v>
      </c>
      <c r="C111" s="27" t="s">
        <v>5367</v>
      </c>
      <c r="D111" s="27" t="s">
        <v>5368</v>
      </c>
      <c r="E111" s="27"/>
      <c r="F111" s="27" t="s">
        <v>5369</v>
      </c>
      <c r="G111" s="27"/>
      <c r="H111" s="28" t="s">
        <v>1117</v>
      </c>
      <c r="I111" s="27"/>
    </row>
    <row r="112" customFormat="false" ht="15" hidden="false" customHeight="true" outlineLevel="0" collapsed="false">
      <c r="A112" s="27" t="s">
        <v>1119</v>
      </c>
      <c r="B112" s="27" t="s">
        <v>458</v>
      </c>
      <c r="C112" s="27" t="s">
        <v>5367</v>
      </c>
      <c r="D112" s="27" t="s">
        <v>5368</v>
      </c>
      <c r="E112" s="27"/>
      <c r="F112" s="27" t="s">
        <v>5369</v>
      </c>
      <c r="G112" s="27"/>
      <c r="H112" s="28" t="s">
        <v>1120</v>
      </c>
      <c r="I112" s="27"/>
    </row>
    <row r="113" customFormat="false" ht="15" hidden="false" customHeight="true" outlineLevel="0" collapsed="false">
      <c r="A113" s="27" t="s">
        <v>1127</v>
      </c>
      <c r="B113" s="27" t="s">
        <v>458</v>
      </c>
      <c r="C113" s="27" t="s">
        <v>5399</v>
      </c>
      <c r="D113" s="27" t="s">
        <v>5400</v>
      </c>
      <c r="E113" s="27"/>
      <c r="F113" s="27" t="s">
        <v>5417</v>
      </c>
      <c r="G113" s="27"/>
      <c r="H113" s="28" t="s">
        <v>1128</v>
      </c>
      <c r="I113" s="27"/>
    </row>
    <row r="114" customFormat="false" ht="15" hidden="false" customHeight="true" outlineLevel="0" collapsed="false">
      <c r="A114" s="27" t="s">
        <v>1130</v>
      </c>
      <c r="B114" s="27" t="s">
        <v>458</v>
      </c>
      <c r="C114" s="27" t="s">
        <v>5407</v>
      </c>
      <c r="D114" s="27" t="s">
        <v>5408</v>
      </c>
      <c r="E114" s="27"/>
      <c r="F114" s="27" t="s">
        <v>5425</v>
      </c>
      <c r="G114" s="27"/>
      <c r="H114" s="28" t="s">
        <v>5427</v>
      </c>
      <c r="I114" s="27"/>
    </row>
    <row r="115" customFormat="false" ht="15" hidden="false" customHeight="true" outlineLevel="0" collapsed="false">
      <c r="A115" s="27" t="s">
        <v>1130</v>
      </c>
      <c r="B115" s="27" t="s">
        <v>458</v>
      </c>
      <c r="C115" s="27" t="s">
        <v>5399</v>
      </c>
      <c r="D115" s="27" t="s">
        <v>5400</v>
      </c>
      <c r="E115" s="27"/>
      <c r="F115" s="27" t="s">
        <v>5417</v>
      </c>
      <c r="G115" s="27"/>
      <c r="H115" s="28" t="s">
        <v>5427</v>
      </c>
      <c r="I115" s="27"/>
    </row>
    <row r="116" customFormat="false" ht="15" hidden="false" customHeight="true" outlineLevel="0" collapsed="false">
      <c r="A116" s="27" t="s">
        <v>1132</v>
      </c>
      <c r="B116" s="27" t="s">
        <v>458</v>
      </c>
      <c r="C116" s="27" t="s">
        <v>5399</v>
      </c>
      <c r="D116" s="27" t="s">
        <v>5400</v>
      </c>
      <c r="E116" s="27"/>
      <c r="F116" s="27" t="s">
        <v>5419</v>
      </c>
      <c r="G116" s="27"/>
      <c r="H116" s="28" t="s">
        <v>1133</v>
      </c>
      <c r="I116" s="27"/>
    </row>
    <row r="117" customFormat="false" ht="15" hidden="false" customHeight="true" outlineLevel="0" collapsed="false">
      <c r="A117" s="27" t="s">
        <v>1135</v>
      </c>
      <c r="B117" s="27" t="s">
        <v>458</v>
      </c>
      <c r="C117" s="27" t="s">
        <v>5399</v>
      </c>
      <c r="D117" s="27" t="s">
        <v>5400</v>
      </c>
      <c r="E117" s="27"/>
      <c r="F117" s="27" t="s">
        <v>5418</v>
      </c>
      <c r="G117" s="27"/>
      <c r="H117" s="28" t="s">
        <v>1136</v>
      </c>
      <c r="I117" s="27"/>
    </row>
    <row r="118" customFormat="false" ht="15" hidden="false" customHeight="true" outlineLevel="0" collapsed="false">
      <c r="A118" s="27" t="s">
        <v>1138</v>
      </c>
      <c r="B118" s="27" t="s">
        <v>458</v>
      </c>
      <c r="C118" s="27" t="s">
        <v>5407</v>
      </c>
      <c r="D118" s="27" t="s">
        <v>5422</v>
      </c>
      <c r="E118" s="27"/>
      <c r="F118" s="27"/>
      <c r="G118" s="27"/>
      <c r="H118" s="28" t="s">
        <v>1139</v>
      </c>
      <c r="I118" s="28" t="s">
        <v>5423</v>
      </c>
    </row>
    <row r="119" customFormat="false" ht="15" hidden="false" customHeight="true" outlineLevel="0" collapsed="false">
      <c r="A119" s="27" t="s">
        <v>1142</v>
      </c>
      <c r="B119" s="27" t="s">
        <v>458</v>
      </c>
      <c r="C119" s="27" t="s">
        <v>5407</v>
      </c>
      <c r="D119" s="27" t="s">
        <v>5408</v>
      </c>
      <c r="E119" s="27"/>
      <c r="F119" s="27" t="s">
        <v>5425</v>
      </c>
      <c r="G119" s="27"/>
      <c r="H119" s="28" t="s">
        <v>1143</v>
      </c>
      <c r="I119" s="27"/>
    </row>
    <row r="120" customFormat="false" ht="15" hidden="false" customHeight="true" outlineLevel="0" collapsed="false">
      <c r="A120" s="27" t="s">
        <v>1142</v>
      </c>
      <c r="B120" s="27" t="s">
        <v>458</v>
      </c>
      <c r="C120" s="27" t="s">
        <v>5367</v>
      </c>
      <c r="D120" s="27" t="s">
        <v>5368</v>
      </c>
      <c r="E120" s="27"/>
      <c r="F120" s="27" t="s">
        <v>5369</v>
      </c>
      <c r="G120" s="27"/>
      <c r="H120" s="28" t="s">
        <v>1143</v>
      </c>
      <c r="I120" s="27"/>
    </row>
    <row r="121" customFormat="false" ht="15" hidden="false" customHeight="true" outlineLevel="0" collapsed="false">
      <c r="A121" s="27" t="s">
        <v>1146</v>
      </c>
      <c r="B121" s="27" t="s">
        <v>458</v>
      </c>
      <c r="C121" s="27" t="s">
        <v>5367</v>
      </c>
      <c r="D121" s="27" t="s">
        <v>5368</v>
      </c>
      <c r="E121" s="27"/>
      <c r="F121" s="27" t="s">
        <v>5369</v>
      </c>
      <c r="G121" s="27"/>
      <c r="H121" s="28" t="s">
        <v>1147</v>
      </c>
      <c r="I121" s="27"/>
    </row>
    <row r="122" customFormat="false" ht="15" hidden="false" customHeight="true" outlineLevel="0" collapsed="false">
      <c r="A122" s="27" t="s">
        <v>1150</v>
      </c>
      <c r="B122" s="27" t="s">
        <v>458</v>
      </c>
      <c r="C122" s="27" t="s">
        <v>5399</v>
      </c>
      <c r="D122" s="27" t="s">
        <v>5400</v>
      </c>
      <c r="E122" s="27"/>
      <c r="F122" s="27" t="s">
        <v>5417</v>
      </c>
      <c r="G122" s="27"/>
      <c r="H122" s="28" t="s">
        <v>1151</v>
      </c>
      <c r="I122" s="27"/>
    </row>
    <row r="123" customFormat="false" ht="15" hidden="false" customHeight="true" outlineLevel="0" collapsed="false">
      <c r="A123" s="27" t="s">
        <v>1159</v>
      </c>
      <c r="B123" s="27" t="s">
        <v>458</v>
      </c>
      <c r="C123" s="27" t="s">
        <v>5367</v>
      </c>
      <c r="D123" s="27" t="s">
        <v>5420</v>
      </c>
      <c r="E123" s="27"/>
      <c r="F123" s="27" t="s">
        <v>5375</v>
      </c>
      <c r="G123" s="27"/>
      <c r="H123" s="28" t="s">
        <v>1160</v>
      </c>
      <c r="I123" s="28" t="s">
        <v>5421</v>
      </c>
    </row>
    <row r="124" customFormat="false" ht="15" hidden="false" customHeight="true" outlineLevel="0" collapsed="false">
      <c r="A124" s="27" t="s">
        <v>1163</v>
      </c>
      <c r="B124" s="27" t="s">
        <v>458</v>
      </c>
      <c r="C124" s="27" t="s">
        <v>5367</v>
      </c>
      <c r="D124" s="27" t="s">
        <v>5368</v>
      </c>
      <c r="E124" s="27"/>
      <c r="F124" s="27" t="s">
        <v>5369</v>
      </c>
      <c r="G124" s="27"/>
      <c r="H124" s="28" t="s">
        <v>1164</v>
      </c>
      <c r="I124" s="27"/>
    </row>
    <row r="125" customFormat="false" ht="15" hidden="false" customHeight="true" outlineLevel="0" collapsed="false">
      <c r="A125" s="27" t="s">
        <v>1168</v>
      </c>
      <c r="B125" s="27" t="s">
        <v>458</v>
      </c>
      <c r="C125" s="27" t="s">
        <v>5367</v>
      </c>
      <c r="D125" s="27" t="s">
        <v>5368</v>
      </c>
      <c r="E125" s="27"/>
      <c r="F125" s="27" t="s">
        <v>5369</v>
      </c>
      <c r="G125" s="27"/>
      <c r="H125" s="28" t="s">
        <v>1169</v>
      </c>
      <c r="I125" s="27"/>
    </row>
    <row r="126" customFormat="false" ht="15" hidden="false" customHeight="true" outlineLevel="0" collapsed="false">
      <c r="A126" s="27" t="s">
        <v>1172</v>
      </c>
      <c r="B126" s="27" t="s">
        <v>458</v>
      </c>
      <c r="C126" s="27" t="s">
        <v>5367</v>
      </c>
      <c r="D126" s="27" t="s">
        <v>5368</v>
      </c>
      <c r="E126" s="27"/>
      <c r="F126" s="27" t="s">
        <v>5369</v>
      </c>
      <c r="G126" s="27"/>
      <c r="H126" s="28" t="s">
        <v>1173</v>
      </c>
      <c r="I126" s="27"/>
    </row>
    <row r="127" customFormat="false" ht="15" hidden="false" customHeight="true" outlineLevel="0" collapsed="false">
      <c r="A127" s="27" t="s">
        <v>1176</v>
      </c>
      <c r="B127" s="27" t="s">
        <v>458</v>
      </c>
      <c r="C127" s="27" t="s">
        <v>5399</v>
      </c>
      <c r="D127" s="27" t="s">
        <v>5400</v>
      </c>
      <c r="E127" s="27"/>
      <c r="F127" s="27" t="s">
        <v>5418</v>
      </c>
      <c r="G127" s="27"/>
      <c r="H127" s="28" t="s">
        <v>1177</v>
      </c>
      <c r="I127" s="27"/>
    </row>
    <row r="128" customFormat="false" ht="15" hidden="false" customHeight="true" outlineLevel="0" collapsed="false">
      <c r="A128" s="27" t="s">
        <v>1180</v>
      </c>
      <c r="B128" s="27" t="s">
        <v>458</v>
      </c>
      <c r="C128" s="27" t="s">
        <v>5367</v>
      </c>
      <c r="D128" s="27" t="s">
        <v>5420</v>
      </c>
      <c r="E128" s="27"/>
      <c r="F128" s="27" t="s">
        <v>5375</v>
      </c>
      <c r="G128" s="27"/>
      <c r="H128" s="28" t="s">
        <v>1181</v>
      </c>
      <c r="I128" s="28" t="s">
        <v>5421</v>
      </c>
    </row>
    <row r="129" customFormat="false" ht="15" hidden="false" customHeight="true" outlineLevel="0" collapsed="false">
      <c r="A129" s="27" t="s">
        <v>1184</v>
      </c>
      <c r="B129" s="27" t="s">
        <v>458</v>
      </c>
      <c r="C129" s="27" t="s">
        <v>5407</v>
      </c>
      <c r="D129" s="27" t="s">
        <v>5422</v>
      </c>
      <c r="E129" s="27"/>
      <c r="F129" s="27"/>
      <c r="G129" s="27"/>
      <c r="H129" s="28" t="s">
        <v>1185</v>
      </c>
      <c r="I129" s="28" t="s">
        <v>5423</v>
      </c>
    </row>
    <row r="130" customFormat="false" ht="15" hidden="false" customHeight="true" outlineLevel="0" collapsed="false">
      <c r="A130" s="27" t="s">
        <v>1184</v>
      </c>
      <c r="B130" s="27" t="s">
        <v>458</v>
      </c>
      <c r="C130" s="27" t="s">
        <v>5367</v>
      </c>
      <c r="D130" s="27" t="s">
        <v>5420</v>
      </c>
      <c r="E130" s="27"/>
      <c r="F130" s="27" t="s">
        <v>5375</v>
      </c>
      <c r="G130" s="27"/>
      <c r="H130" s="28" t="s">
        <v>1185</v>
      </c>
      <c r="I130" s="28" t="s">
        <v>5421</v>
      </c>
    </row>
    <row r="131" customFormat="false" ht="15" hidden="false" customHeight="true" outlineLevel="0" collapsed="false">
      <c r="A131" s="27" t="s">
        <v>1188</v>
      </c>
      <c r="B131" s="27" t="s">
        <v>458</v>
      </c>
      <c r="C131" s="27" t="s">
        <v>5407</v>
      </c>
      <c r="D131" s="27" t="s">
        <v>5408</v>
      </c>
      <c r="E131" s="27"/>
      <c r="F131" s="27" t="s">
        <v>5425</v>
      </c>
      <c r="G131" s="27"/>
      <c r="H131" s="28" t="s">
        <v>1189</v>
      </c>
      <c r="I131" s="27"/>
    </row>
    <row r="132" customFormat="false" ht="15" hidden="false" customHeight="true" outlineLevel="0" collapsed="false">
      <c r="A132" s="27" t="s">
        <v>1188</v>
      </c>
      <c r="B132" s="27" t="s">
        <v>458</v>
      </c>
      <c r="C132" s="27" t="s">
        <v>5367</v>
      </c>
      <c r="D132" s="27" t="s">
        <v>5368</v>
      </c>
      <c r="E132" s="27"/>
      <c r="F132" s="27" t="s">
        <v>5369</v>
      </c>
      <c r="G132" s="27"/>
      <c r="H132" s="28" t="s">
        <v>1189</v>
      </c>
      <c r="I132" s="27"/>
    </row>
    <row r="133" customFormat="false" ht="15" hidden="false" customHeight="true" outlineLevel="0" collapsed="false">
      <c r="A133" s="27" t="s">
        <v>1192</v>
      </c>
      <c r="B133" s="27" t="s">
        <v>458</v>
      </c>
      <c r="C133" s="27" t="s">
        <v>5367</v>
      </c>
      <c r="D133" s="27" t="s">
        <v>5420</v>
      </c>
      <c r="E133" s="27"/>
      <c r="F133" s="27" t="s">
        <v>5375</v>
      </c>
      <c r="G133" s="27"/>
      <c r="H133" s="27" t="s">
        <v>1193</v>
      </c>
      <c r="I133" s="28" t="s">
        <v>5421</v>
      </c>
    </row>
    <row r="134" customFormat="false" ht="15" hidden="false" customHeight="true" outlineLevel="0" collapsed="false">
      <c r="A134" s="27" t="s">
        <v>1195</v>
      </c>
      <c r="B134" s="27" t="s">
        <v>458</v>
      </c>
      <c r="C134" s="27" t="s">
        <v>5399</v>
      </c>
      <c r="D134" s="27" t="s">
        <v>5400</v>
      </c>
      <c r="E134" s="27"/>
      <c r="F134" s="27" t="s">
        <v>5417</v>
      </c>
      <c r="G134" s="27"/>
      <c r="H134" s="28" t="s">
        <v>1196</v>
      </c>
      <c r="I134" s="27"/>
    </row>
    <row r="135" customFormat="false" ht="15" hidden="false" customHeight="true" outlineLevel="0" collapsed="false">
      <c r="A135" s="27" t="s">
        <v>1199</v>
      </c>
      <c r="B135" s="27" t="s">
        <v>458</v>
      </c>
      <c r="C135" s="27" t="s">
        <v>5407</v>
      </c>
      <c r="D135" s="27" t="s">
        <v>5426</v>
      </c>
      <c r="E135" s="27"/>
      <c r="F135" s="27"/>
      <c r="G135" s="27"/>
      <c r="H135" s="28" t="s">
        <v>1200</v>
      </c>
      <c r="I135" s="28" t="s">
        <v>5423</v>
      </c>
    </row>
    <row r="136" customFormat="false" ht="15" hidden="false" customHeight="true" outlineLevel="0" collapsed="false">
      <c r="A136" s="27" t="s">
        <v>1199</v>
      </c>
      <c r="B136" s="27" t="s">
        <v>458</v>
      </c>
      <c r="C136" s="27" t="s">
        <v>5367</v>
      </c>
      <c r="D136" s="27" t="s">
        <v>5368</v>
      </c>
      <c r="E136" s="27"/>
      <c r="F136" s="27" t="s">
        <v>5369</v>
      </c>
      <c r="G136" s="27"/>
      <c r="H136" s="28" t="s">
        <v>1200</v>
      </c>
      <c r="I136" s="27"/>
    </row>
    <row r="137" customFormat="false" ht="15" hidden="false" customHeight="true" outlineLevel="0" collapsed="false">
      <c r="A137" s="27" t="s">
        <v>1201</v>
      </c>
      <c r="B137" s="27" t="s">
        <v>458</v>
      </c>
      <c r="C137" s="27" t="s">
        <v>5367</v>
      </c>
      <c r="D137" s="27" t="s">
        <v>5368</v>
      </c>
      <c r="E137" s="27"/>
      <c r="F137" s="27" t="s">
        <v>5369</v>
      </c>
      <c r="G137" s="27"/>
      <c r="H137" s="28" t="s">
        <v>1202</v>
      </c>
      <c r="I137" s="27"/>
    </row>
    <row r="138" customFormat="false" ht="15" hidden="false" customHeight="true" outlineLevel="0" collapsed="false">
      <c r="A138" s="27" t="s">
        <v>1203</v>
      </c>
      <c r="B138" s="27" t="s">
        <v>458</v>
      </c>
      <c r="C138" s="27" t="s">
        <v>5399</v>
      </c>
      <c r="D138" s="27" t="s">
        <v>5400</v>
      </c>
      <c r="E138" s="27"/>
      <c r="F138" s="27" t="s">
        <v>5418</v>
      </c>
      <c r="G138" s="27"/>
      <c r="H138" s="28" t="s">
        <v>1204</v>
      </c>
      <c r="I138" s="27"/>
    </row>
    <row r="139" customFormat="false" ht="15" hidden="false" customHeight="true" outlineLevel="0" collapsed="false">
      <c r="A139" s="27" t="s">
        <v>1205</v>
      </c>
      <c r="B139" s="27" t="s">
        <v>458</v>
      </c>
      <c r="C139" s="27" t="s">
        <v>5407</v>
      </c>
      <c r="D139" s="27" t="s">
        <v>5422</v>
      </c>
      <c r="E139" s="27"/>
      <c r="F139" s="27"/>
      <c r="G139" s="27"/>
      <c r="H139" s="28" t="s">
        <v>1206</v>
      </c>
      <c r="I139" s="28" t="s">
        <v>5423</v>
      </c>
    </row>
    <row r="140" customFormat="false" ht="15" hidden="false" customHeight="true" outlineLevel="0" collapsed="false">
      <c r="A140" s="27" t="s">
        <v>1210</v>
      </c>
      <c r="B140" s="27" t="s">
        <v>458</v>
      </c>
      <c r="C140" s="27" t="s">
        <v>5399</v>
      </c>
      <c r="D140" s="27" t="s">
        <v>5400</v>
      </c>
      <c r="E140" s="27"/>
      <c r="F140" s="27" t="s">
        <v>5417</v>
      </c>
      <c r="G140" s="27"/>
      <c r="H140" s="28" t="s">
        <v>1211</v>
      </c>
      <c r="I140" s="27"/>
    </row>
    <row r="141" customFormat="false" ht="15" hidden="false" customHeight="true" outlineLevel="0" collapsed="false">
      <c r="A141" s="27" t="s">
        <v>1214</v>
      </c>
      <c r="B141" s="27" t="s">
        <v>458</v>
      </c>
      <c r="C141" s="27" t="s">
        <v>5407</v>
      </c>
      <c r="D141" s="27" t="s">
        <v>5408</v>
      </c>
      <c r="E141" s="27"/>
      <c r="F141" s="27" t="s">
        <v>5425</v>
      </c>
      <c r="G141" s="27"/>
      <c r="H141" s="28" t="s">
        <v>1215</v>
      </c>
      <c r="I141" s="27"/>
    </row>
    <row r="142" customFormat="false" ht="15" hidden="false" customHeight="true" outlineLevel="0" collapsed="false">
      <c r="A142" s="27" t="s">
        <v>1214</v>
      </c>
      <c r="B142" s="27" t="s">
        <v>458</v>
      </c>
      <c r="C142" s="27" t="s">
        <v>5367</v>
      </c>
      <c r="D142" s="27" t="s">
        <v>5368</v>
      </c>
      <c r="E142" s="27"/>
      <c r="F142" s="27" t="s">
        <v>5369</v>
      </c>
      <c r="G142" s="27"/>
      <c r="H142" s="28" t="s">
        <v>1215</v>
      </c>
      <c r="I142" s="27"/>
    </row>
    <row r="143" customFormat="false" ht="15" hidden="false" customHeight="true" outlineLevel="0" collapsed="false">
      <c r="A143" s="27" t="s">
        <v>1216</v>
      </c>
      <c r="B143" s="27" t="s">
        <v>458</v>
      </c>
      <c r="C143" s="27" t="s">
        <v>5399</v>
      </c>
      <c r="D143" s="27" t="s">
        <v>5400</v>
      </c>
      <c r="E143" s="27"/>
      <c r="F143" s="27" t="s">
        <v>5417</v>
      </c>
      <c r="G143" s="27"/>
      <c r="H143" s="28" t="s">
        <v>1217</v>
      </c>
      <c r="I143" s="27"/>
    </row>
    <row r="144" customFormat="false" ht="15" hidden="false" customHeight="true" outlineLevel="0" collapsed="false">
      <c r="A144" s="27" t="s">
        <v>1219</v>
      </c>
      <c r="B144" s="27" t="s">
        <v>458</v>
      </c>
      <c r="C144" s="27" t="s">
        <v>5407</v>
      </c>
      <c r="D144" s="27" t="s">
        <v>5408</v>
      </c>
      <c r="E144" s="27"/>
      <c r="F144" s="27" t="s">
        <v>5425</v>
      </c>
      <c r="G144" s="27"/>
      <c r="H144" s="28" t="s">
        <v>1220</v>
      </c>
      <c r="I144" s="27"/>
    </row>
    <row r="145" customFormat="false" ht="15" hidden="false" customHeight="true" outlineLevel="0" collapsed="false">
      <c r="A145" s="27" t="s">
        <v>1219</v>
      </c>
      <c r="B145" s="27" t="s">
        <v>458</v>
      </c>
      <c r="C145" s="27" t="s">
        <v>5367</v>
      </c>
      <c r="D145" s="27" t="s">
        <v>5368</v>
      </c>
      <c r="E145" s="27"/>
      <c r="F145" s="27" t="s">
        <v>5369</v>
      </c>
      <c r="G145" s="27"/>
      <c r="H145" s="28" t="s">
        <v>1220</v>
      </c>
      <c r="I145" s="27"/>
    </row>
    <row r="146" customFormat="false" ht="15" hidden="false" customHeight="true" outlineLevel="0" collapsed="false">
      <c r="A146" s="27" t="s">
        <v>1221</v>
      </c>
      <c r="B146" s="27" t="s">
        <v>458</v>
      </c>
      <c r="C146" s="27" t="s">
        <v>5367</v>
      </c>
      <c r="D146" s="27" t="s">
        <v>5368</v>
      </c>
      <c r="E146" s="27"/>
      <c r="F146" s="27" t="s">
        <v>5369</v>
      </c>
      <c r="G146" s="27"/>
      <c r="H146" s="28" t="s">
        <v>1222</v>
      </c>
      <c r="I146" s="27"/>
    </row>
    <row r="147" customFormat="false" ht="15" hidden="false" customHeight="true" outlineLevel="0" collapsed="false">
      <c r="A147" s="27" t="s">
        <v>1223</v>
      </c>
      <c r="B147" s="27" t="s">
        <v>458</v>
      </c>
      <c r="C147" s="27" t="s">
        <v>5407</v>
      </c>
      <c r="D147" s="27" t="s">
        <v>5408</v>
      </c>
      <c r="E147" s="27"/>
      <c r="F147" s="27" t="s">
        <v>5416</v>
      </c>
      <c r="G147" s="27"/>
      <c r="H147" s="28" t="s">
        <v>1224</v>
      </c>
      <c r="I147" s="27"/>
    </row>
    <row r="148" customFormat="false" ht="15" hidden="false" customHeight="true" outlineLevel="0" collapsed="false">
      <c r="A148" s="27" t="s">
        <v>1223</v>
      </c>
      <c r="B148" s="27" t="s">
        <v>458</v>
      </c>
      <c r="C148" s="27" t="s">
        <v>5367</v>
      </c>
      <c r="D148" s="27" t="s">
        <v>5420</v>
      </c>
      <c r="E148" s="27"/>
      <c r="F148" s="27" t="s">
        <v>5375</v>
      </c>
      <c r="G148" s="27"/>
      <c r="H148" s="28" t="s">
        <v>1224</v>
      </c>
      <c r="I148" s="28" t="s">
        <v>5421</v>
      </c>
    </row>
    <row r="149" customFormat="false" ht="15" hidden="false" customHeight="true" outlineLevel="0" collapsed="false">
      <c r="A149" s="27" t="s">
        <v>1230</v>
      </c>
      <c r="B149" s="27" t="s">
        <v>458</v>
      </c>
      <c r="C149" s="27" t="s">
        <v>5367</v>
      </c>
      <c r="D149" s="27" t="s">
        <v>5368</v>
      </c>
      <c r="E149" s="28" t="s">
        <v>5428</v>
      </c>
      <c r="F149" s="27" t="s">
        <v>5369</v>
      </c>
      <c r="G149" s="27"/>
      <c r="H149" s="28" t="s">
        <v>1228</v>
      </c>
      <c r="I149" s="27"/>
    </row>
    <row r="150" customFormat="false" ht="15" hidden="false" customHeight="true" outlineLevel="0" collapsed="false">
      <c r="A150" s="27" t="s">
        <v>1230</v>
      </c>
      <c r="B150" s="27" t="s">
        <v>458</v>
      </c>
      <c r="C150" s="27" t="s">
        <v>5367</v>
      </c>
      <c r="D150" s="27" t="s">
        <v>5420</v>
      </c>
      <c r="E150" s="28" t="s">
        <v>5429</v>
      </c>
      <c r="F150" s="27" t="s">
        <v>5375</v>
      </c>
      <c r="G150" s="27"/>
      <c r="H150" s="28" t="s">
        <v>5430</v>
      </c>
      <c r="I150" s="28" t="s">
        <v>5421</v>
      </c>
    </row>
    <row r="151" customFormat="false" ht="15" hidden="false" customHeight="true" outlineLevel="0" collapsed="false">
      <c r="A151" s="27" t="s">
        <v>1232</v>
      </c>
      <c r="B151" s="27" t="s">
        <v>458</v>
      </c>
      <c r="C151" s="27" t="s">
        <v>5367</v>
      </c>
      <c r="D151" s="27" t="s">
        <v>5368</v>
      </c>
      <c r="E151" s="27"/>
      <c r="F151" s="27" t="s">
        <v>5369</v>
      </c>
      <c r="G151" s="27"/>
      <c r="H151" s="28" t="s">
        <v>1233</v>
      </c>
      <c r="I151" s="27"/>
    </row>
    <row r="152" customFormat="false" ht="15" hidden="false" customHeight="true" outlineLevel="0" collapsed="false">
      <c r="A152" s="27" t="s">
        <v>1234</v>
      </c>
      <c r="B152" s="27" t="s">
        <v>458</v>
      </c>
      <c r="C152" s="27" t="s">
        <v>5367</v>
      </c>
      <c r="D152" s="27" t="s">
        <v>5368</v>
      </c>
      <c r="E152" s="27"/>
      <c r="F152" s="27" t="s">
        <v>5369</v>
      </c>
      <c r="G152" s="27"/>
      <c r="H152" s="28" t="s">
        <v>1235</v>
      </c>
      <c r="I152" s="27"/>
    </row>
    <row r="153" customFormat="false" ht="15" hidden="false" customHeight="true" outlineLevel="0" collapsed="false">
      <c r="A153" s="27" t="s">
        <v>1236</v>
      </c>
      <c r="B153" s="27" t="s">
        <v>458</v>
      </c>
      <c r="C153" s="27" t="s">
        <v>5367</v>
      </c>
      <c r="D153" s="27" t="s">
        <v>5420</v>
      </c>
      <c r="E153" s="27"/>
      <c r="F153" s="27" t="s">
        <v>5375</v>
      </c>
      <c r="G153" s="27"/>
      <c r="H153" s="28" t="s">
        <v>1237</v>
      </c>
      <c r="I153" s="28" t="s">
        <v>5421</v>
      </c>
    </row>
    <row r="154" customFormat="false" ht="15" hidden="false" customHeight="true" outlineLevel="0" collapsed="false">
      <c r="A154" s="27" t="s">
        <v>1238</v>
      </c>
      <c r="B154" s="27" t="s">
        <v>458</v>
      </c>
      <c r="C154" s="27" t="s">
        <v>5367</v>
      </c>
      <c r="D154" s="27" t="s">
        <v>5368</v>
      </c>
      <c r="E154" s="27"/>
      <c r="F154" s="27" t="s">
        <v>5369</v>
      </c>
      <c r="G154" s="27"/>
      <c r="H154" s="28" t="s">
        <v>1239</v>
      </c>
      <c r="I154" s="27"/>
    </row>
    <row r="155" customFormat="false" ht="15" hidden="false" customHeight="true" outlineLevel="0" collapsed="false">
      <c r="A155" s="27" t="s">
        <v>1240</v>
      </c>
      <c r="B155" s="27" t="s">
        <v>458</v>
      </c>
      <c r="C155" s="27" t="s">
        <v>5407</v>
      </c>
      <c r="D155" s="27" t="s">
        <v>5422</v>
      </c>
      <c r="E155" s="27"/>
      <c r="F155" s="27"/>
      <c r="G155" s="27"/>
      <c r="H155" s="28" t="s">
        <v>1241</v>
      </c>
      <c r="I155" s="28" t="s">
        <v>5423</v>
      </c>
    </row>
    <row r="156" customFormat="false" ht="15" hidden="false" customHeight="true" outlineLevel="0" collapsed="false">
      <c r="A156" s="27" t="s">
        <v>1240</v>
      </c>
      <c r="B156" s="27" t="s">
        <v>458</v>
      </c>
      <c r="C156" s="27" t="s">
        <v>5367</v>
      </c>
      <c r="D156" s="27" t="s">
        <v>5368</v>
      </c>
      <c r="E156" s="27"/>
      <c r="F156" s="27" t="s">
        <v>5369</v>
      </c>
      <c r="G156" s="27"/>
      <c r="H156" s="28" t="s">
        <v>1241</v>
      </c>
      <c r="I156" s="27"/>
    </row>
    <row r="157" customFormat="false" ht="15" hidden="false" customHeight="true" outlineLevel="0" collapsed="false">
      <c r="A157" s="27" t="s">
        <v>1244</v>
      </c>
      <c r="B157" s="27" t="s">
        <v>458</v>
      </c>
      <c r="C157" s="27" t="s">
        <v>5399</v>
      </c>
      <c r="D157" s="27" t="s">
        <v>5400</v>
      </c>
      <c r="E157" s="27"/>
      <c r="F157" s="27" t="s">
        <v>5417</v>
      </c>
      <c r="G157" s="27"/>
      <c r="H157" s="28" t="s">
        <v>1245</v>
      </c>
      <c r="I157" s="27"/>
    </row>
    <row r="158" customFormat="false" ht="15" hidden="false" customHeight="true" outlineLevel="0" collapsed="false">
      <c r="A158" s="27" t="s">
        <v>1248</v>
      </c>
      <c r="B158" s="27" t="s">
        <v>458</v>
      </c>
      <c r="C158" s="27" t="s">
        <v>5399</v>
      </c>
      <c r="D158" s="27" t="s">
        <v>5400</v>
      </c>
      <c r="E158" s="27"/>
      <c r="F158" s="27" t="s">
        <v>5418</v>
      </c>
      <c r="G158" s="27"/>
      <c r="H158" s="28" t="s">
        <v>1249</v>
      </c>
      <c r="I158" s="27"/>
    </row>
    <row r="159" customFormat="false" ht="15" hidden="false" customHeight="true" outlineLevel="0" collapsed="false">
      <c r="A159" s="27" t="s">
        <v>1250</v>
      </c>
      <c r="B159" s="27" t="s">
        <v>458</v>
      </c>
      <c r="C159" s="27" t="s">
        <v>5367</v>
      </c>
      <c r="D159" s="27" t="s">
        <v>5368</v>
      </c>
      <c r="E159" s="27"/>
      <c r="F159" s="27" t="s">
        <v>5369</v>
      </c>
      <c r="G159" s="27"/>
      <c r="H159" s="28" t="s">
        <v>1251</v>
      </c>
      <c r="I159" s="27"/>
    </row>
    <row r="160" customFormat="false" ht="15" hidden="false" customHeight="true" outlineLevel="0" collapsed="false">
      <c r="A160" s="27" t="s">
        <v>1252</v>
      </c>
      <c r="B160" s="27" t="s">
        <v>458</v>
      </c>
      <c r="C160" s="27" t="s">
        <v>5367</v>
      </c>
      <c r="D160" s="27" t="s">
        <v>5368</v>
      </c>
      <c r="E160" s="27"/>
      <c r="F160" s="27" t="s">
        <v>5369</v>
      </c>
      <c r="G160" s="27"/>
      <c r="H160" s="28" t="s">
        <v>1253</v>
      </c>
      <c r="I160" s="27"/>
    </row>
    <row r="161" customFormat="false" ht="15" hidden="false" customHeight="true" outlineLevel="0" collapsed="false">
      <c r="A161" s="27" t="s">
        <v>1262</v>
      </c>
      <c r="B161" s="27" t="s">
        <v>465</v>
      </c>
      <c r="C161" s="27" t="s">
        <v>5399</v>
      </c>
      <c r="D161" s="27" t="s">
        <v>5400</v>
      </c>
      <c r="E161" s="27"/>
      <c r="F161" s="27" t="s">
        <v>5419</v>
      </c>
      <c r="G161" s="27"/>
      <c r="H161" s="28" t="s">
        <v>1263</v>
      </c>
      <c r="I161" s="27"/>
    </row>
    <row r="162" customFormat="false" ht="15" hidden="false" customHeight="true" outlineLevel="0" collapsed="false">
      <c r="A162" s="27" t="s">
        <v>1262</v>
      </c>
      <c r="B162" s="27" t="s">
        <v>465</v>
      </c>
      <c r="C162" s="27" t="s">
        <v>5367</v>
      </c>
      <c r="D162" s="27" t="s">
        <v>5368</v>
      </c>
      <c r="E162" s="27"/>
      <c r="F162" s="27" t="s">
        <v>5369</v>
      </c>
      <c r="G162" s="27"/>
      <c r="H162" s="28" t="s">
        <v>1263</v>
      </c>
      <c r="I162" s="27"/>
    </row>
    <row r="163" customFormat="false" ht="15" hidden="false" customHeight="true" outlineLevel="0" collapsed="false">
      <c r="A163" s="27" t="s">
        <v>1266</v>
      </c>
      <c r="B163" s="27" t="s">
        <v>465</v>
      </c>
      <c r="C163" s="27" t="s">
        <v>5399</v>
      </c>
      <c r="D163" s="27" t="s">
        <v>5400</v>
      </c>
      <c r="E163" s="27"/>
      <c r="F163" s="27" t="s">
        <v>5417</v>
      </c>
      <c r="G163" s="27"/>
      <c r="H163" s="28" t="s">
        <v>1267</v>
      </c>
      <c r="I163" s="27"/>
    </row>
    <row r="164" customFormat="false" ht="15" hidden="false" customHeight="true" outlineLevel="0" collapsed="false">
      <c r="A164" s="27" t="s">
        <v>1268</v>
      </c>
      <c r="B164" s="27" t="s">
        <v>465</v>
      </c>
      <c r="C164" s="27" t="s">
        <v>5399</v>
      </c>
      <c r="D164" s="27" t="s">
        <v>5400</v>
      </c>
      <c r="E164" s="27"/>
      <c r="F164" s="27" t="s">
        <v>5419</v>
      </c>
      <c r="G164" s="27"/>
      <c r="H164" s="28" t="s">
        <v>1269</v>
      </c>
      <c r="I164" s="27"/>
    </row>
    <row r="165" customFormat="false" ht="15" hidden="false" customHeight="true" outlineLevel="0" collapsed="false">
      <c r="A165" s="27" t="s">
        <v>1268</v>
      </c>
      <c r="B165" s="27" t="s">
        <v>465</v>
      </c>
      <c r="C165" s="27" t="s">
        <v>5367</v>
      </c>
      <c r="D165" s="27" t="s">
        <v>5368</v>
      </c>
      <c r="E165" s="27"/>
      <c r="F165" s="27" t="s">
        <v>5369</v>
      </c>
      <c r="G165" s="27"/>
      <c r="H165" s="28" t="s">
        <v>1269</v>
      </c>
      <c r="I165" s="27"/>
    </row>
    <row r="166" customFormat="false" ht="15" hidden="false" customHeight="true" outlineLevel="0" collapsed="false">
      <c r="A166" s="27" t="s">
        <v>1271</v>
      </c>
      <c r="B166" s="27" t="s">
        <v>465</v>
      </c>
      <c r="C166" s="27" t="s">
        <v>5367</v>
      </c>
      <c r="D166" s="27" t="s">
        <v>5368</v>
      </c>
      <c r="E166" s="27"/>
      <c r="F166" s="27" t="s">
        <v>5369</v>
      </c>
      <c r="G166" s="27"/>
      <c r="H166" s="28" t="s">
        <v>1272</v>
      </c>
      <c r="I166" s="27"/>
    </row>
    <row r="167" customFormat="false" ht="15" hidden="false" customHeight="true" outlineLevel="0" collapsed="false">
      <c r="A167" s="27" t="s">
        <v>1273</v>
      </c>
      <c r="B167" s="27" t="s">
        <v>465</v>
      </c>
      <c r="C167" s="27" t="s">
        <v>5407</v>
      </c>
      <c r="D167" s="27" t="s">
        <v>5408</v>
      </c>
      <c r="E167" s="27"/>
      <c r="F167" s="27"/>
      <c r="G167" s="27"/>
      <c r="H167" s="28" t="s">
        <v>1274</v>
      </c>
      <c r="I167" s="28" t="s">
        <v>5410</v>
      </c>
    </row>
    <row r="168" customFormat="false" ht="15" hidden="false" customHeight="true" outlineLevel="0" collapsed="false">
      <c r="A168" s="27" t="s">
        <v>1273</v>
      </c>
      <c r="B168" s="27" t="s">
        <v>465</v>
      </c>
      <c r="C168" s="27" t="s">
        <v>5367</v>
      </c>
      <c r="D168" s="27" t="s">
        <v>5368</v>
      </c>
      <c r="E168" s="27"/>
      <c r="F168" s="27" t="s">
        <v>5369</v>
      </c>
      <c r="G168" s="27"/>
      <c r="H168" s="28" t="s">
        <v>1274</v>
      </c>
      <c r="I168" s="27"/>
    </row>
    <row r="169" customFormat="false" ht="15" hidden="false" customHeight="true" outlineLevel="0" collapsed="false">
      <c r="A169" s="27" t="s">
        <v>1275</v>
      </c>
      <c r="B169" s="27" t="s">
        <v>465</v>
      </c>
      <c r="C169" s="27" t="s">
        <v>5407</v>
      </c>
      <c r="D169" s="27" t="s">
        <v>5408</v>
      </c>
      <c r="E169" s="27"/>
      <c r="F169" s="27"/>
      <c r="G169" s="27"/>
      <c r="H169" s="28" t="s">
        <v>1276</v>
      </c>
      <c r="I169" s="28" t="s">
        <v>5410</v>
      </c>
    </row>
    <row r="170" customFormat="false" ht="15" hidden="false" customHeight="true" outlineLevel="0" collapsed="false">
      <c r="A170" s="27" t="s">
        <v>1279</v>
      </c>
      <c r="B170" s="27" t="s">
        <v>465</v>
      </c>
      <c r="C170" s="27" t="s">
        <v>5367</v>
      </c>
      <c r="D170" s="27" t="s">
        <v>5368</v>
      </c>
      <c r="E170" s="27"/>
      <c r="F170" s="27" t="s">
        <v>5369</v>
      </c>
      <c r="G170" s="27"/>
      <c r="H170" s="28" t="s">
        <v>1280</v>
      </c>
      <c r="I170" s="27"/>
    </row>
    <row r="171" customFormat="false" ht="15" hidden="false" customHeight="true" outlineLevel="0" collapsed="false">
      <c r="A171" s="27" t="s">
        <v>1282</v>
      </c>
      <c r="B171" s="27" t="s">
        <v>465</v>
      </c>
      <c r="C171" s="27" t="s">
        <v>5407</v>
      </c>
      <c r="D171" s="27" t="s">
        <v>5408</v>
      </c>
      <c r="E171" s="27"/>
      <c r="F171" s="27"/>
      <c r="G171" s="27"/>
      <c r="H171" s="27" t="s">
        <v>1283</v>
      </c>
      <c r="I171" s="28" t="s">
        <v>5410</v>
      </c>
    </row>
    <row r="172" customFormat="false" ht="15" hidden="false" customHeight="true" outlineLevel="0" collapsed="false">
      <c r="A172" s="27" t="s">
        <v>1286</v>
      </c>
      <c r="B172" s="27" t="s">
        <v>465</v>
      </c>
      <c r="C172" s="27" t="s">
        <v>5367</v>
      </c>
      <c r="D172" s="27" t="s">
        <v>5368</v>
      </c>
      <c r="E172" s="27"/>
      <c r="F172" s="27" t="s">
        <v>5369</v>
      </c>
      <c r="G172" s="27"/>
      <c r="H172" s="28" t="s">
        <v>1287</v>
      </c>
      <c r="I172" s="27"/>
    </row>
    <row r="173" customFormat="false" ht="15" hidden="false" customHeight="true" outlineLevel="0" collapsed="false">
      <c r="A173" s="27" t="s">
        <v>1293</v>
      </c>
      <c r="B173" s="27" t="s">
        <v>465</v>
      </c>
      <c r="C173" s="27" t="s">
        <v>5367</v>
      </c>
      <c r="D173" s="27" t="s">
        <v>5368</v>
      </c>
      <c r="E173" s="27"/>
      <c r="F173" s="27" t="s">
        <v>5375</v>
      </c>
      <c r="G173" s="27"/>
      <c r="H173" s="28" t="s">
        <v>1294</v>
      </c>
      <c r="I173" s="27"/>
    </row>
    <row r="174" customFormat="false" ht="15" hidden="false" customHeight="true" outlineLevel="0" collapsed="false">
      <c r="A174" s="27" t="s">
        <v>1300</v>
      </c>
      <c r="B174" s="27" t="s">
        <v>465</v>
      </c>
      <c r="C174" s="27" t="s">
        <v>5367</v>
      </c>
      <c r="D174" s="27" t="s">
        <v>5368</v>
      </c>
      <c r="E174" s="27"/>
      <c r="F174" s="27" t="s">
        <v>5369</v>
      </c>
      <c r="G174" s="27"/>
      <c r="H174" s="28" t="s">
        <v>1301</v>
      </c>
      <c r="I174" s="27"/>
    </row>
    <row r="175" customFormat="false" ht="15" hidden="false" customHeight="true" outlineLevel="0" collapsed="false">
      <c r="A175" s="27" t="s">
        <v>1303</v>
      </c>
      <c r="B175" s="27" t="s">
        <v>465</v>
      </c>
      <c r="C175" s="27" t="s">
        <v>5367</v>
      </c>
      <c r="D175" s="27" t="s">
        <v>5368</v>
      </c>
      <c r="E175" s="27"/>
      <c r="F175" s="27" t="s">
        <v>5369</v>
      </c>
      <c r="G175" s="27"/>
      <c r="H175" s="28" t="s">
        <v>1304</v>
      </c>
      <c r="I175" s="27"/>
    </row>
    <row r="176" customFormat="false" ht="15" hidden="false" customHeight="true" outlineLevel="0" collapsed="false">
      <c r="A176" s="27" t="s">
        <v>1306</v>
      </c>
      <c r="B176" s="27" t="s">
        <v>465</v>
      </c>
      <c r="C176" s="27" t="s">
        <v>5407</v>
      </c>
      <c r="D176" s="27" t="s">
        <v>5408</v>
      </c>
      <c r="E176" s="27"/>
      <c r="F176" s="27"/>
      <c r="G176" s="27"/>
      <c r="H176" s="28" t="s">
        <v>1307</v>
      </c>
      <c r="I176" s="28" t="s">
        <v>5410</v>
      </c>
    </row>
    <row r="177" customFormat="false" ht="15" hidden="false" customHeight="true" outlineLevel="0" collapsed="false">
      <c r="A177" s="27" t="s">
        <v>1310</v>
      </c>
      <c r="B177" s="27" t="s">
        <v>465</v>
      </c>
      <c r="C177" s="27" t="s">
        <v>5407</v>
      </c>
      <c r="D177" s="27" t="s">
        <v>5408</v>
      </c>
      <c r="E177" s="27"/>
      <c r="F177" s="27"/>
      <c r="G177" s="27"/>
      <c r="H177" s="27" t="s">
        <v>1311</v>
      </c>
      <c r="I177" s="28" t="s">
        <v>5410</v>
      </c>
    </row>
    <row r="178" customFormat="false" ht="15" hidden="false" customHeight="true" outlineLevel="0" collapsed="false">
      <c r="A178" s="27" t="s">
        <v>1310</v>
      </c>
      <c r="B178" s="27" t="s">
        <v>465</v>
      </c>
      <c r="C178" s="27" t="s">
        <v>5367</v>
      </c>
      <c r="D178" s="27" t="s">
        <v>5368</v>
      </c>
      <c r="E178" s="27"/>
      <c r="F178" s="27" t="s">
        <v>5369</v>
      </c>
      <c r="G178" s="27"/>
      <c r="H178" s="27" t="s">
        <v>1311</v>
      </c>
      <c r="I178" s="27"/>
    </row>
    <row r="179" customFormat="false" ht="15" hidden="false" customHeight="true" outlineLevel="0" collapsed="false">
      <c r="A179" s="27" t="s">
        <v>1342</v>
      </c>
      <c r="B179" s="27" t="s">
        <v>471</v>
      </c>
      <c r="C179" s="27" t="s">
        <v>5367</v>
      </c>
      <c r="D179" s="27" t="s">
        <v>5368</v>
      </c>
      <c r="E179" s="27"/>
      <c r="F179" s="27" t="s">
        <v>5375</v>
      </c>
      <c r="G179" s="27"/>
      <c r="H179" s="28" t="s">
        <v>1343</v>
      </c>
      <c r="I179" s="27"/>
    </row>
    <row r="180" customFormat="false" ht="15" hidden="false" customHeight="true" outlineLevel="0" collapsed="false">
      <c r="A180" s="27" t="s">
        <v>1345</v>
      </c>
      <c r="B180" s="27" t="s">
        <v>471</v>
      </c>
      <c r="C180" s="27" t="s">
        <v>5367</v>
      </c>
      <c r="D180" s="27" t="s">
        <v>5368</v>
      </c>
      <c r="E180" s="27"/>
      <c r="F180" s="27" t="s">
        <v>5375</v>
      </c>
      <c r="G180" s="27"/>
      <c r="H180" s="28" t="s">
        <v>1346</v>
      </c>
      <c r="I180" s="27"/>
    </row>
    <row r="181" customFormat="false" ht="15" hidden="false" customHeight="true" outlineLevel="0" collapsed="false">
      <c r="A181" s="27" t="s">
        <v>1348</v>
      </c>
      <c r="B181" s="27" t="s">
        <v>471</v>
      </c>
      <c r="C181" s="27" t="s">
        <v>5367</v>
      </c>
      <c r="D181" s="27" t="s">
        <v>5368</v>
      </c>
      <c r="E181" s="27"/>
      <c r="F181" s="27" t="s">
        <v>5375</v>
      </c>
      <c r="G181" s="27"/>
      <c r="H181" s="28" t="s">
        <v>1349</v>
      </c>
      <c r="I181" s="27"/>
    </row>
    <row r="182" customFormat="false" ht="15" hidden="false" customHeight="true" outlineLevel="0" collapsed="false">
      <c r="A182" s="27" t="s">
        <v>1351</v>
      </c>
      <c r="B182" s="27" t="s">
        <v>471</v>
      </c>
      <c r="C182" s="27" t="s">
        <v>5367</v>
      </c>
      <c r="D182" s="27" t="s">
        <v>5368</v>
      </c>
      <c r="E182" s="27"/>
      <c r="F182" s="27" t="s">
        <v>5375</v>
      </c>
      <c r="G182" s="27"/>
      <c r="H182" s="28" t="s">
        <v>1352</v>
      </c>
      <c r="I182" s="27"/>
    </row>
    <row r="183" customFormat="false" ht="15" hidden="false" customHeight="true" outlineLevel="0" collapsed="false">
      <c r="A183" s="27" t="s">
        <v>1353</v>
      </c>
      <c r="B183" s="27" t="s">
        <v>471</v>
      </c>
      <c r="C183" s="27" t="s">
        <v>5367</v>
      </c>
      <c r="D183" s="27" t="s">
        <v>5368</v>
      </c>
      <c r="E183" s="27"/>
      <c r="F183" s="27" t="s">
        <v>5375</v>
      </c>
      <c r="G183" s="27"/>
      <c r="H183" s="28" t="s">
        <v>1354</v>
      </c>
      <c r="I183" s="27"/>
    </row>
    <row r="184" customFormat="false" ht="15" hidden="false" customHeight="true" outlineLevel="0" collapsed="false">
      <c r="A184" s="27" t="s">
        <v>1358</v>
      </c>
      <c r="B184" s="27" t="s">
        <v>471</v>
      </c>
      <c r="C184" s="27" t="s">
        <v>5399</v>
      </c>
      <c r="D184" s="27" t="s">
        <v>5400</v>
      </c>
      <c r="E184" s="27"/>
      <c r="F184" s="27" t="s">
        <v>5418</v>
      </c>
      <c r="G184" s="27"/>
      <c r="H184" s="28" t="s">
        <v>1359</v>
      </c>
      <c r="I184" s="27"/>
    </row>
    <row r="185" customFormat="false" ht="15" hidden="false" customHeight="true" outlineLevel="0" collapsed="false">
      <c r="A185" s="27" t="s">
        <v>1358</v>
      </c>
      <c r="B185" s="27" t="s">
        <v>471</v>
      </c>
      <c r="C185" s="27" t="s">
        <v>5367</v>
      </c>
      <c r="D185" s="27" t="s">
        <v>5368</v>
      </c>
      <c r="E185" s="27"/>
      <c r="F185" s="27" t="s">
        <v>5369</v>
      </c>
      <c r="G185" s="27"/>
      <c r="H185" s="28" t="s">
        <v>1359</v>
      </c>
      <c r="I185" s="27"/>
    </row>
    <row r="186" customFormat="false" ht="15" hidden="false" customHeight="true" outlineLevel="0" collapsed="false">
      <c r="A186" s="27" t="s">
        <v>1363</v>
      </c>
      <c r="B186" s="27" t="s">
        <v>471</v>
      </c>
      <c r="C186" s="27" t="s">
        <v>5367</v>
      </c>
      <c r="D186" s="27" t="s">
        <v>5368</v>
      </c>
      <c r="E186" s="27"/>
      <c r="F186" s="27" t="s">
        <v>5369</v>
      </c>
      <c r="G186" s="27"/>
      <c r="H186" s="28" t="s">
        <v>1364</v>
      </c>
      <c r="I186" s="27"/>
    </row>
    <row r="187" customFormat="false" ht="15" hidden="false" customHeight="true" outlineLevel="0" collapsed="false">
      <c r="A187" s="27" t="s">
        <v>1366</v>
      </c>
      <c r="B187" s="27" t="s">
        <v>471</v>
      </c>
      <c r="C187" s="27" t="s">
        <v>5407</v>
      </c>
      <c r="D187" s="27" t="s">
        <v>5408</v>
      </c>
      <c r="E187" s="27"/>
      <c r="F187" s="27" t="s">
        <v>5416</v>
      </c>
      <c r="G187" s="27"/>
      <c r="H187" s="28" t="s">
        <v>1367</v>
      </c>
      <c r="I187" s="27"/>
    </row>
    <row r="188" customFormat="false" ht="15" hidden="false" customHeight="true" outlineLevel="0" collapsed="false">
      <c r="A188" s="27" t="s">
        <v>1366</v>
      </c>
      <c r="B188" s="27" t="s">
        <v>471</v>
      </c>
      <c r="C188" s="27" t="s">
        <v>5367</v>
      </c>
      <c r="D188" s="27" t="s">
        <v>5368</v>
      </c>
      <c r="E188" s="27"/>
      <c r="F188" s="27" t="s">
        <v>5369</v>
      </c>
      <c r="G188" s="27"/>
      <c r="H188" s="28" t="s">
        <v>1367</v>
      </c>
      <c r="I188" s="27"/>
    </row>
    <row r="189" customFormat="false" ht="15" hidden="false" customHeight="true" outlineLevel="0" collapsed="false">
      <c r="A189" s="27" t="s">
        <v>1369</v>
      </c>
      <c r="B189" s="27" t="s">
        <v>471</v>
      </c>
      <c r="C189" s="27" t="s">
        <v>5367</v>
      </c>
      <c r="D189" s="27" t="s">
        <v>5368</v>
      </c>
      <c r="E189" s="27"/>
      <c r="F189" s="27" t="s">
        <v>5375</v>
      </c>
      <c r="G189" s="27"/>
      <c r="H189" s="28" t="s">
        <v>1370</v>
      </c>
      <c r="I189" s="27"/>
    </row>
    <row r="190" customFormat="false" ht="15" hidden="false" customHeight="true" outlineLevel="0" collapsed="false">
      <c r="A190" s="27" t="s">
        <v>1371</v>
      </c>
      <c r="B190" s="27" t="s">
        <v>471</v>
      </c>
      <c r="C190" s="27" t="s">
        <v>5367</v>
      </c>
      <c r="D190" s="27" t="s">
        <v>5368</v>
      </c>
      <c r="E190" s="27"/>
      <c r="F190" s="27" t="s">
        <v>5369</v>
      </c>
      <c r="G190" s="27"/>
      <c r="H190" s="28" t="s">
        <v>1372</v>
      </c>
      <c r="I190" s="27"/>
    </row>
    <row r="191" customFormat="false" ht="15" hidden="false" customHeight="true" outlineLevel="0" collapsed="false">
      <c r="A191" s="27" t="s">
        <v>1374</v>
      </c>
      <c r="B191" s="27" t="s">
        <v>471</v>
      </c>
      <c r="C191" s="27" t="s">
        <v>5367</v>
      </c>
      <c r="D191" s="27" t="s">
        <v>5368</v>
      </c>
      <c r="E191" s="27"/>
      <c r="F191" s="27" t="s">
        <v>5369</v>
      </c>
      <c r="G191" s="27"/>
      <c r="H191" s="28" t="s">
        <v>1375</v>
      </c>
      <c r="I191" s="27"/>
    </row>
    <row r="192" customFormat="false" ht="15" hidden="false" customHeight="true" outlineLevel="0" collapsed="false">
      <c r="A192" s="27" t="s">
        <v>1376</v>
      </c>
      <c r="B192" s="27" t="s">
        <v>471</v>
      </c>
      <c r="C192" s="27" t="s">
        <v>5407</v>
      </c>
      <c r="D192" s="27" t="s">
        <v>5408</v>
      </c>
      <c r="E192" s="27"/>
      <c r="F192" s="27" t="s">
        <v>5425</v>
      </c>
      <c r="G192" s="27"/>
      <c r="H192" s="28" t="s">
        <v>5431</v>
      </c>
      <c r="I192" s="27"/>
    </row>
    <row r="193" customFormat="false" ht="15" hidden="false" customHeight="true" outlineLevel="0" collapsed="false">
      <c r="A193" s="27" t="s">
        <v>1383</v>
      </c>
      <c r="B193" s="27" t="s">
        <v>471</v>
      </c>
      <c r="C193" s="27" t="s">
        <v>5407</v>
      </c>
      <c r="D193" s="27" t="s">
        <v>5408</v>
      </c>
      <c r="E193" s="27"/>
      <c r="F193" s="27" t="s">
        <v>5417</v>
      </c>
      <c r="G193" s="27"/>
      <c r="H193" s="28" t="s">
        <v>1384</v>
      </c>
      <c r="I193" s="27"/>
    </row>
    <row r="194" customFormat="false" ht="15" hidden="false" customHeight="true" outlineLevel="0" collapsed="false">
      <c r="A194" s="27" t="s">
        <v>1387</v>
      </c>
      <c r="B194" s="27" t="s">
        <v>471</v>
      </c>
      <c r="C194" s="27" t="s">
        <v>5367</v>
      </c>
      <c r="D194" s="27" t="s">
        <v>5368</v>
      </c>
      <c r="E194" s="27"/>
      <c r="F194" s="27" t="s">
        <v>5375</v>
      </c>
      <c r="G194" s="27"/>
      <c r="H194" s="28" t="s">
        <v>1388</v>
      </c>
      <c r="I194" s="27"/>
    </row>
    <row r="195" customFormat="false" ht="15" hidden="false" customHeight="true" outlineLevel="0" collapsed="false">
      <c r="A195" s="27" t="s">
        <v>1391</v>
      </c>
      <c r="B195" s="27" t="s">
        <v>471</v>
      </c>
      <c r="C195" s="27" t="s">
        <v>5367</v>
      </c>
      <c r="D195" s="27" t="s">
        <v>5368</v>
      </c>
      <c r="E195" s="27"/>
      <c r="F195" s="27" t="s">
        <v>5375</v>
      </c>
      <c r="G195" s="27"/>
      <c r="H195" s="28" t="s">
        <v>1392</v>
      </c>
      <c r="I195" s="27"/>
    </row>
    <row r="196" customFormat="false" ht="15" hidden="false" customHeight="true" outlineLevel="0" collapsed="false">
      <c r="A196" s="27" t="s">
        <v>1394</v>
      </c>
      <c r="B196" s="27" t="s">
        <v>471</v>
      </c>
      <c r="C196" s="27" t="s">
        <v>5367</v>
      </c>
      <c r="D196" s="27" t="s">
        <v>5368</v>
      </c>
      <c r="E196" s="27"/>
      <c r="F196" s="27" t="s">
        <v>5369</v>
      </c>
      <c r="G196" s="27"/>
      <c r="H196" s="28" t="s">
        <v>1395</v>
      </c>
      <c r="I196" s="27"/>
    </row>
    <row r="197" customFormat="false" ht="15" hidden="false" customHeight="true" outlineLevel="0" collapsed="false">
      <c r="A197" s="27" t="s">
        <v>1396</v>
      </c>
      <c r="B197" s="27" t="s">
        <v>471</v>
      </c>
      <c r="C197" s="27" t="s">
        <v>5367</v>
      </c>
      <c r="D197" s="27" t="s">
        <v>5368</v>
      </c>
      <c r="E197" s="27"/>
      <c r="F197" s="27" t="s">
        <v>5369</v>
      </c>
      <c r="G197" s="27"/>
      <c r="H197" s="28" t="s">
        <v>1397</v>
      </c>
      <c r="I197" s="27"/>
    </row>
    <row r="198" customFormat="false" ht="15" hidden="false" customHeight="true" outlineLevel="0" collapsed="false">
      <c r="A198" s="27" t="s">
        <v>1398</v>
      </c>
      <c r="B198" s="27" t="s">
        <v>471</v>
      </c>
      <c r="C198" s="27" t="s">
        <v>5367</v>
      </c>
      <c r="D198" s="27" t="s">
        <v>5368</v>
      </c>
      <c r="E198" s="27"/>
      <c r="F198" s="27" t="s">
        <v>5375</v>
      </c>
      <c r="G198" s="27"/>
      <c r="H198" s="28" t="s">
        <v>1399</v>
      </c>
      <c r="I198" s="27"/>
    </row>
    <row r="199" customFormat="false" ht="15" hidden="false" customHeight="true" outlineLevel="0" collapsed="false">
      <c r="A199" s="27" t="s">
        <v>1400</v>
      </c>
      <c r="B199" s="27" t="s">
        <v>471</v>
      </c>
      <c r="C199" s="27" t="s">
        <v>5367</v>
      </c>
      <c r="D199" s="27" t="s">
        <v>5368</v>
      </c>
      <c r="E199" s="27"/>
      <c r="F199" s="27" t="s">
        <v>5375</v>
      </c>
      <c r="G199" s="27"/>
      <c r="H199" s="28" t="s">
        <v>1401</v>
      </c>
      <c r="I199" s="27"/>
    </row>
    <row r="200" customFormat="false" ht="15" hidden="false" customHeight="true" outlineLevel="0" collapsed="false">
      <c r="A200" s="27" t="s">
        <v>1402</v>
      </c>
      <c r="B200" s="27" t="s">
        <v>471</v>
      </c>
      <c r="C200" s="27" t="s">
        <v>5367</v>
      </c>
      <c r="D200" s="27" t="s">
        <v>5368</v>
      </c>
      <c r="E200" s="27"/>
      <c r="F200" s="27" t="s">
        <v>5375</v>
      </c>
      <c r="G200" s="27"/>
      <c r="H200" s="28" t="s">
        <v>1403</v>
      </c>
      <c r="I200" s="27"/>
    </row>
    <row r="201" customFormat="false" ht="15" hidden="false" customHeight="true" outlineLevel="0" collapsed="false">
      <c r="A201" s="27" t="s">
        <v>1404</v>
      </c>
      <c r="B201" s="27" t="s">
        <v>471</v>
      </c>
      <c r="C201" s="27" t="s">
        <v>5367</v>
      </c>
      <c r="D201" s="27" t="s">
        <v>5368</v>
      </c>
      <c r="E201" s="27"/>
      <c r="F201" s="27" t="s">
        <v>5369</v>
      </c>
      <c r="G201" s="27"/>
      <c r="H201" s="28" t="s">
        <v>1405</v>
      </c>
      <c r="I201" s="27"/>
    </row>
    <row r="202" customFormat="false" ht="15" hidden="false" customHeight="true" outlineLevel="0" collapsed="false">
      <c r="A202" s="27" t="s">
        <v>1406</v>
      </c>
      <c r="B202" s="27" t="s">
        <v>471</v>
      </c>
      <c r="C202" s="27" t="s">
        <v>5367</v>
      </c>
      <c r="D202" s="27" t="s">
        <v>5368</v>
      </c>
      <c r="E202" s="27"/>
      <c r="F202" s="27" t="s">
        <v>5369</v>
      </c>
      <c r="G202" s="27"/>
      <c r="H202" s="27" t="s">
        <v>5432</v>
      </c>
      <c r="I202" s="27"/>
    </row>
    <row r="203" customFormat="false" ht="15" hidden="false" customHeight="true" outlineLevel="0" collapsed="false">
      <c r="A203" s="27" t="s">
        <v>1408</v>
      </c>
      <c r="B203" s="27" t="s">
        <v>471</v>
      </c>
      <c r="C203" s="27" t="s">
        <v>5367</v>
      </c>
      <c r="D203" s="27" t="s">
        <v>5368</v>
      </c>
      <c r="E203" s="27"/>
      <c r="F203" s="27" t="s">
        <v>5375</v>
      </c>
      <c r="G203" s="27"/>
      <c r="H203" s="28" t="s">
        <v>1409</v>
      </c>
      <c r="I203" s="27"/>
    </row>
    <row r="204" customFormat="false" ht="15" hidden="false" customHeight="true" outlineLevel="0" collapsed="false">
      <c r="A204" s="27" t="s">
        <v>1413</v>
      </c>
      <c r="B204" s="27" t="s">
        <v>471</v>
      </c>
      <c r="C204" s="27" t="s">
        <v>5367</v>
      </c>
      <c r="D204" s="27" t="s">
        <v>5368</v>
      </c>
      <c r="E204" s="27"/>
      <c r="F204" s="27" t="s">
        <v>5369</v>
      </c>
      <c r="G204" s="27"/>
      <c r="H204" s="28" t="s">
        <v>1414</v>
      </c>
      <c r="I204" s="27"/>
    </row>
    <row r="205" customFormat="false" ht="15" hidden="false" customHeight="true" outlineLevel="0" collapsed="false">
      <c r="A205" s="27" t="s">
        <v>1423</v>
      </c>
      <c r="B205" s="27" t="s">
        <v>471</v>
      </c>
      <c r="C205" s="27" t="s">
        <v>5367</v>
      </c>
      <c r="D205" s="27" t="s">
        <v>5368</v>
      </c>
      <c r="E205" s="27"/>
      <c r="F205" s="27" t="s">
        <v>5369</v>
      </c>
      <c r="G205" s="27"/>
      <c r="H205" s="28" t="s">
        <v>1424</v>
      </c>
      <c r="I205" s="27"/>
    </row>
    <row r="206" customFormat="false" ht="15" hidden="false" customHeight="true" outlineLevel="0" collapsed="false">
      <c r="A206" s="27" t="s">
        <v>1425</v>
      </c>
      <c r="B206" s="27" t="s">
        <v>471</v>
      </c>
      <c r="C206" s="27" t="s">
        <v>5367</v>
      </c>
      <c r="D206" s="27" t="s">
        <v>5368</v>
      </c>
      <c r="E206" s="27"/>
      <c r="F206" s="27" t="s">
        <v>5369</v>
      </c>
      <c r="G206" s="27"/>
      <c r="H206" s="28" t="s">
        <v>1426</v>
      </c>
      <c r="I206" s="27"/>
    </row>
    <row r="207" customFormat="false" ht="15" hidden="false" customHeight="true" outlineLevel="0" collapsed="false">
      <c r="A207" s="27" t="s">
        <v>1427</v>
      </c>
      <c r="B207" s="27" t="s">
        <v>471</v>
      </c>
      <c r="C207" s="27" t="s">
        <v>5367</v>
      </c>
      <c r="D207" s="27" t="s">
        <v>5368</v>
      </c>
      <c r="E207" s="27"/>
      <c r="F207" s="27" t="s">
        <v>5369</v>
      </c>
      <c r="G207" s="27"/>
      <c r="H207" s="28" t="s">
        <v>1428</v>
      </c>
      <c r="I207" s="27"/>
    </row>
    <row r="208" customFormat="false" ht="15" hidden="false" customHeight="true" outlineLevel="0" collapsed="false">
      <c r="A208" s="27" t="s">
        <v>1429</v>
      </c>
      <c r="B208" s="27" t="s">
        <v>471</v>
      </c>
      <c r="C208" s="27" t="s">
        <v>5407</v>
      </c>
      <c r="D208" s="27" t="s">
        <v>5408</v>
      </c>
      <c r="E208" s="27"/>
      <c r="F208" s="27" t="s">
        <v>5417</v>
      </c>
      <c r="G208" s="27"/>
      <c r="H208" s="28" t="s">
        <v>1430</v>
      </c>
      <c r="I208" s="27"/>
    </row>
    <row r="209" customFormat="false" ht="15" hidden="false" customHeight="true" outlineLevel="0" collapsed="false">
      <c r="A209" s="27" t="s">
        <v>1434</v>
      </c>
      <c r="B209" s="27" t="s">
        <v>471</v>
      </c>
      <c r="C209" s="27" t="s">
        <v>5407</v>
      </c>
      <c r="D209" s="27" t="s">
        <v>5408</v>
      </c>
      <c r="E209" s="27"/>
      <c r="F209" s="27" t="s">
        <v>5419</v>
      </c>
      <c r="G209" s="27"/>
      <c r="H209" s="28" t="s">
        <v>1435</v>
      </c>
      <c r="I209" s="27"/>
    </row>
    <row r="210" customFormat="false" ht="15" hidden="false" customHeight="true" outlineLevel="0" collapsed="false">
      <c r="A210" s="27" t="s">
        <v>1436</v>
      </c>
      <c r="B210" s="27" t="s">
        <v>471</v>
      </c>
      <c r="C210" s="27" t="s">
        <v>5407</v>
      </c>
      <c r="D210" s="27" t="s">
        <v>5408</v>
      </c>
      <c r="E210" s="27"/>
      <c r="F210" s="27" t="s">
        <v>5418</v>
      </c>
      <c r="G210" s="27"/>
      <c r="H210" s="28" t="s">
        <v>1437</v>
      </c>
      <c r="I210" s="27"/>
    </row>
    <row r="211" customFormat="false" ht="15" hidden="false" customHeight="true" outlineLevel="0" collapsed="false">
      <c r="A211" s="27" t="s">
        <v>1441</v>
      </c>
      <c r="B211" s="27" t="s">
        <v>471</v>
      </c>
      <c r="C211" s="27" t="s">
        <v>5367</v>
      </c>
      <c r="D211" s="27" t="s">
        <v>5368</v>
      </c>
      <c r="E211" s="27"/>
      <c r="F211" s="27" t="s">
        <v>5375</v>
      </c>
      <c r="G211" s="27"/>
      <c r="H211" s="28" t="s">
        <v>1442</v>
      </c>
      <c r="I211" s="27"/>
    </row>
    <row r="212" customFormat="false" ht="15" hidden="false" customHeight="true" outlineLevel="0" collapsed="false">
      <c r="A212" s="27" t="s">
        <v>1444</v>
      </c>
      <c r="B212" s="27" t="s">
        <v>471</v>
      </c>
      <c r="C212" s="27" t="s">
        <v>5407</v>
      </c>
      <c r="D212" s="27" t="s">
        <v>5408</v>
      </c>
      <c r="E212" s="27"/>
      <c r="F212" s="27" t="s">
        <v>5416</v>
      </c>
      <c r="G212" s="27"/>
      <c r="H212" s="28" t="s">
        <v>1445</v>
      </c>
      <c r="I212" s="27"/>
    </row>
    <row r="213" customFormat="false" ht="15" hidden="false" customHeight="true" outlineLevel="0" collapsed="false">
      <c r="A213" s="27" t="s">
        <v>1446</v>
      </c>
      <c r="B213" s="27" t="s">
        <v>471</v>
      </c>
      <c r="C213" s="27" t="s">
        <v>5367</v>
      </c>
      <c r="D213" s="27" t="s">
        <v>5368</v>
      </c>
      <c r="E213" s="27"/>
      <c r="F213" s="27" t="s">
        <v>5375</v>
      </c>
      <c r="G213" s="27"/>
      <c r="H213" s="28" t="s">
        <v>1447</v>
      </c>
      <c r="I213" s="27"/>
    </row>
    <row r="214" customFormat="false" ht="15" hidden="false" customHeight="true" outlineLevel="0" collapsed="false">
      <c r="A214" s="27" t="s">
        <v>1455</v>
      </c>
      <c r="B214" s="27" t="s">
        <v>471</v>
      </c>
      <c r="C214" s="27" t="s">
        <v>5367</v>
      </c>
      <c r="D214" s="27" t="s">
        <v>5368</v>
      </c>
      <c r="E214" s="27"/>
      <c r="F214" s="27" t="s">
        <v>5369</v>
      </c>
      <c r="G214" s="27"/>
      <c r="H214" s="28" t="s">
        <v>1456</v>
      </c>
      <c r="I214" s="27"/>
    </row>
    <row r="215" customFormat="false" ht="15" hidden="false" customHeight="true" outlineLevel="0" collapsed="false">
      <c r="A215" s="27" t="s">
        <v>1457</v>
      </c>
      <c r="B215" s="27" t="s">
        <v>471</v>
      </c>
      <c r="C215" s="27" t="s">
        <v>5399</v>
      </c>
      <c r="D215" s="27" t="s">
        <v>5400</v>
      </c>
      <c r="E215" s="27"/>
      <c r="F215" s="27" t="s">
        <v>5417</v>
      </c>
      <c r="G215" s="27"/>
      <c r="H215" s="28" t="s">
        <v>1458</v>
      </c>
      <c r="I215" s="27"/>
    </row>
    <row r="216" customFormat="false" ht="15" hidden="false" customHeight="true" outlineLevel="0" collapsed="false">
      <c r="A216" s="27" t="s">
        <v>1457</v>
      </c>
      <c r="B216" s="27" t="s">
        <v>471</v>
      </c>
      <c r="C216" s="27" t="s">
        <v>5367</v>
      </c>
      <c r="D216" s="27" t="s">
        <v>5368</v>
      </c>
      <c r="E216" s="27"/>
      <c r="F216" s="27" t="s">
        <v>5375</v>
      </c>
      <c r="G216" s="27"/>
      <c r="H216" s="28" t="s">
        <v>1458</v>
      </c>
      <c r="I216" s="27"/>
    </row>
    <row r="217" customFormat="false" ht="15" hidden="false" customHeight="true" outlineLevel="0" collapsed="false">
      <c r="A217" s="27" t="s">
        <v>1459</v>
      </c>
      <c r="B217" s="27" t="s">
        <v>471</v>
      </c>
      <c r="C217" s="27" t="s">
        <v>5367</v>
      </c>
      <c r="D217" s="27" t="s">
        <v>5368</v>
      </c>
      <c r="E217" s="27"/>
      <c r="F217" s="27" t="s">
        <v>5369</v>
      </c>
      <c r="G217" s="27"/>
      <c r="H217" s="28" t="s">
        <v>1460</v>
      </c>
      <c r="I217" s="27"/>
    </row>
    <row r="218" customFormat="false" ht="15" hidden="false" customHeight="true" outlineLevel="0" collapsed="false">
      <c r="A218" s="27" t="s">
        <v>1463</v>
      </c>
      <c r="B218" s="27" t="s">
        <v>471</v>
      </c>
      <c r="C218" s="27" t="s">
        <v>5367</v>
      </c>
      <c r="D218" s="27" t="s">
        <v>5368</v>
      </c>
      <c r="E218" s="27"/>
      <c r="F218" s="27" t="s">
        <v>5369</v>
      </c>
      <c r="G218" s="27"/>
      <c r="H218" s="28" t="s">
        <v>1464</v>
      </c>
      <c r="I218" s="27"/>
    </row>
    <row r="219" customFormat="false" ht="15" hidden="false" customHeight="true" outlineLevel="0" collapsed="false">
      <c r="A219" s="27" t="s">
        <v>1470</v>
      </c>
      <c r="B219" s="27" t="s">
        <v>478</v>
      </c>
      <c r="C219" s="27" t="s">
        <v>5367</v>
      </c>
      <c r="D219" s="27" t="s">
        <v>5368</v>
      </c>
      <c r="E219" s="27" t="s">
        <v>5433</v>
      </c>
      <c r="F219" s="27" t="s">
        <v>5369</v>
      </c>
      <c r="G219" s="27" t="s">
        <v>5434</v>
      </c>
      <c r="H219" s="28" t="s">
        <v>1471</v>
      </c>
      <c r="I219" s="27"/>
    </row>
    <row r="220" customFormat="false" ht="15" hidden="false" customHeight="true" outlineLevel="0" collapsed="false">
      <c r="A220" s="27" t="s">
        <v>1537</v>
      </c>
      <c r="B220" s="27" t="s">
        <v>478</v>
      </c>
      <c r="C220" s="27" t="s">
        <v>5367</v>
      </c>
      <c r="D220" s="27" t="s">
        <v>5368</v>
      </c>
      <c r="E220" s="27"/>
      <c r="F220" s="27" t="s">
        <v>5369</v>
      </c>
      <c r="G220" s="27" t="s">
        <v>5435</v>
      </c>
      <c r="H220" s="28" t="s">
        <v>1538</v>
      </c>
      <c r="I220" s="27"/>
    </row>
    <row r="221" customFormat="false" ht="15" hidden="false" customHeight="true" outlineLevel="0" collapsed="false">
      <c r="A221" s="27" t="s">
        <v>1543</v>
      </c>
      <c r="B221" s="27" t="s">
        <v>478</v>
      </c>
      <c r="C221" s="27" t="s">
        <v>5367</v>
      </c>
      <c r="D221" s="27" t="s">
        <v>5368</v>
      </c>
      <c r="E221" s="27"/>
      <c r="F221" s="27" t="s">
        <v>5369</v>
      </c>
      <c r="G221" s="27" t="s">
        <v>5436</v>
      </c>
      <c r="H221" s="28" t="s">
        <v>1544</v>
      </c>
      <c r="I221" s="27"/>
    </row>
    <row r="222" customFormat="false" ht="15" hidden="false" customHeight="true" outlineLevel="0" collapsed="false">
      <c r="A222" s="27" t="s">
        <v>1548</v>
      </c>
      <c r="B222" s="27" t="s">
        <v>478</v>
      </c>
      <c r="C222" s="27" t="s">
        <v>5367</v>
      </c>
      <c r="D222" s="27" t="s">
        <v>5368</v>
      </c>
      <c r="E222" s="27"/>
      <c r="F222" s="27" t="s">
        <v>5369</v>
      </c>
      <c r="G222" s="27" t="s">
        <v>5437</v>
      </c>
      <c r="H222" s="28" t="s">
        <v>1549</v>
      </c>
      <c r="I222" s="27"/>
    </row>
    <row r="223" customFormat="false" ht="15" hidden="false" customHeight="true" outlineLevel="0" collapsed="false">
      <c r="A223" s="27" t="s">
        <v>1551</v>
      </c>
      <c r="B223" s="27" t="s">
        <v>478</v>
      </c>
      <c r="C223" s="27" t="s">
        <v>5407</v>
      </c>
      <c r="D223" s="27" t="s">
        <v>5408</v>
      </c>
      <c r="E223" s="27"/>
      <c r="F223" s="27" t="s">
        <v>5416</v>
      </c>
      <c r="G223" s="27" t="s">
        <v>5438</v>
      </c>
      <c r="H223" s="28" t="s">
        <v>1552</v>
      </c>
      <c r="I223" s="27" t="s">
        <v>5439</v>
      </c>
    </row>
    <row r="224" customFormat="false" ht="15" hidden="false" customHeight="true" outlineLevel="0" collapsed="false">
      <c r="A224" s="27" t="s">
        <v>1551</v>
      </c>
      <c r="B224" s="27" t="s">
        <v>478</v>
      </c>
      <c r="C224" s="27" t="s">
        <v>5367</v>
      </c>
      <c r="D224" s="27" t="s">
        <v>5368</v>
      </c>
      <c r="E224" s="27"/>
      <c r="F224" s="27" t="s">
        <v>5369</v>
      </c>
      <c r="G224" s="27" t="s">
        <v>5440</v>
      </c>
      <c r="H224" s="28" t="s">
        <v>1552</v>
      </c>
      <c r="I224" s="27"/>
    </row>
    <row r="225" customFormat="false" ht="15" hidden="false" customHeight="true" outlineLevel="0" collapsed="false">
      <c r="A225" s="27" t="s">
        <v>1554</v>
      </c>
      <c r="B225" s="27" t="s">
        <v>478</v>
      </c>
      <c r="C225" s="27" t="s">
        <v>5367</v>
      </c>
      <c r="D225" s="27" t="s">
        <v>5368</v>
      </c>
      <c r="E225" s="27"/>
      <c r="F225" s="27" t="s">
        <v>5375</v>
      </c>
      <c r="G225" s="27" t="s">
        <v>5441</v>
      </c>
      <c r="H225" s="28" t="s">
        <v>1555</v>
      </c>
      <c r="I225" s="27"/>
    </row>
    <row r="226" customFormat="false" ht="15" hidden="false" customHeight="true" outlineLevel="0" collapsed="false">
      <c r="A226" s="27" t="s">
        <v>1561</v>
      </c>
      <c r="B226" s="27" t="s">
        <v>478</v>
      </c>
      <c r="C226" s="27" t="s">
        <v>5407</v>
      </c>
      <c r="D226" s="27" t="s">
        <v>5422</v>
      </c>
      <c r="E226" s="27"/>
      <c r="F226" s="27" t="s">
        <v>5442</v>
      </c>
      <c r="G226" s="27" t="s">
        <v>5443</v>
      </c>
      <c r="H226" s="28" t="s">
        <v>1562</v>
      </c>
      <c r="I226" s="27" t="s">
        <v>5444</v>
      </c>
    </row>
    <row r="227" customFormat="false" ht="15" hidden="false" customHeight="true" outlineLevel="0" collapsed="false">
      <c r="A227" s="27" t="s">
        <v>1564</v>
      </c>
      <c r="B227" s="27" t="s">
        <v>478</v>
      </c>
      <c r="C227" s="27" t="s">
        <v>5367</v>
      </c>
      <c r="D227" s="27" t="s">
        <v>5368</v>
      </c>
      <c r="E227" s="27"/>
      <c r="F227" s="27" t="s">
        <v>5375</v>
      </c>
      <c r="G227" s="27" t="s">
        <v>5445</v>
      </c>
      <c r="H227" s="28" t="s">
        <v>1565</v>
      </c>
      <c r="I227" s="27"/>
    </row>
    <row r="228" customFormat="false" ht="15" hidden="false" customHeight="true" outlineLevel="0" collapsed="false">
      <c r="A228" s="27" t="s">
        <v>1573</v>
      </c>
      <c r="B228" s="27" t="s">
        <v>478</v>
      </c>
      <c r="C228" s="27" t="s">
        <v>5407</v>
      </c>
      <c r="D228" s="27" t="s">
        <v>5408</v>
      </c>
      <c r="E228" s="27"/>
      <c r="F228" s="27" t="s">
        <v>5425</v>
      </c>
      <c r="G228" s="27" t="s">
        <v>5446</v>
      </c>
      <c r="H228" s="28" t="s">
        <v>1574</v>
      </c>
      <c r="I228" s="27" t="s">
        <v>5439</v>
      </c>
    </row>
    <row r="229" customFormat="false" ht="15" hidden="false" customHeight="true" outlineLevel="0" collapsed="false">
      <c r="A229" s="27" t="s">
        <v>1573</v>
      </c>
      <c r="B229" s="27" t="s">
        <v>478</v>
      </c>
      <c r="C229" s="27" t="s">
        <v>5367</v>
      </c>
      <c r="D229" s="27" t="s">
        <v>5368</v>
      </c>
      <c r="E229" s="27"/>
      <c r="F229" s="27" t="s">
        <v>5369</v>
      </c>
      <c r="G229" s="27" t="s">
        <v>5437</v>
      </c>
      <c r="H229" s="28" t="s">
        <v>1574</v>
      </c>
      <c r="I229" s="27"/>
    </row>
    <row r="230" customFormat="false" ht="15" hidden="false" customHeight="true" outlineLevel="0" collapsed="false">
      <c r="A230" s="27" t="s">
        <v>1581</v>
      </c>
      <c r="B230" s="27" t="s">
        <v>478</v>
      </c>
      <c r="C230" s="27" t="s">
        <v>5367</v>
      </c>
      <c r="D230" s="27" t="s">
        <v>5368</v>
      </c>
      <c r="E230" s="27"/>
      <c r="F230" s="27" t="s">
        <v>5369</v>
      </c>
      <c r="G230" s="27" t="s">
        <v>5441</v>
      </c>
      <c r="H230" s="28" t="s">
        <v>1582</v>
      </c>
      <c r="I230" s="27"/>
    </row>
    <row r="231" customFormat="false" ht="15" hidden="false" customHeight="true" outlineLevel="0" collapsed="false">
      <c r="A231" s="27" t="s">
        <v>1585</v>
      </c>
      <c r="B231" s="27" t="s">
        <v>478</v>
      </c>
      <c r="C231" s="27" t="s">
        <v>5367</v>
      </c>
      <c r="D231" s="27" t="s">
        <v>5368</v>
      </c>
      <c r="E231" s="27"/>
      <c r="F231" s="27" t="s">
        <v>5375</v>
      </c>
      <c r="G231" s="27" t="s">
        <v>5447</v>
      </c>
      <c r="H231" s="28" t="s">
        <v>1586</v>
      </c>
      <c r="I231" s="27"/>
    </row>
    <row r="232" customFormat="false" ht="15" hidden="false" customHeight="true" outlineLevel="0" collapsed="false">
      <c r="A232" s="27" t="s">
        <v>1588</v>
      </c>
      <c r="B232" s="27" t="s">
        <v>478</v>
      </c>
      <c r="C232" s="27" t="s">
        <v>5367</v>
      </c>
      <c r="D232" s="27" t="s">
        <v>5368</v>
      </c>
      <c r="E232" s="27"/>
      <c r="F232" s="27" t="s">
        <v>5369</v>
      </c>
      <c r="G232" s="27" t="s">
        <v>5448</v>
      </c>
      <c r="H232" s="28" t="s">
        <v>1589</v>
      </c>
      <c r="I232" s="27"/>
    </row>
    <row r="233" customFormat="false" ht="15" hidden="false" customHeight="true" outlineLevel="0" collapsed="false">
      <c r="A233" s="27" t="s">
        <v>1600</v>
      </c>
      <c r="B233" s="27" t="s">
        <v>478</v>
      </c>
      <c r="C233" s="27" t="s">
        <v>5399</v>
      </c>
      <c r="D233" s="27" t="s">
        <v>5400</v>
      </c>
      <c r="E233" s="27"/>
      <c r="F233" s="27" t="s">
        <v>5417</v>
      </c>
      <c r="G233" s="27" t="s">
        <v>5449</v>
      </c>
      <c r="H233" s="28" t="s">
        <v>1601</v>
      </c>
      <c r="I233" s="27"/>
    </row>
    <row r="234" customFormat="false" ht="15" hidden="false" customHeight="true" outlineLevel="0" collapsed="false">
      <c r="A234" s="27" t="s">
        <v>1614</v>
      </c>
      <c r="B234" s="27" t="s">
        <v>478</v>
      </c>
      <c r="C234" s="27" t="s">
        <v>5367</v>
      </c>
      <c r="D234" s="27" t="s">
        <v>5368</v>
      </c>
      <c r="E234" s="27"/>
      <c r="F234" s="27" t="s">
        <v>5375</v>
      </c>
      <c r="G234" s="27" t="s">
        <v>5448</v>
      </c>
      <c r="H234" s="28" t="s">
        <v>1615</v>
      </c>
      <c r="I234" s="27"/>
    </row>
    <row r="235" customFormat="false" ht="15" hidden="false" customHeight="true" outlineLevel="0" collapsed="false">
      <c r="A235" s="27" t="s">
        <v>1658</v>
      </c>
      <c r="B235" s="27" t="s">
        <v>478</v>
      </c>
      <c r="C235" s="27" t="s">
        <v>5367</v>
      </c>
      <c r="D235" s="27" t="s">
        <v>5368</v>
      </c>
      <c r="E235" s="27"/>
      <c r="F235" s="27" t="s">
        <v>5369</v>
      </c>
      <c r="G235" s="27" t="s">
        <v>5447</v>
      </c>
      <c r="H235" s="28" t="s">
        <v>1659</v>
      </c>
      <c r="I235" s="27"/>
    </row>
    <row r="236" customFormat="false" ht="15" hidden="false" customHeight="true" outlineLevel="0" collapsed="false">
      <c r="A236" s="27" t="s">
        <v>1670</v>
      </c>
      <c r="B236" s="27" t="s">
        <v>478</v>
      </c>
      <c r="C236" s="27" t="s">
        <v>5399</v>
      </c>
      <c r="D236" s="27" t="s">
        <v>5400</v>
      </c>
      <c r="E236" s="27"/>
      <c r="F236" s="27" t="s">
        <v>5417</v>
      </c>
      <c r="G236" s="27" t="s">
        <v>5449</v>
      </c>
      <c r="H236" s="28" t="s">
        <v>5450</v>
      </c>
      <c r="I236" s="27"/>
    </row>
    <row r="237" customFormat="false" ht="15" hidden="false" customHeight="true" outlineLevel="0" collapsed="false">
      <c r="A237" s="27" t="s">
        <v>1682</v>
      </c>
      <c r="B237" s="27" t="s">
        <v>478</v>
      </c>
      <c r="C237" s="27" t="s">
        <v>5367</v>
      </c>
      <c r="D237" s="27" t="s">
        <v>5368</v>
      </c>
      <c r="E237" s="27"/>
      <c r="F237" s="27" t="s">
        <v>5369</v>
      </c>
      <c r="G237" s="27" t="s">
        <v>5451</v>
      </c>
      <c r="H237" s="28" t="s">
        <v>5452</v>
      </c>
      <c r="I237" s="27"/>
    </row>
    <row r="238" customFormat="false" ht="15" hidden="false" customHeight="true" outlineLevel="0" collapsed="false">
      <c r="A238" s="27" t="s">
        <v>1703</v>
      </c>
      <c r="B238" s="27" t="s">
        <v>478</v>
      </c>
      <c r="C238" s="27" t="s">
        <v>5367</v>
      </c>
      <c r="D238" s="27" t="s">
        <v>5368</v>
      </c>
      <c r="E238" s="27"/>
      <c r="F238" s="27" t="s">
        <v>5369</v>
      </c>
      <c r="G238" s="27" t="s">
        <v>5437</v>
      </c>
      <c r="H238" s="28" t="s">
        <v>1704</v>
      </c>
      <c r="I238" s="27"/>
    </row>
    <row r="239" customFormat="false" ht="15" hidden="false" customHeight="true" outlineLevel="0" collapsed="false">
      <c r="A239" s="27" t="s">
        <v>1725</v>
      </c>
      <c r="B239" s="27" t="s">
        <v>478</v>
      </c>
      <c r="C239" s="27" t="s">
        <v>5367</v>
      </c>
      <c r="D239" s="27" t="s">
        <v>5368</v>
      </c>
      <c r="E239" s="27"/>
      <c r="F239" s="27" t="s">
        <v>5369</v>
      </c>
      <c r="G239" s="27" t="s">
        <v>5453</v>
      </c>
      <c r="H239" s="28" t="s">
        <v>5454</v>
      </c>
      <c r="I239" s="27"/>
    </row>
    <row r="240" customFormat="false" ht="15" hidden="false" customHeight="true" outlineLevel="0" collapsed="false">
      <c r="A240" s="27" t="s">
        <v>1759</v>
      </c>
      <c r="B240" s="27" t="s">
        <v>487</v>
      </c>
      <c r="C240" s="27" t="s">
        <v>5367</v>
      </c>
      <c r="D240" s="27" t="s">
        <v>5368</v>
      </c>
      <c r="E240" s="27"/>
      <c r="F240" s="27" t="s">
        <v>5369</v>
      </c>
      <c r="G240" s="27"/>
      <c r="H240" s="28" t="s">
        <v>1760</v>
      </c>
      <c r="I240" s="27"/>
    </row>
    <row r="241" customFormat="false" ht="15" hidden="false" customHeight="true" outlineLevel="0" collapsed="false">
      <c r="A241" s="27" t="s">
        <v>1762</v>
      </c>
      <c r="B241" s="27" t="s">
        <v>487</v>
      </c>
      <c r="C241" s="27" t="s">
        <v>5367</v>
      </c>
      <c r="D241" s="27" t="s">
        <v>5368</v>
      </c>
      <c r="E241" s="28" t="s">
        <v>5455</v>
      </c>
      <c r="F241" s="27" t="s">
        <v>5369</v>
      </c>
      <c r="G241" s="27"/>
      <c r="H241" s="28" t="s">
        <v>5456</v>
      </c>
      <c r="I241" s="27"/>
    </row>
    <row r="242" customFormat="false" ht="15" hidden="false" customHeight="true" outlineLevel="0" collapsed="false">
      <c r="A242" s="27" t="s">
        <v>1768</v>
      </c>
      <c r="B242" s="27" t="s">
        <v>487</v>
      </c>
      <c r="C242" s="27" t="s">
        <v>5367</v>
      </c>
      <c r="D242" s="27" t="s">
        <v>5368</v>
      </c>
      <c r="E242" s="27"/>
      <c r="F242" s="27" t="s">
        <v>5375</v>
      </c>
      <c r="G242" s="27"/>
      <c r="H242" s="28" t="s">
        <v>1769</v>
      </c>
      <c r="I242" s="27"/>
    </row>
    <row r="243" customFormat="false" ht="15" hidden="false" customHeight="true" outlineLevel="0" collapsed="false">
      <c r="A243" s="27" t="s">
        <v>1771</v>
      </c>
      <c r="B243" s="27" t="s">
        <v>487</v>
      </c>
      <c r="C243" s="27" t="s">
        <v>5367</v>
      </c>
      <c r="D243" s="27" t="s">
        <v>5368</v>
      </c>
      <c r="E243" s="27"/>
      <c r="F243" s="27" t="s">
        <v>5369</v>
      </c>
      <c r="G243" s="27"/>
      <c r="H243" s="28" t="s">
        <v>1772</v>
      </c>
      <c r="I243" s="27"/>
    </row>
    <row r="244" customFormat="false" ht="15" hidden="false" customHeight="true" outlineLevel="0" collapsed="false">
      <c r="A244" s="27" t="s">
        <v>1774</v>
      </c>
      <c r="B244" s="27" t="s">
        <v>487</v>
      </c>
      <c r="C244" s="27" t="s">
        <v>5367</v>
      </c>
      <c r="D244" s="27" t="s">
        <v>5368</v>
      </c>
      <c r="E244" s="28" t="s">
        <v>5455</v>
      </c>
      <c r="F244" s="27" t="s">
        <v>5369</v>
      </c>
      <c r="G244" s="27"/>
      <c r="H244" s="28" t="s">
        <v>5457</v>
      </c>
      <c r="I244" s="27"/>
    </row>
    <row r="245" customFormat="false" ht="15" hidden="false" customHeight="true" outlineLevel="0" collapsed="false">
      <c r="A245" s="27" t="s">
        <v>1777</v>
      </c>
      <c r="B245" s="27" t="s">
        <v>487</v>
      </c>
      <c r="C245" s="27" t="s">
        <v>5367</v>
      </c>
      <c r="D245" s="27" t="s">
        <v>5368</v>
      </c>
      <c r="E245" s="27"/>
      <c r="F245" s="27" t="s">
        <v>5375</v>
      </c>
      <c r="G245" s="27"/>
      <c r="H245" s="28" t="s">
        <v>1778</v>
      </c>
      <c r="I245" s="27"/>
    </row>
    <row r="246" customFormat="false" ht="15" hidden="false" customHeight="true" outlineLevel="0" collapsed="false">
      <c r="A246" s="27" t="s">
        <v>1780</v>
      </c>
      <c r="B246" s="27" t="s">
        <v>487</v>
      </c>
      <c r="C246" s="27" t="s">
        <v>5367</v>
      </c>
      <c r="D246" s="27" t="s">
        <v>5368</v>
      </c>
      <c r="E246" s="27"/>
      <c r="F246" s="27" t="s">
        <v>5369</v>
      </c>
      <c r="G246" s="27"/>
      <c r="H246" s="28" t="s">
        <v>1781</v>
      </c>
      <c r="I246" s="27"/>
    </row>
    <row r="247" customFormat="false" ht="15" hidden="false" customHeight="true" outlineLevel="0" collapsed="false">
      <c r="A247" s="27" t="s">
        <v>1783</v>
      </c>
      <c r="B247" s="27" t="s">
        <v>487</v>
      </c>
      <c r="C247" s="27" t="s">
        <v>5367</v>
      </c>
      <c r="D247" s="27" t="s">
        <v>5368</v>
      </c>
      <c r="E247" s="27"/>
      <c r="F247" s="27" t="s">
        <v>5369</v>
      </c>
      <c r="G247" s="27"/>
      <c r="H247" s="28" t="s">
        <v>1784</v>
      </c>
      <c r="I247" s="27"/>
    </row>
    <row r="248" customFormat="false" ht="15" hidden="false" customHeight="true" outlineLevel="0" collapsed="false">
      <c r="A248" s="27" t="s">
        <v>1783</v>
      </c>
      <c r="B248" s="27" t="s">
        <v>487</v>
      </c>
      <c r="C248" s="27" t="s">
        <v>5458</v>
      </c>
      <c r="D248" s="27" t="s">
        <v>5459</v>
      </c>
      <c r="E248" s="27"/>
      <c r="F248" s="27" t="s">
        <v>5460</v>
      </c>
      <c r="G248" s="27"/>
      <c r="H248" s="28" t="s">
        <v>1784</v>
      </c>
      <c r="I248" s="27"/>
    </row>
    <row r="249" customFormat="false" ht="15" hidden="false" customHeight="true" outlineLevel="0" collapsed="false">
      <c r="A249" s="27" t="s">
        <v>1786</v>
      </c>
      <c r="B249" s="27" t="s">
        <v>487</v>
      </c>
      <c r="C249" s="27" t="s">
        <v>5407</v>
      </c>
      <c r="D249" s="27" t="s">
        <v>5408</v>
      </c>
      <c r="E249" s="27"/>
      <c r="F249" s="27" t="s">
        <v>5417</v>
      </c>
      <c r="G249" s="27"/>
      <c r="H249" s="27" t="s">
        <v>1787</v>
      </c>
      <c r="I249" s="27"/>
    </row>
    <row r="250" customFormat="false" ht="15" hidden="false" customHeight="true" outlineLevel="0" collapsed="false">
      <c r="A250" s="27" t="s">
        <v>1786</v>
      </c>
      <c r="B250" s="27" t="s">
        <v>487</v>
      </c>
      <c r="C250" s="27" t="s">
        <v>5367</v>
      </c>
      <c r="D250" s="27" t="s">
        <v>5368</v>
      </c>
      <c r="E250" s="27"/>
      <c r="F250" s="27" t="s">
        <v>5369</v>
      </c>
      <c r="G250" s="27"/>
      <c r="H250" s="27" t="s">
        <v>1787</v>
      </c>
      <c r="I250" s="27"/>
    </row>
    <row r="251" customFormat="false" ht="15" hidden="false" customHeight="true" outlineLevel="0" collapsed="false">
      <c r="A251" s="27" t="s">
        <v>1789</v>
      </c>
      <c r="B251" s="27" t="s">
        <v>487</v>
      </c>
      <c r="C251" s="27" t="s">
        <v>5407</v>
      </c>
      <c r="D251" s="27" t="s">
        <v>5408</v>
      </c>
      <c r="E251" s="27"/>
      <c r="F251" s="27" t="s">
        <v>5418</v>
      </c>
      <c r="G251" s="27"/>
      <c r="H251" s="27" t="s">
        <v>1790</v>
      </c>
      <c r="I251" s="27"/>
    </row>
    <row r="252" customFormat="false" ht="15" hidden="false" customHeight="true" outlineLevel="0" collapsed="false">
      <c r="A252" s="27" t="s">
        <v>1789</v>
      </c>
      <c r="B252" s="27" t="s">
        <v>487</v>
      </c>
      <c r="C252" s="27" t="s">
        <v>5367</v>
      </c>
      <c r="D252" s="27" t="s">
        <v>5368</v>
      </c>
      <c r="E252" s="27"/>
      <c r="F252" s="27" t="s">
        <v>5375</v>
      </c>
      <c r="G252" s="27"/>
      <c r="H252" s="27" t="s">
        <v>1790</v>
      </c>
      <c r="I252" s="27"/>
    </row>
    <row r="253" customFormat="false" ht="15" hidden="false" customHeight="true" outlineLevel="0" collapsed="false">
      <c r="A253" s="27" t="s">
        <v>1792</v>
      </c>
      <c r="B253" s="27" t="s">
        <v>487</v>
      </c>
      <c r="C253" s="27" t="s">
        <v>5407</v>
      </c>
      <c r="D253" s="27" t="s">
        <v>5408</v>
      </c>
      <c r="E253" s="27"/>
      <c r="F253" s="27" t="s">
        <v>5417</v>
      </c>
      <c r="G253" s="27"/>
      <c r="H253" s="27" t="s">
        <v>1793</v>
      </c>
      <c r="I253" s="27"/>
    </row>
    <row r="254" customFormat="false" ht="15" hidden="false" customHeight="true" outlineLevel="0" collapsed="false">
      <c r="A254" s="27" t="s">
        <v>1792</v>
      </c>
      <c r="B254" s="27" t="s">
        <v>487</v>
      </c>
      <c r="C254" s="27" t="s">
        <v>5367</v>
      </c>
      <c r="D254" s="27" t="s">
        <v>5368</v>
      </c>
      <c r="E254" s="27"/>
      <c r="F254" s="27" t="s">
        <v>5369</v>
      </c>
      <c r="G254" s="27"/>
      <c r="H254" s="27" t="s">
        <v>1793</v>
      </c>
      <c r="I254" s="27"/>
    </row>
    <row r="255" customFormat="false" ht="15" hidden="false" customHeight="true" outlineLevel="0" collapsed="false">
      <c r="A255" s="27" t="s">
        <v>1795</v>
      </c>
      <c r="B255" s="27" t="s">
        <v>487</v>
      </c>
      <c r="C255" s="27" t="s">
        <v>5367</v>
      </c>
      <c r="D255" s="27" t="s">
        <v>5368</v>
      </c>
      <c r="E255" s="27"/>
      <c r="F255" s="27" t="s">
        <v>5369</v>
      </c>
      <c r="G255" s="27"/>
      <c r="H255" s="27" t="s">
        <v>1796</v>
      </c>
      <c r="I255" s="27"/>
    </row>
    <row r="256" customFormat="false" ht="15" hidden="false" customHeight="true" outlineLevel="0" collapsed="false">
      <c r="A256" s="27" t="s">
        <v>1798</v>
      </c>
      <c r="B256" s="27" t="s">
        <v>487</v>
      </c>
      <c r="C256" s="27" t="s">
        <v>5367</v>
      </c>
      <c r="D256" s="27" t="s">
        <v>5368</v>
      </c>
      <c r="E256" s="27"/>
      <c r="F256" s="27" t="s">
        <v>5369</v>
      </c>
      <c r="G256" s="27"/>
      <c r="H256" s="28" t="s">
        <v>908</v>
      </c>
      <c r="I256" s="27"/>
    </row>
    <row r="257" customFormat="false" ht="15" hidden="false" customHeight="true" outlineLevel="0" collapsed="false">
      <c r="A257" s="27" t="s">
        <v>1804</v>
      </c>
      <c r="B257" s="27" t="s">
        <v>487</v>
      </c>
      <c r="C257" s="27" t="s">
        <v>5367</v>
      </c>
      <c r="D257" s="27" t="s">
        <v>5368</v>
      </c>
      <c r="E257" s="27"/>
      <c r="F257" s="27" t="s">
        <v>5369</v>
      </c>
      <c r="G257" s="27"/>
      <c r="H257" s="27" t="s">
        <v>1805</v>
      </c>
      <c r="I257" s="27"/>
    </row>
    <row r="258" customFormat="false" ht="15" hidden="false" customHeight="true" outlineLevel="0" collapsed="false">
      <c r="A258" s="27" t="s">
        <v>1809</v>
      </c>
      <c r="B258" s="27" t="s">
        <v>487</v>
      </c>
      <c r="C258" s="27" t="s">
        <v>5367</v>
      </c>
      <c r="D258" s="27" t="s">
        <v>5368</v>
      </c>
      <c r="E258" s="28" t="s">
        <v>5429</v>
      </c>
      <c r="F258" s="27" t="s">
        <v>5375</v>
      </c>
      <c r="G258" s="27"/>
      <c r="H258" s="28" t="s">
        <v>5430</v>
      </c>
      <c r="I258" s="27"/>
    </row>
    <row r="259" customFormat="false" ht="15" hidden="false" customHeight="true" outlineLevel="0" collapsed="false">
      <c r="A259" s="27" t="s">
        <v>1811</v>
      </c>
      <c r="B259" s="27" t="s">
        <v>487</v>
      </c>
      <c r="C259" s="27" t="s">
        <v>5367</v>
      </c>
      <c r="D259" s="27" t="s">
        <v>5368</v>
      </c>
      <c r="E259" s="27"/>
      <c r="F259" s="27" t="s">
        <v>5369</v>
      </c>
      <c r="G259" s="27"/>
      <c r="H259" s="28" t="s">
        <v>1812</v>
      </c>
      <c r="I259" s="27"/>
    </row>
    <row r="260" customFormat="false" ht="15" hidden="false" customHeight="true" outlineLevel="0" collapsed="false">
      <c r="A260" s="27" t="s">
        <v>1814</v>
      </c>
      <c r="B260" s="27" t="s">
        <v>487</v>
      </c>
      <c r="C260" s="27" t="s">
        <v>5367</v>
      </c>
      <c r="D260" s="27" t="s">
        <v>5368</v>
      </c>
      <c r="E260" s="27"/>
      <c r="F260" s="27" t="s">
        <v>5369</v>
      </c>
      <c r="G260" s="27"/>
      <c r="H260" s="28" t="s">
        <v>1815</v>
      </c>
      <c r="I260" s="27"/>
    </row>
    <row r="261" customFormat="false" ht="15" hidden="false" customHeight="true" outlineLevel="0" collapsed="false">
      <c r="A261" s="27" t="s">
        <v>1817</v>
      </c>
      <c r="B261" s="27" t="s">
        <v>487</v>
      </c>
      <c r="C261" s="27" t="s">
        <v>5367</v>
      </c>
      <c r="D261" s="27" t="s">
        <v>5368</v>
      </c>
      <c r="E261" s="27"/>
      <c r="F261" s="27" t="s">
        <v>5375</v>
      </c>
      <c r="G261" s="27"/>
      <c r="H261" s="27" t="s">
        <v>1818</v>
      </c>
      <c r="I261" s="27"/>
    </row>
    <row r="262" customFormat="false" ht="15" hidden="false" customHeight="true" outlineLevel="0" collapsed="false">
      <c r="A262" s="27" t="s">
        <v>1820</v>
      </c>
      <c r="B262" s="27" t="s">
        <v>487</v>
      </c>
      <c r="C262" s="27" t="s">
        <v>5367</v>
      </c>
      <c r="D262" s="27" t="s">
        <v>5368</v>
      </c>
      <c r="E262" s="27"/>
      <c r="F262" s="27" t="s">
        <v>5369</v>
      </c>
      <c r="G262" s="27"/>
      <c r="H262" s="28" t="s">
        <v>1821</v>
      </c>
      <c r="I262" s="27"/>
    </row>
    <row r="263" customFormat="false" ht="15" hidden="false" customHeight="true" outlineLevel="0" collapsed="false">
      <c r="A263" s="27" t="s">
        <v>1823</v>
      </c>
      <c r="B263" s="27" t="s">
        <v>487</v>
      </c>
      <c r="C263" s="27" t="s">
        <v>5407</v>
      </c>
      <c r="D263" s="27" t="s">
        <v>5408</v>
      </c>
      <c r="E263" s="27"/>
      <c r="F263" s="27" t="s">
        <v>5416</v>
      </c>
      <c r="G263" s="27"/>
      <c r="H263" s="28" t="s">
        <v>1824</v>
      </c>
      <c r="I263" s="27"/>
    </row>
    <row r="264" customFormat="false" ht="15" hidden="false" customHeight="true" outlineLevel="0" collapsed="false">
      <c r="A264" s="27" t="s">
        <v>1823</v>
      </c>
      <c r="B264" s="27" t="s">
        <v>487</v>
      </c>
      <c r="C264" s="27" t="s">
        <v>5367</v>
      </c>
      <c r="D264" s="27" t="s">
        <v>5368</v>
      </c>
      <c r="E264" s="27"/>
      <c r="F264" s="27" t="s">
        <v>5369</v>
      </c>
      <c r="G264" s="27"/>
      <c r="H264" s="28" t="s">
        <v>1824</v>
      </c>
      <c r="I264" s="27"/>
    </row>
    <row r="265" customFormat="false" ht="15" hidden="false" customHeight="true" outlineLevel="0" collapsed="false">
      <c r="A265" s="27" t="s">
        <v>1826</v>
      </c>
      <c r="B265" s="27" t="s">
        <v>487</v>
      </c>
      <c r="C265" s="27" t="s">
        <v>5367</v>
      </c>
      <c r="D265" s="27" t="s">
        <v>5368</v>
      </c>
      <c r="E265" s="27"/>
      <c r="F265" s="27" t="s">
        <v>5375</v>
      </c>
      <c r="G265" s="27"/>
      <c r="H265" s="28" t="s">
        <v>1827</v>
      </c>
      <c r="I265" s="27"/>
    </row>
    <row r="266" customFormat="false" ht="15" hidden="false" customHeight="true" outlineLevel="0" collapsed="false">
      <c r="A266" s="27" t="s">
        <v>1829</v>
      </c>
      <c r="B266" s="27" t="s">
        <v>487</v>
      </c>
      <c r="C266" s="27" t="s">
        <v>5367</v>
      </c>
      <c r="D266" s="27" t="s">
        <v>5368</v>
      </c>
      <c r="E266" s="27"/>
      <c r="F266" s="27" t="s">
        <v>5375</v>
      </c>
      <c r="G266" s="27"/>
      <c r="H266" s="28" t="s">
        <v>1830</v>
      </c>
      <c r="I266" s="27"/>
    </row>
    <row r="267" customFormat="false" ht="15" hidden="false" customHeight="true" outlineLevel="0" collapsed="false">
      <c r="A267" s="27" t="s">
        <v>1835</v>
      </c>
      <c r="B267" s="27" t="s">
        <v>487</v>
      </c>
      <c r="C267" s="27" t="s">
        <v>5367</v>
      </c>
      <c r="D267" s="27" t="s">
        <v>5368</v>
      </c>
      <c r="E267" s="27"/>
      <c r="F267" s="27" t="s">
        <v>5369</v>
      </c>
      <c r="G267" s="27"/>
      <c r="H267" s="27" t="s">
        <v>1836</v>
      </c>
      <c r="I267" s="27"/>
    </row>
    <row r="268" customFormat="false" ht="15" hidden="false" customHeight="true" outlineLevel="0" collapsed="false">
      <c r="A268" s="27" t="s">
        <v>1838</v>
      </c>
      <c r="B268" s="27" t="s">
        <v>487</v>
      </c>
      <c r="C268" s="27" t="s">
        <v>5367</v>
      </c>
      <c r="D268" s="27" t="s">
        <v>5368</v>
      </c>
      <c r="E268" s="27"/>
      <c r="F268" s="27" t="s">
        <v>5375</v>
      </c>
      <c r="G268" s="27"/>
      <c r="H268" s="27" t="s">
        <v>1839</v>
      </c>
      <c r="I268" s="27"/>
    </row>
    <row r="269" customFormat="false" ht="15" hidden="false" customHeight="true" outlineLevel="0" collapsed="false">
      <c r="A269" s="27" t="s">
        <v>1847</v>
      </c>
      <c r="B269" s="27" t="s">
        <v>487</v>
      </c>
      <c r="C269" s="27" t="s">
        <v>5367</v>
      </c>
      <c r="D269" s="27" t="s">
        <v>5368</v>
      </c>
      <c r="E269" s="27"/>
      <c r="F269" s="27" t="s">
        <v>5375</v>
      </c>
      <c r="G269" s="27"/>
      <c r="H269" s="27" t="s">
        <v>1848</v>
      </c>
      <c r="I269" s="27"/>
    </row>
    <row r="270" customFormat="false" ht="15" hidden="false" customHeight="true" outlineLevel="0" collapsed="false">
      <c r="A270" s="27" t="s">
        <v>1852</v>
      </c>
      <c r="B270" s="27" t="s">
        <v>487</v>
      </c>
      <c r="C270" s="27" t="s">
        <v>5367</v>
      </c>
      <c r="D270" s="27" t="s">
        <v>5368</v>
      </c>
      <c r="E270" s="27"/>
      <c r="F270" s="27" t="s">
        <v>5375</v>
      </c>
      <c r="G270" s="27"/>
      <c r="H270" s="28" t="s">
        <v>1853</v>
      </c>
      <c r="I270" s="27"/>
    </row>
    <row r="271" customFormat="false" ht="15" hidden="false" customHeight="true" outlineLevel="0" collapsed="false">
      <c r="A271" s="27" t="s">
        <v>1866</v>
      </c>
      <c r="B271" s="27" t="s">
        <v>493</v>
      </c>
      <c r="C271" s="27" t="s">
        <v>5367</v>
      </c>
      <c r="D271" s="27" t="s">
        <v>5368</v>
      </c>
      <c r="E271" s="27"/>
      <c r="F271" s="27" t="s">
        <v>5369</v>
      </c>
      <c r="G271" s="27"/>
      <c r="H271" s="28" t="s">
        <v>1867</v>
      </c>
      <c r="I271" s="27"/>
    </row>
    <row r="272" customFormat="false" ht="15" hidden="false" customHeight="true" outlineLevel="0" collapsed="false">
      <c r="A272" s="27" t="s">
        <v>1869</v>
      </c>
      <c r="B272" s="27" t="s">
        <v>493</v>
      </c>
      <c r="C272" s="27" t="s">
        <v>5367</v>
      </c>
      <c r="D272" s="27" t="s">
        <v>5368</v>
      </c>
      <c r="E272" s="27"/>
      <c r="F272" s="27" t="s">
        <v>5369</v>
      </c>
      <c r="G272" s="27"/>
      <c r="H272" s="28" t="s">
        <v>1870</v>
      </c>
      <c r="I272" s="27"/>
    </row>
    <row r="273" customFormat="false" ht="15" hidden="false" customHeight="true" outlineLevel="0" collapsed="false">
      <c r="A273" s="27" t="s">
        <v>1872</v>
      </c>
      <c r="B273" s="27" t="s">
        <v>493</v>
      </c>
      <c r="C273" s="27" t="s">
        <v>5367</v>
      </c>
      <c r="D273" s="27" t="s">
        <v>5368</v>
      </c>
      <c r="E273" s="27"/>
      <c r="F273" s="27" t="s">
        <v>5369</v>
      </c>
      <c r="G273" s="27"/>
      <c r="H273" s="28" t="s">
        <v>1873</v>
      </c>
      <c r="I273" s="27"/>
    </row>
    <row r="274" customFormat="false" ht="15" hidden="false" customHeight="true" outlineLevel="0" collapsed="false">
      <c r="A274" s="27" t="s">
        <v>1875</v>
      </c>
      <c r="B274" s="27" t="s">
        <v>493</v>
      </c>
      <c r="C274" s="27" t="s">
        <v>5367</v>
      </c>
      <c r="D274" s="27" t="s">
        <v>5368</v>
      </c>
      <c r="E274" s="27"/>
      <c r="F274" s="27" t="s">
        <v>5375</v>
      </c>
      <c r="G274" s="27"/>
      <c r="H274" s="28" t="s">
        <v>1876</v>
      </c>
      <c r="I274" s="27"/>
    </row>
    <row r="275" customFormat="false" ht="15" hidden="false" customHeight="true" outlineLevel="0" collapsed="false">
      <c r="A275" s="27" t="s">
        <v>1878</v>
      </c>
      <c r="B275" s="27" t="s">
        <v>493</v>
      </c>
      <c r="C275" s="27" t="s">
        <v>5367</v>
      </c>
      <c r="D275" s="27" t="s">
        <v>5368</v>
      </c>
      <c r="E275" s="27"/>
      <c r="F275" s="27" t="s">
        <v>5369</v>
      </c>
      <c r="G275" s="27"/>
      <c r="H275" s="28" t="s">
        <v>5461</v>
      </c>
      <c r="I275" s="27"/>
    </row>
    <row r="276" customFormat="false" ht="15" hidden="false" customHeight="true" outlineLevel="0" collapsed="false">
      <c r="A276" s="27" t="s">
        <v>1881</v>
      </c>
      <c r="B276" s="27" t="s">
        <v>493</v>
      </c>
      <c r="C276" s="27" t="s">
        <v>5399</v>
      </c>
      <c r="D276" s="27" t="s">
        <v>5400</v>
      </c>
      <c r="E276" s="27"/>
      <c r="F276" s="27" t="s">
        <v>5419</v>
      </c>
      <c r="G276" s="27"/>
      <c r="H276" s="28" t="s">
        <v>1882</v>
      </c>
      <c r="I276" s="27"/>
    </row>
    <row r="277" customFormat="false" ht="15" hidden="false" customHeight="true" outlineLevel="0" collapsed="false">
      <c r="A277" s="27" t="s">
        <v>1884</v>
      </c>
      <c r="B277" s="27" t="s">
        <v>493</v>
      </c>
      <c r="C277" s="27" t="s">
        <v>5367</v>
      </c>
      <c r="D277" s="27" t="s">
        <v>5368</v>
      </c>
      <c r="E277" s="27"/>
      <c r="F277" s="27" t="s">
        <v>5369</v>
      </c>
      <c r="G277" s="27"/>
      <c r="H277" s="28" t="s">
        <v>1885</v>
      </c>
      <c r="I277" s="27"/>
    </row>
    <row r="278" customFormat="false" ht="15" hidden="false" customHeight="true" outlineLevel="0" collapsed="false">
      <c r="A278" s="27" t="s">
        <v>1888</v>
      </c>
      <c r="B278" s="27" t="s">
        <v>493</v>
      </c>
      <c r="C278" s="27" t="s">
        <v>5367</v>
      </c>
      <c r="D278" s="27" t="s">
        <v>5368</v>
      </c>
      <c r="E278" s="27"/>
      <c r="F278" s="27" t="s">
        <v>5369</v>
      </c>
      <c r="G278" s="27"/>
      <c r="H278" s="28" t="s">
        <v>1889</v>
      </c>
      <c r="I278" s="27"/>
    </row>
    <row r="279" customFormat="false" ht="15" hidden="false" customHeight="true" outlineLevel="0" collapsed="false">
      <c r="A279" s="27" t="s">
        <v>1912</v>
      </c>
      <c r="B279" s="27" t="s">
        <v>502</v>
      </c>
      <c r="C279" s="27" t="s">
        <v>5367</v>
      </c>
      <c r="D279" s="27" t="s">
        <v>5368</v>
      </c>
      <c r="E279" s="27"/>
      <c r="F279" s="27" t="s">
        <v>5375</v>
      </c>
      <c r="G279" s="27" t="s">
        <v>5462</v>
      </c>
      <c r="H279" s="28" t="s">
        <v>1913</v>
      </c>
      <c r="I279" s="27"/>
    </row>
    <row r="280" customFormat="false" ht="15" hidden="false" customHeight="true" outlineLevel="0" collapsed="false">
      <c r="A280" s="27" t="s">
        <v>1915</v>
      </c>
      <c r="B280" s="27" t="s">
        <v>502</v>
      </c>
      <c r="C280" s="27" t="s">
        <v>5367</v>
      </c>
      <c r="D280" s="27" t="s">
        <v>5368</v>
      </c>
      <c r="E280" s="27"/>
      <c r="F280" s="27" t="s">
        <v>5375</v>
      </c>
      <c r="G280" s="27" t="s">
        <v>5462</v>
      </c>
      <c r="H280" s="27" t="s">
        <v>5463</v>
      </c>
      <c r="I280" s="27"/>
    </row>
    <row r="281" customFormat="false" ht="15" hidden="false" customHeight="true" outlineLevel="0" collapsed="false">
      <c r="A281" s="27" t="s">
        <v>1917</v>
      </c>
      <c r="B281" s="27" t="s">
        <v>502</v>
      </c>
      <c r="C281" s="27" t="s">
        <v>5367</v>
      </c>
      <c r="D281" s="27" t="s">
        <v>5368</v>
      </c>
      <c r="E281" s="27"/>
      <c r="F281" s="27" t="s">
        <v>5369</v>
      </c>
      <c r="G281" s="27" t="s">
        <v>5464</v>
      </c>
      <c r="H281" s="28" t="s">
        <v>1918</v>
      </c>
      <c r="I281" s="27"/>
    </row>
    <row r="282" customFormat="false" ht="15" hidden="false" customHeight="true" outlineLevel="0" collapsed="false">
      <c r="A282" s="27" t="s">
        <v>1920</v>
      </c>
      <c r="B282" s="27" t="s">
        <v>502</v>
      </c>
      <c r="C282" s="27" t="s">
        <v>5367</v>
      </c>
      <c r="D282" s="27" t="s">
        <v>5368</v>
      </c>
      <c r="E282" s="27"/>
      <c r="F282" s="27" t="s">
        <v>5369</v>
      </c>
      <c r="G282" s="27" t="s">
        <v>5465</v>
      </c>
      <c r="H282" s="27" t="s">
        <v>5466</v>
      </c>
      <c r="I282" s="27"/>
    </row>
    <row r="283" customFormat="false" ht="15" hidden="false" customHeight="true" outlineLevel="0" collapsed="false">
      <c r="A283" s="27" t="s">
        <v>1923</v>
      </c>
      <c r="B283" s="27" t="s">
        <v>502</v>
      </c>
      <c r="C283" s="27" t="s">
        <v>5367</v>
      </c>
      <c r="D283" s="27" t="s">
        <v>5368</v>
      </c>
      <c r="E283" s="27"/>
      <c r="F283" s="27" t="s">
        <v>5375</v>
      </c>
      <c r="G283" s="27" t="s">
        <v>5462</v>
      </c>
      <c r="H283" s="27" t="s">
        <v>5467</v>
      </c>
      <c r="I283" s="27"/>
    </row>
    <row r="284" customFormat="false" ht="15" hidden="false" customHeight="true" outlineLevel="0" collapsed="false">
      <c r="A284" s="27" t="s">
        <v>1928</v>
      </c>
      <c r="B284" s="27" t="s">
        <v>502</v>
      </c>
      <c r="C284" s="27" t="s">
        <v>5367</v>
      </c>
      <c r="D284" s="27" t="s">
        <v>5368</v>
      </c>
      <c r="E284" s="27"/>
      <c r="F284" s="27" t="s">
        <v>5369</v>
      </c>
      <c r="G284" s="27" t="s">
        <v>5465</v>
      </c>
      <c r="H284" s="28" t="s">
        <v>1929</v>
      </c>
      <c r="I284" s="27"/>
    </row>
    <row r="285" customFormat="false" ht="15" hidden="false" customHeight="true" outlineLevel="0" collapsed="false">
      <c r="A285" s="27" t="s">
        <v>1931</v>
      </c>
      <c r="B285" s="27" t="s">
        <v>502</v>
      </c>
      <c r="C285" s="27" t="s">
        <v>5367</v>
      </c>
      <c r="D285" s="27" t="s">
        <v>5368</v>
      </c>
      <c r="E285" s="27"/>
      <c r="F285" s="27" t="s">
        <v>5369</v>
      </c>
      <c r="G285" s="27" t="s">
        <v>5468</v>
      </c>
      <c r="H285" s="28" t="s">
        <v>1932</v>
      </c>
      <c r="I285" s="27"/>
    </row>
    <row r="286" customFormat="false" ht="15" hidden="false" customHeight="true" outlineLevel="0" collapsed="false">
      <c r="A286" s="27" t="s">
        <v>1936</v>
      </c>
      <c r="B286" s="27" t="s">
        <v>502</v>
      </c>
      <c r="C286" s="27" t="s">
        <v>5399</v>
      </c>
      <c r="D286" s="27" t="s">
        <v>5400</v>
      </c>
      <c r="E286" s="27"/>
      <c r="F286" s="27" t="s">
        <v>5418</v>
      </c>
      <c r="G286" s="27" t="s">
        <v>5469</v>
      </c>
      <c r="H286" s="28" t="s">
        <v>1937</v>
      </c>
      <c r="I286" s="27"/>
    </row>
    <row r="287" customFormat="false" ht="15" hidden="false" customHeight="true" outlineLevel="0" collapsed="false">
      <c r="A287" s="27" t="s">
        <v>1945</v>
      </c>
      <c r="B287" s="27" t="s">
        <v>502</v>
      </c>
      <c r="C287" s="27" t="s">
        <v>5367</v>
      </c>
      <c r="D287" s="27" t="s">
        <v>5368</v>
      </c>
      <c r="E287" s="27"/>
      <c r="F287" s="27" t="s">
        <v>5369</v>
      </c>
      <c r="G287" s="27" t="s">
        <v>5470</v>
      </c>
      <c r="H287" s="28" t="s">
        <v>1946</v>
      </c>
      <c r="I287" s="27"/>
    </row>
    <row r="288" customFormat="false" ht="15" hidden="false" customHeight="true" outlineLevel="0" collapsed="false">
      <c r="A288" s="27" t="s">
        <v>1947</v>
      </c>
      <c r="B288" s="27" t="s">
        <v>502</v>
      </c>
      <c r="C288" s="27" t="s">
        <v>5367</v>
      </c>
      <c r="D288" s="27" t="s">
        <v>5368</v>
      </c>
      <c r="E288" s="27"/>
      <c r="F288" s="27" t="s">
        <v>5369</v>
      </c>
      <c r="G288" s="27" t="s">
        <v>5462</v>
      </c>
      <c r="H288" s="27" t="s">
        <v>5471</v>
      </c>
      <c r="I288" s="27"/>
    </row>
    <row r="289" customFormat="false" ht="15" hidden="false" customHeight="true" outlineLevel="0" collapsed="false">
      <c r="A289" s="27" t="s">
        <v>1949</v>
      </c>
      <c r="B289" s="27" t="s">
        <v>502</v>
      </c>
      <c r="C289" s="27" t="s">
        <v>5367</v>
      </c>
      <c r="D289" s="27" t="s">
        <v>5368</v>
      </c>
      <c r="E289" s="27"/>
      <c r="F289" s="27" t="s">
        <v>5375</v>
      </c>
      <c r="G289" s="27" t="s">
        <v>5472</v>
      </c>
      <c r="H289" s="27" t="s">
        <v>5473</v>
      </c>
      <c r="I289" s="27"/>
    </row>
    <row r="290" customFormat="false" ht="15" hidden="false" customHeight="true" outlineLevel="0" collapsed="false">
      <c r="A290" s="27" t="s">
        <v>1959</v>
      </c>
      <c r="B290" s="27" t="s">
        <v>502</v>
      </c>
      <c r="C290" s="27" t="s">
        <v>5367</v>
      </c>
      <c r="D290" s="27" t="s">
        <v>5368</v>
      </c>
      <c r="E290" s="27"/>
      <c r="F290" s="27" t="s">
        <v>5375</v>
      </c>
      <c r="G290" s="27" t="s">
        <v>5470</v>
      </c>
      <c r="H290" s="28" t="s">
        <v>1960</v>
      </c>
      <c r="I290" s="27"/>
    </row>
    <row r="291" customFormat="false" ht="15" hidden="false" customHeight="true" outlineLevel="0" collapsed="false">
      <c r="A291" s="27" t="s">
        <v>1962</v>
      </c>
      <c r="B291" s="27" t="s">
        <v>502</v>
      </c>
      <c r="C291" s="27" t="s">
        <v>5399</v>
      </c>
      <c r="D291" s="27" t="s">
        <v>5400</v>
      </c>
      <c r="E291" s="27"/>
      <c r="F291" s="27" t="s">
        <v>5419</v>
      </c>
      <c r="G291" s="27" t="s">
        <v>5474</v>
      </c>
      <c r="H291" s="28" t="s">
        <v>1963</v>
      </c>
      <c r="I291" s="27"/>
    </row>
    <row r="292" customFormat="false" ht="15" hidden="false" customHeight="true" outlineLevel="0" collapsed="false">
      <c r="A292" s="27" t="s">
        <v>1965</v>
      </c>
      <c r="B292" s="27" t="s">
        <v>502</v>
      </c>
      <c r="C292" s="27" t="s">
        <v>5407</v>
      </c>
      <c r="D292" s="27" t="s">
        <v>5408</v>
      </c>
      <c r="E292" s="27"/>
      <c r="F292" s="27" t="s">
        <v>5417</v>
      </c>
      <c r="G292" s="27" t="s">
        <v>5472</v>
      </c>
      <c r="H292" s="27" t="s">
        <v>5475</v>
      </c>
      <c r="I292" s="27"/>
    </row>
    <row r="293" customFormat="false" ht="15" hidden="false" customHeight="true" outlineLevel="0" collapsed="false">
      <c r="A293" s="27" t="s">
        <v>1965</v>
      </c>
      <c r="B293" s="27" t="s">
        <v>502</v>
      </c>
      <c r="C293" s="27" t="s">
        <v>5367</v>
      </c>
      <c r="D293" s="27" t="s">
        <v>5368</v>
      </c>
      <c r="E293" s="27"/>
      <c r="F293" s="27" t="s">
        <v>5369</v>
      </c>
      <c r="G293" s="27" t="s">
        <v>5476</v>
      </c>
      <c r="H293" s="27" t="s">
        <v>5475</v>
      </c>
      <c r="I293" s="27"/>
    </row>
    <row r="294" customFormat="false" ht="15" hidden="false" customHeight="true" outlineLevel="0" collapsed="false">
      <c r="A294" s="27" t="s">
        <v>1967</v>
      </c>
      <c r="B294" s="27" t="s">
        <v>502</v>
      </c>
      <c r="C294" s="27" t="s">
        <v>5399</v>
      </c>
      <c r="D294" s="27" t="s">
        <v>5400</v>
      </c>
      <c r="E294" s="27"/>
      <c r="F294" s="27" t="s">
        <v>5418</v>
      </c>
      <c r="G294" s="27" t="s">
        <v>5477</v>
      </c>
      <c r="H294" s="28" t="s">
        <v>1968</v>
      </c>
      <c r="I294" s="27"/>
    </row>
    <row r="295" customFormat="false" ht="15" hidden="false" customHeight="true" outlineLevel="0" collapsed="false">
      <c r="A295" s="27" t="s">
        <v>1970</v>
      </c>
      <c r="B295" s="27" t="s">
        <v>502</v>
      </c>
      <c r="C295" s="27" t="s">
        <v>5367</v>
      </c>
      <c r="D295" s="27" t="s">
        <v>5368</v>
      </c>
      <c r="E295" s="27"/>
      <c r="F295" s="27" t="s">
        <v>5369</v>
      </c>
      <c r="G295" s="27" t="s">
        <v>5465</v>
      </c>
      <c r="H295" s="28" t="s">
        <v>1971</v>
      </c>
      <c r="I295" s="27"/>
    </row>
    <row r="296" customFormat="false" ht="15" hidden="false" customHeight="true" outlineLevel="0" collapsed="false">
      <c r="A296" s="27" t="s">
        <v>1973</v>
      </c>
      <c r="B296" s="27" t="s">
        <v>502</v>
      </c>
      <c r="C296" s="27" t="s">
        <v>5399</v>
      </c>
      <c r="D296" s="27" t="s">
        <v>5400</v>
      </c>
      <c r="E296" s="27"/>
      <c r="F296" s="27" t="s">
        <v>5419</v>
      </c>
      <c r="G296" s="27" t="s">
        <v>5453</v>
      </c>
      <c r="H296" s="28" t="s">
        <v>1974</v>
      </c>
      <c r="I296" s="27"/>
    </row>
    <row r="297" customFormat="false" ht="15" hidden="false" customHeight="true" outlineLevel="0" collapsed="false">
      <c r="A297" s="27" t="s">
        <v>1976</v>
      </c>
      <c r="B297" s="27" t="s">
        <v>502</v>
      </c>
      <c r="C297" s="27" t="s">
        <v>5367</v>
      </c>
      <c r="D297" s="27" t="s">
        <v>5368</v>
      </c>
      <c r="E297" s="27"/>
      <c r="F297" s="27" t="s">
        <v>5375</v>
      </c>
      <c r="G297" s="27" t="s">
        <v>5464</v>
      </c>
      <c r="H297" s="27" t="s">
        <v>5478</v>
      </c>
      <c r="I297" s="27"/>
    </row>
    <row r="298" customFormat="false" ht="15" hidden="false" customHeight="true" outlineLevel="0" collapsed="false">
      <c r="A298" s="27" t="s">
        <v>1979</v>
      </c>
      <c r="B298" s="27" t="s">
        <v>502</v>
      </c>
      <c r="C298" s="27" t="s">
        <v>5367</v>
      </c>
      <c r="D298" s="27" t="s">
        <v>5368</v>
      </c>
      <c r="E298" s="27"/>
      <c r="F298" s="27" t="s">
        <v>5375</v>
      </c>
      <c r="G298" s="27" t="s">
        <v>5479</v>
      </c>
      <c r="H298" s="27" t="s">
        <v>5480</v>
      </c>
      <c r="I298" s="27"/>
    </row>
    <row r="299" customFormat="false" ht="15" hidden="false" customHeight="true" outlineLevel="0" collapsed="false">
      <c r="A299" s="27" t="s">
        <v>1987</v>
      </c>
      <c r="B299" s="27" t="s">
        <v>502</v>
      </c>
      <c r="C299" s="27" t="s">
        <v>5367</v>
      </c>
      <c r="D299" s="27" t="s">
        <v>5368</v>
      </c>
      <c r="E299" s="27"/>
      <c r="F299" s="27" t="s">
        <v>5375</v>
      </c>
      <c r="G299" s="27" t="s">
        <v>5479</v>
      </c>
      <c r="H299" s="27" t="s">
        <v>5481</v>
      </c>
      <c r="I299" s="27"/>
    </row>
    <row r="300" customFormat="false" ht="15" hidden="false" customHeight="true" outlineLevel="0" collapsed="false">
      <c r="A300" s="27" t="s">
        <v>1989</v>
      </c>
      <c r="B300" s="27" t="s">
        <v>502</v>
      </c>
      <c r="C300" s="27" t="s">
        <v>5367</v>
      </c>
      <c r="D300" s="27" t="s">
        <v>5368</v>
      </c>
      <c r="E300" s="27"/>
      <c r="F300" s="27" t="s">
        <v>5369</v>
      </c>
      <c r="G300" s="27" t="s">
        <v>5479</v>
      </c>
      <c r="H300" s="27" t="s">
        <v>5482</v>
      </c>
      <c r="I300" s="27"/>
    </row>
    <row r="301" customFormat="false" ht="15" hidden="false" customHeight="true" outlineLevel="0" collapsed="false">
      <c r="A301" s="27" t="s">
        <v>1991</v>
      </c>
      <c r="B301" s="27" t="s">
        <v>502</v>
      </c>
      <c r="C301" s="27" t="s">
        <v>5367</v>
      </c>
      <c r="D301" s="27" t="s">
        <v>5368</v>
      </c>
      <c r="E301" s="27"/>
      <c r="F301" s="27" t="s">
        <v>5375</v>
      </c>
      <c r="G301" s="27" t="s">
        <v>5470</v>
      </c>
      <c r="H301" s="28" t="s">
        <v>1992</v>
      </c>
      <c r="I301" s="27"/>
    </row>
    <row r="302" customFormat="false" ht="15" hidden="false" customHeight="true" outlineLevel="0" collapsed="false">
      <c r="A302" s="27" t="s">
        <v>1994</v>
      </c>
      <c r="B302" s="27" t="s">
        <v>502</v>
      </c>
      <c r="C302" s="27" t="s">
        <v>5367</v>
      </c>
      <c r="D302" s="27" t="s">
        <v>5368</v>
      </c>
      <c r="E302" s="27"/>
      <c r="F302" s="27" t="s">
        <v>5375</v>
      </c>
      <c r="G302" s="27" t="s">
        <v>5472</v>
      </c>
      <c r="H302" s="27" t="s">
        <v>5483</v>
      </c>
      <c r="I302" s="27"/>
    </row>
    <row r="303" customFormat="false" ht="15" hidden="false" customHeight="true" outlineLevel="0" collapsed="false">
      <c r="A303" s="27" t="s">
        <v>2002</v>
      </c>
      <c r="B303" s="27" t="s">
        <v>502</v>
      </c>
      <c r="C303" s="27" t="s">
        <v>5367</v>
      </c>
      <c r="D303" s="27" t="s">
        <v>5368</v>
      </c>
      <c r="E303" s="27"/>
      <c r="F303" s="27" t="s">
        <v>5369</v>
      </c>
      <c r="G303" s="27" t="s">
        <v>5484</v>
      </c>
      <c r="H303" s="28" t="s">
        <v>2003</v>
      </c>
      <c r="I303" s="27"/>
    </row>
    <row r="304" customFormat="false" ht="15" hidden="false" customHeight="true" outlineLevel="0" collapsed="false">
      <c r="A304" s="27" t="s">
        <v>2005</v>
      </c>
      <c r="B304" s="27" t="s">
        <v>502</v>
      </c>
      <c r="C304" s="27" t="s">
        <v>5367</v>
      </c>
      <c r="D304" s="27" t="s">
        <v>5368</v>
      </c>
      <c r="E304" s="27"/>
      <c r="F304" s="27" t="s">
        <v>5369</v>
      </c>
      <c r="G304" s="27" t="s">
        <v>5469</v>
      </c>
      <c r="H304" s="28" t="s">
        <v>2006</v>
      </c>
      <c r="I304" s="27"/>
    </row>
    <row r="305" customFormat="false" ht="15" hidden="false" customHeight="true" outlineLevel="0" collapsed="false">
      <c r="A305" s="27" t="s">
        <v>2008</v>
      </c>
      <c r="B305" s="27" t="s">
        <v>502</v>
      </c>
      <c r="C305" s="27" t="s">
        <v>5367</v>
      </c>
      <c r="D305" s="27" t="s">
        <v>5368</v>
      </c>
      <c r="E305" s="27"/>
      <c r="F305" s="27" t="s">
        <v>5369</v>
      </c>
      <c r="G305" s="27" t="s">
        <v>5470</v>
      </c>
      <c r="H305" s="28" t="s">
        <v>2009</v>
      </c>
      <c r="I305" s="27"/>
    </row>
    <row r="306" customFormat="false" ht="15" hidden="false" customHeight="true" outlineLevel="0" collapsed="false">
      <c r="A306" s="27" t="s">
        <v>2011</v>
      </c>
      <c r="B306" s="27" t="s">
        <v>502</v>
      </c>
      <c r="C306" s="27" t="s">
        <v>5367</v>
      </c>
      <c r="D306" s="27" t="s">
        <v>5368</v>
      </c>
      <c r="E306" s="27"/>
      <c r="F306" s="27" t="s">
        <v>5369</v>
      </c>
      <c r="G306" s="27" t="s">
        <v>5469</v>
      </c>
      <c r="H306" s="28" t="s">
        <v>2012</v>
      </c>
      <c r="I306" s="27"/>
    </row>
    <row r="307" customFormat="false" ht="15" hidden="false" customHeight="true" outlineLevel="0" collapsed="false">
      <c r="A307" s="27" t="s">
        <v>2014</v>
      </c>
      <c r="B307" s="27" t="s">
        <v>502</v>
      </c>
      <c r="C307" s="27" t="s">
        <v>5367</v>
      </c>
      <c r="D307" s="27" t="s">
        <v>5368</v>
      </c>
      <c r="E307" s="27"/>
      <c r="F307" s="27" t="s">
        <v>5369</v>
      </c>
      <c r="G307" s="27" t="s">
        <v>5476</v>
      </c>
      <c r="H307" s="28" t="s">
        <v>2015</v>
      </c>
      <c r="I307" s="27"/>
    </row>
    <row r="308" customFormat="false" ht="15" hidden="false" customHeight="true" outlineLevel="0" collapsed="false">
      <c r="A308" s="27" t="s">
        <v>2016</v>
      </c>
      <c r="B308" s="27" t="s">
        <v>502</v>
      </c>
      <c r="C308" s="27" t="s">
        <v>5399</v>
      </c>
      <c r="D308" s="27" t="s">
        <v>5400</v>
      </c>
      <c r="E308" s="27"/>
      <c r="F308" s="27" t="s">
        <v>5418</v>
      </c>
      <c r="G308" s="27" t="s">
        <v>5469</v>
      </c>
      <c r="H308" s="28" t="s">
        <v>2017</v>
      </c>
      <c r="I308" s="27"/>
    </row>
    <row r="309" customFormat="false" ht="15" hidden="false" customHeight="true" outlineLevel="0" collapsed="false">
      <c r="A309" s="27" t="s">
        <v>2019</v>
      </c>
      <c r="B309" s="27" t="s">
        <v>502</v>
      </c>
      <c r="C309" s="27" t="s">
        <v>5367</v>
      </c>
      <c r="D309" s="27" t="s">
        <v>5368</v>
      </c>
      <c r="E309" s="27"/>
      <c r="F309" s="27" t="s">
        <v>5485</v>
      </c>
      <c r="G309" s="27" t="s">
        <v>5472</v>
      </c>
      <c r="H309" s="27" t="s">
        <v>5486</v>
      </c>
      <c r="I309" s="27"/>
    </row>
    <row r="310" customFormat="false" ht="15" hidden="false" customHeight="true" outlineLevel="0" collapsed="false">
      <c r="A310" s="27" t="s">
        <v>2021</v>
      </c>
      <c r="B310" s="27" t="s">
        <v>502</v>
      </c>
      <c r="C310" s="27" t="s">
        <v>5407</v>
      </c>
      <c r="D310" s="27" t="s">
        <v>5426</v>
      </c>
      <c r="E310" s="27"/>
      <c r="F310" s="27" t="s">
        <v>5419</v>
      </c>
      <c r="G310" s="27" t="s">
        <v>5487</v>
      </c>
      <c r="H310" s="27" t="s">
        <v>5488</v>
      </c>
      <c r="I310" s="27"/>
    </row>
    <row r="311" customFormat="false" ht="15" hidden="false" customHeight="true" outlineLevel="0" collapsed="false">
      <c r="A311" s="27" t="s">
        <v>2023</v>
      </c>
      <c r="B311" s="27" t="s">
        <v>502</v>
      </c>
      <c r="C311" s="27" t="s">
        <v>5367</v>
      </c>
      <c r="D311" s="27" t="s">
        <v>5368</v>
      </c>
      <c r="E311" s="27"/>
      <c r="F311" s="27" t="s">
        <v>5369</v>
      </c>
      <c r="G311" s="27" t="s">
        <v>5470</v>
      </c>
      <c r="H311" s="28" t="s">
        <v>2024</v>
      </c>
      <c r="I311" s="27"/>
    </row>
    <row r="312" customFormat="false" ht="15" hidden="false" customHeight="true" outlineLevel="0" collapsed="false">
      <c r="A312" s="27" t="s">
        <v>2026</v>
      </c>
      <c r="B312" s="27" t="s">
        <v>502</v>
      </c>
      <c r="C312" s="27" t="s">
        <v>5367</v>
      </c>
      <c r="D312" s="27" t="s">
        <v>5368</v>
      </c>
      <c r="E312" s="27"/>
      <c r="F312" s="27" t="s">
        <v>5369</v>
      </c>
      <c r="G312" s="27" t="s">
        <v>5476</v>
      </c>
      <c r="H312" s="28" t="s">
        <v>2027</v>
      </c>
      <c r="I312" s="27"/>
    </row>
    <row r="313" customFormat="false" ht="15" hidden="false" customHeight="true" outlineLevel="0" collapsed="false">
      <c r="A313" s="27" t="s">
        <v>2036</v>
      </c>
      <c r="B313" s="27" t="s">
        <v>502</v>
      </c>
      <c r="C313" s="27" t="s">
        <v>5367</v>
      </c>
      <c r="D313" s="27" t="s">
        <v>5368</v>
      </c>
      <c r="E313" s="27"/>
      <c r="F313" s="27" t="s">
        <v>5369</v>
      </c>
      <c r="G313" s="27" t="s">
        <v>5469</v>
      </c>
      <c r="H313" s="27" t="s">
        <v>5489</v>
      </c>
      <c r="I313" s="27"/>
    </row>
    <row r="314" customFormat="false" ht="15" hidden="false" customHeight="true" outlineLevel="0" collapsed="false">
      <c r="A314" s="27" t="s">
        <v>2039</v>
      </c>
      <c r="B314" s="27" t="s">
        <v>502</v>
      </c>
      <c r="C314" s="27" t="s">
        <v>5367</v>
      </c>
      <c r="D314" s="27" t="s">
        <v>5368</v>
      </c>
      <c r="E314" s="27"/>
      <c r="F314" s="27" t="s">
        <v>5369</v>
      </c>
      <c r="G314" s="27" t="s">
        <v>5464</v>
      </c>
      <c r="H314" s="28" t="s">
        <v>2040</v>
      </c>
      <c r="I314" s="27"/>
    </row>
    <row r="315" customFormat="false" ht="15" hidden="false" customHeight="true" outlineLevel="0" collapsed="false">
      <c r="A315" s="27" t="s">
        <v>2041</v>
      </c>
      <c r="B315" s="27" t="s">
        <v>502</v>
      </c>
      <c r="C315" s="27" t="s">
        <v>5399</v>
      </c>
      <c r="D315" s="27" t="s">
        <v>5400</v>
      </c>
      <c r="E315" s="27"/>
      <c r="F315" s="27" t="s">
        <v>5418</v>
      </c>
      <c r="G315" s="27" t="s">
        <v>5469</v>
      </c>
      <c r="H315" s="28" t="s">
        <v>2042</v>
      </c>
      <c r="I315" s="27"/>
    </row>
    <row r="316" customFormat="false" ht="15" hidden="false" customHeight="true" outlineLevel="0" collapsed="false">
      <c r="A316" s="27" t="s">
        <v>2044</v>
      </c>
      <c r="B316" s="27" t="s">
        <v>502</v>
      </c>
      <c r="C316" s="27" t="s">
        <v>5407</v>
      </c>
      <c r="D316" s="27" t="s">
        <v>5408</v>
      </c>
      <c r="E316" s="27"/>
      <c r="F316" s="27" t="s">
        <v>5416</v>
      </c>
      <c r="G316" s="27" t="s">
        <v>5484</v>
      </c>
      <c r="H316" s="27" t="s">
        <v>5490</v>
      </c>
      <c r="I316" s="27"/>
    </row>
    <row r="317" customFormat="false" ht="15" hidden="false" customHeight="true" outlineLevel="0" collapsed="false">
      <c r="A317" s="27" t="s">
        <v>2044</v>
      </c>
      <c r="B317" s="27" t="s">
        <v>502</v>
      </c>
      <c r="C317" s="27" t="s">
        <v>5367</v>
      </c>
      <c r="D317" s="27" t="s">
        <v>5368</v>
      </c>
      <c r="E317" s="27"/>
      <c r="F317" s="27" t="s">
        <v>5375</v>
      </c>
      <c r="G317" s="27" t="s">
        <v>5476</v>
      </c>
      <c r="H317" s="27" t="s">
        <v>5490</v>
      </c>
      <c r="I317" s="27"/>
    </row>
    <row r="318" customFormat="false" ht="15" hidden="false" customHeight="true" outlineLevel="0" collapsed="false">
      <c r="A318" s="27" t="s">
        <v>2056</v>
      </c>
      <c r="B318" s="27" t="s">
        <v>502</v>
      </c>
      <c r="C318" s="27" t="s">
        <v>5367</v>
      </c>
      <c r="D318" s="27" t="s">
        <v>5368</v>
      </c>
      <c r="E318" s="27"/>
      <c r="F318" s="27" t="s">
        <v>5375</v>
      </c>
      <c r="G318" s="27" t="s">
        <v>5470</v>
      </c>
      <c r="H318" s="27" t="s">
        <v>5491</v>
      </c>
      <c r="I318" s="27"/>
    </row>
    <row r="319" customFormat="false" ht="15" hidden="false" customHeight="true" outlineLevel="0" collapsed="false">
      <c r="A319" s="27" t="s">
        <v>2059</v>
      </c>
      <c r="B319" s="27" t="s">
        <v>502</v>
      </c>
      <c r="C319" s="27" t="s">
        <v>5367</v>
      </c>
      <c r="D319" s="27" t="s">
        <v>5368</v>
      </c>
      <c r="E319" s="27"/>
      <c r="F319" s="27" t="s">
        <v>5369</v>
      </c>
      <c r="G319" s="27" t="s">
        <v>5469</v>
      </c>
      <c r="H319" s="28" t="s">
        <v>2060</v>
      </c>
      <c r="I319" s="27"/>
    </row>
    <row r="320" customFormat="false" ht="15" hidden="false" customHeight="true" outlineLevel="0" collapsed="false">
      <c r="A320" s="27" t="s">
        <v>2061</v>
      </c>
      <c r="B320" s="27" t="s">
        <v>502</v>
      </c>
      <c r="C320" s="27" t="s">
        <v>5367</v>
      </c>
      <c r="D320" s="27" t="s">
        <v>5368</v>
      </c>
      <c r="E320" s="27"/>
      <c r="F320" s="27" t="s">
        <v>5369</v>
      </c>
      <c r="G320" s="27" t="s">
        <v>5484</v>
      </c>
      <c r="H320" s="28" t="s">
        <v>2062</v>
      </c>
      <c r="I320" s="27"/>
    </row>
    <row r="321" customFormat="false" ht="15" hidden="false" customHeight="true" outlineLevel="0" collapsed="false">
      <c r="A321" s="27" t="s">
        <v>2067</v>
      </c>
      <c r="B321" s="27" t="s">
        <v>502</v>
      </c>
      <c r="C321" s="27" t="s">
        <v>5367</v>
      </c>
      <c r="D321" s="27" t="s">
        <v>5368</v>
      </c>
      <c r="E321" s="27"/>
      <c r="F321" s="27" t="s">
        <v>5369</v>
      </c>
      <c r="G321" s="27" t="s">
        <v>5484</v>
      </c>
      <c r="H321" s="27" t="s">
        <v>5492</v>
      </c>
      <c r="I321" s="27"/>
    </row>
    <row r="322" customFormat="false" ht="15" hidden="false" customHeight="true" outlineLevel="0" collapsed="false">
      <c r="A322" s="27" t="s">
        <v>2070</v>
      </c>
      <c r="B322" s="27" t="s">
        <v>502</v>
      </c>
      <c r="C322" s="27" t="s">
        <v>5367</v>
      </c>
      <c r="D322" s="27" t="s">
        <v>5368</v>
      </c>
      <c r="E322" s="27"/>
      <c r="F322" s="27" t="s">
        <v>5369</v>
      </c>
      <c r="G322" s="27" t="s">
        <v>5493</v>
      </c>
      <c r="H322" s="28" t="s">
        <v>2071</v>
      </c>
      <c r="I322" s="27"/>
    </row>
    <row r="323" customFormat="false" ht="15" hidden="false" customHeight="true" outlineLevel="0" collapsed="false">
      <c r="A323" s="27" t="s">
        <v>2073</v>
      </c>
      <c r="B323" s="27" t="s">
        <v>502</v>
      </c>
      <c r="C323" s="27" t="s">
        <v>5367</v>
      </c>
      <c r="D323" s="27" t="s">
        <v>5368</v>
      </c>
      <c r="E323" s="27"/>
      <c r="F323" s="27" t="s">
        <v>5375</v>
      </c>
      <c r="G323" s="27" t="s">
        <v>5484</v>
      </c>
      <c r="H323" s="27" t="s">
        <v>5494</v>
      </c>
      <c r="I323" s="27"/>
    </row>
    <row r="324" customFormat="false" ht="15" hidden="false" customHeight="true" outlineLevel="0" collapsed="false">
      <c r="A324" s="27" t="s">
        <v>2076</v>
      </c>
      <c r="B324" s="27" t="s">
        <v>502</v>
      </c>
      <c r="C324" s="27" t="s">
        <v>5407</v>
      </c>
      <c r="D324" s="27" t="s">
        <v>5422</v>
      </c>
      <c r="E324" s="27"/>
      <c r="F324" s="27" t="s">
        <v>5442</v>
      </c>
      <c r="G324" s="27" t="s">
        <v>5434</v>
      </c>
      <c r="H324" s="27" t="s">
        <v>5495</v>
      </c>
      <c r="I324" s="27"/>
    </row>
    <row r="325" customFormat="false" ht="15" hidden="false" customHeight="true" outlineLevel="0" collapsed="false">
      <c r="A325" s="27" t="s">
        <v>2076</v>
      </c>
      <c r="B325" s="27" t="s">
        <v>502</v>
      </c>
      <c r="C325" s="27" t="s">
        <v>5367</v>
      </c>
      <c r="D325" s="27" t="s">
        <v>5368</v>
      </c>
      <c r="E325" s="27"/>
      <c r="F325" s="27" t="s">
        <v>5369</v>
      </c>
      <c r="G325" s="27" t="s">
        <v>5484</v>
      </c>
      <c r="H325" s="27" t="s">
        <v>5495</v>
      </c>
      <c r="I325" s="27"/>
    </row>
    <row r="326" customFormat="false" ht="15" hidden="false" customHeight="true" outlineLevel="0" collapsed="false">
      <c r="A326" s="27" t="s">
        <v>2081</v>
      </c>
      <c r="B326" s="27" t="s">
        <v>502</v>
      </c>
      <c r="C326" s="27" t="s">
        <v>5367</v>
      </c>
      <c r="D326" s="27" t="s">
        <v>5368</v>
      </c>
      <c r="E326" s="28" t="s">
        <v>5429</v>
      </c>
      <c r="F326" s="27" t="s">
        <v>5375</v>
      </c>
      <c r="G326" s="27" t="s">
        <v>5436</v>
      </c>
      <c r="H326" s="28" t="s">
        <v>5430</v>
      </c>
      <c r="I326" s="27"/>
    </row>
    <row r="327" customFormat="false" ht="15" hidden="false" customHeight="true" outlineLevel="0" collapsed="false">
      <c r="A327" s="27" t="s">
        <v>2083</v>
      </c>
      <c r="B327" s="27" t="s">
        <v>502</v>
      </c>
      <c r="C327" s="27" t="s">
        <v>5367</v>
      </c>
      <c r="D327" s="27" t="s">
        <v>5368</v>
      </c>
      <c r="E327" s="27"/>
      <c r="F327" s="27" t="s">
        <v>5369</v>
      </c>
      <c r="G327" s="27" t="s">
        <v>5464</v>
      </c>
      <c r="H327" s="27" t="s">
        <v>5496</v>
      </c>
      <c r="I327" s="27"/>
    </row>
    <row r="328" customFormat="false" ht="15" hidden="false" customHeight="true" outlineLevel="0" collapsed="false">
      <c r="A328" s="27" t="s">
        <v>2085</v>
      </c>
      <c r="B328" s="27" t="s">
        <v>502</v>
      </c>
      <c r="C328" s="27" t="s">
        <v>5367</v>
      </c>
      <c r="D328" s="27" t="s">
        <v>5368</v>
      </c>
      <c r="E328" s="27"/>
      <c r="F328" s="27" t="s">
        <v>5375</v>
      </c>
      <c r="G328" s="27" t="s">
        <v>5484</v>
      </c>
      <c r="H328" s="27" t="s">
        <v>5497</v>
      </c>
      <c r="I328" s="27"/>
    </row>
    <row r="329" customFormat="false" ht="15" hidden="false" customHeight="true" outlineLevel="0" collapsed="false">
      <c r="A329" s="27" t="s">
        <v>2087</v>
      </c>
      <c r="B329" s="27" t="s">
        <v>502</v>
      </c>
      <c r="C329" s="27" t="s">
        <v>5407</v>
      </c>
      <c r="D329" s="27" t="s">
        <v>5408</v>
      </c>
      <c r="E329" s="27"/>
      <c r="F329" s="27" t="s">
        <v>5418</v>
      </c>
      <c r="G329" s="27" t="s">
        <v>5474</v>
      </c>
      <c r="H329" s="27" t="s">
        <v>5498</v>
      </c>
      <c r="I329" s="27"/>
    </row>
    <row r="330" customFormat="false" ht="15" hidden="false" customHeight="true" outlineLevel="0" collapsed="false">
      <c r="A330" s="27" t="s">
        <v>2102</v>
      </c>
      <c r="B330" s="27" t="s">
        <v>509</v>
      </c>
      <c r="C330" s="27" t="s">
        <v>5367</v>
      </c>
      <c r="D330" s="27" t="s">
        <v>5368</v>
      </c>
      <c r="E330" s="27"/>
      <c r="F330" s="27" t="s">
        <v>5375</v>
      </c>
      <c r="G330" s="27" t="s">
        <v>5499</v>
      </c>
      <c r="H330" s="27" t="s">
        <v>5500</v>
      </c>
      <c r="I330" s="27"/>
    </row>
    <row r="331" customFormat="false" ht="15" hidden="false" customHeight="true" outlineLevel="0" collapsed="false">
      <c r="A331" s="27" t="s">
        <v>2105</v>
      </c>
      <c r="B331" s="27" t="s">
        <v>509</v>
      </c>
      <c r="C331" s="27" t="s">
        <v>5367</v>
      </c>
      <c r="D331" s="27" t="s">
        <v>5368</v>
      </c>
      <c r="E331" s="27"/>
      <c r="F331" s="27" t="s">
        <v>5369</v>
      </c>
      <c r="G331" s="27" t="s">
        <v>5499</v>
      </c>
      <c r="H331" s="28" t="s">
        <v>2106</v>
      </c>
      <c r="I331" s="27"/>
    </row>
    <row r="332" customFormat="false" ht="15" hidden="false" customHeight="true" outlineLevel="0" collapsed="false">
      <c r="A332" s="27" t="s">
        <v>2108</v>
      </c>
      <c r="B332" s="27" t="s">
        <v>509</v>
      </c>
      <c r="C332" s="27" t="s">
        <v>5407</v>
      </c>
      <c r="D332" s="27" t="s">
        <v>5408</v>
      </c>
      <c r="E332" s="27"/>
      <c r="F332" s="27" t="s">
        <v>5425</v>
      </c>
      <c r="G332" s="27" t="s">
        <v>5501</v>
      </c>
      <c r="H332" s="27" t="s">
        <v>5502</v>
      </c>
      <c r="I332" s="27"/>
    </row>
    <row r="333" customFormat="false" ht="15" hidden="false" customHeight="true" outlineLevel="0" collapsed="false">
      <c r="A333" s="27" t="s">
        <v>2114</v>
      </c>
      <c r="B333" s="27" t="s">
        <v>509</v>
      </c>
      <c r="C333" s="27" t="s">
        <v>5367</v>
      </c>
      <c r="D333" s="27" t="s">
        <v>5368</v>
      </c>
      <c r="E333" s="27"/>
      <c r="F333" s="27" t="s">
        <v>5375</v>
      </c>
      <c r="G333" s="27" t="s">
        <v>5499</v>
      </c>
      <c r="H333" s="27" t="s">
        <v>5503</v>
      </c>
      <c r="I333" s="27"/>
    </row>
    <row r="334" customFormat="false" ht="15" hidden="false" customHeight="true" outlineLevel="0" collapsed="false">
      <c r="A334" s="27" t="s">
        <v>2117</v>
      </c>
      <c r="B334" s="27" t="s">
        <v>509</v>
      </c>
      <c r="C334" s="27" t="s">
        <v>5367</v>
      </c>
      <c r="D334" s="27" t="s">
        <v>5368</v>
      </c>
      <c r="E334" s="27"/>
      <c r="F334" s="27" t="s">
        <v>5375</v>
      </c>
      <c r="G334" s="27" t="s">
        <v>5504</v>
      </c>
      <c r="H334" s="27" t="s">
        <v>5505</v>
      </c>
      <c r="I334" s="27"/>
    </row>
    <row r="335" customFormat="false" ht="15" hidden="false" customHeight="true" outlineLevel="0" collapsed="false">
      <c r="A335" s="27" t="s">
        <v>2120</v>
      </c>
      <c r="B335" s="27" t="s">
        <v>509</v>
      </c>
      <c r="C335" s="27" t="s">
        <v>5407</v>
      </c>
      <c r="D335" s="27" t="s">
        <v>5408</v>
      </c>
      <c r="E335" s="27"/>
      <c r="F335" s="27" t="s">
        <v>5418</v>
      </c>
      <c r="G335" s="27" t="s">
        <v>5441</v>
      </c>
      <c r="H335" s="28" t="s">
        <v>2121</v>
      </c>
      <c r="I335" s="27"/>
    </row>
    <row r="336" customFormat="false" ht="15" hidden="false" customHeight="true" outlineLevel="0" collapsed="false">
      <c r="A336" s="27" t="s">
        <v>2120</v>
      </c>
      <c r="B336" s="27" t="s">
        <v>509</v>
      </c>
      <c r="C336" s="27" t="s">
        <v>5367</v>
      </c>
      <c r="D336" s="27" t="s">
        <v>5368</v>
      </c>
      <c r="E336" s="27"/>
      <c r="F336" s="27" t="s">
        <v>5369</v>
      </c>
      <c r="G336" s="27" t="s">
        <v>5499</v>
      </c>
      <c r="H336" s="28" t="s">
        <v>2121</v>
      </c>
      <c r="I336" s="27"/>
    </row>
    <row r="337" customFormat="false" ht="15" hidden="false" customHeight="true" outlineLevel="0" collapsed="false">
      <c r="A337" s="27" t="s">
        <v>2123</v>
      </c>
      <c r="B337" s="27" t="s">
        <v>509</v>
      </c>
      <c r="C337" s="27" t="s">
        <v>5407</v>
      </c>
      <c r="D337" s="27" t="s">
        <v>5408</v>
      </c>
      <c r="E337" s="27"/>
      <c r="F337" s="27" t="s">
        <v>5418</v>
      </c>
      <c r="G337" s="27" t="s">
        <v>5443</v>
      </c>
      <c r="H337" s="28" t="s">
        <v>2124</v>
      </c>
      <c r="I337" s="27"/>
    </row>
    <row r="338" customFormat="false" ht="15" hidden="false" customHeight="true" outlineLevel="0" collapsed="false">
      <c r="A338" s="27" t="s">
        <v>2123</v>
      </c>
      <c r="B338" s="27" t="s">
        <v>509</v>
      </c>
      <c r="C338" s="27" t="s">
        <v>5367</v>
      </c>
      <c r="D338" s="27" t="s">
        <v>5368</v>
      </c>
      <c r="E338" s="27"/>
      <c r="F338" s="27" t="s">
        <v>5369</v>
      </c>
      <c r="G338" s="27" t="s">
        <v>5504</v>
      </c>
      <c r="H338" s="28" t="s">
        <v>2124</v>
      </c>
      <c r="I338" s="27"/>
    </row>
    <row r="339" customFormat="false" ht="15" hidden="false" customHeight="true" outlineLevel="0" collapsed="false">
      <c r="A339" s="27" t="s">
        <v>2126</v>
      </c>
      <c r="B339" s="27" t="s">
        <v>509</v>
      </c>
      <c r="C339" s="27" t="s">
        <v>5407</v>
      </c>
      <c r="D339" s="27" t="s">
        <v>5408</v>
      </c>
      <c r="E339" s="27" t="s">
        <v>5506</v>
      </c>
      <c r="F339" s="27" t="s">
        <v>5418</v>
      </c>
      <c r="G339" s="27" t="s">
        <v>5507</v>
      </c>
      <c r="H339" s="27" t="s">
        <v>5508</v>
      </c>
      <c r="I339" s="27"/>
    </row>
    <row r="340" customFormat="false" ht="15" hidden="false" customHeight="true" outlineLevel="0" collapsed="false">
      <c r="A340" s="27" t="s">
        <v>2126</v>
      </c>
      <c r="B340" s="27" t="s">
        <v>509</v>
      </c>
      <c r="C340" s="27" t="s">
        <v>5367</v>
      </c>
      <c r="D340" s="27" t="s">
        <v>5368</v>
      </c>
      <c r="E340" s="27"/>
      <c r="F340" s="27" t="s">
        <v>5375</v>
      </c>
      <c r="G340" s="27" t="s">
        <v>5504</v>
      </c>
      <c r="H340" s="27" t="s">
        <v>5508</v>
      </c>
      <c r="I340" s="27"/>
    </row>
    <row r="341" customFormat="false" ht="15" hidden="false" customHeight="true" outlineLevel="0" collapsed="false">
      <c r="A341" s="27" t="s">
        <v>2132</v>
      </c>
      <c r="B341" s="27" t="s">
        <v>509</v>
      </c>
      <c r="C341" s="27" t="s">
        <v>5407</v>
      </c>
      <c r="D341" s="27" t="s">
        <v>5408</v>
      </c>
      <c r="E341" s="27"/>
      <c r="F341" s="27" t="s">
        <v>5416</v>
      </c>
      <c r="G341" s="27" t="s">
        <v>5509</v>
      </c>
      <c r="H341" s="28" t="s">
        <v>2133</v>
      </c>
      <c r="I341" s="27"/>
    </row>
    <row r="342" customFormat="false" ht="15" hidden="false" customHeight="true" outlineLevel="0" collapsed="false">
      <c r="A342" s="27" t="s">
        <v>2135</v>
      </c>
      <c r="B342" s="27" t="s">
        <v>509</v>
      </c>
      <c r="C342" s="27" t="s">
        <v>5407</v>
      </c>
      <c r="D342" s="27" t="s">
        <v>5408</v>
      </c>
      <c r="E342" s="27"/>
      <c r="F342" s="27" t="s">
        <v>5417</v>
      </c>
      <c r="G342" s="27" t="s">
        <v>5510</v>
      </c>
      <c r="H342" s="28" t="s">
        <v>2136</v>
      </c>
      <c r="I342" s="27"/>
    </row>
    <row r="343" customFormat="false" ht="15" hidden="false" customHeight="true" outlineLevel="0" collapsed="false">
      <c r="A343" s="27" t="s">
        <v>2135</v>
      </c>
      <c r="B343" s="27" t="s">
        <v>509</v>
      </c>
      <c r="C343" s="27" t="s">
        <v>5367</v>
      </c>
      <c r="D343" s="27" t="s">
        <v>5368</v>
      </c>
      <c r="E343" s="27"/>
      <c r="F343" s="27" t="s">
        <v>5375</v>
      </c>
      <c r="G343" s="27" t="s">
        <v>5511</v>
      </c>
      <c r="H343" s="28" t="s">
        <v>2136</v>
      </c>
      <c r="I343" s="27"/>
    </row>
    <row r="344" customFormat="false" ht="15" hidden="false" customHeight="true" outlineLevel="0" collapsed="false">
      <c r="A344" s="27" t="s">
        <v>2139</v>
      </c>
      <c r="B344" s="27" t="s">
        <v>509</v>
      </c>
      <c r="C344" s="27" t="s">
        <v>5367</v>
      </c>
      <c r="D344" s="27" t="s">
        <v>5368</v>
      </c>
      <c r="E344" s="27"/>
      <c r="F344" s="27" t="s">
        <v>5375</v>
      </c>
      <c r="G344" s="27" t="s">
        <v>5511</v>
      </c>
      <c r="H344" s="27" t="s">
        <v>5512</v>
      </c>
      <c r="I344" s="27"/>
    </row>
    <row r="345" customFormat="false" ht="15" hidden="false" customHeight="true" outlineLevel="0" collapsed="false">
      <c r="A345" s="27" t="s">
        <v>2142</v>
      </c>
      <c r="B345" s="27" t="s">
        <v>509</v>
      </c>
      <c r="C345" s="27" t="s">
        <v>5407</v>
      </c>
      <c r="D345" s="27" t="s">
        <v>5408</v>
      </c>
      <c r="E345" s="27"/>
      <c r="F345" s="27" t="s">
        <v>5416</v>
      </c>
      <c r="G345" s="27" t="s">
        <v>5507</v>
      </c>
      <c r="H345" s="28" t="s">
        <v>2143</v>
      </c>
      <c r="I345" s="27"/>
    </row>
    <row r="346" customFormat="false" ht="15" hidden="false" customHeight="true" outlineLevel="0" collapsed="false">
      <c r="A346" s="27" t="s">
        <v>2148</v>
      </c>
      <c r="B346" s="27" t="s">
        <v>509</v>
      </c>
      <c r="C346" s="27" t="s">
        <v>5367</v>
      </c>
      <c r="D346" s="27" t="s">
        <v>5368</v>
      </c>
      <c r="E346" s="27"/>
      <c r="F346" s="27" t="s">
        <v>5375</v>
      </c>
      <c r="G346" s="27" t="s">
        <v>5499</v>
      </c>
      <c r="H346" s="28" t="s">
        <v>2149</v>
      </c>
      <c r="I346" s="27"/>
    </row>
    <row r="347" customFormat="false" ht="15" hidden="false" customHeight="true" outlineLevel="0" collapsed="false">
      <c r="A347" s="27" t="s">
        <v>2151</v>
      </c>
      <c r="B347" s="27" t="s">
        <v>509</v>
      </c>
      <c r="C347" s="27" t="s">
        <v>5407</v>
      </c>
      <c r="D347" s="27" t="s">
        <v>5408</v>
      </c>
      <c r="E347" s="27"/>
      <c r="F347" s="27" t="s">
        <v>5416</v>
      </c>
      <c r="G347" s="27" t="s">
        <v>5507</v>
      </c>
      <c r="H347" s="27" t="s">
        <v>5513</v>
      </c>
      <c r="I347" s="27"/>
    </row>
    <row r="348" customFormat="false" ht="15" hidden="false" customHeight="true" outlineLevel="0" collapsed="false">
      <c r="A348" s="27" t="s">
        <v>2154</v>
      </c>
      <c r="B348" s="27" t="s">
        <v>509</v>
      </c>
      <c r="C348" s="27" t="s">
        <v>5367</v>
      </c>
      <c r="D348" s="27" t="s">
        <v>5368</v>
      </c>
      <c r="E348" s="27"/>
      <c r="F348" s="27" t="s">
        <v>5375</v>
      </c>
      <c r="G348" s="27" t="s">
        <v>5499</v>
      </c>
      <c r="H348" s="28" t="s">
        <v>2155</v>
      </c>
      <c r="I348" s="27"/>
    </row>
    <row r="349" customFormat="false" ht="15" hidden="false" customHeight="true" outlineLevel="0" collapsed="false">
      <c r="A349" s="27" t="s">
        <v>2160</v>
      </c>
      <c r="B349" s="27" t="s">
        <v>509</v>
      </c>
      <c r="C349" s="27" t="s">
        <v>5407</v>
      </c>
      <c r="D349" s="27" t="s">
        <v>5408</v>
      </c>
      <c r="E349" s="27"/>
      <c r="F349" s="27" t="s">
        <v>5417</v>
      </c>
      <c r="G349" s="27" t="s">
        <v>5507</v>
      </c>
      <c r="H349" s="28" t="s">
        <v>2161</v>
      </c>
      <c r="I349" s="27"/>
    </row>
    <row r="350" customFormat="false" ht="15" hidden="false" customHeight="true" outlineLevel="0" collapsed="false">
      <c r="A350" s="27" t="s">
        <v>2166</v>
      </c>
      <c r="B350" s="27" t="s">
        <v>509</v>
      </c>
      <c r="C350" s="27" t="s">
        <v>5407</v>
      </c>
      <c r="D350" s="27" t="s">
        <v>5408</v>
      </c>
      <c r="E350" s="27"/>
      <c r="F350" s="27" t="s">
        <v>5416</v>
      </c>
      <c r="G350" s="27" t="s">
        <v>5507</v>
      </c>
      <c r="H350" s="27" t="s">
        <v>5514</v>
      </c>
      <c r="I350" s="27"/>
    </row>
    <row r="351" customFormat="false" ht="15" hidden="false" customHeight="true" outlineLevel="0" collapsed="false">
      <c r="A351" s="27" t="s">
        <v>2166</v>
      </c>
      <c r="B351" s="27" t="s">
        <v>509</v>
      </c>
      <c r="C351" s="27" t="s">
        <v>5367</v>
      </c>
      <c r="D351" s="27" t="s">
        <v>5368</v>
      </c>
      <c r="E351" s="27"/>
      <c r="F351" s="27" t="s">
        <v>5375</v>
      </c>
      <c r="G351" s="27" t="s">
        <v>5499</v>
      </c>
      <c r="H351" s="27" t="s">
        <v>5514</v>
      </c>
      <c r="I351" s="27"/>
    </row>
    <row r="352" customFormat="false" ht="15" hidden="false" customHeight="true" outlineLevel="0" collapsed="false">
      <c r="A352" s="27" t="s">
        <v>2169</v>
      </c>
      <c r="B352" s="27" t="s">
        <v>509</v>
      </c>
      <c r="C352" s="27" t="s">
        <v>5367</v>
      </c>
      <c r="D352" s="27" t="s">
        <v>5368</v>
      </c>
      <c r="E352" s="27"/>
      <c r="F352" s="27" t="s">
        <v>5369</v>
      </c>
      <c r="G352" s="27" t="s">
        <v>5504</v>
      </c>
      <c r="H352" s="28" t="s">
        <v>2170</v>
      </c>
      <c r="I352" s="27"/>
    </row>
    <row r="353" customFormat="false" ht="15" hidden="false" customHeight="true" outlineLevel="0" collapsed="false">
      <c r="A353" s="27" t="s">
        <v>2172</v>
      </c>
      <c r="B353" s="27" t="s">
        <v>509</v>
      </c>
      <c r="C353" s="27" t="s">
        <v>5367</v>
      </c>
      <c r="D353" s="27" t="s">
        <v>5368</v>
      </c>
      <c r="E353" s="27"/>
      <c r="F353" s="27" t="s">
        <v>5369</v>
      </c>
      <c r="G353" s="27" t="s">
        <v>5504</v>
      </c>
      <c r="H353" s="28" t="s">
        <v>2173</v>
      </c>
      <c r="I353" s="27"/>
    </row>
    <row r="354" customFormat="false" ht="15" hidden="false" customHeight="true" outlineLevel="0" collapsed="false">
      <c r="A354" s="27" t="s">
        <v>2178</v>
      </c>
      <c r="B354" s="27" t="s">
        <v>509</v>
      </c>
      <c r="C354" s="27" t="s">
        <v>5407</v>
      </c>
      <c r="D354" s="27" t="s">
        <v>5408</v>
      </c>
      <c r="E354" s="27"/>
      <c r="F354" s="27" t="s">
        <v>5425</v>
      </c>
      <c r="G354" s="27" t="s">
        <v>5507</v>
      </c>
      <c r="H354" s="28" t="s">
        <v>2179</v>
      </c>
      <c r="I354" s="27"/>
    </row>
    <row r="355" customFormat="false" ht="15" hidden="false" customHeight="true" outlineLevel="0" collapsed="false">
      <c r="A355" s="27" t="s">
        <v>2184</v>
      </c>
      <c r="B355" s="27" t="s">
        <v>509</v>
      </c>
      <c r="C355" s="27" t="s">
        <v>5458</v>
      </c>
      <c r="D355" s="27" t="s">
        <v>5515</v>
      </c>
      <c r="E355" s="28" t="s">
        <v>5516</v>
      </c>
      <c r="F355" s="27" t="s">
        <v>5517</v>
      </c>
      <c r="G355" s="27" t="s">
        <v>5518</v>
      </c>
      <c r="H355" s="28" t="s">
        <v>2185</v>
      </c>
      <c r="I355" s="27"/>
    </row>
    <row r="356" customFormat="false" ht="15" hidden="false" customHeight="true" outlineLevel="0" collapsed="false">
      <c r="A356" s="27" t="s">
        <v>2184</v>
      </c>
      <c r="B356" s="27" t="s">
        <v>509</v>
      </c>
      <c r="C356" s="27" t="s">
        <v>5458</v>
      </c>
      <c r="D356" s="27" t="s">
        <v>5519</v>
      </c>
      <c r="E356" s="27"/>
      <c r="F356" s="27" t="s">
        <v>5517</v>
      </c>
      <c r="G356" s="27" t="s">
        <v>5520</v>
      </c>
      <c r="H356" s="28" t="s">
        <v>2185</v>
      </c>
      <c r="I356" s="27"/>
    </row>
    <row r="357" customFormat="false" ht="15" hidden="false" customHeight="true" outlineLevel="0" collapsed="false">
      <c r="A357" s="27" t="s">
        <v>2194</v>
      </c>
      <c r="B357" s="27" t="s">
        <v>515</v>
      </c>
      <c r="C357" s="27" t="s">
        <v>5367</v>
      </c>
      <c r="D357" s="27" t="s">
        <v>5368</v>
      </c>
      <c r="E357" s="27"/>
      <c r="F357" s="27" t="s">
        <v>5369</v>
      </c>
      <c r="G357" s="27"/>
      <c r="H357" s="28" t="s">
        <v>2195</v>
      </c>
      <c r="I357" s="27"/>
    </row>
    <row r="358" customFormat="false" ht="15" hidden="false" customHeight="true" outlineLevel="0" collapsed="false">
      <c r="A358" s="27" t="s">
        <v>2200</v>
      </c>
      <c r="B358" s="27" t="s">
        <v>515</v>
      </c>
      <c r="C358" s="27" t="s">
        <v>5399</v>
      </c>
      <c r="D358" s="27" t="s">
        <v>5400</v>
      </c>
      <c r="E358" s="27"/>
      <c r="F358" s="27" t="s">
        <v>5418</v>
      </c>
      <c r="G358" s="27"/>
      <c r="H358" s="28" t="s">
        <v>2201</v>
      </c>
      <c r="I358" s="27"/>
    </row>
    <row r="359" customFormat="false" ht="15" hidden="false" customHeight="true" outlineLevel="0" collapsed="false">
      <c r="A359" s="27" t="s">
        <v>2200</v>
      </c>
      <c r="B359" s="27" t="s">
        <v>515</v>
      </c>
      <c r="C359" s="27" t="s">
        <v>5367</v>
      </c>
      <c r="D359" s="27" t="s">
        <v>5368</v>
      </c>
      <c r="E359" s="27"/>
      <c r="F359" s="27" t="s">
        <v>5369</v>
      </c>
      <c r="G359" s="27"/>
      <c r="H359" s="28" t="s">
        <v>2201</v>
      </c>
      <c r="I359" s="27"/>
    </row>
    <row r="360" customFormat="false" ht="15" hidden="false" customHeight="true" outlineLevel="0" collapsed="false">
      <c r="A360" s="27" t="s">
        <v>2206</v>
      </c>
      <c r="B360" s="27" t="s">
        <v>515</v>
      </c>
      <c r="C360" s="27" t="s">
        <v>5367</v>
      </c>
      <c r="D360" s="27" t="s">
        <v>5368</v>
      </c>
      <c r="E360" s="27"/>
      <c r="F360" s="27" t="s">
        <v>5375</v>
      </c>
      <c r="G360" s="27"/>
      <c r="H360" s="28" t="s">
        <v>2207</v>
      </c>
      <c r="I360" s="27"/>
    </row>
    <row r="361" customFormat="false" ht="15" hidden="false" customHeight="true" outlineLevel="0" collapsed="false">
      <c r="A361" s="27" t="s">
        <v>2209</v>
      </c>
      <c r="B361" s="27" t="s">
        <v>515</v>
      </c>
      <c r="C361" s="27" t="s">
        <v>5407</v>
      </c>
      <c r="D361" s="27" t="s">
        <v>5408</v>
      </c>
      <c r="E361" s="27"/>
      <c r="F361" s="27" t="s">
        <v>5417</v>
      </c>
      <c r="G361" s="27"/>
      <c r="H361" s="28" t="s">
        <v>2210</v>
      </c>
      <c r="I361" s="27"/>
    </row>
    <row r="362" customFormat="false" ht="15" hidden="false" customHeight="true" outlineLevel="0" collapsed="false">
      <c r="A362" s="27" t="s">
        <v>2209</v>
      </c>
      <c r="B362" s="27" t="s">
        <v>515</v>
      </c>
      <c r="C362" s="27" t="s">
        <v>5367</v>
      </c>
      <c r="D362" s="27" t="s">
        <v>5368</v>
      </c>
      <c r="E362" s="27"/>
      <c r="F362" s="27" t="s">
        <v>5375</v>
      </c>
      <c r="G362" s="27"/>
      <c r="H362" s="28" t="s">
        <v>2210</v>
      </c>
      <c r="I362" s="27"/>
    </row>
    <row r="363" customFormat="false" ht="15" hidden="false" customHeight="true" outlineLevel="0" collapsed="false">
      <c r="A363" s="27" t="s">
        <v>2212</v>
      </c>
      <c r="B363" s="27" t="s">
        <v>515</v>
      </c>
      <c r="C363" s="27" t="s">
        <v>5407</v>
      </c>
      <c r="D363" s="27" t="s">
        <v>5408</v>
      </c>
      <c r="E363" s="27"/>
      <c r="F363" s="27" t="s">
        <v>5417</v>
      </c>
      <c r="G363" s="27"/>
      <c r="H363" s="28" t="s">
        <v>2213</v>
      </c>
      <c r="I363" s="27"/>
    </row>
    <row r="364" customFormat="false" ht="15" hidden="false" customHeight="true" outlineLevel="0" collapsed="false">
      <c r="A364" s="27" t="s">
        <v>2212</v>
      </c>
      <c r="B364" s="27" t="s">
        <v>515</v>
      </c>
      <c r="C364" s="27" t="s">
        <v>5367</v>
      </c>
      <c r="D364" s="27" t="s">
        <v>5368</v>
      </c>
      <c r="E364" s="27"/>
      <c r="F364" s="27" t="s">
        <v>5369</v>
      </c>
      <c r="G364" s="27"/>
      <c r="H364" s="28" t="s">
        <v>2213</v>
      </c>
      <c r="I364" s="27"/>
    </row>
    <row r="365" customFormat="false" ht="15" hidden="false" customHeight="true" outlineLevel="0" collapsed="false">
      <c r="A365" s="27" t="s">
        <v>2215</v>
      </c>
      <c r="B365" s="27" t="s">
        <v>515</v>
      </c>
      <c r="C365" s="27" t="s">
        <v>5367</v>
      </c>
      <c r="D365" s="27" t="s">
        <v>5368</v>
      </c>
      <c r="E365" s="27"/>
      <c r="F365" s="27" t="s">
        <v>5369</v>
      </c>
      <c r="G365" s="27"/>
      <c r="H365" s="28" t="s">
        <v>2216</v>
      </c>
      <c r="I365" s="27"/>
    </row>
    <row r="366" customFormat="false" ht="15" hidden="false" customHeight="true" outlineLevel="0" collapsed="false">
      <c r="A366" s="27" t="s">
        <v>2218</v>
      </c>
      <c r="B366" s="27" t="s">
        <v>515</v>
      </c>
      <c r="C366" s="27" t="s">
        <v>5399</v>
      </c>
      <c r="D366" s="27" t="s">
        <v>5400</v>
      </c>
      <c r="E366" s="27"/>
      <c r="F366" s="27" t="s">
        <v>5419</v>
      </c>
      <c r="G366" s="27"/>
      <c r="H366" s="28" t="s">
        <v>1974</v>
      </c>
      <c r="I366" s="27"/>
    </row>
    <row r="367" customFormat="false" ht="15" hidden="false" customHeight="true" outlineLevel="0" collapsed="false">
      <c r="A367" s="27" t="s">
        <v>2218</v>
      </c>
      <c r="B367" s="27" t="s">
        <v>515</v>
      </c>
      <c r="C367" s="27" t="s">
        <v>5367</v>
      </c>
      <c r="D367" s="27" t="s">
        <v>5368</v>
      </c>
      <c r="E367" s="27"/>
      <c r="F367" s="27" t="s">
        <v>5369</v>
      </c>
      <c r="G367" s="27"/>
      <c r="H367" s="28" t="s">
        <v>1974</v>
      </c>
      <c r="I367" s="27"/>
    </row>
    <row r="368" customFormat="false" ht="15" hidden="false" customHeight="true" outlineLevel="0" collapsed="false">
      <c r="A368" s="27" t="s">
        <v>2220</v>
      </c>
      <c r="B368" s="27" t="s">
        <v>515</v>
      </c>
      <c r="C368" s="27" t="s">
        <v>5367</v>
      </c>
      <c r="D368" s="27" t="s">
        <v>5368</v>
      </c>
      <c r="E368" s="27"/>
      <c r="F368" s="27" t="s">
        <v>5369</v>
      </c>
      <c r="G368" s="27"/>
      <c r="H368" s="28" t="s">
        <v>2221</v>
      </c>
      <c r="I368" s="27"/>
    </row>
    <row r="369" customFormat="false" ht="15" hidden="false" customHeight="true" outlineLevel="0" collapsed="false">
      <c r="A369" s="27" t="s">
        <v>2226</v>
      </c>
      <c r="B369" s="27" t="s">
        <v>515</v>
      </c>
      <c r="C369" s="27" t="s">
        <v>5407</v>
      </c>
      <c r="D369" s="27" t="s">
        <v>5408</v>
      </c>
      <c r="E369" s="27"/>
      <c r="F369" s="27" t="s">
        <v>5417</v>
      </c>
      <c r="G369" s="27"/>
      <c r="H369" s="28" t="s">
        <v>2227</v>
      </c>
      <c r="I369" s="27"/>
    </row>
    <row r="370" customFormat="false" ht="15" hidden="false" customHeight="true" outlineLevel="0" collapsed="false">
      <c r="A370" s="27" t="s">
        <v>2226</v>
      </c>
      <c r="B370" s="27" t="s">
        <v>515</v>
      </c>
      <c r="C370" s="27" t="s">
        <v>5399</v>
      </c>
      <c r="D370" s="27" t="s">
        <v>5400</v>
      </c>
      <c r="E370" s="27"/>
      <c r="F370" s="27" t="s">
        <v>5418</v>
      </c>
      <c r="G370" s="27"/>
      <c r="H370" s="28" t="s">
        <v>2227</v>
      </c>
      <c r="I370" s="27"/>
    </row>
    <row r="371" customFormat="false" ht="15" hidden="false" customHeight="true" outlineLevel="0" collapsed="false">
      <c r="A371" s="27" t="s">
        <v>2229</v>
      </c>
      <c r="B371" s="27" t="s">
        <v>515</v>
      </c>
      <c r="C371" s="27" t="s">
        <v>5367</v>
      </c>
      <c r="D371" s="27" t="s">
        <v>5368</v>
      </c>
      <c r="E371" s="27"/>
      <c r="F371" s="27" t="s">
        <v>5375</v>
      </c>
      <c r="G371" s="27"/>
      <c r="H371" s="28" t="s">
        <v>2230</v>
      </c>
      <c r="I371" s="27"/>
    </row>
    <row r="372" customFormat="false" ht="15" hidden="false" customHeight="true" outlineLevel="0" collapsed="false">
      <c r="A372" s="27" t="s">
        <v>2232</v>
      </c>
      <c r="B372" s="27" t="s">
        <v>515</v>
      </c>
      <c r="C372" s="27" t="s">
        <v>5407</v>
      </c>
      <c r="D372" s="27" t="s">
        <v>5408</v>
      </c>
      <c r="E372" s="27"/>
      <c r="F372" s="27" t="s">
        <v>5417</v>
      </c>
      <c r="G372" s="27"/>
      <c r="H372" s="28" t="s">
        <v>2233</v>
      </c>
      <c r="I372" s="27"/>
    </row>
    <row r="373" customFormat="false" ht="15" hidden="false" customHeight="true" outlineLevel="0" collapsed="false">
      <c r="A373" s="27" t="s">
        <v>2232</v>
      </c>
      <c r="B373" s="27" t="s">
        <v>515</v>
      </c>
      <c r="C373" s="27" t="s">
        <v>5367</v>
      </c>
      <c r="D373" s="27" t="s">
        <v>5368</v>
      </c>
      <c r="E373" s="27"/>
      <c r="F373" s="27" t="s">
        <v>5369</v>
      </c>
      <c r="G373" s="27"/>
      <c r="H373" s="28" t="s">
        <v>2233</v>
      </c>
      <c r="I373" s="27"/>
    </row>
    <row r="374" customFormat="false" ht="15" hidden="false" customHeight="true" outlineLevel="0" collapsed="false">
      <c r="A374" s="27" t="s">
        <v>2235</v>
      </c>
      <c r="B374" s="27" t="s">
        <v>515</v>
      </c>
      <c r="C374" s="27" t="s">
        <v>5367</v>
      </c>
      <c r="D374" s="27" t="s">
        <v>5368</v>
      </c>
      <c r="E374" s="27"/>
      <c r="F374" s="27" t="s">
        <v>5375</v>
      </c>
      <c r="G374" s="27"/>
      <c r="H374" s="28" t="s">
        <v>2236</v>
      </c>
      <c r="I374" s="27"/>
    </row>
    <row r="375" customFormat="false" ht="15" hidden="false" customHeight="true" outlineLevel="0" collapsed="false">
      <c r="A375" s="27" t="s">
        <v>2238</v>
      </c>
      <c r="B375" s="27" t="s">
        <v>515</v>
      </c>
      <c r="C375" s="27" t="s">
        <v>5367</v>
      </c>
      <c r="D375" s="27" t="s">
        <v>5368</v>
      </c>
      <c r="E375" s="27"/>
      <c r="F375" s="27" t="s">
        <v>5375</v>
      </c>
      <c r="G375" s="27"/>
      <c r="H375" s="28" t="s">
        <v>2239</v>
      </c>
      <c r="I375" s="27"/>
    </row>
    <row r="376" customFormat="false" ht="15" hidden="false" customHeight="true" outlineLevel="0" collapsed="false">
      <c r="A376" s="27" t="s">
        <v>2247</v>
      </c>
      <c r="B376" s="27" t="s">
        <v>515</v>
      </c>
      <c r="C376" s="27" t="s">
        <v>5407</v>
      </c>
      <c r="D376" s="27" t="s">
        <v>5408</v>
      </c>
      <c r="E376" s="27"/>
      <c r="F376" s="27" t="s">
        <v>5417</v>
      </c>
      <c r="G376" s="27"/>
      <c r="H376" s="28" t="s">
        <v>2248</v>
      </c>
      <c r="I376" s="27"/>
    </row>
    <row r="377" customFormat="false" ht="15" hidden="false" customHeight="true" outlineLevel="0" collapsed="false">
      <c r="A377" s="27" t="s">
        <v>2247</v>
      </c>
      <c r="B377" s="27" t="s">
        <v>515</v>
      </c>
      <c r="C377" s="27" t="s">
        <v>5399</v>
      </c>
      <c r="D377" s="27" t="s">
        <v>5400</v>
      </c>
      <c r="E377" s="27"/>
      <c r="F377" s="27" t="s">
        <v>5419</v>
      </c>
      <c r="G377" s="27"/>
      <c r="H377" s="28" t="s">
        <v>2248</v>
      </c>
      <c r="I377" s="27"/>
    </row>
    <row r="378" customFormat="false" ht="15" hidden="false" customHeight="true" outlineLevel="0" collapsed="false">
      <c r="A378" s="27" t="s">
        <v>2253</v>
      </c>
      <c r="B378" s="27" t="s">
        <v>515</v>
      </c>
      <c r="C378" s="27" t="s">
        <v>5407</v>
      </c>
      <c r="D378" s="27" t="s">
        <v>5408</v>
      </c>
      <c r="E378" s="27"/>
      <c r="F378" s="27" t="s">
        <v>5417</v>
      </c>
      <c r="G378" s="27"/>
      <c r="H378" s="28" t="s">
        <v>2254</v>
      </c>
      <c r="I378" s="27"/>
    </row>
    <row r="379" customFormat="false" ht="15" hidden="false" customHeight="true" outlineLevel="0" collapsed="false">
      <c r="A379" s="27" t="s">
        <v>2253</v>
      </c>
      <c r="B379" s="27" t="s">
        <v>515</v>
      </c>
      <c r="C379" s="27" t="s">
        <v>5367</v>
      </c>
      <c r="D379" s="27" t="s">
        <v>5368</v>
      </c>
      <c r="E379" s="27"/>
      <c r="F379" s="27" t="s">
        <v>5375</v>
      </c>
      <c r="G379" s="27"/>
      <c r="H379" s="28" t="s">
        <v>2254</v>
      </c>
      <c r="I379" s="27"/>
    </row>
    <row r="380" customFormat="false" ht="15" hidden="false" customHeight="true" outlineLevel="0" collapsed="false">
      <c r="A380" s="27" t="s">
        <v>2256</v>
      </c>
      <c r="B380" s="27" t="s">
        <v>515</v>
      </c>
      <c r="C380" s="27" t="s">
        <v>5367</v>
      </c>
      <c r="D380" s="27" t="s">
        <v>5368</v>
      </c>
      <c r="E380" s="27"/>
      <c r="F380" s="27" t="s">
        <v>5369</v>
      </c>
      <c r="G380" s="27"/>
      <c r="H380" s="28" t="s">
        <v>2257</v>
      </c>
      <c r="I380" s="27"/>
    </row>
    <row r="381" customFormat="false" ht="15" hidden="false" customHeight="true" outlineLevel="0" collapsed="false">
      <c r="A381" s="27" t="s">
        <v>2259</v>
      </c>
      <c r="B381" s="27" t="s">
        <v>515</v>
      </c>
      <c r="C381" s="27" t="s">
        <v>5367</v>
      </c>
      <c r="D381" s="27" t="s">
        <v>5368</v>
      </c>
      <c r="E381" s="27"/>
      <c r="F381" s="27" t="s">
        <v>5375</v>
      </c>
      <c r="G381" s="27"/>
      <c r="H381" s="28" t="s">
        <v>2260</v>
      </c>
      <c r="I381" s="27"/>
    </row>
    <row r="382" customFormat="false" ht="15" hidden="false" customHeight="true" outlineLevel="0" collapsed="false">
      <c r="A382" s="27" t="s">
        <v>2265</v>
      </c>
      <c r="B382" s="27" t="s">
        <v>515</v>
      </c>
      <c r="C382" s="27" t="s">
        <v>5367</v>
      </c>
      <c r="D382" s="27" t="s">
        <v>5368</v>
      </c>
      <c r="E382" s="27"/>
      <c r="F382" s="27" t="s">
        <v>5369</v>
      </c>
      <c r="G382" s="27"/>
      <c r="H382" s="28" t="s">
        <v>2266</v>
      </c>
      <c r="I382" s="27"/>
    </row>
    <row r="383" customFormat="false" ht="15" hidden="false" customHeight="true" outlineLevel="0" collapsed="false">
      <c r="A383" s="27" t="s">
        <v>2271</v>
      </c>
      <c r="B383" s="27" t="s">
        <v>515</v>
      </c>
      <c r="C383" s="27" t="s">
        <v>5407</v>
      </c>
      <c r="D383" s="27" t="s">
        <v>5408</v>
      </c>
      <c r="E383" s="27"/>
      <c r="F383" s="27" t="s">
        <v>5417</v>
      </c>
      <c r="G383" s="27"/>
      <c r="H383" s="28" t="s">
        <v>2272</v>
      </c>
      <c r="I383" s="27"/>
    </row>
    <row r="384" customFormat="false" ht="15" hidden="false" customHeight="true" outlineLevel="0" collapsed="false">
      <c r="A384" s="27" t="s">
        <v>2271</v>
      </c>
      <c r="B384" s="27" t="s">
        <v>515</v>
      </c>
      <c r="C384" s="27" t="s">
        <v>5367</v>
      </c>
      <c r="D384" s="27" t="s">
        <v>5368</v>
      </c>
      <c r="E384" s="27"/>
      <c r="F384" s="27" t="s">
        <v>5375</v>
      </c>
      <c r="G384" s="27"/>
      <c r="H384" s="28" t="s">
        <v>2272</v>
      </c>
      <c r="I384" s="27"/>
    </row>
    <row r="385" customFormat="false" ht="15" hidden="false" customHeight="true" outlineLevel="0" collapsed="false">
      <c r="A385" s="27" t="s">
        <v>2280</v>
      </c>
      <c r="B385" s="27" t="s">
        <v>515</v>
      </c>
      <c r="C385" s="27" t="s">
        <v>5367</v>
      </c>
      <c r="D385" s="27" t="s">
        <v>5368</v>
      </c>
      <c r="E385" s="27"/>
      <c r="F385" s="27" t="s">
        <v>5375</v>
      </c>
      <c r="G385" s="27"/>
      <c r="H385" s="28" t="s">
        <v>2281</v>
      </c>
      <c r="I385" s="27"/>
    </row>
    <row r="386" customFormat="false" ht="15" hidden="false" customHeight="true" outlineLevel="0" collapsed="false">
      <c r="A386" s="27" t="s">
        <v>2284</v>
      </c>
      <c r="B386" s="27" t="s">
        <v>515</v>
      </c>
      <c r="C386" s="27" t="s">
        <v>5367</v>
      </c>
      <c r="D386" s="27" t="s">
        <v>5368</v>
      </c>
      <c r="E386" s="27"/>
      <c r="F386" s="27" t="s">
        <v>5369</v>
      </c>
      <c r="G386" s="27"/>
      <c r="H386" s="28" t="s">
        <v>2285</v>
      </c>
      <c r="I386" s="27"/>
    </row>
    <row r="387" customFormat="false" ht="15" hidden="false" customHeight="true" outlineLevel="0" collapsed="false">
      <c r="A387" s="27" t="s">
        <v>2296</v>
      </c>
      <c r="B387" s="27" t="s">
        <v>515</v>
      </c>
      <c r="C387" s="27" t="s">
        <v>5399</v>
      </c>
      <c r="D387" s="27" t="s">
        <v>5400</v>
      </c>
      <c r="E387" s="27"/>
      <c r="F387" s="27" t="s">
        <v>5417</v>
      </c>
      <c r="G387" s="27"/>
      <c r="H387" s="28" t="s">
        <v>5521</v>
      </c>
      <c r="I387" s="27"/>
    </row>
    <row r="388" customFormat="false" ht="15" hidden="false" customHeight="true" outlineLevel="0" collapsed="false">
      <c r="A388" s="27" t="s">
        <v>2296</v>
      </c>
      <c r="B388" s="27" t="s">
        <v>515</v>
      </c>
      <c r="C388" s="27" t="s">
        <v>5367</v>
      </c>
      <c r="D388" s="27" t="s">
        <v>5368</v>
      </c>
      <c r="E388" s="27"/>
      <c r="F388" s="27" t="s">
        <v>5369</v>
      </c>
      <c r="G388" s="27"/>
      <c r="H388" s="28" t="s">
        <v>5521</v>
      </c>
      <c r="I388" s="27"/>
    </row>
    <row r="389" customFormat="false" ht="15" hidden="false" customHeight="true" outlineLevel="0" collapsed="false">
      <c r="A389" s="27" t="s">
        <v>2300</v>
      </c>
      <c r="B389" s="27" t="s">
        <v>515</v>
      </c>
      <c r="C389" s="27" t="s">
        <v>5399</v>
      </c>
      <c r="D389" s="27" t="s">
        <v>5400</v>
      </c>
      <c r="E389" s="27"/>
      <c r="F389" s="27" t="s">
        <v>5418</v>
      </c>
      <c r="G389" s="27"/>
      <c r="H389" s="28" t="s">
        <v>5522</v>
      </c>
      <c r="I389" s="27"/>
    </row>
    <row r="390" customFormat="false" ht="15" hidden="false" customHeight="true" outlineLevel="0" collapsed="false">
      <c r="A390" s="27" t="s">
        <v>2300</v>
      </c>
      <c r="B390" s="27" t="s">
        <v>515</v>
      </c>
      <c r="C390" s="27" t="s">
        <v>5367</v>
      </c>
      <c r="D390" s="27" t="s">
        <v>5368</v>
      </c>
      <c r="E390" s="27"/>
      <c r="F390" s="27" t="s">
        <v>5369</v>
      </c>
      <c r="G390" s="27"/>
      <c r="H390" s="28" t="s">
        <v>5522</v>
      </c>
      <c r="I390" s="27"/>
    </row>
    <row r="391" customFormat="false" ht="15" hidden="false" customHeight="true" outlineLevel="0" collapsed="false">
      <c r="A391" s="27" t="s">
        <v>2303</v>
      </c>
      <c r="B391" s="27" t="s">
        <v>515</v>
      </c>
      <c r="C391" s="27" t="s">
        <v>5367</v>
      </c>
      <c r="D391" s="27" t="s">
        <v>5368</v>
      </c>
      <c r="E391" s="27"/>
      <c r="F391" s="27" t="s">
        <v>5369</v>
      </c>
      <c r="G391" s="27"/>
      <c r="H391" s="28" t="s">
        <v>2304</v>
      </c>
      <c r="I391" s="27"/>
    </row>
    <row r="392" customFormat="false" ht="15" hidden="false" customHeight="true" outlineLevel="0" collapsed="false">
      <c r="A392" s="27" t="s">
        <v>2309</v>
      </c>
      <c r="B392" s="27" t="s">
        <v>515</v>
      </c>
      <c r="C392" s="27" t="s">
        <v>5407</v>
      </c>
      <c r="D392" s="27" t="s">
        <v>5408</v>
      </c>
      <c r="E392" s="27"/>
      <c r="F392" s="27" t="s">
        <v>5419</v>
      </c>
      <c r="G392" s="27"/>
      <c r="H392" s="27" t="s">
        <v>2310</v>
      </c>
      <c r="I392" s="27"/>
    </row>
    <row r="393" customFormat="false" ht="15" hidden="false" customHeight="true" outlineLevel="0" collapsed="false">
      <c r="A393" s="27" t="s">
        <v>2309</v>
      </c>
      <c r="B393" s="27" t="s">
        <v>515</v>
      </c>
      <c r="C393" s="27" t="s">
        <v>5367</v>
      </c>
      <c r="D393" s="27" t="s">
        <v>5368</v>
      </c>
      <c r="E393" s="27"/>
      <c r="F393" s="27" t="s">
        <v>5375</v>
      </c>
      <c r="G393" s="27"/>
      <c r="H393" s="27" t="s">
        <v>2310</v>
      </c>
      <c r="I393" s="27"/>
    </row>
    <row r="394" customFormat="false" ht="15" hidden="false" customHeight="true" outlineLevel="0" collapsed="false">
      <c r="A394" s="27" t="s">
        <v>2315</v>
      </c>
      <c r="B394" s="27" t="s">
        <v>515</v>
      </c>
      <c r="C394" s="27" t="s">
        <v>5407</v>
      </c>
      <c r="D394" s="27" t="s">
        <v>5408</v>
      </c>
      <c r="E394" s="27"/>
      <c r="F394" s="27" t="s">
        <v>5419</v>
      </c>
      <c r="G394" s="27"/>
      <c r="H394" s="28" t="s">
        <v>2316</v>
      </c>
      <c r="I394" s="27"/>
    </row>
    <row r="395" customFormat="false" ht="15" hidden="false" customHeight="true" outlineLevel="0" collapsed="false">
      <c r="A395" s="27" t="s">
        <v>2319</v>
      </c>
      <c r="B395" s="27" t="s">
        <v>515</v>
      </c>
      <c r="C395" s="27" t="s">
        <v>5407</v>
      </c>
      <c r="D395" s="27" t="s">
        <v>5408</v>
      </c>
      <c r="E395" s="27"/>
      <c r="F395" s="27" t="s">
        <v>5418</v>
      </c>
      <c r="G395" s="27"/>
      <c r="H395" s="28" t="s">
        <v>2320</v>
      </c>
      <c r="I395" s="27"/>
    </row>
    <row r="396" customFormat="false" ht="15" hidden="false" customHeight="true" outlineLevel="0" collapsed="false">
      <c r="A396" s="27" t="s">
        <v>2319</v>
      </c>
      <c r="B396" s="27" t="s">
        <v>515</v>
      </c>
      <c r="C396" s="27" t="s">
        <v>5367</v>
      </c>
      <c r="D396" s="27" t="s">
        <v>5368</v>
      </c>
      <c r="E396" s="27"/>
      <c r="F396" s="27" t="s">
        <v>5369</v>
      </c>
      <c r="G396" s="27"/>
      <c r="H396" s="28" t="s">
        <v>2320</v>
      </c>
      <c r="I396" s="27"/>
    </row>
    <row r="397" customFormat="false" ht="15" hidden="false" customHeight="true" outlineLevel="0" collapsed="false">
      <c r="A397" s="27" t="s">
        <v>2331</v>
      </c>
      <c r="B397" s="27" t="s">
        <v>515</v>
      </c>
      <c r="C397" s="27" t="s">
        <v>5399</v>
      </c>
      <c r="D397" s="27" t="s">
        <v>5400</v>
      </c>
      <c r="E397" s="27"/>
      <c r="F397" s="27" t="s">
        <v>5417</v>
      </c>
      <c r="G397" s="27"/>
      <c r="H397" s="28" t="s">
        <v>2332</v>
      </c>
      <c r="I397" s="27"/>
    </row>
    <row r="398" customFormat="false" ht="15" hidden="false" customHeight="true" outlineLevel="0" collapsed="false">
      <c r="A398" s="27" t="s">
        <v>2410</v>
      </c>
      <c r="B398" s="27" t="s">
        <v>523</v>
      </c>
      <c r="C398" s="27" t="s">
        <v>5367</v>
      </c>
      <c r="D398" s="27" t="s">
        <v>5420</v>
      </c>
      <c r="E398" s="27"/>
      <c r="F398" s="27" t="s">
        <v>5369</v>
      </c>
      <c r="G398" s="27" t="s">
        <v>5523</v>
      </c>
      <c r="H398" s="28" t="s">
        <v>2411</v>
      </c>
      <c r="I398" s="28" t="s">
        <v>5421</v>
      </c>
    </row>
    <row r="399" customFormat="false" ht="15" hidden="false" customHeight="true" outlineLevel="0" collapsed="false">
      <c r="A399" s="27" t="s">
        <v>2416</v>
      </c>
      <c r="B399" s="27" t="s">
        <v>523</v>
      </c>
      <c r="C399" s="27" t="s">
        <v>5367</v>
      </c>
      <c r="D399" s="27" t="s">
        <v>5420</v>
      </c>
      <c r="E399" s="27"/>
      <c r="F399" s="27" t="s">
        <v>5375</v>
      </c>
      <c r="G399" s="27" t="s">
        <v>5523</v>
      </c>
      <c r="H399" s="28" t="s">
        <v>2417</v>
      </c>
      <c r="I399" s="28" t="s">
        <v>5421</v>
      </c>
    </row>
    <row r="400" customFormat="false" ht="15" hidden="false" customHeight="true" outlineLevel="0" collapsed="false">
      <c r="A400" s="27" t="s">
        <v>2422</v>
      </c>
      <c r="B400" s="27" t="s">
        <v>523</v>
      </c>
      <c r="C400" s="27" t="s">
        <v>5367</v>
      </c>
      <c r="D400" s="27" t="s">
        <v>5420</v>
      </c>
      <c r="E400" s="27"/>
      <c r="F400" s="27" t="s">
        <v>5369</v>
      </c>
      <c r="G400" s="27" t="s">
        <v>5524</v>
      </c>
      <c r="H400" s="28" t="s">
        <v>2423</v>
      </c>
      <c r="I400" s="28" t="s">
        <v>5421</v>
      </c>
    </row>
    <row r="401" customFormat="false" ht="15" hidden="false" customHeight="true" outlineLevel="0" collapsed="false">
      <c r="A401" s="27" t="s">
        <v>2425</v>
      </c>
      <c r="B401" s="27" t="s">
        <v>523</v>
      </c>
      <c r="C401" s="27" t="s">
        <v>5367</v>
      </c>
      <c r="D401" s="27" t="s">
        <v>5420</v>
      </c>
      <c r="E401" s="27"/>
      <c r="F401" s="27" t="s">
        <v>5369</v>
      </c>
      <c r="G401" s="27" t="s">
        <v>5523</v>
      </c>
      <c r="H401" s="28" t="s">
        <v>2426</v>
      </c>
      <c r="I401" s="28" t="s">
        <v>5421</v>
      </c>
    </row>
    <row r="402" customFormat="false" ht="15" hidden="false" customHeight="true" outlineLevel="0" collapsed="false">
      <c r="A402" s="27" t="s">
        <v>2428</v>
      </c>
      <c r="B402" s="27" t="s">
        <v>523</v>
      </c>
      <c r="C402" s="27" t="s">
        <v>5367</v>
      </c>
      <c r="D402" s="27" t="s">
        <v>5420</v>
      </c>
      <c r="E402" s="27"/>
      <c r="F402" s="27" t="s">
        <v>5375</v>
      </c>
      <c r="G402" s="27" t="s">
        <v>5525</v>
      </c>
      <c r="H402" s="28" t="s">
        <v>2429</v>
      </c>
      <c r="I402" s="28" t="s">
        <v>5421</v>
      </c>
    </row>
    <row r="403" customFormat="false" ht="15" hidden="false" customHeight="true" outlineLevel="0" collapsed="false">
      <c r="A403" s="27" t="s">
        <v>2431</v>
      </c>
      <c r="B403" s="27" t="s">
        <v>523</v>
      </c>
      <c r="C403" s="27" t="s">
        <v>5367</v>
      </c>
      <c r="D403" s="27" t="s">
        <v>5420</v>
      </c>
      <c r="E403" s="27"/>
      <c r="F403" s="27" t="s">
        <v>5369</v>
      </c>
      <c r="G403" s="27" t="s">
        <v>5469</v>
      </c>
      <c r="H403" s="28" t="s">
        <v>2432</v>
      </c>
      <c r="I403" s="28" t="s">
        <v>5421</v>
      </c>
    </row>
    <row r="404" customFormat="false" ht="15" hidden="false" customHeight="true" outlineLevel="0" collapsed="false">
      <c r="A404" s="27" t="s">
        <v>2437</v>
      </c>
      <c r="B404" s="27" t="s">
        <v>523</v>
      </c>
      <c r="C404" s="27" t="s">
        <v>5407</v>
      </c>
      <c r="D404" s="27" t="s">
        <v>5408</v>
      </c>
      <c r="E404" s="27"/>
      <c r="F404" s="27" t="s">
        <v>5419</v>
      </c>
      <c r="G404" s="27" t="s">
        <v>5526</v>
      </c>
      <c r="H404" s="28" t="s">
        <v>2438</v>
      </c>
      <c r="I404" s="27"/>
    </row>
    <row r="405" customFormat="false" ht="15" hidden="false" customHeight="true" outlineLevel="0" collapsed="false">
      <c r="A405" s="27" t="s">
        <v>2437</v>
      </c>
      <c r="B405" s="27" t="s">
        <v>523</v>
      </c>
      <c r="C405" s="27" t="s">
        <v>5367</v>
      </c>
      <c r="D405" s="27" t="s">
        <v>5420</v>
      </c>
      <c r="E405" s="27"/>
      <c r="F405" s="27" t="s">
        <v>5369</v>
      </c>
      <c r="G405" s="27" t="s">
        <v>5527</v>
      </c>
      <c r="H405" s="28" t="s">
        <v>2438</v>
      </c>
      <c r="I405" s="28" t="s">
        <v>5421</v>
      </c>
    </row>
    <row r="406" customFormat="false" ht="15" hidden="false" customHeight="true" outlineLevel="0" collapsed="false">
      <c r="A406" s="27" t="s">
        <v>2442</v>
      </c>
      <c r="B406" s="27" t="s">
        <v>523</v>
      </c>
      <c r="C406" s="27" t="s">
        <v>5367</v>
      </c>
      <c r="D406" s="27" t="s">
        <v>5420</v>
      </c>
      <c r="E406" s="27"/>
      <c r="F406" s="27" t="s">
        <v>5369</v>
      </c>
      <c r="G406" s="27" t="s">
        <v>5453</v>
      </c>
      <c r="H406" s="28" t="s">
        <v>2443</v>
      </c>
      <c r="I406" s="28" t="s">
        <v>5421</v>
      </c>
    </row>
    <row r="407" customFormat="false" ht="15" hidden="false" customHeight="true" outlineLevel="0" collapsed="false">
      <c r="A407" s="27" t="s">
        <v>2445</v>
      </c>
      <c r="B407" s="27" t="s">
        <v>523</v>
      </c>
      <c r="C407" s="27" t="s">
        <v>5367</v>
      </c>
      <c r="D407" s="27" t="s">
        <v>5420</v>
      </c>
      <c r="E407" s="27"/>
      <c r="F407" s="27" t="s">
        <v>5375</v>
      </c>
      <c r="G407" s="27" t="s">
        <v>5524</v>
      </c>
      <c r="H407" s="28" t="s">
        <v>2446</v>
      </c>
      <c r="I407" s="28" t="s">
        <v>5421</v>
      </c>
    </row>
    <row r="408" customFormat="false" ht="15" hidden="false" customHeight="true" outlineLevel="0" collapsed="false">
      <c r="A408" s="27" t="s">
        <v>2448</v>
      </c>
      <c r="B408" s="27" t="s">
        <v>523</v>
      </c>
      <c r="C408" s="27" t="s">
        <v>5367</v>
      </c>
      <c r="D408" s="27" t="s">
        <v>5420</v>
      </c>
      <c r="E408" s="27"/>
      <c r="F408" s="27" t="s">
        <v>5375</v>
      </c>
      <c r="G408" s="27" t="s">
        <v>5528</v>
      </c>
      <c r="H408" s="28" t="s">
        <v>2449</v>
      </c>
      <c r="I408" s="28" t="s">
        <v>5421</v>
      </c>
    </row>
    <row r="409" customFormat="false" ht="15" hidden="false" customHeight="true" outlineLevel="0" collapsed="false">
      <c r="A409" s="27" t="s">
        <v>2451</v>
      </c>
      <c r="B409" s="27" t="s">
        <v>523</v>
      </c>
      <c r="C409" s="27" t="s">
        <v>5367</v>
      </c>
      <c r="D409" s="27" t="s">
        <v>5420</v>
      </c>
      <c r="E409" s="27"/>
      <c r="F409" s="27" t="s">
        <v>5375</v>
      </c>
      <c r="G409" s="27" t="s">
        <v>5529</v>
      </c>
      <c r="H409" s="28" t="s">
        <v>2452</v>
      </c>
      <c r="I409" s="28" t="s">
        <v>5421</v>
      </c>
    </row>
    <row r="410" customFormat="false" ht="15" hidden="false" customHeight="true" outlineLevel="0" collapsed="false">
      <c r="A410" s="27" t="s">
        <v>2454</v>
      </c>
      <c r="B410" s="27" t="s">
        <v>523</v>
      </c>
      <c r="C410" s="27" t="s">
        <v>5407</v>
      </c>
      <c r="D410" s="27" t="s">
        <v>5408</v>
      </c>
      <c r="E410" s="27"/>
      <c r="F410" s="27" t="s">
        <v>5417</v>
      </c>
      <c r="G410" s="27" t="s">
        <v>5530</v>
      </c>
      <c r="H410" s="28" t="s">
        <v>2455</v>
      </c>
      <c r="I410" s="27"/>
    </row>
    <row r="411" customFormat="false" ht="15" hidden="false" customHeight="true" outlineLevel="0" collapsed="false">
      <c r="A411" s="27" t="s">
        <v>2454</v>
      </c>
      <c r="B411" s="27" t="s">
        <v>523</v>
      </c>
      <c r="C411" s="27" t="s">
        <v>5367</v>
      </c>
      <c r="D411" s="27" t="s">
        <v>5420</v>
      </c>
      <c r="E411" s="27"/>
      <c r="F411" s="27" t="s">
        <v>5369</v>
      </c>
      <c r="G411" s="27" t="s">
        <v>5435</v>
      </c>
      <c r="H411" s="28" t="s">
        <v>2455</v>
      </c>
      <c r="I411" s="28" t="s">
        <v>5421</v>
      </c>
    </row>
    <row r="412" customFormat="false" ht="15" hidden="false" customHeight="true" outlineLevel="0" collapsed="false">
      <c r="A412" s="27" t="s">
        <v>2457</v>
      </c>
      <c r="B412" s="27" t="s">
        <v>523</v>
      </c>
      <c r="C412" s="27" t="s">
        <v>5367</v>
      </c>
      <c r="D412" s="27" t="s">
        <v>5420</v>
      </c>
      <c r="E412" s="27"/>
      <c r="F412" s="27" t="s">
        <v>5375</v>
      </c>
      <c r="G412" s="27" t="s">
        <v>5531</v>
      </c>
      <c r="H412" s="28" t="s">
        <v>2458</v>
      </c>
      <c r="I412" s="28" t="s">
        <v>5421</v>
      </c>
    </row>
    <row r="413" customFormat="false" ht="15" hidden="false" customHeight="true" outlineLevel="0" collapsed="false">
      <c r="A413" s="27" t="s">
        <v>2460</v>
      </c>
      <c r="B413" s="27" t="s">
        <v>523</v>
      </c>
      <c r="C413" s="27" t="s">
        <v>5367</v>
      </c>
      <c r="D413" s="27" t="s">
        <v>5420</v>
      </c>
      <c r="E413" s="27"/>
      <c r="F413" s="27" t="s">
        <v>5369</v>
      </c>
      <c r="G413" s="27" t="s">
        <v>5531</v>
      </c>
      <c r="H413" s="28" t="s">
        <v>2461</v>
      </c>
      <c r="I413" s="28" t="s">
        <v>5421</v>
      </c>
    </row>
    <row r="414" customFormat="false" ht="15" hidden="false" customHeight="true" outlineLevel="0" collapsed="false">
      <c r="A414" s="27" t="s">
        <v>2466</v>
      </c>
      <c r="B414" s="27" t="s">
        <v>523</v>
      </c>
      <c r="C414" s="27" t="s">
        <v>5407</v>
      </c>
      <c r="D414" s="27" t="s">
        <v>5408</v>
      </c>
      <c r="E414" s="27"/>
      <c r="F414" s="27" t="s">
        <v>5417</v>
      </c>
      <c r="G414" s="27" t="s">
        <v>5532</v>
      </c>
      <c r="H414" s="28" t="s">
        <v>2467</v>
      </c>
      <c r="I414" s="27"/>
    </row>
    <row r="415" customFormat="false" ht="15" hidden="false" customHeight="true" outlineLevel="0" collapsed="false">
      <c r="A415" s="27" t="s">
        <v>2466</v>
      </c>
      <c r="B415" s="27" t="s">
        <v>523</v>
      </c>
      <c r="C415" s="27" t="s">
        <v>5367</v>
      </c>
      <c r="D415" s="27" t="s">
        <v>5420</v>
      </c>
      <c r="E415" s="27"/>
      <c r="F415" s="27" t="s">
        <v>5375</v>
      </c>
      <c r="G415" s="27" t="s">
        <v>5453</v>
      </c>
      <c r="H415" s="28" t="s">
        <v>2467</v>
      </c>
      <c r="I415" s="28" t="s">
        <v>5421</v>
      </c>
    </row>
    <row r="416" customFormat="false" ht="15" hidden="false" customHeight="true" outlineLevel="0" collapsed="false">
      <c r="A416" s="27" t="s">
        <v>2469</v>
      </c>
      <c r="B416" s="27" t="s">
        <v>523</v>
      </c>
      <c r="C416" s="27" t="s">
        <v>5367</v>
      </c>
      <c r="D416" s="27" t="s">
        <v>5420</v>
      </c>
      <c r="E416" s="27"/>
      <c r="F416" s="27" t="s">
        <v>5369</v>
      </c>
      <c r="G416" s="27" t="s">
        <v>5443</v>
      </c>
      <c r="H416" s="28" t="s">
        <v>2470</v>
      </c>
      <c r="I416" s="28" t="s">
        <v>5421</v>
      </c>
    </row>
    <row r="417" customFormat="false" ht="15" hidden="false" customHeight="true" outlineLevel="0" collapsed="false">
      <c r="A417" s="27" t="s">
        <v>2472</v>
      </c>
      <c r="B417" s="27" t="s">
        <v>523</v>
      </c>
      <c r="C417" s="27" t="s">
        <v>5367</v>
      </c>
      <c r="D417" s="27" t="s">
        <v>5420</v>
      </c>
      <c r="E417" s="27"/>
      <c r="F417" s="27" t="s">
        <v>5369</v>
      </c>
      <c r="G417" s="27" t="s">
        <v>5533</v>
      </c>
      <c r="H417" s="28" t="s">
        <v>2473</v>
      </c>
      <c r="I417" s="28" t="s">
        <v>5421</v>
      </c>
    </row>
    <row r="418" customFormat="false" ht="15" hidden="false" customHeight="true" outlineLevel="0" collapsed="false">
      <c r="A418" s="27" t="s">
        <v>2477</v>
      </c>
      <c r="B418" s="27" t="s">
        <v>523</v>
      </c>
      <c r="C418" s="27" t="s">
        <v>5367</v>
      </c>
      <c r="D418" s="27" t="s">
        <v>5420</v>
      </c>
      <c r="E418" s="27"/>
      <c r="F418" s="27" t="s">
        <v>5375</v>
      </c>
      <c r="G418" s="27" t="s">
        <v>5533</v>
      </c>
      <c r="H418" s="28" t="s">
        <v>2478</v>
      </c>
      <c r="I418" s="28" t="s">
        <v>5421</v>
      </c>
    </row>
    <row r="419" customFormat="false" ht="15" hidden="false" customHeight="true" outlineLevel="0" collapsed="false">
      <c r="A419" s="27" t="s">
        <v>2480</v>
      </c>
      <c r="B419" s="27" t="s">
        <v>523</v>
      </c>
      <c r="C419" s="27" t="s">
        <v>5367</v>
      </c>
      <c r="D419" s="27" t="s">
        <v>5420</v>
      </c>
      <c r="E419" s="27"/>
      <c r="F419" s="27" t="s">
        <v>5369</v>
      </c>
      <c r="G419" s="27" t="s">
        <v>5534</v>
      </c>
      <c r="H419" s="28" t="s">
        <v>2481</v>
      </c>
      <c r="I419" s="28" t="s">
        <v>5421</v>
      </c>
    </row>
    <row r="420" customFormat="false" ht="15" hidden="false" customHeight="true" outlineLevel="0" collapsed="false">
      <c r="A420" s="27" t="s">
        <v>2489</v>
      </c>
      <c r="B420" s="27" t="s">
        <v>523</v>
      </c>
      <c r="C420" s="27" t="s">
        <v>5399</v>
      </c>
      <c r="D420" s="27" t="s">
        <v>5400</v>
      </c>
      <c r="E420" s="27"/>
      <c r="F420" s="27" t="s">
        <v>5417</v>
      </c>
      <c r="G420" s="27" t="s">
        <v>5535</v>
      </c>
      <c r="H420" s="28" t="s">
        <v>2490</v>
      </c>
      <c r="I420" s="27"/>
    </row>
    <row r="421" customFormat="false" ht="15" hidden="false" customHeight="true" outlineLevel="0" collapsed="false">
      <c r="A421" s="27" t="s">
        <v>2492</v>
      </c>
      <c r="B421" s="27" t="s">
        <v>523</v>
      </c>
      <c r="C421" s="27" t="s">
        <v>5399</v>
      </c>
      <c r="D421" s="27" t="s">
        <v>5400</v>
      </c>
      <c r="E421" s="27"/>
      <c r="F421" s="27" t="s">
        <v>5417</v>
      </c>
      <c r="G421" s="27" t="s">
        <v>5437</v>
      </c>
      <c r="H421" s="28" t="s">
        <v>2493</v>
      </c>
      <c r="I421" s="27"/>
    </row>
    <row r="422" customFormat="false" ht="15" hidden="false" customHeight="true" outlineLevel="0" collapsed="false">
      <c r="A422" s="27" t="s">
        <v>2495</v>
      </c>
      <c r="B422" s="27" t="s">
        <v>523</v>
      </c>
      <c r="C422" s="27" t="s">
        <v>5399</v>
      </c>
      <c r="D422" s="27" t="s">
        <v>5400</v>
      </c>
      <c r="E422" s="27"/>
      <c r="F422" s="27" t="s">
        <v>5417</v>
      </c>
      <c r="G422" s="27" t="s">
        <v>5535</v>
      </c>
      <c r="H422" s="28" t="s">
        <v>2496</v>
      </c>
      <c r="I422" s="27"/>
    </row>
    <row r="423" customFormat="false" ht="15" hidden="false" customHeight="true" outlineLevel="0" collapsed="false">
      <c r="A423" s="27" t="s">
        <v>2498</v>
      </c>
      <c r="B423" s="27" t="s">
        <v>523</v>
      </c>
      <c r="C423" s="27" t="s">
        <v>5399</v>
      </c>
      <c r="D423" s="27" t="s">
        <v>5400</v>
      </c>
      <c r="E423" s="27"/>
      <c r="F423" s="27" t="s">
        <v>5417</v>
      </c>
      <c r="G423" s="27" t="s">
        <v>5474</v>
      </c>
      <c r="H423" s="28" t="s">
        <v>2499</v>
      </c>
      <c r="I423" s="27"/>
    </row>
    <row r="424" customFormat="false" ht="15" hidden="false" customHeight="true" outlineLevel="0" collapsed="false">
      <c r="A424" s="27" t="s">
        <v>2501</v>
      </c>
      <c r="B424" s="27" t="s">
        <v>523</v>
      </c>
      <c r="C424" s="27" t="s">
        <v>5399</v>
      </c>
      <c r="D424" s="27" t="s">
        <v>5400</v>
      </c>
      <c r="E424" s="27"/>
      <c r="F424" s="27" t="s">
        <v>5418</v>
      </c>
      <c r="G424" s="27" t="s">
        <v>5440</v>
      </c>
      <c r="H424" s="28" t="s">
        <v>2502</v>
      </c>
      <c r="I424" s="27"/>
    </row>
    <row r="425" customFormat="false" ht="15" hidden="false" customHeight="true" outlineLevel="0" collapsed="false">
      <c r="A425" s="27" t="s">
        <v>2504</v>
      </c>
      <c r="B425" s="27" t="s">
        <v>523</v>
      </c>
      <c r="C425" s="27" t="s">
        <v>5399</v>
      </c>
      <c r="D425" s="27" t="s">
        <v>5400</v>
      </c>
      <c r="E425" s="27"/>
      <c r="F425" s="27" t="s">
        <v>5417</v>
      </c>
      <c r="G425" s="27" t="s">
        <v>5536</v>
      </c>
      <c r="H425" s="28" t="s">
        <v>2505</v>
      </c>
      <c r="I425" s="27"/>
    </row>
    <row r="426" customFormat="false" ht="15" hidden="false" customHeight="true" outlineLevel="0" collapsed="false">
      <c r="A426" s="27" t="s">
        <v>2510</v>
      </c>
      <c r="B426" s="27" t="s">
        <v>523</v>
      </c>
      <c r="C426" s="27" t="s">
        <v>5399</v>
      </c>
      <c r="D426" s="27" t="s">
        <v>5400</v>
      </c>
      <c r="E426" s="27"/>
      <c r="F426" s="27" t="s">
        <v>5417</v>
      </c>
      <c r="G426" s="27" t="s">
        <v>5537</v>
      </c>
      <c r="H426" s="28" t="s">
        <v>2511</v>
      </c>
      <c r="I426" s="27"/>
    </row>
    <row r="427" customFormat="false" ht="15" hidden="false" customHeight="true" outlineLevel="0" collapsed="false">
      <c r="A427" s="27" t="s">
        <v>2513</v>
      </c>
      <c r="B427" s="27" t="s">
        <v>523</v>
      </c>
      <c r="C427" s="27" t="s">
        <v>5399</v>
      </c>
      <c r="D427" s="27" t="s">
        <v>5400</v>
      </c>
      <c r="E427" s="27"/>
      <c r="F427" s="27" t="s">
        <v>5417</v>
      </c>
      <c r="G427" s="27" t="s">
        <v>5440</v>
      </c>
      <c r="H427" s="28" t="s">
        <v>5538</v>
      </c>
      <c r="I427" s="27"/>
    </row>
    <row r="428" customFormat="false" ht="15" hidden="false" customHeight="true" outlineLevel="0" collapsed="false">
      <c r="A428" s="27" t="s">
        <v>2516</v>
      </c>
      <c r="B428" s="27" t="s">
        <v>523</v>
      </c>
      <c r="C428" s="27" t="s">
        <v>5399</v>
      </c>
      <c r="D428" s="27" t="s">
        <v>5400</v>
      </c>
      <c r="E428" s="27"/>
      <c r="F428" s="27" t="s">
        <v>5418</v>
      </c>
      <c r="G428" s="27" t="s">
        <v>5537</v>
      </c>
      <c r="H428" s="28" t="s">
        <v>2517</v>
      </c>
      <c r="I428" s="27"/>
    </row>
    <row r="429" customFormat="false" ht="15" hidden="false" customHeight="true" outlineLevel="0" collapsed="false">
      <c r="A429" s="27" t="s">
        <v>2519</v>
      </c>
      <c r="B429" s="27" t="s">
        <v>523</v>
      </c>
      <c r="C429" s="27" t="s">
        <v>5399</v>
      </c>
      <c r="D429" s="27" t="s">
        <v>5400</v>
      </c>
      <c r="E429" s="27"/>
      <c r="F429" s="27" t="s">
        <v>5417</v>
      </c>
      <c r="G429" s="27" t="s">
        <v>5437</v>
      </c>
      <c r="H429" s="28" t="s">
        <v>2520</v>
      </c>
      <c r="I429" s="27"/>
    </row>
    <row r="430" customFormat="false" ht="15" hidden="false" customHeight="true" outlineLevel="0" collapsed="false">
      <c r="A430" s="27" t="s">
        <v>2522</v>
      </c>
      <c r="B430" s="27" t="s">
        <v>523</v>
      </c>
      <c r="C430" s="27" t="s">
        <v>5399</v>
      </c>
      <c r="D430" s="27" t="s">
        <v>5400</v>
      </c>
      <c r="E430" s="27"/>
      <c r="F430" s="27" t="s">
        <v>5417</v>
      </c>
      <c r="G430" s="27" t="s">
        <v>5474</v>
      </c>
      <c r="H430" s="28" t="s">
        <v>2523</v>
      </c>
      <c r="I430" s="27"/>
    </row>
    <row r="431" customFormat="false" ht="15" hidden="false" customHeight="true" outlineLevel="0" collapsed="false">
      <c r="A431" s="27" t="s">
        <v>2525</v>
      </c>
      <c r="B431" s="27" t="s">
        <v>523</v>
      </c>
      <c r="C431" s="27" t="s">
        <v>5399</v>
      </c>
      <c r="D431" s="27" t="s">
        <v>5400</v>
      </c>
      <c r="E431" s="27"/>
      <c r="F431" s="27" t="s">
        <v>5417</v>
      </c>
      <c r="G431" s="27" t="s">
        <v>5440</v>
      </c>
      <c r="H431" s="27" t="s">
        <v>5539</v>
      </c>
      <c r="I431" s="27"/>
    </row>
    <row r="432" customFormat="false" ht="15" hidden="false" customHeight="true" outlineLevel="0" collapsed="false">
      <c r="A432" s="27" t="s">
        <v>2528</v>
      </c>
      <c r="B432" s="27" t="s">
        <v>523</v>
      </c>
      <c r="C432" s="27" t="s">
        <v>5399</v>
      </c>
      <c r="D432" s="27" t="s">
        <v>5400</v>
      </c>
      <c r="E432" s="27"/>
      <c r="F432" s="27" t="s">
        <v>5418</v>
      </c>
      <c r="G432" s="27" t="s">
        <v>5443</v>
      </c>
      <c r="H432" s="28" t="s">
        <v>2529</v>
      </c>
      <c r="I432" s="27"/>
    </row>
    <row r="433" customFormat="false" ht="15" hidden="false" customHeight="true" outlineLevel="0" collapsed="false">
      <c r="A433" s="27" t="s">
        <v>2534</v>
      </c>
      <c r="B433" s="27" t="s">
        <v>523</v>
      </c>
      <c r="C433" s="27" t="s">
        <v>5367</v>
      </c>
      <c r="D433" s="27" t="s">
        <v>5420</v>
      </c>
      <c r="E433" s="27"/>
      <c r="F433" s="27" t="s">
        <v>5375</v>
      </c>
      <c r="G433" s="27" t="s">
        <v>5537</v>
      </c>
      <c r="H433" s="28" t="s">
        <v>5540</v>
      </c>
      <c r="I433" s="28" t="s">
        <v>5421</v>
      </c>
    </row>
    <row r="434" customFormat="false" ht="15" hidden="false" customHeight="true" outlineLevel="0" collapsed="false">
      <c r="A434" s="27" t="s">
        <v>2537</v>
      </c>
      <c r="B434" s="27" t="s">
        <v>523</v>
      </c>
      <c r="C434" s="27" t="s">
        <v>5399</v>
      </c>
      <c r="D434" s="27" t="s">
        <v>5400</v>
      </c>
      <c r="E434" s="27"/>
      <c r="F434" s="27" t="s">
        <v>5418</v>
      </c>
      <c r="G434" s="27" t="s">
        <v>5440</v>
      </c>
      <c r="H434" s="28" t="s">
        <v>2538</v>
      </c>
      <c r="I434" s="27"/>
    </row>
    <row r="435" customFormat="false" ht="15" hidden="false" customHeight="true" outlineLevel="0" collapsed="false">
      <c r="A435" s="27" t="s">
        <v>2540</v>
      </c>
      <c r="B435" s="27" t="s">
        <v>523</v>
      </c>
      <c r="C435" s="27" t="s">
        <v>5399</v>
      </c>
      <c r="D435" s="27" t="s">
        <v>5400</v>
      </c>
      <c r="E435" s="27"/>
      <c r="F435" s="27" t="s">
        <v>5418</v>
      </c>
      <c r="G435" s="27" t="s">
        <v>5440</v>
      </c>
      <c r="H435" s="28" t="s">
        <v>2541</v>
      </c>
      <c r="I435" s="27"/>
    </row>
    <row r="436" customFormat="false" ht="15" hidden="false" customHeight="true" outlineLevel="0" collapsed="false">
      <c r="A436" s="27" t="s">
        <v>2543</v>
      </c>
      <c r="B436" s="27" t="s">
        <v>523</v>
      </c>
      <c r="C436" s="27" t="s">
        <v>5399</v>
      </c>
      <c r="D436" s="27" t="s">
        <v>5400</v>
      </c>
      <c r="E436" s="27"/>
      <c r="F436" s="27" t="s">
        <v>5419</v>
      </c>
      <c r="G436" s="27" t="s">
        <v>5537</v>
      </c>
      <c r="H436" s="28" t="s">
        <v>2544</v>
      </c>
      <c r="I436" s="27"/>
    </row>
    <row r="437" customFormat="false" ht="15" hidden="false" customHeight="true" outlineLevel="0" collapsed="false">
      <c r="A437" s="27" t="s">
        <v>2552</v>
      </c>
      <c r="B437" s="27" t="s">
        <v>523</v>
      </c>
      <c r="C437" s="27" t="s">
        <v>5399</v>
      </c>
      <c r="D437" s="27" t="s">
        <v>5400</v>
      </c>
      <c r="E437" s="27"/>
      <c r="F437" s="27" t="s">
        <v>5418</v>
      </c>
      <c r="G437" s="27" t="s">
        <v>5443</v>
      </c>
      <c r="H437" s="28" t="s">
        <v>2553</v>
      </c>
      <c r="I437" s="27"/>
    </row>
    <row r="438" customFormat="false" ht="15" hidden="false" customHeight="true" outlineLevel="0" collapsed="false">
      <c r="A438" s="27" t="s">
        <v>2555</v>
      </c>
      <c r="B438" s="27" t="s">
        <v>523</v>
      </c>
      <c r="C438" s="27" t="s">
        <v>5399</v>
      </c>
      <c r="D438" s="27" t="s">
        <v>5400</v>
      </c>
      <c r="E438" s="27"/>
      <c r="F438" s="27" t="s">
        <v>5417</v>
      </c>
      <c r="G438" s="27" t="s">
        <v>5437</v>
      </c>
      <c r="H438" s="28" t="s">
        <v>2556</v>
      </c>
      <c r="I438" s="27"/>
    </row>
    <row r="439" customFormat="false" ht="15" hidden="false" customHeight="true" outlineLevel="0" collapsed="false">
      <c r="A439" s="27" t="s">
        <v>2561</v>
      </c>
      <c r="B439" s="27" t="s">
        <v>523</v>
      </c>
      <c r="C439" s="27" t="s">
        <v>5399</v>
      </c>
      <c r="D439" s="27" t="s">
        <v>5400</v>
      </c>
      <c r="E439" s="27"/>
      <c r="F439" s="27" t="s">
        <v>5417</v>
      </c>
      <c r="G439" s="27" t="s">
        <v>5535</v>
      </c>
      <c r="H439" s="28" t="s">
        <v>2562</v>
      </c>
      <c r="I439" s="27"/>
    </row>
    <row r="440" customFormat="false" ht="15" hidden="false" customHeight="true" outlineLevel="0" collapsed="false">
      <c r="A440" s="27" t="s">
        <v>2564</v>
      </c>
      <c r="B440" s="27" t="s">
        <v>523</v>
      </c>
      <c r="C440" s="27" t="s">
        <v>5399</v>
      </c>
      <c r="D440" s="27" t="s">
        <v>5400</v>
      </c>
      <c r="E440" s="27"/>
      <c r="F440" s="27" t="s">
        <v>5417</v>
      </c>
      <c r="G440" s="27" t="s">
        <v>5474</v>
      </c>
      <c r="H440" s="28" t="s">
        <v>2565</v>
      </c>
      <c r="I440" s="27"/>
    </row>
    <row r="441" customFormat="false" ht="15" hidden="false" customHeight="true" outlineLevel="0" collapsed="false">
      <c r="A441" s="27" t="s">
        <v>2570</v>
      </c>
      <c r="B441" s="27" t="s">
        <v>523</v>
      </c>
      <c r="C441" s="27" t="s">
        <v>5399</v>
      </c>
      <c r="D441" s="27" t="s">
        <v>5400</v>
      </c>
      <c r="E441" s="27"/>
      <c r="F441" s="27" t="s">
        <v>5417</v>
      </c>
      <c r="G441" s="27" t="s">
        <v>5440</v>
      </c>
      <c r="H441" s="28" t="s">
        <v>2571</v>
      </c>
      <c r="I441" s="27"/>
    </row>
    <row r="442" customFormat="false" ht="15" hidden="false" customHeight="true" outlineLevel="0" collapsed="false">
      <c r="A442" s="27" t="s">
        <v>2573</v>
      </c>
      <c r="B442" s="27" t="s">
        <v>523</v>
      </c>
      <c r="C442" s="27" t="s">
        <v>5399</v>
      </c>
      <c r="D442" s="27" t="s">
        <v>5400</v>
      </c>
      <c r="E442" s="27"/>
      <c r="F442" s="27" t="s">
        <v>5417</v>
      </c>
      <c r="G442" s="27" t="s">
        <v>5437</v>
      </c>
      <c r="H442" s="28" t="s">
        <v>2574</v>
      </c>
      <c r="I442" s="27"/>
    </row>
    <row r="443" customFormat="false" ht="15" hidden="false" customHeight="true" outlineLevel="0" collapsed="false">
      <c r="A443" s="27" t="s">
        <v>2579</v>
      </c>
      <c r="B443" s="27" t="s">
        <v>523</v>
      </c>
      <c r="C443" s="27" t="s">
        <v>5399</v>
      </c>
      <c r="D443" s="27" t="s">
        <v>5400</v>
      </c>
      <c r="E443" s="27"/>
      <c r="F443" s="27" t="s">
        <v>5417</v>
      </c>
      <c r="G443" s="27" t="s">
        <v>5535</v>
      </c>
      <c r="H443" s="28" t="s">
        <v>2580</v>
      </c>
      <c r="I443" s="27"/>
    </row>
    <row r="444" customFormat="false" ht="15" hidden="false" customHeight="true" outlineLevel="0" collapsed="false">
      <c r="A444" s="27" t="s">
        <v>2600</v>
      </c>
      <c r="B444" s="27" t="s">
        <v>523</v>
      </c>
      <c r="C444" s="27" t="s">
        <v>5367</v>
      </c>
      <c r="D444" s="27" t="s">
        <v>5420</v>
      </c>
      <c r="E444" s="27"/>
      <c r="F444" s="27" t="s">
        <v>5369</v>
      </c>
      <c r="G444" s="27" t="s">
        <v>5527</v>
      </c>
      <c r="H444" s="28" t="s">
        <v>5541</v>
      </c>
      <c r="I444" s="28" t="s">
        <v>5421</v>
      </c>
    </row>
    <row r="445" customFormat="false" ht="15" hidden="false" customHeight="true" outlineLevel="0" collapsed="false">
      <c r="A445" s="27" t="s">
        <v>2642</v>
      </c>
      <c r="B445" s="27" t="s">
        <v>531</v>
      </c>
      <c r="C445" s="27" t="s">
        <v>5399</v>
      </c>
      <c r="D445" s="27" t="s">
        <v>5400</v>
      </c>
      <c r="E445" s="27"/>
      <c r="F445" s="27"/>
      <c r="G445" s="27"/>
      <c r="H445" s="28" t="s">
        <v>2643</v>
      </c>
      <c r="I445" s="28" t="s">
        <v>5401</v>
      </c>
    </row>
    <row r="446" customFormat="false" ht="15" hidden="false" customHeight="true" outlineLevel="0" collapsed="false">
      <c r="A446" s="27" t="s">
        <v>2645</v>
      </c>
      <c r="B446" s="27" t="s">
        <v>531</v>
      </c>
      <c r="C446" s="27" t="s">
        <v>5407</v>
      </c>
      <c r="D446" s="27" t="s">
        <v>5408</v>
      </c>
      <c r="E446" s="27"/>
      <c r="F446" s="27" t="s">
        <v>5416</v>
      </c>
      <c r="G446" s="27"/>
      <c r="H446" s="28" t="s">
        <v>2646</v>
      </c>
      <c r="I446" s="27"/>
    </row>
    <row r="447" customFormat="false" ht="15" hidden="false" customHeight="true" outlineLevel="0" collapsed="false">
      <c r="A447" s="27" t="s">
        <v>2645</v>
      </c>
      <c r="B447" s="27" t="s">
        <v>531</v>
      </c>
      <c r="C447" s="27" t="s">
        <v>5367</v>
      </c>
      <c r="D447" s="27" t="s">
        <v>5368</v>
      </c>
      <c r="E447" s="27"/>
      <c r="F447" s="27" t="s">
        <v>5375</v>
      </c>
      <c r="G447" s="27"/>
      <c r="H447" s="28" t="s">
        <v>2646</v>
      </c>
      <c r="I447" s="27"/>
    </row>
    <row r="448" customFormat="false" ht="15" hidden="false" customHeight="true" outlineLevel="0" collapsed="false">
      <c r="A448" s="27" t="s">
        <v>2651</v>
      </c>
      <c r="B448" s="27" t="s">
        <v>531</v>
      </c>
      <c r="C448" s="27" t="s">
        <v>5399</v>
      </c>
      <c r="D448" s="27" t="s">
        <v>5400</v>
      </c>
      <c r="E448" s="27"/>
      <c r="F448" s="27"/>
      <c r="G448" s="27"/>
      <c r="H448" s="27" t="s">
        <v>5542</v>
      </c>
      <c r="I448" s="28" t="s">
        <v>5401</v>
      </c>
    </row>
    <row r="449" customFormat="false" ht="15" hidden="false" customHeight="true" outlineLevel="0" collapsed="false">
      <c r="A449" s="27" t="s">
        <v>2651</v>
      </c>
      <c r="B449" s="27" t="s">
        <v>531</v>
      </c>
      <c r="C449" s="27" t="s">
        <v>5367</v>
      </c>
      <c r="D449" s="27" t="s">
        <v>5368</v>
      </c>
      <c r="E449" s="27"/>
      <c r="F449" s="27" t="s">
        <v>5369</v>
      </c>
      <c r="G449" s="27"/>
      <c r="H449" s="27" t="s">
        <v>5542</v>
      </c>
      <c r="I449" s="27"/>
    </row>
    <row r="450" customFormat="false" ht="15" hidden="false" customHeight="true" outlineLevel="0" collapsed="false">
      <c r="A450" s="27" t="s">
        <v>2654</v>
      </c>
      <c r="B450" s="27" t="s">
        <v>531</v>
      </c>
      <c r="C450" s="27" t="s">
        <v>5399</v>
      </c>
      <c r="D450" s="27" t="s">
        <v>5400</v>
      </c>
      <c r="E450" s="27"/>
      <c r="F450" s="27"/>
      <c r="G450" s="27"/>
      <c r="H450" s="28" t="s">
        <v>2655</v>
      </c>
      <c r="I450" s="28" t="s">
        <v>5401</v>
      </c>
    </row>
    <row r="451" customFormat="false" ht="15" hidden="false" customHeight="true" outlineLevel="0" collapsed="false">
      <c r="A451" s="27" t="s">
        <v>2654</v>
      </c>
      <c r="B451" s="27" t="s">
        <v>531</v>
      </c>
      <c r="C451" s="27" t="s">
        <v>5367</v>
      </c>
      <c r="D451" s="27" t="s">
        <v>5368</v>
      </c>
      <c r="E451" s="27"/>
      <c r="F451" s="27" t="s">
        <v>5369</v>
      </c>
      <c r="G451" s="27"/>
      <c r="H451" s="27" t="s">
        <v>5543</v>
      </c>
      <c r="I451" s="27"/>
    </row>
    <row r="452" customFormat="false" ht="15" hidden="false" customHeight="true" outlineLevel="0" collapsed="false">
      <c r="A452" s="27" t="s">
        <v>2657</v>
      </c>
      <c r="B452" s="27" t="s">
        <v>531</v>
      </c>
      <c r="C452" s="27" t="s">
        <v>5367</v>
      </c>
      <c r="D452" s="27" t="s">
        <v>5368</v>
      </c>
      <c r="E452" s="27"/>
      <c r="F452" s="27" t="s">
        <v>5375</v>
      </c>
      <c r="G452" s="27"/>
      <c r="H452" s="27" t="s">
        <v>5544</v>
      </c>
      <c r="I452" s="27"/>
    </row>
    <row r="453" customFormat="false" ht="15" hidden="false" customHeight="true" outlineLevel="0" collapsed="false">
      <c r="A453" s="27" t="s">
        <v>2676</v>
      </c>
      <c r="B453" s="27" t="s">
        <v>531</v>
      </c>
      <c r="C453" s="27" t="s">
        <v>5367</v>
      </c>
      <c r="D453" s="27" t="s">
        <v>5368</v>
      </c>
      <c r="E453" s="27"/>
      <c r="F453" s="27" t="s">
        <v>5369</v>
      </c>
      <c r="G453" s="27"/>
      <c r="H453" s="28" t="s">
        <v>1870</v>
      </c>
      <c r="I453" s="27"/>
    </row>
    <row r="454" customFormat="false" ht="15" hidden="false" customHeight="true" outlineLevel="0" collapsed="false">
      <c r="A454" s="27" t="s">
        <v>2678</v>
      </c>
      <c r="B454" s="27" t="s">
        <v>531</v>
      </c>
      <c r="C454" s="27" t="s">
        <v>5367</v>
      </c>
      <c r="D454" s="27" t="s">
        <v>5368</v>
      </c>
      <c r="E454" s="27"/>
      <c r="F454" s="27" t="s">
        <v>5375</v>
      </c>
      <c r="G454" s="27"/>
      <c r="H454" s="28" t="s">
        <v>2679</v>
      </c>
      <c r="I454" s="27"/>
    </row>
    <row r="455" customFormat="false" ht="15" hidden="false" customHeight="true" outlineLevel="0" collapsed="false">
      <c r="A455" s="27" t="s">
        <v>2690</v>
      </c>
      <c r="B455" s="27" t="s">
        <v>531</v>
      </c>
      <c r="C455" s="27" t="s">
        <v>5367</v>
      </c>
      <c r="D455" s="27" t="s">
        <v>5368</v>
      </c>
      <c r="E455" s="27"/>
      <c r="F455" s="27" t="s">
        <v>5369</v>
      </c>
      <c r="G455" s="27"/>
      <c r="H455" s="27" t="s">
        <v>5545</v>
      </c>
      <c r="I455" s="27"/>
    </row>
    <row r="456" customFormat="false" ht="15" hidden="false" customHeight="true" outlineLevel="0" collapsed="false">
      <c r="A456" s="27" t="s">
        <v>2693</v>
      </c>
      <c r="B456" s="27" t="s">
        <v>531</v>
      </c>
      <c r="C456" s="27" t="s">
        <v>5367</v>
      </c>
      <c r="D456" s="27" t="s">
        <v>5368</v>
      </c>
      <c r="E456" s="27"/>
      <c r="F456" s="27" t="s">
        <v>5369</v>
      </c>
      <c r="G456" s="27"/>
      <c r="H456" s="27" t="s">
        <v>5546</v>
      </c>
      <c r="I456" s="27"/>
    </row>
    <row r="457" customFormat="false" ht="15" hidden="false" customHeight="true" outlineLevel="0" collapsed="false">
      <c r="A457" s="27" t="s">
        <v>2702</v>
      </c>
      <c r="B457" s="27" t="s">
        <v>531</v>
      </c>
      <c r="C457" s="27" t="s">
        <v>5367</v>
      </c>
      <c r="D457" s="27" t="s">
        <v>5368</v>
      </c>
      <c r="E457" s="27"/>
      <c r="F457" s="27" t="s">
        <v>5375</v>
      </c>
      <c r="G457" s="27"/>
      <c r="H457" s="27" t="s">
        <v>5547</v>
      </c>
      <c r="I457" s="27"/>
    </row>
    <row r="458" customFormat="false" ht="15" hidden="false" customHeight="true" outlineLevel="0" collapsed="false">
      <c r="A458" s="27" t="s">
        <v>2706</v>
      </c>
      <c r="B458" s="27" t="s">
        <v>531</v>
      </c>
      <c r="C458" s="27" t="s">
        <v>5367</v>
      </c>
      <c r="D458" s="27" t="s">
        <v>5368</v>
      </c>
      <c r="E458" s="27"/>
      <c r="F458" s="27" t="s">
        <v>5375</v>
      </c>
      <c r="G458" s="27"/>
      <c r="H458" s="28" t="s">
        <v>2707</v>
      </c>
      <c r="I458" s="27"/>
    </row>
    <row r="459" customFormat="false" ht="15" hidden="false" customHeight="true" outlineLevel="0" collapsed="false">
      <c r="A459" s="27" t="s">
        <v>2709</v>
      </c>
      <c r="B459" s="27" t="s">
        <v>531</v>
      </c>
      <c r="C459" s="27" t="s">
        <v>5367</v>
      </c>
      <c r="D459" s="27" t="s">
        <v>5368</v>
      </c>
      <c r="E459" s="27"/>
      <c r="F459" s="27" t="s">
        <v>5369</v>
      </c>
      <c r="G459" s="27"/>
      <c r="H459" s="28" t="s">
        <v>2710</v>
      </c>
      <c r="I459" s="27"/>
    </row>
    <row r="460" customFormat="false" ht="15" hidden="false" customHeight="true" outlineLevel="0" collapsed="false">
      <c r="A460" s="27" t="s">
        <v>2721</v>
      </c>
      <c r="B460" s="27" t="s">
        <v>531</v>
      </c>
      <c r="C460" s="27" t="s">
        <v>5367</v>
      </c>
      <c r="D460" s="27" t="s">
        <v>5368</v>
      </c>
      <c r="E460" s="27"/>
      <c r="F460" s="27" t="s">
        <v>5369</v>
      </c>
      <c r="G460" s="27"/>
      <c r="H460" s="28" t="s">
        <v>2722</v>
      </c>
      <c r="I460" s="27"/>
    </row>
    <row r="461" customFormat="false" ht="15" hidden="false" customHeight="true" outlineLevel="0" collapsed="false">
      <c r="A461" s="27" t="s">
        <v>2727</v>
      </c>
      <c r="B461" s="27" t="s">
        <v>531</v>
      </c>
      <c r="C461" s="27" t="s">
        <v>5367</v>
      </c>
      <c r="D461" s="27" t="s">
        <v>5368</v>
      </c>
      <c r="E461" s="27"/>
      <c r="F461" s="27" t="s">
        <v>5369</v>
      </c>
      <c r="G461" s="27"/>
      <c r="H461" s="27" t="s">
        <v>5548</v>
      </c>
      <c r="I461" s="27"/>
    </row>
    <row r="462" customFormat="false" ht="15" hidden="false" customHeight="true" outlineLevel="0" collapsed="false">
      <c r="A462" s="27" t="s">
        <v>2730</v>
      </c>
      <c r="B462" s="27" t="s">
        <v>531</v>
      </c>
      <c r="C462" s="27" t="s">
        <v>5399</v>
      </c>
      <c r="D462" s="27" t="s">
        <v>5400</v>
      </c>
      <c r="E462" s="27"/>
      <c r="F462" s="27"/>
      <c r="G462" s="27"/>
      <c r="H462" s="27" t="s">
        <v>5549</v>
      </c>
      <c r="I462" s="28" t="s">
        <v>5401</v>
      </c>
    </row>
    <row r="463" customFormat="false" ht="15" hidden="false" customHeight="true" outlineLevel="0" collapsed="false">
      <c r="A463" s="27" t="s">
        <v>2776</v>
      </c>
      <c r="B463" s="27" t="s">
        <v>531</v>
      </c>
      <c r="C463" s="27" t="s">
        <v>5399</v>
      </c>
      <c r="D463" s="27" t="s">
        <v>5400</v>
      </c>
      <c r="E463" s="27"/>
      <c r="F463" s="27"/>
      <c r="G463" s="27"/>
      <c r="H463" s="27" t="s">
        <v>5550</v>
      </c>
      <c r="I463" s="28" t="s">
        <v>5401</v>
      </c>
    </row>
    <row r="464" customFormat="false" ht="15" hidden="false" customHeight="true" outlineLevel="0" collapsed="false">
      <c r="A464" s="27" t="s">
        <v>2791</v>
      </c>
      <c r="B464" s="27" t="s">
        <v>531</v>
      </c>
      <c r="C464" s="27" t="s">
        <v>5367</v>
      </c>
      <c r="D464" s="27" t="s">
        <v>5368</v>
      </c>
      <c r="E464" s="27"/>
      <c r="F464" s="27" t="s">
        <v>5375</v>
      </c>
      <c r="G464" s="27"/>
      <c r="H464" s="27" t="s">
        <v>5551</v>
      </c>
      <c r="I464" s="27"/>
    </row>
    <row r="465" customFormat="false" ht="15" hidden="false" customHeight="true" outlineLevel="0" collapsed="false">
      <c r="A465" s="27" t="s">
        <v>2794</v>
      </c>
      <c r="B465" s="27" t="s">
        <v>531</v>
      </c>
      <c r="C465" s="27" t="s">
        <v>5367</v>
      </c>
      <c r="D465" s="27" t="s">
        <v>5368</v>
      </c>
      <c r="E465" s="27"/>
      <c r="F465" s="27" t="s">
        <v>5375</v>
      </c>
      <c r="G465" s="27"/>
      <c r="H465" s="27" t="s">
        <v>5552</v>
      </c>
      <c r="I465" s="27"/>
    </row>
    <row r="466" customFormat="false" ht="15" hidden="false" customHeight="true" outlineLevel="0" collapsed="false">
      <c r="A466" s="27" t="s">
        <v>2821</v>
      </c>
      <c r="B466" s="27" t="s">
        <v>531</v>
      </c>
      <c r="C466" s="27" t="s">
        <v>5399</v>
      </c>
      <c r="D466" s="27" t="s">
        <v>5400</v>
      </c>
      <c r="E466" s="27"/>
      <c r="F466" s="27"/>
      <c r="G466" s="27"/>
      <c r="H466" s="27" t="s">
        <v>5553</v>
      </c>
      <c r="I466" s="28" t="s">
        <v>5401</v>
      </c>
    </row>
    <row r="467" customFormat="false" ht="15" hidden="false" customHeight="true" outlineLevel="0" collapsed="false">
      <c r="A467" s="27" t="s">
        <v>2827</v>
      </c>
      <c r="B467" s="27" t="s">
        <v>531</v>
      </c>
      <c r="C467" s="27" t="s">
        <v>5399</v>
      </c>
      <c r="D467" s="27" t="s">
        <v>5400</v>
      </c>
      <c r="E467" s="27"/>
      <c r="F467" s="27"/>
      <c r="G467" s="27"/>
      <c r="H467" s="27" t="s">
        <v>5554</v>
      </c>
      <c r="I467" s="28" t="s">
        <v>5401</v>
      </c>
    </row>
    <row r="468" customFormat="false" ht="15" hidden="false" customHeight="true" outlineLevel="0" collapsed="false">
      <c r="A468" s="27" t="s">
        <v>2833</v>
      </c>
      <c r="B468" s="27" t="s">
        <v>531</v>
      </c>
      <c r="C468" s="27" t="s">
        <v>5367</v>
      </c>
      <c r="D468" s="27" t="s">
        <v>5368</v>
      </c>
      <c r="E468" s="27"/>
      <c r="F468" s="27" t="s">
        <v>5375</v>
      </c>
      <c r="G468" s="27"/>
      <c r="H468" s="27" t="s">
        <v>5555</v>
      </c>
      <c r="I468" s="27"/>
    </row>
    <row r="469" customFormat="false" ht="15" hidden="false" customHeight="true" outlineLevel="0" collapsed="false">
      <c r="A469" s="27" t="s">
        <v>2879</v>
      </c>
      <c r="B469" s="27" t="s">
        <v>531</v>
      </c>
      <c r="C469" s="27" t="s">
        <v>5367</v>
      </c>
      <c r="D469" s="27" t="s">
        <v>5368</v>
      </c>
      <c r="E469" s="27"/>
      <c r="F469" s="27" t="s">
        <v>5375</v>
      </c>
      <c r="G469" s="27"/>
      <c r="H469" s="27" t="s">
        <v>5556</v>
      </c>
      <c r="I469" s="27"/>
    </row>
    <row r="470" customFormat="false" ht="15" hidden="false" customHeight="true" outlineLevel="0" collapsed="false">
      <c r="A470" s="27" t="s">
        <v>2900</v>
      </c>
      <c r="B470" s="27" t="s">
        <v>531</v>
      </c>
      <c r="C470" s="27" t="s">
        <v>5367</v>
      </c>
      <c r="D470" s="27" t="s">
        <v>5368</v>
      </c>
      <c r="E470" s="27"/>
      <c r="F470" s="27" t="s">
        <v>5375</v>
      </c>
      <c r="G470" s="27"/>
      <c r="H470" s="27" t="s">
        <v>5557</v>
      </c>
      <c r="I470" s="27"/>
    </row>
    <row r="471" customFormat="false" ht="15" hidden="false" customHeight="true" outlineLevel="0" collapsed="false">
      <c r="A471" s="27" t="s">
        <v>2903</v>
      </c>
      <c r="B471" s="27" t="s">
        <v>531</v>
      </c>
      <c r="C471" s="27" t="s">
        <v>5399</v>
      </c>
      <c r="D471" s="27" t="s">
        <v>5400</v>
      </c>
      <c r="E471" s="27"/>
      <c r="F471" s="27"/>
      <c r="G471" s="27"/>
      <c r="H471" s="27" t="s">
        <v>5558</v>
      </c>
      <c r="I471" s="28" t="s">
        <v>5401</v>
      </c>
    </row>
    <row r="472" customFormat="false" ht="15" hidden="false" customHeight="true" outlineLevel="0" collapsed="false">
      <c r="A472" s="27" t="s">
        <v>2912</v>
      </c>
      <c r="B472" s="27" t="s">
        <v>531</v>
      </c>
      <c r="C472" s="27" t="s">
        <v>5407</v>
      </c>
      <c r="D472" s="27" t="s">
        <v>5408</v>
      </c>
      <c r="E472" s="27"/>
      <c r="F472" s="27" t="s">
        <v>5416</v>
      </c>
      <c r="G472" s="27"/>
      <c r="H472" s="27" t="s">
        <v>5559</v>
      </c>
      <c r="I472" s="27"/>
    </row>
    <row r="473" customFormat="false" ht="15" hidden="false" customHeight="true" outlineLevel="0" collapsed="false">
      <c r="A473" s="27" t="s">
        <v>2942</v>
      </c>
      <c r="B473" s="27" t="s">
        <v>531</v>
      </c>
      <c r="C473" s="27" t="s">
        <v>5367</v>
      </c>
      <c r="D473" s="27" t="s">
        <v>5368</v>
      </c>
      <c r="E473" s="27"/>
      <c r="F473" s="27" t="s">
        <v>5375</v>
      </c>
      <c r="G473" s="27"/>
      <c r="H473" s="27" t="s">
        <v>5560</v>
      </c>
      <c r="I473" s="27"/>
    </row>
    <row r="474" customFormat="false" ht="15" hidden="false" customHeight="true" outlineLevel="0" collapsed="false">
      <c r="A474" s="27" t="s">
        <v>2945</v>
      </c>
      <c r="B474" s="27" t="s">
        <v>531</v>
      </c>
      <c r="C474" s="27" t="s">
        <v>5367</v>
      </c>
      <c r="D474" s="27" t="s">
        <v>5368</v>
      </c>
      <c r="E474" s="27"/>
      <c r="F474" s="27" t="s">
        <v>5375</v>
      </c>
      <c r="G474" s="27"/>
      <c r="H474" s="27" t="s">
        <v>5561</v>
      </c>
      <c r="I474" s="27"/>
    </row>
    <row r="475" customFormat="false" ht="15" hidden="false" customHeight="true" outlineLevel="0" collapsed="false">
      <c r="A475" s="27" t="s">
        <v>2948</v>
      </c>
      <c r="B475" s="27" t="s">
        <v>531</v>
      </c>
      <c r="C475" s="27" t="s">
        <v>5367</v>
      </c>
      <c r="D475" s="27" t="s">
        <v>5368</v>
      </c>
      <c r="E475" s="27"/>
      <c r="F475" s="27" t="s">
        <v>5375</v>
      </c>
      <c r="G475" s="27"/>
      <c r="H475" s="27" t="s">
        <v>5562</v>
      </c>
      <c r="I475" s="27"/>
    </row>
    <row r="476" customFormat="false" ht="15" hidden="false" customHeight="true" outlineLevel="0" collapsed="false">
      <c r="A476" s="27" t="s">
        <v>2951</v>
      </c>
      <c r="B476" s="27" t="s">
        <v>531</v>
      </c>
      <c r="C476" s="27" t="s">
        <v>5367</v>
      </c>
      <c r="D476" s="27" t="s">
        <v>5368</v>
      </c>
      <c r="E476" s="27"/>
      <c r="F476" s="27" t="s">
        <v>5375</v>
      </c>
      <c r="G476" s="27"/>
      <c r="H476" s="27" t="s">
        <v>5563</v>
      </c>
      <c r="I476" s="27"/>
    </row>
    <row r="477" customFormat="false" ht="15" hidden="false" customHeight="true" outlineLevel="0" collapsed="false">
      <c r="A477" s="27" t="s">
        <v>2964</v>
      </c>
      <c r="B477" s="27" t="s">
        <v>531</v>
      </c>
      <c r="C477" s="27" t="s">
        <v>5367</v>
      </c>
      <c r="D477" s="27" t="s">
        <v>5368</v>
      </c>
      <c r="E477" s="27"/>
      <c r="F477" s="27" t="s">
        <v>5369</v>
      </c>
      <c r="G477" s="27"/>
      <c r="H477" s="27" t="s">
        <v>5564</v>
      </c>
      <c r="I477" s="27"/>
    </row>
    <row r="478" customFormat="false" ht="15" hidden="false" customHeight="true" outlineLevel="0" collapsed="false">
      <c r="A478" s="27" t="s">
        <v>2990</v>
      </c>
      <c r="B478" s="27" t="s">
        <v>531</v>
      </c>
      <c r="C478" s="27" t="s">
        <v>5399</v>
      </c>
      <c r="D478" s="27" t="s">
        <v>5400</v>
      </c>
      <c r="E478" s="27"/>
      <c r="F478" s="27"/>
      <c r="G478" s="27"/>
      <c r="H478" s="27" t="s">
        <v>5565</v>
      </c>
      <c r="I478" s="28" t="s">
        <v>5401</v>
      </c>
    </row>
    <row r="479" customFormat="false" ht="15" hidden="false" customHeight="true" outlineLevel="0" collapsed="false">
      <c r="A479" s="27" t="s">
        <v>3036</v>
      </c>
      <c r="B479" s="27" t="s">
        <v>538</v>
      </c>
      <c r="C479" s="27" t="s">
        <v>5367</v>
      </c>
      <c r="D479" s="27" t="s">
        <v>5368</v>
      </c>
      <c r="E479" s="27"/>
      <c r="F479" s="27" t="s">
        <v>5375</v>
      </c>
      <c r="G479" s="27"/>
      <c r="H479" s="28" t="s">
        <v>3037</v>
      </c>
      <c r="I479" s="27"/>
    </row>
    <row r="480" customFormat="false" ht="15" hidden="false" customHeight="true" outlineLevel="0" collapsed="false">
      <c r="A480" s="27" t="s">
        <v>3039</v>
      </c>
      <c r="B480" s="27" t="s">
        <v>538</v>
      </c>
      <c r="C480" s="27" t="s">
        <v>5367</v>
      </c>
      <c r="D480" s="27" t="s">
        <v>5368</v>
      </c>
      <c r="E480" s="27"/>
      <c r="F480" s="27" t="s">
        <v>5375</v>
      </c>
      <c r="G480" s="27"/>
      <c r="H480" s="28" t="s">
        <v>3040</v>
      </c>
      <c r="I480" s="27"/>
    </row>
    <row r="481" customFormat="false" ht="15" hidden="false" customHeight="true" outlineLevel="0" collapsed="false">
      <c r="A481" s="27" t="s">
        <v>3042</v>
      </c>
      <c r="B481" s="27" t="s">
        <v>538</v>
      </c>
      <c r="C481" s="27" t="s">
        <v>5367</v>
      </c>
      <c r="D481" s="27" t="s">
        <v>5368</v>
      </c>
      <c r="E481" s="27"/>
      <c r="F481" s="27" t="s">
        <v>5375</v>
      </c>
      <c r="G481" s="27"/>
      <c r="H481" s="28" t="s">
        <v>3043</v>
      </c>
      <c r="I481" s="27"/>
    </row>
    <row r="482" customFormat="false" ht="15" hidden="false" customHeight="true" outlineLevel="0" collapsed="false">
      <c r="A482" s="27" t="s">
        <v>3051</v>
      </c>
      <c r="B482" s="27" t="s">
        <v>538</v>
      </c>
      <c r="C482" s="27" t="s">
        <v>5367</v>
      </c>
      <c r="D482" s="27" t="s">
        <v>5368</v>
      </c>
      <c r="E482" s="27"/>
      <c r="F482" s="27" t="s">
        <v>5375</v>
      </c>
      <c r="G482" s="27"/>
      <c r="H482" s="28" t="s">
        <v>3052</v>
      </c>
      <c r="I482" s="27"/>
    </row>
    <row r="483" customFormat="false" ht="15" hidden="false" customHeight="true" outlineLevel="0" collapsed="false">
      <c r="A483" s="27" t="s">
        <v>3060</v>
      </c>
      <c r="B483" s="27" t="s">
        <v>538</v>
      </c>
      <c r="C483" s="27" t="s">
        <v>5367</v>
      </c>
      <c r="D483" s="27" t="s">
        <v>5368</v>
      </c>
      <c r="E483" s="27"/>
      <c r="F483" s="27" t="s">
        <v>5375</v>
      </c>
      <c r="G483" s="27"/>
      <c r="H483" s="28" t="s">
        <v>3061</v>
      </c>
      <c r="I483" s="27"/>
    </row>
    <row r="484" customFormat="false" ht="15" hidden="false" customHeight="true" outlineLevel="0" collapsed="false">
      <c r="A484" s="27" t="s">
        <v>3063</v>
      </c>
      <c r="B484" s="27" t="s">
        <v>538</v>
      </c>
      <c r="C484" s="27" t="s">
        <v>5367</v>
      </c>
      <c r="D484" s="27" t="s">
        <v>5368</v>
      </c>
      <c r="E484" s="27"/>
      <c r="F484" s="27" t="s">
        <v>5375</v>
      </c>
      <c r="G484" s="27"/>
      <c r="H484" s="28" t="s">
        <v>3064</v>
      </c>
      <c r="I484" s="27"/>
    </row>
    <row r="485" customFormat="false" ht="15" hidden="false" customHeight="true" outlineLevel="0" collapsed="false">
      <c r="A485" s="27" t="s">
        <v>3066</v>
      </c>
      <c r="B485" s="27" t="s">
        <v>538</v>
      </c>
      <c r="C485" s="27" t="s">
        <v>5367</v>
      </c>
      <c r="D485" s="27" t="s">
        <v>5368</v>
      </c>
      <c r="E485" s="27"/>
      <c r="F485" s="27" t="s">
        <v>5375</v>
      </c>
      <c r="G485" s="27"/>
      <c r="H485" s="28" t="s">
        <v>3067</v>
      </c>
      <c r="I485" s="27"/>
    </row>
    <row r="486" customFormat="false" ht="15" hidden="false" customHeight="true" outlineLevel="0" collapsed="false">
      <c r="A486" s="27" t="s">
        <v>3072</v>
      </c>
      <c r="B486" s="27" t="s">
        <v>538</v>
      </c>
      <c r="C486" s="27" t="s">
        <v>5367</v>
      </c>
      <c r="D486" s="27" t="s">
        <v>5368</v>
      </c>
      <c r="E486" s="27"/>
      <c r="F486" s="27" t="s">
        <v>5375</v>
      </c>
      <c r="G486" s="27"/>
      <c r="H486" s="28" t="s">
        <v>3073</v>
      </c>
      <c r="I486" s="27"/>
    </row>
    <row r="487" customFormat="false" ht="15" hidden="false" customHeight="true" outlineLevel="0" collapsed="false">
      <c r="A487" s="27" t="s">
        <v>3075</v>
      </c>
      <c r="B487" s="27" t="s">
        <v>538</v>
      </c>
      <c r="C487" s="27" t="s">
        <v>5367</v>
      </c>
      <c r="D487" s="27" t="s">
        <v>5368</v>
      </c>
      <c r="E487" s="27"/>
      <c r="F487" s="27" t="s">
        <v>5375</v>
      </c>
      <c r="G487" s="27"/>
      <c r="H487" s="28" t="s">
        <v>3076</v>
      </c>
      <c r="I487" s="27"/>
    </row>
    <row r="488" customFormat="false" ht="15" hidden="false" customHeight="true" outlineLevel="0" collapsed="false">
      <c r="A488" s="27" t="s">
        <v>3087</v>
      </c>
      <c r="B488" s="27" t="s">
        <v>538</v>
      </c>
      <c r="C488" s="27" t="s">
        <v>5367</v>
      </c>
      <c r="D488" s="27" t="s">
        <v>5368</v>
      </c>
      <c r="E488" s="27"/>
      <c r="F488" s="27" t="s">
        <v>5375</v>
      </c>
      <c r="G488" s="27"/>
      <c r="H488" s="28" t="s">
        <v>3088</v>
      </c>
      <c r="I488" s="27"/>
    </row>
    <row r="489" customFormat="false" ht="15" hidden="false" customHeight="true" outlineLevel="0" collapsed="false">
      <c r="A489" s="27" t="s">
        <v>3090</v>
      </c>
      <c r="B489" s="27" t="s">
        <v>538</v>
      </c>
      <c r="C489" s="27" t="s">
        <v>5367</v>
      </c>
      <c r="D489" s="27" t="s">
        <v>5368</v>
      </c>
      <c r="E489" s="27"/>
      <c r="F489" s="27" t="s">
        <v>5375</v>
      </c>
      <c r="G489" s="27"/>
      <c r="H489" s="28" t="s">
        <v>3091</v>
      </c>
      <c r="I489" s="27"/>
    </row>
    <row r="490" customFormat="false" ht="15" hidden="false" customHeight="true" outlineLevel="0" collapsed="false">
      <c r="A490" s="27" t="s">
        <v>3093</v>
      </c>
      <c r="B490" s="27" t="s">
        <v>538</v>
      </c>
      <c r="C490" s="27" t="s">
        <v>5367</v>
      </c>
      <c r="D490" s="27" t="s">
        <v>5368</v>
      </c>
      <c r="E490" s="27"/>
      <c r="F490" s="27" t="s">
        <v>5375</v>
      </c>
      <c r="G490" s="27"/>
      <c r="H490" s="28" t="s">
        <v>3094</v>
      </c>
      <c r="I490" s="27"/>
    </row>
    <row r="491" customFormat="false" ht="15" hidden="false" customHeight="true" outlineLevel="0" collapsed="false">
      <c r="A491" s="27" t="s">
        <v>3105</v>
      </c>
      <c r="B491" s="27" t="s">
        <v>538</v>
      </c>
      <c r="C491" s="27" t="s">
        <v>5367</v>
      </c>
      <c r="D491" s="27" t="s">
        <v>5368</v>
      </c>
      <c r="E491" s="27"/>
      <c r="F491" s="27" t="s">
        <v>5375</v>
      </c>
      <c r="G491" s="27"/>
      <c r="H491" s="28" t="s">
        <v>3106</v>
      </c>
      <c r="I491" s="27"/>
    </row>
    <row r="492" customFormat="false" ht="15" hidden="false" customHeight="true" outlineLevel="0" collapsed="false">
      <c r="A492" s="27" t="s">
        <v>3108</v>
      </c>
      <c r="B492" s="27" t="s">
        <v>538</v>
      </c>
      <c r="C492" s="27" t="s">
        <v>5367</v>
      </c>
      <c r="D492" s="27" t="s">
        <v>5368</v>
      </c>
      <c r="E492" s="27"/>
      <c r="F492" s="27" t="s">
        <v>5375</v>
      </c>
      <c r="G492" s="27"/>
      <c r="H492" s="28" t="s">
        <v>3109</v>
      </c>
      <c r="I492" s="27"/>
    </row>
    <row r="493" customFormat="false" ht="15" hidden="false" customHeight="true" outlineLevel="0" collapsed="false">
      <c r="A493" s="27" t="s">
        <v>3115</v>
      </c>
      <c r="B493" s="27" t="s">
        <v>538</v>
      </c>
      <c r="C493" s="27" t="s">
        <v>5367</v>
      </c>
      <c r="D493" s="27" t="s">
        <v>5368</v>
      </c>
      <c r="E493" s="27"/>
      <c r="F493" s="27" t="s">
        <v>5375</v>
      </c>
      <c r="G493" s="27"/>
      <c r="H493" s="28" t="s">
        <v>3116</v>
      </c>
      <c r="I493" s="27"/>
    </row>
    <row r="494" customFormat="false" ht="15" hidden="false" customHeight="true" outlineLevel="0" collapsed="false">
      <c r="A494" s="27" t="s">
        <v>3118</v>
      </c>
      <c r="B494" s="27" t="s">
        <v>538</v>
      </c>
      <c r="C494" s="27" t="s">
        <v>5367</v>
      </c>
      <c r="D494" s="27" t="s">
        <v>5368</v>
      </c>
      <c r="E494" s="27"/>
      <c r="F494" s="27" t="s">
        <v>5375</v>
      </c>
      <c r="G494" s="27"/>
      <c r="H494" s="28" t="s">
        <v>3119</v>
      </c>
      <c r="I494" s="27"/>
    </row>
    <row r="495" customFormat="false" ht="15" hidden="false" customHeight="true" outlineLevel="0" collapsed="false">
      <c r="A495" s="27" t="s">
        <v>3121</v>
      </c>
      <c r="B495" s="27" t="s">
        <v>538</v>
      </c>
      <c r="C495" s="27" t="s">
        <v>5367</v>
      </c>
      <c r="D495" s="27" t="s">
        <v>5368</v>
      </c>
      <c r="E495" s="27"/>
      <c r="F495" s="27" t="s">
        <v>5375</v>
      </c>
      <c r="G495" s="27"/>
      <c r="H495" s="28" t="s">
        <v>3122</v>
      </c>
      <c r="I495" s="27"/>
    </row>
    <row r="496" customFormat="false" ht="15" hidden="false" customHeight="true" outlineLevel="0" collapsed="false">
      <c r="A496" s="27" t="s">
        <v>3124</v>
      </c>
      <c r="B496" s="27" t="s">
        <v>538</v>
      </c>
      <c r="C496" s="27" t="s">
        <v>5367</v>
      </c>
      <c r="D496" s="27" t="s">
        <v>5368</v>
      </c>
      <c r="E496" s="27"/>
      <c r="F496" s="27" t="s">
        <v>5375</v>
      </c>
      <c r="G496" s="27"/>
      <c r="H496" s="28" t="s">
        <v>3125</v>
      </c>
      <c r="I496" s="27"/>
    </row>
    <row r="497" customFormat="false" ht="15" hidden="false" customHeight="true" outlineLevel="0" collapsed="false">
      <c r="A497" s="27" t="s">
        <v>3130</v>
      </c>
      <c r="B497" s="27" t="s">
        <v>538</v>
      </c>
      <c r="C497" s="27" t="s">
        <v>5367</v>
      </c>
      <c r="D497" s="27" t="s">
        <v>5368</v>
      </c>
      <c r="E497" s="27"/>
      <c r="F497" s="27" t="s">
        <v>5375</v>
      </c>
      <c r="G497" s="27"/>
      <c r="H497" s="28" t="s">
        <v>3131</v>
      </c>
      <c r="I497" s="27"/>
    </row>
    <row r="498" customFormat="false" ht="15" hidden="false" customHeight="true" outlineLevel="0" collapsed="false">
      <c r="A498" s="27" t="s">
        <v>3134</v>
      </c>
      <c r="B498" s="27" t="s">
        <v>538</v>
      </c>
      <c r="C498" s="27" t="s">
        <v>5367</v>
      </c>
      <c r="D498" s="27" t="s">
        <v>5368</v>
      </c>
      <c r="E498" s="27"/>
      <c r="F498" s="27" t="s">
        <v>5369</v>
      </c>
      <c r="G498" s="27"/>
      <c r="H498" s="28" t="s">
        <v>3135</v>
      </c>
      <c r="I498" s="27"/>
    </row>
    <row r="499" customFormat="false" ht="15" hidden="false" customHeight="true" outlineLevel="0" collapsed="false">
      <c r="A499" s="27" t="s">
        <v>3137</v>
      </c>
      <c r="B499" s="27" t="s">
        <v>538</v>
      </c>
      <c r="C499" s="27" t="s">
        <v>5367</v>
      </c>
      <c r="D499" s="27" t="s">
        <v>5368</v>
      </c>
      <c r="E499" s="27"/>
      <c r="F499" s="27" t="s">
        <v>5375</v>
      </c>
      <c r="G499" s="27"/>
      <c r="H499" s="28" t="s">
        <v>3138</v>
      </c>
      <c r="I499" s="27"/>
    </row>
    <row r="500" customFormat="false" ht="15" hidden="false" customHeight="true" outlineLevel="0" collapsed="false">
      <c r="A500" s="27" t="s">
        <v>3140</v>
      </c>
      <c r="B500" s="27" t="s">
        <v>538</v>
      </c>
      <c r="C500" s="27" t="s">
        <v>5367</v>
      </c>
      <c r="D500" s="27" t="s">
        <v>5368</v>
      </c>
      <c r="E500" s="27"/>
      <c r="F500" s="27" t="s">
        <v>5375</v>
      </c>
      <c r="G500" s="27"/>
      <c r="H500" s="28" t="s">
        <v>3141</v>
      </c>
      <c r="I500" s="27"/>
    </row>
    <row r="501" customFormat="false" ht="15" hidden="false" customHeight="true" outlineLevel="0" collapsed="false">
      <c r="A501" s="27" t="s">
        <v>3143</v>
      </c>
      <c r="B501" s="27" t="s">
        <v>538</v>
      </c>
      <c r="C501" s="27" t="s">
        <v>5367</v>
      </c>
      <c r="D501" s="27" t="s">
        <v>5368</v>
      </c>
      <c r="E501" s="27"/>
      <c r="F501" s="27" t="s">
        <v>5375</v>
      </c>
      <c r="G501" s="27"/>
      <c r="H501" s="28" t="s">
        <v>3144</v>
      </c>
      <c r="I501" s="27"/>
    </row>
    <row r="502" customFormat="false" ht="15" hidden="false" customHeight="true" outlineLevel="0" collapsed="false">
      <c r="A502" s="27" t="s">
        <v>3149</v>
      </c>
      <c r="B502" s="27" t="s">
        <v>538</v>
      </c>
      <c r="C502" s="27" t="s">
        <v>5367</v>
      </c>
      <c r="D502" s="27" t="s">
        <v>5368</v>
      </c>
      <c r="E502" s="27"/>
      <c r="F502" s="27" t="s">
        <v>5375</v>
      </c>
      <c r="G502" s="27"/>
      <c r="H502" s="28" t="s">
        <v>3150</v>
      </c>
      <c r="I502" s="27"/>
    </row>
    <row r="503" customFormat="false" ht="15" hidden="false" customHeight="true" outlineLevel="0" collapsed="false">
      <c r="A503" s="27" t="s">
        <v>3152</v>
      </c>
      <c r="B503" s="27" t="s">
        <v>538</v>
      </c>
      <c r="C503" s="27" t="s">
        <v>5367</v>
      </c>
      <c r="D503" s="27" t="s">
        <v>5368</v>
      </c>
      <c r="E503" s="27"/>
      <c r="F503" s="27" t="s">
        <v>5369</v>
      </c>
      <c r="G503" s="27"/>
      <c r="H503" s="28" t="s">
        <v>3153</v>
      </c>
      <c r="I503" s="27"/>
    </row>
    <row r="504" customFormat="false" ht="15" hidden="false" customHeight="true" outlineLevel="0" collapsed="false">
      <c r="A504" s="27" t="s">
        <v>3155</v>
      </c>
      <c r="B504" s="27" t="s">
        <v>538</v>
      </c>
      <c r="C504" s="27" t="s">
        <v>5367</v>
      </c>
      <c r="D504" s="27" t="s">
        <v>5368</v>
      </c>
      <c r="E504" s="27"/>
      <c r="F504" s="27" t="s">
        <v>5375</v>
      </c>
      <c r="G504" s="27"/>
      <c r="H504" s="28" t="s">
        <v>3156</v>
      </c>
      <c r="I504" s="27"/>
    </row>
    <row r="505" customFormat="false" ht="15" hidden="false" customHeight="true" outlineLevel="0" collapsed="false">
      <c r="A505" s="27" t="s">
        <v>3158</v>
      </c>
      <c r="B505" s="27" t="s">
        <v>538</v>
      </c>
      <c r="C505" s="27" t="s">
        <v>5367</v>
      </c>
      <c r="D505" s="27" t="s">
        <v>5368</v>
      </c>
      <c r="E505" s="27"/>
      <c r="F505" s="27" t="s">
        <v>5375</v>
      </c>
      <c r="G505" s="27"/>
      <c r="H505" s="28" t="s">
        <v>3159</v>
      </c>
      <c r="I505" s="27"/>
    </row>
    <row r="506" customFormat="false" ht="15" hidden="false" customHeight="true" outlineLevel="0" collapsed="false">
      <c r="A506" s="27" t="s">
        <v>3161</v>
      </c>
      <c r="B506" s="27" t="s">
        <v>538</v>
      </c>
      <c r="C506" s="27" t="s">
        <v>5367</v>
      </c>
      <c r="D506" s="27" t="s">
        <v>5368</v>
      </c>
      <c r="E506" s="27"/>
      <c r="F506" s="27" t="s">
        <v>5375</v>
      </c>
      <c r="G506" s="27"/>
      <c r="H506" s="28" t="s">
        <v>3162</v>
      </c>
      <c r="I506" s="27"/>
    </row>
    <row r="507" customFormat="false" ht="15" hidden="false" customHeight="true" outlineLevel="0" collapsed="false">
      <c r="A507" s="27" t="s">
        <v>3167</v>
      </c>
      <c r="B507" s="27" t="s">
        <v>538</v>
      </c>
      <c r="C507" s="27" t="s">
        <v>5367</v>
      </c>
      <c r="D507" s="27" t="s">
        <v>5368</v>
      </c>
      <c r="E507" s="27"/>
      <c r="F507" s="27" t="s">
        <v>5375</v>
      </c>
      <c r="G507" s="27"/>
      <c r="H507" s="28" t="s">
        <v>3168</v>
      </c>
      <c r="I507" s="27"/>
    </row>
    <row r="508" customFormat="false" ht="15" hidden="false" customHeight="true" outlineLevel="0" collapsed="false">
      <c r="A508" s="27" t="s">
        <v>3170</v>
      </c>
      <c r="B508" s="27" t="s">
        <v>538</v>
      </c>
      <c r="C508" s="27" t="s">
        <v>5367</v>
      </c>
      <c r="D508" s="27" t="s">
        <v>5368</v>
      </c>
      <c r="E508" s="27"/>
      <c r="F508" s="27" t="s">
        <v>5375</v>
      </c>
      <c r="G508" s="27"/>
      <c r="H508" s="28" t="s">
        <v>3171</v>
      </c>
      <c r="I508" s="27"/>
    </row>
    <row r="509" customFormat="false" ht="15" hidden="false" customHeight="true" outlineLevel="0" collapsed="false">
      <c r="A509" s="27" t="s">
        <v>3173</v>
      </c>
      <c r="B509" s="27" t="s">
        <v>538</v>
      </c>
      <c r="C509" s="27" t="s">
        <v>5367</v>
      </c>
      <c r="D509" s="27" t="s">
        <v>5368</v>
      </c>
      <c r="E509" s="27"/>
      <c r="F509" s="27" t="s">
        <v>5375</v>
      </c>
      <c r="G509" s="27"/>
      <c r="H509" s="28" t="s">
        <v>3174</v>
      </c>
      <c r="I509" s="27"/>
    </row>
    <row r="510" customFormat="false" ht="15" hidden="false" customHeight="true" outlineLevel="0" collapsed="false">
      <c r="A510" s="27" t="s">
        <v>3176</v>
      </c>
      <c r="B510" s="27" t="s">
        <v>538</v>
      </c>
      <c r="C510" s="27" t="s">
        <v>5367</v>
      </c>
      <c r="D510" s="27" t="s">
        <v>5368</v>
      </c>
      <c r="E510" s="27"/>
      <c r="F510" s="27" t="s">
        <v>5375</v>
      </c>
      <c r="G510" s="27"/>
      <c r="H510" s="28" t="s">
        <v>3177</v>
      </c>
      <c r="I510" s="27"/>
    </row>
    <row r="511" customFormat="false" ht="15" hidden="false" customHeight="true" outlineLevel="0" collapsed="false">
      <c r="A511" s="27" t="s">
        <v>3179</v>
      </c>
      <c r="B511" s="27" t="s">
        <v>538</v>
      </c>
      <c r="C511" s="27" t="s">
        <v>5367</v>
      </c>
      <c r="D511" s="27" t="s">
        <v>5368</v>
      </c>
      <c r="E511" s="27"/>
      <c r="F511" s="27" t="s">
        <v>5375</v>
      </c>
      <c r="G511" s="27"/>
      <c r="H511" s="28" t="s">
        <v>3180</v>
      </c>
      <c r="I511" s="27"/>
    </row>
    <row r="512" customFormat="false" ht="15" hidden="false" customHeight="true" outlineLevel="0" collapsed="false">
      <c r="A512" s="27" t="s">
        <v>3191</v>
      </c>
      <c r="B512" s="27" t="s">
        <v>538</v>
      </c>
      <c r="C512" s="27" t="s">
        <v>5367</v>
      </c>
      <c r="D512" s="27" t="s">
        <v>5368</v>
      </c>
      <c r="E512" s="27"/>
      <c r="F512" s="27" t="s">
        <v>5375</v>
      </c>
      <c r="G512" s="27"/>
      <c r="H512" s="28" t="s">
        <v>3192</v>
      </c>
      <c r="I512" s="27"/>
    </row>
    <row r="513" customFormat="false" ht="15" hidden="false" customHeight="true" outlineLevel="0" collapsed="false">
      <c r="A513" s="27" t="s">
        <v>3194</v>
      </c>
      <c r="B513" s="27" t="s">
        <v>538</v>
      </c>
      <c r="C513" s="27" t="s">
        <v>5367</v>
      </c>
      <c r="D513" s="27" t="s">
        <v>5368</v>
      </c>
      <c r="E513" s="27"/>
      <c r="F513" s="27" t="s">
        <v>5375</v>
      </c>
      <c r="G513" s="27"/>
      <c r="H513" s="28" t="s">
        <v>3195</v>
      </c>
      <c r="I513" s="27"/>
    </row>
    <row r="514" customFormat="false" ht="15" hidden="false" customHeight="true" outlineLevel="0" collapsed="false">
      <c r="A514" s="27" t="s">
        <v>3200</v>
      </c>
      <c r="B514" s="27" t="s">
        <v>538</v>
      </c>
      <c r="C514" s="27" t="s">
        <v>5367</v>
      </c>
      <c r="D514" s="27" t="s">
        <v>5368</v>
      </c>
      <c r="E514" s="27"/>
      <c r="F514" s="27" t="s">
        <v>5375</v>
      </c>
      <c r="G514" s="27"/>
      <c r="H514" s="28" t="s">
        <v>3201</v>
      </c>
      <c r="I514" s="27"/>
    </row>
    <row r="515" customFormat="false" ht="15" hidden="false" customHeight="true" outlineLevel="0" collapsed="false">
      <c r="A515" s="27" t="s">
        <v>3206</v>
      </c>
      <c r="B515" s="27" t="s">
        <v>538</v>
      </c>
      <c r="C515" s="27" t="s">
        <v>5367</v>
      </c>
      <c r="D515" s="27" t="s">
        <v>5368</v>
      </c>
      <c r="E515" s="27"/>
      <c r="F515" s="27" t="s">
        <v>5375</v>
      </c>
      <c r="G515" s="27"/>
      <c r="H515" s="28" t="s">
        <v>3207</v>
      </c>
      <c r="I515" s="27"/>
    </row>
    <row r="516" customFormat="false" ht="15" hidden="false" customHeight="true" outlineLevel="0" collapsed="false">
      <c r="A516" s="27" t="s">
        <v>3209</v>
      </c>
      <c r="B516" s="27" t="s">
        <v>538</v>
      </c>
      <c r="C516" s="27" t="s">
        <v>5367</v>
      </c>
      <c r="D516" s="27" t="s">
        <v>5368</v>
      </c>
      <c r="E516" s="27"/>
      <c r="F516" s="27" t="s">
        <v>5375</v>
      </c>
      <c r="G516" s="27"/>
      <c r="H516" s="28" t="s">
        <v>3210</v>
      </c>
      <c r="I516" s="27"/>
    </row>
    <row r="517" customFormat="false" ht="15" hidden="false" customHeight="true" outlineLevel="0" collapsed="false">
      <c r="A517" s="27" t="s">
        <v>3212</v>
      </c>
      <c r="B517" s="27" t="s">
        <v>538</v>
      </c>
      <c r="C517" s="27" t="s">
        <v>5367</v>
      </c>
      <c r="D517" s="27" t="s">
        <v>5368</v>
      </c>
      <c r="E517" s="27"/>
      <c r="F517" s="27" t="s">
        <v>5375</v>
      </c>
      <c r="G517" s="27"/>
      <c r="H517" s="28" t="s">
        <v>3213</v>
      </c>
      <c r="I517" s="27"/>
    </row>
    <row r="518" customFormat="false" ht="15" hidden="false" customHeight="true" outlineLevel="0" collapsed="false">
      <c r="A518" s="27" t="s">
        <v>3218</v>
      </c>
      <c r="B518" s="27" t="s">
        <v>538</v>
      </c>
      <c r="C518" s="27" t="s">
        <v>5367</v>
      </c>
      <c r="D518" s="27" t="s">
        <v>5368</v>
      </c>
      <c r="E518" s="27"/>
      <c r="F518" s="27" t="s">
        <v>5369</v>
      </c>
      <c r="G518" s="27"/>
      <c r="H518" s="28" t="s">
        <v>3219</v>
      </c>
      <c r="I518" s="27"/>
    </row>
    <row r="519" customFormat="false" ht="15" hidden="false" customHeight="true" outlineLevel="0" collapsed="false">
      <c r="A519" s="27" t="s">
        <v>3221</v>
      </c>
      <c r="B519" s="27" t="s">
        <v>538</v>
      </c>
      <c r="C519" s="27" t="s">
        <v>5367</v>
      </c>
      <c r="D519" s="27" t="s">
        <v>5368</v>
      </c>
      <c r="E519" s="27"/>
      <c r="F519" s="27" t="s">
        <v>5375</v>
      </c>
      <c r="G519" s="27"/>
      <c r="H519" s="28" t="s">
        <v>3222</v>
      </c>
      <c r="I519" s="27"/>
    </row>
    <row r="520" customFormat="false" ht="15" hidden="false" customHeight="true" outlineLevel="0" collapsed="false">
      <c r="A520" s="27" t="s">
        <v>3224</v>
      </c>
      <c r="B520" s="27" t="s">
        <v>538</v>
      </c>
      <c r="C520" s="27" t="s">
        <v>5367</v>
      </c>
      <c r="D520" s="27" t="s">
        <v>5368</v>
      </c>
      <c r="E520" s="27"/>
      <c r="F520" s="27" t="s">
        <v>5369</v>
      </c>
      <c r="G520" s="27"/>
      <c r="H520" s="28" t="s">
        <v>3225</v>
      </c>
      <c r="I520" s="27"/>
    </row>
    <row r="521" customFormat="false" ht="15" hidden="false" customHeight="true" outlineLevel="0" collapsed="false">
      <c r="A521" s="27" t="s">
        <v>3227</v>
      </c>
      <c r="B521" s="27" t="s">
        <v>538</v>
      </c>
      <c r="C521" s="27" t="s">
        <v>5367</v>
      </c>
      <c r="D521" s="27" t="s">
        <v>5368</v>
      </c>
      <c r="E521" s="27"/>
      <c r="F521" s="27" t="s">
        <v>5369</v>
      </c>
      <c r="G521" s="27"/>
      <c r="H521" s="28" t="s">
        <v>3228</v>
      </c>
      <c r="I521" s="27"/>
    </row>
    <row r="522" customFormat="false" ht="15" hidden="false" customHeight="true" outlineLevel="0" collapsed="false">
      <c r="A522" s="27" t="s">
        <v>3230</v>
      </c>
      <c r="B522" s="27" t="s">
        <v>538</v>
      </c>
      <c r="C522" s="27" t="s">
        <v>5367</v>
      </c>
      <c r="D522" s="27" t="s">
        <v>5368</v>
      </c>
      <c r="E522" s="27"/>
      <c r="F522" s="27" t="s">
        <v>5375</v>
      </c>
      <c r="G522" s="27"/>
      <c r="H522" s="28" t="s">
        <v>3231</v>
      </c>
      <c r="I522" s="27"/>
    </row>
    <row r="523" customFormat="false" ht="15" hidden="false" customHeight="true" outlineLevel="0" collapsed="false">
      <c r="A523" s="27" t="s">
        <v>3236</v>
      </c>
      <c r="B523" s="27" t="s">
        <v>538</v>
      </c>
      <c r="C523" s="27" t="s">
        <v>5367</v>
      </c>
      <c r="D523" s="27" t="s">
        <v>5368</v>
      </c>
      <c r="E523" s="27"/>
      <c r="F523" s="27" t="s">
        <v>5485</v>
      </c>
      <c r="G523" s="27"/>
      <c r="H523" s="28" t="s">
        <v>3237</v>
      </c>
      <c r="I523" s="27"/>
    </row>
    <row r="524" customFormat="false" ht="15" hidden="false" customHeight="true" outlineLevel="0" collapsed="false">
      <c r="A524" s="27" t="s">
        <v>3239</v>
      </c>
      <c r="B524" s="27" t="s">
        <v>538</v>
      </c>
      <c r="C524" s="27" t="s">
        <v>5367</v>
      </c>
      <c r="D524" s="27" t="s">
        <v>5368</v>
      </c>
      <c r="E524" s="27"/>
      <c r="F524" s="27" t="s">
        <v>5375</v>
      </c>
      <c r="G524" s="27"/>
      <c r="H524" s="28" t="s">
        <v>3240</v>
      </c>
      <c r="I524" s="27"/>
    </row>
    <row r="525" customFormat="false" ht="15" hidden="false" customHeight="true" outlineLevel="0" collapsed="false">
      <c r="A525" s="27" t="s">
        <v>3242</v>
      </c>
      <c r="B525" s="27" t="s">
        <v>538</v>
      </c>
      <c r="C525" s="27" t="s">
        <v>5367</v>
      </c>
      <c r="D525" s="27" t="s">
        <v>5368</v>
      </c>
      <c r="E525" s="27"/>
      <c r="F525" s="27" t="s">
        <v>5375</v>
      </c>
      <c r="G525" s="27"/>
      <c r="H525" s="28" t="s">
        <v>3243</v>
      </c>
      <c r="I525" s="27"/>
    </row>
    <row r="526" customFormat="false" ht="15" hidden="false" customHeight="true" outlineLevel="0" collapsed="false">
      <c r="A526" s="27" t="s">
        <v>3245</v>
      </c>
      <c r="B526" s="27" t="s">
        <v>538</v>
      </c>
      <c r="C526" s="27" t="s">
        <v>5367</v>
      </c>
      <c r="D526" s="27" t="s">
        <v>5368</v>
      </c>
      <c r="E526" s="27"/>
      <c r="F526" s="27" t="s">
        <v>5375</v>
      </c>
      <c r="G526" s="27"/>
      <c r="H526" s="28" t="s">
        <v>3246</v>
      </c>
      <c r="I526" s="27"/>
    </row>
    <row r="527" customFormat="false" ht="15" hidden="false" customHeight="true" outlineLevel="0" collapsed="false">
      <c r="A527" s="27" t="s">
        <v>3248</v>
      </c>
      <c r="B527" s="27" t="s">
        <v>538</v>
      </c>
      <c r="C527" s="27" t="s">
        <v>5367</v>
      </c>
      <c r="D527" s="27" t="s">
        <v>5368</v>
      </c>
      <c r="E527" s="27"/>
      <c r="F527" s="27" t="s">
        <v>5375</v>
      </c>
      <c r="G527" s="27"/>
      <c r="H527" s="28" t="s">
        <v>3249</v>
      </c>
      <c r="I527" s="27"/>
    </row>
    <row r="528" customFormat="false" ht="15" hidden="false" customHeight="true" outlineLevel="0" collapsed="false">
      <c r="A528" s="27" t="s">
        <v>3251</v>
      </c>
      <c r="B528" s="27" t="s">
        <v>538</v>
      </c>
      <c r="C528" s="27" t="s">
        <v>5367</v>
      </c>
      <c r="D528" s="27" t="s">
        <v>5368</v>
      </c>
      <c r="E528" s="27"/>
      <c r="F528" s="27" t="s">
        <v>5369</v>
      </c>
      <c r="G528" s="27"/>
      <c r="H528" s="28" t="s">
        <v>3252</v>
      </c>
      <c r="I528" s="27"/>
    </row>
    <row r="529" customFormat="false" ht="15" hidden="false" customHeight="true" outlineLevel="0" collapsed="false">
      <c r="A529" s="27" t="s">
        <v>3254</v>
      </c>
      <c r="B529" s="27" t="s">
        <v>538</v>
      </c>
      <c r="C529" s="27" t="s">
        <v>5367</v>
      </c>
      <c r="D529" s="27" t="s">
        <v>5368</v>
      </c>
      <c r="E529" s="27"/>
      <c r="F529" s="27" t="s">
        <v>5369</v>
      </c>
      <c r="G529" s="27"/>
      <c r="H529" s="28" t="s">
        <v>3255</v>
      </c>
      <c r="I529" s="27"/>
    </row>
    <row r="530" customFormat="false" ht="15" hidden="false" customHeight="true" outlineLevel="0" collapsed="false">
      <c r="A530" s="27" t="s">
        <v>3257</v>
      </c>
      <c r="B530" s="27" t="s">
        <v>538</v>
      </c>
      <c r="C530" s="27" t="s">
        <v>5367</v>
      </c>
      <c r="D530" s="27" t="s">
        <v>5368</v>
      </c>
      <c r="E530" s="27"/>
      <c r="F530" s="27" t="s">
        <v>5375</v>
      </c>
      <c r="G530" s="27"/>
      <c r="H530" s="28" t="s">
        <v>3258</v>
      </c>
      <c r="I530" s="27"/>
    </row>
    <row r="531" customFormat="false" ht="15" hidden="false" customHeight="true" outlineLevel="0" collapsed="false">
      <c r="A531" s="27" t="s">
        <v>3260</v>
      </c>
      <c r="B531" s="27" t="s">
        <v>538</v>
      </c>
      <c r="C531" s="27" t="s">
        <v>5367</v>
      </c>
      <c r="D531" s="27" t="s">
        <v>5368</v>
      </c>
      <c r="E531" s="27"/>
      <c r="F531" s="27" t="s">
        <v>5369</v>
      </c>
      <c r="G531" s="27"/>
      <c r="H531" s="28" t="s">
        <v>3261</v>
      </c>
      <c r="I531" s="27"/>
    </row>
    <row r="532" customFormat="false" ht="15" hidden="false" customHeight="true" outlineLevel="0" collapsed="false">
      <c r="A532" s="27" t="s">
        <v>3263</v>
      </c>
      <c r="B532" s="27" t="s">
        <v>538</v>
      </c>
      <c r="C532" s="27" t="s">
        <v>5367</v>
      </c>
      <c r="D532" s="27" t="s">
        <v>5368</v>
      </c>
      <c r="E532" s="27"/>
      <c r="F532" s="27" t="s">
        <v>5369</v>
      </c>
      <c r="G532" s="27"/>
      <c r="H532" s="28" t="s">
        <v>3264</v>
      </c>
      <c r="I532" s="27"/>
    </row>
    <row r="533" customFormat="false" ht="15" hidden="false" customHeight="true" outlineLevel="0" collapsed="false">
      <c r="A533" s="27" t="s">
        <v>3266</v>
      </c>
      <c r="B533" s="27" t="s">
        <v>538</v>
      </c>
      <c r="C533" s="27" t="s">
        <v>5367</v>
      </c>
      <c r="D533" s="27" t="s">
        <v>5368</v>
      </c>
      <c r="E533" s="27"/>
      <c r="F533" s="27" t="s">
        <v>5375</v>
      </c>
      <c r="G533" s="27"/>
      <c r="H533" s="28" t="s">
        <v>3267</v>
      </c>
      <c r="I533" s="27"/>
    </row>
    <row r="534" customFormat="false" ht="15" hidden="false" customHeight="true" outlineLevel="0" collapsed="false">
      <c r="A534" s="27" t="s">
        <v>3269</v>
      </c>
      <c r="B534" s="27" t="s">
        <v>538</v>
      </c>
      <c r="C534" s="27" t="s">
        <v>5367</v>
      </c>
      <c r="D534" s="27" t="s">
        <v>5368</v>
      </c>
      <c r="E534" s="27"/>
      <c r="F534" s="27" t="s">
        <v>5375</v>
      </c>
      <c r="G534" s="27"/>
      <c r="H534" s="28" t="s">
        <v>3270</v>
      </c>
      <c r="I534" s="27"/>
    </row>
    <row r="535" customFormat="false" ht="15" hidden="false" customHeight="true" outlineLevel="0" collapsed="false">
      <c r="A535" s="27" t="s">
        <v>3272</v>
      </c>
      <c r="B535" s="27" t="s">
        <v>538</v>
      </c>
      <c r="C535" s="27" t="s">
        <v>5367</v>
      </c>
      <c r="D535" s="27" t="s">
        <v>5368</v>
      </c>
      <c r="E535" s="27"/>
      <c r="F535" s="27" t="s">
        <v>5375</v>
      </c>
      <c r="G535" s="27"/>
      <c r="H535" s="28" t="s">
        <v>3273</v>
      </c>
      <c r="I535" s="27"/>
    </row>
    <row r="536" customFormat="false" ht="15" hidden="false" customHeight="true" outlineLevel="0" collapsed="false">
      <c r="A536" s="27" t="s">
        <v>3278</v>
      </c>
      <c r="B536" s="27" t="s">
        <v>538</v>
      </c>
      <c r="C536" s="27" t="s">
        <v>5367</v>
      </c>
      <c r="D536" s="27" t="s">
        <v>5368</v>
      </c>
      <c r="E536" s="27"/>
      <c r="F536" s="27" t="s">
        <v>5375</v>
      </c>
      <c r="G536" s="27"/>
      <c r="H536" s="28" t="s">
        <v>3279</v>
      </c>
      <c r="I536" s="27"/>
    </row>
    <row r="537" customFormat="false" ht="15" hidden="false" customHeight="true" outlineLevel="0" collapsed="false">
      <c r="A537" s="27" t="s">
        <v>3282</v>
      </c>
      <c r="B537" s="27" t="s">
        <v>538</v>
      </c>
      <c r="C537" s="27" t="s">
        <v>5367</v>
      </c>
      <c r="D537" s="27" t="s">
        <v>5368</v>
      </c>
      <c r="E537" s="27"/>
      <c r="F537" s="27" t="s">
        <v>5369</v>
      </c>
      <c r="G537" s="27"/>
      <c r="H537" s="28" t="s">
        <v>3283</v>
      </c>
      <c r="I537" s="27"/>
    </row>
    <row r="538" customFormat="false" ht="15" hidden="false" customHeight="true" outlineLevel="0" collapsed="false">
      <c r="A538" s="27" t="s">
        <v>3285</v>
      </c>
      <c r="B538" s="27" t="s">
        <v>538</v>
      </c>
      <c r="C538" s="27" t="s">
        <v>5367</v>
      </c>
      <c r="D538" s="27" t="s">
        <v>5368</v>
      </c>
      <c r="E538" s="27"/>
      <c r="F538" s="27" t="s">
        <v>5375</v>
      </c>
      <c r="G538" s="27"/>
      <c r="H538" s="28" t="s">
        <v>3286</v>
      </c>
      <c r="I538" s="27"/>
    </row>
    <row r="539" customFormat="false" ht="15" hidden="false" customHeight="true" outlineLevel="0" collapsed="false">
      <c r="A539" s="27" t="s">
        <v>3288</v>
      </c>
      <c r="B539" s="27" t="s">
        <v>538</v>
      </c>
      <c r="C539" s="27" t="s">
        <v>5367</v>
      </c>
      <c r="D539" s="27" t="s">
        <v>5368</v>
      </c>
      <c r="E539" s="27"/>
      <c r="F539" s="27" t="s">
        <v>5375</v>
      </c>
      <c r="G539" s="27"/>
      <c r="H539" s="28" t="s">
        <v>3289</v>
      </c>
      <c r="I539" s="27"/>
    </row>
    <row r="540" customFormat="false" ht="15" hidden="false" customHeight="true" outlineLevel="0" collapsed="false">
      <c r="A540" s="27" t="s">
        <v>3291</v>
      </c>
      <c r="B540" s="27" t="s">
        <v>538</v>
      </c>
      <c r="C540" s="27" t="s">
        <v>5367</v>
      </c>
      <c r="D540" s="27" t="s">
        <v>5368</v>
      </c>
      <c r="E540" s="27"/>
      <c r="F540" s="27" t="s">
        <v>5369</v>
      </c>
      <c r="G540" s="27"/>
      <c r="H540" s="28" t="s">
        <v>3292</v>
      </c>
      <c r="I540" s="27"/>
    </row>
    <row r="541" customFormat="false" ht="15" hidden="false" customHeight="true" outlineLevel="0" collapsed="false">
      <c r="A541" s="27" t="s">
        <v>3294</v>
      </c>
      <c r="B541" s="27" t="s">
        <v>538</v>
      </c>
      <c r="C541" s="27" t="s">
        <v>5367</v>
      </c>
      <c r="D541" s="27" t="s">
        <v>5368</v>
      </c>
      <c r="E541" s="27"/>
      <c r="F541" s="27" t="s">
        <v>5375</v>
      </c>
      <c r="G541" s="27"/>
      <c r="H541" s="28" t="s">
        <v>3295</v>
      </c>
      <c r="I541" s="27"/>
    </row>
    <row r="542" customFormat="false" ht="15" hidden="false" customHeight="true" outlineLevel="0" collapsed="false">
      <c r="A542" s="27" t="s">
        <v>3297</v>
      </c>
      <c r="B542" s="27" t="s">
        <v>538</v>
      </c>
      <c r="C542" s="27" t="s">
        <v>5367</v>
      </c>
      <c r="D542" s="27" t="s">
        <v>5368</v>
      </c>
      <c r="E542" s="27"/>
      <c r="F542" s="27" t="s">
        <v>5375</v>
      </c>
      <c r="G542" s="27"/>
      <c r="H542" s="28" t="s">
        <v>3298</v>
      </c>
      <c r="I542" s="27"/>
    </row>
    <row r="543" customFormat="false" ht="15" hidden="false" customHeight="true" outlineLevel="0" collapsed="false">
      <c r="A543" s="27" t="s">
        <v>3300</v>
      </c>
      <c r="B543" s="27" t="s">
        <v>538</v>
      </c>
      <c r="C543" s="27" t="s">
        <v>5367</v>
      </c>
      <c r="D543" s="27" t="s">
        <v>5368</v>
      </c>
      <c r="E543" s="27"/>
      <c r="F543" s="27" t="s">
        <v>5375</v>
      </c>
      <c r="G543" s="27"/>
      <c r="H543" s="28" t="s">
        <v>3301</v>
      </c>
      <c r="I543" s="27"/>
    </row>
    <row r="544" customFormat="false" ht="15" hidden="false" customHeight="true" outlineLevel="0" collapsed="false">
      <c r="A544" s="27" t="s">
        <v>3303</v>
      </c>
      <c r="B544" s="27" t="s">
        <v>538</v>
      </c>
      <c r="C544" s="27" t="s">
        <v>5367</v>
      </c>
      <c r="D544" s="27" t="s">
        <v>5368</v>
      </c>
      <c r="E544" s="27"/>
      <c r="F544" s="27" t="s">
        <v>5375</v>
      </c>
      <c r="G544" s="27"/>
      <c r="H544" s="28" t="s">
        <v>3304</v>
      </c>
      <c r="I544" s="27"/>
    </row>
    <row r="545" customFormat="false" ht="15" hidden="false" customHeight="true" outlineLevel="0" collapsed="false">
      <c r="A545" s="27" t="s">
        <v>3307</v>
      </c>
      <c r="B545" s="27" t="s">
        <v>538</v>
      </c>
      <c r="C545" s="27" t="s">
        <v>5367</v>
      </c>
      <c r="D545" s="27" t="s">
        <v>5368</v>
      </c>
      <c r="E545" s="27"/>
      <c r="F545" s="27" t="s">
        <v>5369</v>
      </c>
      <c r="G545" s="27"/>
      <c r="H545" s="28" t="s">
        <v>3308</v>
      </c>
      <c r="I545" s="27"/>
    </row>
    <row r="546" customFormat="false" ht="15" hidden="false" customHeight="true" outlineLevel="0" collapsed="false">
      <c r="A546" s="27" t="s">
        <v>3310</v>
      </c>
      <c r="B546" s="27" t="s">
        <v>538</v>
      </c>
      <c r="C546" s="27" t="s">
        <v>5367</v>
      </c>
      <c r="D546" s="27" t="s">
        <v>5368</v>
      </c>
      <c r="E546" s="27"/>
      <c r="F546" s="27" t="s">
        <v>5369</v>
      </c>
      <c r="G546" s="27"/>
      <c r="H546" s="28" t="s">
        <v>3311</v>
      </c>
      <c r="I546" s="27"/>
    </row>
    <row r="547" customFormat="false" ht="15" hidden="false" customHeight="true" outlineLevel="0" collapsed="false">
      <c r="A547" s="27" t="s">
        <v>3313</v>
      </c>
      <c r="B547" s="27" t="s">
        <v>538</v>
      </c>
      <c r="C547" s="27" t="s">
        <v>5367</v>
      </c>
      <c r="D547" s="27" t="s">
        <v>5368</v>
      </c>
      <c r="E547" s="27"/>
      <c r="F547" s="27" t="s">
        <v>5369</v>
      </c>
      <c r="G547" s="27"/>
      <c r="H547" s="28" t="s">
        <v>3314</v>
      </c>
      <c r="I547" s="27"/>
    </row>
    <row r="548" customFormat="false" ht="15" hidden="false" customHeight="true" outlineLevel="0" collapsed="false">
      <c r="A548" s="27" t="s">
        <v>3316</v>
      </c>
      <c r="B548" s="27" t="s">
        <v>538</v>
      </c>
      <c r="C548" s="27" t="s">
        <v>5367</v>
      </c>
      <c r="D548" s="27" t="s">
        <v>5368</v>
      </c>
      <c r="E548" s="27"/>
      <c r="F548" s="27" t="s">
        <v>5375</v>
      </c>
      <c r="G548" s="27"/>
      <c r="H548" s="28" t="s">
        <v>3317</v>
      </c>
      <c r="I548" s="27"/>
    </row>
    <row r="549" customFormat="false" ht="15" hidden="false" customHeight="true" outlineLevel="0" collapsed="false">
      <c r="A549" s="27" t="s">
        <v>3319</v>
      </c>
      <c r="B549" s="27" t="s">
        <v>538</v>
      </c>
      <c r="C549" s="27" t="s">
        <v>5367</v>
      </c>
      <c r="D549" s="27" t="s">
        <v>5368</v>
      </c>
      <c r="E549" s="27"/>
      <c r="F549" s="27" t="s">
        <v>5369</v>
      </c>
      <c r="G549" s="27"/>
      <c r="H549" s="28" t="s">
        <v>3320</v>
      </c>
      <c r="I549" s="27"/>
    </row>
    <row r="550" customFormat="false" ht="15" hidden="false" customHeight="true" outlineLevel="0" collapsed="false">
      <c r="A550" s="27" t="s">
        <v>3322</v>
      </c>
      <c r="B550" s="27" t="s">
        <v>538</v>
      </c>
      <c r="C550" s="27" t="s">
        <v>5367</v>
      </c>
      <c r="D550" s="27" t="s">
        <v>5368</v>
      </c>
      <c r="E550" s="27"/>
      <c r="F550" s="27" t="s">
        <v>5375</v>
      </c>
      <c r="G550" s="27"/>
      <c r="H550" s="28" t="s">
        <v>3323</v>
      </c>
      <c r="I550" s="27"/>
    </row>
    <row r="551" customFormat="false" ht="15" hidden="false" customHeight="true" outlineLevel="0" collapsed="false">
      <c r="A551" s="27" t="s">
        <v>3325</v>
      </c>
      <c r="B551" s="27" t="s">
        <v>538</v>
      </c>
      <c r="C551" s="27" t="s">
        <v>5367</v>
      </c>
      <c r="D551" s="27" t="s">
        <v>5368</v>
      </c>
      <c r="E551" s="27"/>
      <c r="F551" s="27" t="s">
        <v>5375</v>
      </c>
      <c r="G551" s="27"/>
      <c r="H551" s="28" t="s">
        <v>3326</v>
      </c>
      <c r="I551" s="27"/>
    </row>
    <row r="552" customFormat="false" ht="15" hidden="false" customHeight="true" outlineLevel="0" collapsed="false">
      <c r="A552" s="27" t="s">
        <v>3328</v>
      </c>
      <c r="B552" s="27" t="s">
        <v>538</v>
      </c>
      <c r="C552" s="27" t="s">
        <v>5367</v>
      </c>
      <c r="D552" s="27" t="s">
        <v>5368</v>
      </c>
      <c r="E552" s="27"/>
      <c r="F552" s="27" t="s">
        <v>5369</v>
      </c>
      <c r="G552" s="27"/>
      <c r="H552" s="28" t="s">
        <v>3329</v>
      </c>
      <c r="I552" s="27"/>
    </row>
    <row r="553" customFormat="false" ht="15" hidden="false" customHeight="true" outlineLevel="0" collapsed="false">
      <c r="A553" s="27" t="s">
        <v>3331</v>
      </c>
      <c r="B553" s="27" t="s">
        <v>538</v>
      </c>
      <c r="C553" s="27" t="s">
        <v>5367</v>
      </c>
      <c r="D553" s="27" t="s">
        <v>5368</v>
      </c>
      <c r="E553" s="27"/>
      <c r="F553" s="27" t="s">
        <v>5375</v>
      </c>
      <c r="G553" s="27"/>
      <c r="H553" s="28" t="s">
        <v>3332</v>
      </c>
      <c r="I553" s="27"/>
    </row>
    <row r="554" customFormat="false" ht="15" hidden="false" customHeight="true" outlineLevel="0" collapsed="false">
      <c r="A554" s="27" t="s">
        <v>3334</v>
      </c>
      <c r="B554" s="27" t="s">
        <v>538</v>
      </c>
      <c r="C554" s="27" t="s">
        <v>5367</v>
      </c>
      <c r="D554" s="27" t="s">
        <v>5368</v>
      </c>
      <c r="E554" s="27"/>
      <c r="F554" s="27" t="s">
        <v>5369</v>
      </c>
      <c r="G554" s="27"/>
      <c r="H554" s="28" t="s">
        <v>3335</v>
      </c>
      <c r="I554" s="27"/>
    </row>
    <row r="555" customFormat="false" ht="15" hidden="false" customHeight="true" outlineLevel="0" collapsed="false">
      <c r="A555" s="27" t="s">
        <v>3343</v>
      </c>
      <c r="B555" s="27" t="s">
        <v>538</v>
      </c>
      <c r="C555" s="27" t="s">
        <v>5367</v>
      </c>
      <c r="D555" s="27" t="s">
        <v>5368</v>
      </c>
      <c r="E555" s="27"/>
      <c r="F555" s="27" t="s">
        <v>5375</v>
      </c>
      <c r="G555" s="27"/>
      <c r="H555" s="28" t="s">
        <v>3344</v>
      </c>
      <c r="I555" s="27"/>
    </row>
    <row r="556" customFormat="false" ht="15" hidden="false" customHeight="true" outlineLevel="0" collapsed="false">
      <c r="A556" s="27" t="s">
        <v>3349</v>
      </c>
      <c r="B556" s="27" t="s">
        <v>538</v>
      </c>
      <c r="C556" s="27" t="s">
        <v>5367</v>
      </c>
      <c r="D556" s="27" t="s">
        <v>5368</v>
      </c>
      <c r="E556" s="27"/>
      <c r="F556" s="27" t="s">
        <v>5375</v>
      </c>
      <c r="G556" s="27"/>
      <c r="H556" s="28" t="s">
        <v>3350</v>
      </c>
      <c r="I556" s="27"/>
    </row>
    <row r="557" customFormat="false" ht="15" hidden="false" customHeight="true" outlineLevel="0" collapsed="false">
      <c r="A557" s="27" t="s">
        <v>3352</v>
      </c>
      <c r="B557" s="27" t="s">
        <v>538</v>
      </c>
      <c r="C557" s="27" t="s">
        <v>5367</v>
      </c>
      <c r="D557" s="27" t="s">
        <v>5368</v>
      </c>
      <c r="E557" s="27"/>
      <c r="F557" s="27" t="s">
        <v>5375</v>
      </c>
      <c r="G557" s="27"/>
      <c r="H557" s="28" t="s">
        <v>3353</v>
      </c>
      <c r="I557" s="27"/>
    </row>
    <row r="558" customFormat="false" ht="15" hidden="false" customHeight="true" outlineLevel="0" collapsed="false">
      <c r="A558" s="27" t="s">
        <v>3355</v>
      </c>
      <c r="B558" s="27" t="s">
        <v>538</v>
      </c>
      <c r="C558" s="27" t="s">
        <v>5367</v>
      </c>
      <c r="D558" s="27" t="s">
        <v>5368</v>
      </c>
      <c r="E558" s="27"/>
      <c r="F558" s="27" t="s">
        <v>5369</v>
      </c>
      <c r="G558" s="27"/>
      <c r="H558" s="28" t="s">
        <v>3356</v>
      </c>
      <c r="I558" s="27"/>
    </row>
    <row r="559" customFormat="false" ht="15" hidden="false" customHeight="true" outlineLevel="0" collapsed="false">
      <c r="A559" s="27" t="s">
        <v>3358</v>
      </c>
      <c r="B559" s="27" t="s">
        <v>538</v>
      </c>
      <c r="C559" s="27" t="s">
        <v>5367</v>
      </c>
      <c r="D559" s="27" t="s">
        <v>5368</v>
      </c>
      <c r="E559" s="27"/>
      <c r="F559" s="27" t="s">
        <v>5369</v>
      </c>
      <c r="G559" s="27"/>
      <c r="H559" s="28" t="s">
        <v>3359</v>
      </c>
      <c r="I559" s="27"/>
    </row>
    <row r="560" customFormat="false" ht="15" hidden="false" customHeight="true" outlineLevel="0" collapsed="false">
      <c r="A560" s="27" t="s">
        <v>3361</v>
      </c>
      <c r="B560" s="27" t="s">
        <v>538</v>
      </c>
      <c r="C560" s="27" t="s">
        <v>5367</v>
      </c>
      <c r="D560" s="27" t="s">
        <v>5368</v>
      </c>
      <c r="E560" s="27"/>
      <c r="F560" s="27" t="s">
        <v>5369</v>
      </c>
      <c r="G560" s="27"/>
      <c r="H560" s="28" t="s">
        <v>3362</v>
      </c>
      <c r="I560" s="27"/>
    </row>
    <row r="561" customFormat="false" ht="15" hidden="false" customHeight="true" outlineLevel="0" collapsed="false">
      <c r="A561" s="27" t="s">
        <v>3364</v>
      </c>
      <c r="B561" s="27" t="s">
        <v>538</v>
      </c>
      <c r="C561" s="27" t="s">
        <v>5367</v>
      </c>
      <c r="D561" s="27" t="s">
        <v>5368</v>
      </c>
      <c r="E561" s="27"/>
      <c r="F561" s="27" t="s">
        <v>5369</v>
      </c>
      <c r="G561" s="27"/>
      <c r="H561" s="28" t="s">
        <v>3365</v>
      </c>
      <c r="I561" s="27"/>
    </row>
    <row r="562" customFormat="false" ht="15" hidden="false" customHeight="true" outlineLevel="0" collapsed="false">
      <c r="A562" s="27" t="s">
        <v>3367</v>
      </c>
      <c r="B562" s="27" t="s">
        <v>538</v>
      </c>
      <c r="C562" s="27" t="s">
        <v>5367</v>
      </c>
      <c r="D562" s="27" t="s">
        <v>5368</v>
      </c>
      <c r="E562" s="27"/>
      <c r="F562" s="27" t="s">
        <v>5369</v>
      </c>
      <c r="G562" s="27"/>
      <c r="H562" s="28" t="s">
        <v>3368</v>
      </c>
      <c r="I562" s="27"/>
    </row>
    <row r="563" customFormat="false" ht="15" hidden="false" customHeight="true" outlineLevel="0" collapsed="false">
      <c r="A563" s="27" t="s">
        <v>3370</v>
      </c>
      <c r="B563" s="27" t="s">
        <v>538</v>
      </c>
      <c r="C563" s="27" t="s">
        <v>5367</v>
      </c>
      <c r="D563" s="27" t="s">
        <v>5368</v>
      </c>
      <c r="E563" s="27"/>
      <c r="F563" s="27" t="s">
        <v>5369</v>
      </c>
      <c r="G563" s="27"/>
      <c r="H563" s="28" t="s">
        <v>3371</v>
      </c>
      <c r="I563" s="27"/>
    </row>
    <row r="564" customFormat="false" ht="15" hidden="false" customHeight="true" outlineLevel="0" collapsed="false">
      <c r="A564" s="27" t="s">
        <v>3373</v>
      </c>
      <c r="B564" s="27" t="s">
        <v>538</v>
      </c>
      <c r="C564" s="27" t="s">
        <v>5367</v>
      </c>
      <c r="D564" s="27" t="s">
        <v>5368</v>
      </c>
      <c r="E564" s="27"/>
      <c r="F564" s="27" t="s">
        <v>5369</v>
      </c>
      <c r="G564" s="27"/>
      <c r="H564" s="28" t="s">
        <v>3374</v>
      </c>
      <c r="I564" s="27"/>
    </row>
    <row r="565" customFormat="false" ht="15" hidden="false" customHeight="true" outlineLevel="0" collapsed="false">
      <c r="A565" s="27" t="s">
        <v>3376</v>
      </c>
      <c r="B565" s="27" t="s">
        <v>538</v>
      </c>
      <c r="C565" s="27" t="s">
        <v>5367</v>
      </c>
      <c r="D565" s="27" t="s">
        <v>5368</v>
      </c>
      <c r="E565" s="27"/>
      <c r="F565" s="27" t="s">
        <v>5375</v>
      </c>
      <c r="G565" s="27"/>
      <c r="H565" s="28" t="s">
        <v>3377</v>
      </c>
      <c r="I565" s="27"/>
    </row>
    <row r="566" customFormat="false" ht="15" hidden="false" customHeight="true" outlineLevel="0" collapsed="false">
      <c r="A566" s="27" t="s">
        <v>3379</v>
      </c>
      <c r="B566" s="27" t="s">
        <v>538</v>
      </c>
      <c r="C566" s="27" t="s">
        <v>5367</v>
      </c>
      <c r="D566" s="27" t="s">
        <v>5368</v>
      </c>
      <c r="E566" s="27"/>
      <c r="F566" s="27" t="s">
        <v>5369</v>
      </c>
      <c r="G566" s="27"/>
      <c r="H566" s="28" t="s">
        <v>3380</v>
      </c>
      <c r="I566" s="27"/>
    </row>
    <row r="567" customFormat="false" ht="15" hidden="false" customHeight="true" outlineLevel="0" collapsed="false">
      <c r="A567" s="27" t="s">
        <v>3382</v>
      </c>
      <c r="B567" s="27" t="s">
        <v>538</v>
      </c>
      <c r="C567" s="27" t="s">
        <v>5367</v>
      </c>
      <c r="D567" s="27" t="s">
        <v>5368</v>
      </c>
      <c r="E567" s="27"/>
      <c r="F567" s="27" t="s">
        <v>5375</v>
      </c>
      <c r="G567" s="27"/>
      <c r="H567" s="28" t="s">
        <v>3383</v>
      </c>
      <c r="I567" s="27"/>
    </row>
    <row r="568" customFormat="false" ht="15" hidden="false" customHeight="true" outlineLevel="0" collapsed="false">
      <c r="A568" s="27" t="s">
        <v>3385</v>
      </c>
      <c r="B568" s="27" t="s">
        <v>538</v>
      </c>
      <c r="C568" s="27" t="s">
        <v>5367</v>
      </c>
      <c r="D568" s="27" t="s">
        <v>5368</v>
      </c>
      <c r="E568" s="27"/>
      <c r="F568" s="27" t="s">
        <v>5369</v>
      </c>
      <c r="G568" s="27"/>
      <c r="H568" s="28" t="s">
        <v>3386</v>
      </c>
      <c r="I568" s="27"/>
    </row>
    <row r="569" customFormat="false" ht="15" hidden="false" customHeight="true" outlineLevel="0" collapsed="false">
      <c r="A569" s="27" t="s">
        <v>3388</v>
      </c>
      <c r="B569" s="27" t="s">
        <v>538</v>
      </c>
      <c r="C569" s="27" t="s">
        <v>5367</v>
      </c>
      <c r="D569" s="27" t="s">
        <v>5368</v>
      </c>
      <c r="E569" s="27"/>
      <c r="F569" s="27" t="s">
        <v>5369</v>
      </c>
      <c r="G569" s="27"/>
      <c r="H569" s="28" t="s">
        <v>3389</v>
      </c>
      <c r="I569" s="27"/>
    </row>
    <row r="570" customFormat="false" ht="15" hidden="false" customHeight="true" outlineLevel="0" collapsed="false">
      <c r="A570" s="27" t="s">
        <v>3391</v>
      </c>
      <c r="B570" s="27" t="s">
        <v>538</v>
      </c>
      <c r="C570" s="27" t="s">
        <v>5367</v>
      </c>
      <c r="D570" s="27" t="s">
        <v>5368</v>
      </c>
      <c r="E570" s="27"/>
      <c r="F570" s="27" t="s">
        <v>5369</v>
      </c>
      <c r="G570" s="27"/>
      <c r="H570" s="28" t="s">
        <v>3392</v>
      </c>
      <c r="I570" s="27"/>
    </row>
    <row r="571" customFormat="false" ht="15" hidden="false" customHeight="true" outlineLevel="0" collapsed="false">
      <c r="A571" s="27" t="s">
        <v>3394</v>
      </c>
      <c r="B571" s="27" t="s">
        <v>538</v>
      </c>
      <c r="C571" s="27" t="s">
        <v>5367</v>
      </c>
      <c r="D571" s="27" t="s">
        <v>5368</v>
      </c>
      <c r="E571" s="27"/>
      <c r="F571" s="27" t="s">
        <v>5375</v>
      </c>
      <c r="G571" s="27"/>
      <c r="H571" s="28" t="s">
        <v>3395</v>
      </c>
      <c r="I571" s="27"/>
    </row>
    <row r="572" customFormat="false" ht="15" hidden="false" customHeight="true" outlineLevel="0" collapsed="false">
      <c r="A572" s="27" t="s">
        <v>3397</v>
      </c>
      <c r="B572" s="27" t="s">
        <v>538</v>
      </c>
      <c r="C572" s="27" t="s">
        <v>5367</v>
      </c>
      <c r="D572" s="27" t="s">
        <v>5368</v>
      </c>
      <c r="E572" s="27"/>
      <c r="F572" s="27" t="s">
        <v>5369</v>
      </c>
      <c r="G572" s="27"/>
      <c r="H572" s="28" t="s">
        <v>3398</v>
      </c>
      <c r="I572" s="27"/>
    </row>
    <row r="573" customFormat="false" ht="15" hidden="false" customHeight="true" outlineLevel="0" collapsed="false">
      <c r="A573" s="27" t="s">
        <v>3400</v>
      </c>
      <c r="B573" s="27" t="s">
        <v>538</v>
      </c>
      <c r="C573" s="27" t="s">
        <v>5367</v>
      </c>
      <c r="D573" s="27" t="s">
        <v>5368</v>
      </c>
      <c r="E573" s="27"/>
      <c r="F573" s="27" t="s">
        <v>5369</v>
      </c>
      <c r="G573" s="27"/>
      <c r="H573" s="28" t="s">
        <v>3401</v>
      </c>
      <c r="I573" s="27"/>
    </row>
    <row r="574" customFormat="false" ht="15" hidden="false" customHeight="true" outlineLevel="0" collapsed="false">
      <c r="A574" s="27" t="s">
        <v>3403</v>
      </c>
      <c r="B574" s="27" t="s">
        <v>538</v>
      </c>
      <c r="C574" s="27" t="s">
        <v>5407</v>
      </c>
      <c r="D574" s="27" t="s">
        <v>5408</v>
      </c>
      <c r="E574" s="27"/>
      <c r="F574" s="27" t="s">
        <v>5419</v>
      </c>
      <c r="G574" s="27"/>
      <c r="H574" s="28" t="s">
        <v>3404</v>
      </c>
      <c r="I574" s="27"/>
    </row>
    <row r="575" customFormat="false" ht="15" hidden="false" customHeight="true" outlineLevel="0" collapsed="false">
      <c r="A575" s="27" t="s">
        <v>3403</v>
      </c>
      <c r="B575" s="27" t="s">
        <v>538</v>
      </c>
      <c r="C575" s="27" t="s">
        <v>5367</v>
      </c>
      <c r="D575" s="27" t="s">
        <v>5368</v>
      </c>
      <c r="E575" s="27"/>
      <c r="F575" s="27" t="s">
        <v>5369</v>
      </c>
      <c r="G575" s="27"/>
      <c r="H575" s="28" t="s">
        <v>3404</v>
      </c>
      <c r="I575" s="27"/>
    </row>
    <row r="576" customFormat="false" ht="15" hidden="false" customHeight="true" outlineLevel="0" collapsed="false">
      <c r="A576" s="27" t="s">
        <v>3406</v>
      </c>
      <c r="B576" s="27" t="s">
        <v>538</v>
      </c>
      <c r="C576" s="27" t="s">
        <v>5367</v>
      </c>
      <c r="D576" s="27" t="s">
        <v>5368</v>
      </c>
      <c r="E576" s="27"/>
      <c r="F576" s="27" t="s">
        <v>5375</v>
      </c>
      <c r="G576" s="27"/>
      <c r="H576" s="28" t="s">
        <v>3407</v>
      </c>
      <c r="I576" s="27"/>
    </row>
    <row r="577" customFormat="false" ht="15" hidden="false" customHeight="true" outlineLevel="0" collapsed="false">
      <c r="A577" s="27" t="s">
        <v>3413</v>
      </c>
      <c r="B577" s="27" t="s">
        <v>538</v>
      </c>
      <c r="C577" s="27" t="s">
        <v>5407</v>
      </c>
      <c r="D577" s="27" t="s">
        <v>5408</v>
      </c>
      <c r="E577" s="27"/>
      <c r="F577" s="27" t="s">
        <v>5419</v>
      </c>
      <c r="G577" s="27"/>
      <c r="H577" s="28" t="s">
        <v>3414</v>
      </c>
      <c r="I577" s="27"/>
    </row>
    <row r="578" customFormat="false" ht="15" hidden="false" customHeight="true" outlineLevel="0" collapsed="false">
      <c r="A578" s="27" t="s">
        <v>3413</v>
      </c>
      <c r="B578" s="27" t="s">
        <v>538</v>
      </c>
      <c r="C578" s="27" t="s">
        <v>5367</v>
      </c>
      <c r="D578" s="27" t="s">
        <v>5368</v>
      </c>
      <c r="E578" s="27"/>
      <c r="F578" s="27" t="s">
        <v>5369</v>
      </c>
      <c r="G578" s="27"/>
      <c r="H578" s="28" t="s">
        <v>3414</v>
      </c>
      <c r="I578" s="27"/>
    </row>
    <row r="579" customFormat="false" ht="15" hidden="false" customHeight="true" outlineLevel="0" collapsed="false">
      <c r="A579" s="27" t="s">
        <v>3416</v>
      </c>
      <c r="B579" s="27" t="s">
        <v>538</v>
      </c>
      <c r="C579" s="27" t="s">
        <v>5367</v>
      </c>
      <c r="D579" s="27" t="s">
        <v>5368</v>
      </c>
      <c r="E579" s="27"/>
      <c r="F579" s="27" t="s">
        <v>5375</v>
      </c>
      <c r="G579" s="27"/>
      <c r="H579" s="28" t="s">
        <v>3417</v>
      </c>
      <c r="I579" s="27"/>
    </row>
    <row r="580" customFormat="false" ht="15" hidden="false" customHeight="true" outlineLevel="0" collapsed="false">
      <c r="A580" s="27" t="s">
        <v>3445</v>
      </c>
      <c r="B580" s="27" t="s">
        <v>538</v>
      </c>
      <c r="C580" s="27" t="s">
        <v>5407</v>
      </c>
      <c r="D580" s="27" t="s">
        <v>5408</v>
      </c>
      <c r="E580" s="27"/>
      <c r="F580" s="27" t="s">
        <v>5419</v>
      </c>
      <c r="G580" s="27"/>
      <c r="H580" s="28" t="s">
        <v>3446</v>
      </c>
      <c r="I580" s="27"/>
    </row>
    <row r="581" customFormat="false" ht="15" hidden="false" customHeight="true" outlineLevel="0" collapsed="false">
      <c r="A581" s="27" t="s">
        <v>3448</v>
      </c>
      <c r="B581" s="27" t="s">
        <v>538</v>
      </c>
      <c r="C581" s="27" t="s">
        <v>5407</v>
      </c>
      <c r="D581" s="27" t="s">
        <v>5408</v>
      </c>
      <c r="E581" s="27"/>
      <c r="F581" s="27" t="s">
        <v>5419</v>
      </c>
      <c r="G581" s="27"/>
      <c r="H581" s="28" t="s">
        <v>3449</v>
      </c>
      <c r="I581" s="27"/>
    </row>
    <row r="582" customFormat="false" ht="15" hidden="false" customHeight="true" outlineLevel="0" collapsed="false">
      <c r="A582" s="27" t="s">
        <v>3451</v>
      </c>
      <c r="B582" s="27" t="s">
        <v>538</v>
      </c>
      <c r="C582" s="27" t="s">
        <v>5407</v>
      </c>
      <c r="D582" s="27" t="s">
        <v>5408</v>
      </c>
      <c r="E582" s="27"/>
      <c r="F582" s="27" t="s">
        <v>5419</v>
      </c>
      <c r="G582" s="27"/>
      <c r="H582" s="28" t="s">
        <v>3452</v>
      </c>
      <c r="I582" s="27"/>
    </row>
    <row r="583" customFormat="false" ht="15" hidden="false" customHeight="true" outlineLevel="0" collapsed="false">
      <c r="A583" s="27" t="s">
        <v>3454</v>
      </c>
      <c r="B583" s="27" t="s">
        <v>538</v>
      </c>
      <c r="C583" s="27" t="s">
        <v>5407</v>
      </c>
      <c r="D583" s="27" t="s">
        <v>5408</v>
      </c>
      <c r="E583" s="27"/>
      <c r="F583" s="27" t="s">
        <v>5419</v>
      </c>
      <c r="G583" s="27"/>
      <c r="H583" s="28" t="s">
        <v>3455</v>
      </c>
      <c r="I583" s="27"/>
    </row>
    <row r="584" customFormat="false" ht="15" hidden="false" customHeight="true" outlineLevel="0" collapsed="false">
      <c r="A584" s="27" t="s">
        <v>3457</v>
      </c>
      <c r="B584" s="27" t="s">
        <v>538</v>
      </c>
      <c r="C584" s="27" t="s">
        <v>5407</v>
      </c>
      <c r="D584" s="27" t="s">
        <v>5408</v>
      </c>
      <c r="E584" s="27"/>
      <c r="F584" s="27" t="s">
        <v>5419</v>
      </c>
      <c r="G584" s="27"/>
      <c r="H584" s="28" t="s">
        <v>3458</v>
      </c>
      <c r="I584" s="27"/>
    </row>
    <row r="585" customFormat="false" ht="15" hidden="false" customHeight="true" outlineLevel="0" collapsed="false">
      <c r="A585" s="27" t="s">
        <v>3460</v>
      </c>
      <c r="B585" s="27" t="s">
        <v>538</v>
      </c>
      <c r="C585" s="27" t="s">
        <v>5407</v>
      </c>
      <c r="D585" s="27" t="s">
        <v>5408</v>
      </c>
      <c r="E585" s="27"/>
      <c r="F585" s="27" t="s">
        <v>5419</v>
      </c>
      <c r="G585" s="27"/>
      <c r="H585" s="28" t="s">
        <v>3461</v>
      </c>
      <c r="I585" s="27"/>
    </row>
    <row r="586" customFormat="false" ht="15" hidden="false" customHeight="true" outlineLevel="0" collapsed="false">
      <c r="A586" s="27" t="s">
        <v>3463</v>
      </c>
      <c r="B586" s="27" t="s">
        <v>538</v>
      </c>
      <c r="C586" s="27" t="s">
        <v>5407</v>
      </c>
      <c r="D586" s="27" t="s">
        <v>5408</v>
      </c>
      <c r="E586" s="27"/>
      <c r="F586" s="27" t="s">
        <v>5419</v>
      </c>
      <c r="G586" s="27"/>
      <c r="H586" s="28" t="s">
        <v>3464</v>
      </c>
      <c r="I586" s="27"/>
    </row>
    <row r="587" customFormat="false" ht="15" hidden="false" customHeight="true" outlineLevel="0" collapsed="false">
      <c r="A587" s="27" t="s">
        <v>3469</v>
      </c>
      <c r="B587" s="27" t="s">
        <v>538</v>
      </c>
      <c r="C587" s="27" t="s">
        <v>5367</v>
      </c>
      <c r="D587" s="27" t="s">
        <v>5368</v>
      </c>
      <c r="E587" s="27"/>
      <c r="F587" s="27" t="s">
        <v>5375</v>
      </c>
      <c r="G587" s="27"/>
      <c r="H587" s="28" t="s">
        <v>3470</v>
      </c>
      <c r="I587" s="27"/>
    </row>
    <row r="588" customFormat="false" ht="15" hidden="false" customHeight="true" outlineLevel="0" collapsed="false">
      <c r="A588" s="27" t="s">
        <v>3472</v>
      </c>
      <c r="B588" s="27" t="s">
        <v>538</v>
      </c>
      <c r="C588" s="27" t="s">
        <v>5458</v>
      </c>
      <c r="D588" s="27" t="s">
        <v>5566</v>
      </c>
      <c r="E588" s="27"/>
      <c r="F588" s="27" t="s">
        <v>5517</v>
      </c>
      <c r="G588" s="27"/>
      <c r="H588" s="28" t="s">
        <v>3473</v>
      </c>
      <c r="I588" s="28" t="s">
        <v>5567</v>
      </c>
    </row>
    <row r="589" customFormat="false" ht="15" hidden="false" customHeight="true" outlineLevel="0" collapsed="false">
      <c r="A589" s="27" t="s">
        <v>3477</v>
      </c>
      <c r="B589" s="27" t="s">
        <v>538</v>
      </c>
      <c r="C589" s="27" t="s">
        <v>5458</v>
      </c>
      <c r="D589" s="27" t="s">
        <v>5566</v>
      </c>
      <c r="E589" s="27"/>
      <c r="F589" s="27" t="s">
        <v>5517</v>
      </c>
      <c r="G589" s="27"/>
      <c r="H589" s="28" t="s">
        <v>3478</v>
      </c>
      <c r="I589" s="28" t="s">
        <v>5567</v>
      </c>
    </row>
    <row r="590" customFormat="false" ht="15" hidden="false" customHeight="true" outlineLevel="0" collapsed="false">
      <c r="A590" s="27" t="s">
        <v>3483</v>
      </c>
      <c r="B590" s="27" t="s">
        <v>538</v>
      </c>
      <c r="C590" s="27" t="s">
        <v>5367</v>
      </c>
      <c r="D590" s="27" t="s">
        <v>5568</v>
      </c>
      <c r="E590" s="27"/>
      <c r="F590" s="27" t="s">
        <v>5375</v>
      </c>
      <c r="G590" s="27"/>
      <c r="H590" s="28" t="s">
        <v>3484</v>
      </c>
      <c r="I590" s="27"/>
    </row>
    <row r="591" customFormat="false" ht="15" hidden="false" customHeight="true" outlineLevel="0" collapsed="false">
      <c r="A591" s="27" t="s">
        <v>3483</v>
      </c>
      <c r="B591" s="27" t="s">
        <v>538</v>
      </c>
      <c r="C591" s="27" t="s">
        <v>5367</v>
      </c>
      <c r="D591" s="27" t="s">
        <v>5368</v>
      </c>
      <c r="E591" s="27"/>
      <c r="F591" s="27" t="s">
        <v>5369</v>
      </c>
      <c r="G591" s="27"/>
      <c r="H591" s="28" t="s">
        <v>3484</v>
      </c>
      <c r="I591" s="27"/>
    </row>
    <row r="592" customFormat="false" ht="15" hidden="false" customHeight="true" outlineLevel="0" collapsed="false">
      <c r="A592" s="27" t="s">
        <v>3486</v>
      </c>
      <c r="B592" s="27" t="s">
        <v>538</v>
      </c>
      <c r="C592" s="27" t="s">
        <v>5367</v>
      </c>
      <c r="D592" s="27" t="s">
        <v>5368</v>
      </c>
      <c r="E592" s="27"/>
      <c r="F592" s="27" t="s">
        <v>5369</v>
      </c>
      <c r="G592" s="27"/>
      <c r="H592" s="27" t="s">
        <v>5569</v>
      </c>
      <c r="I592" s="27"/>
    </row>
    <row r="593" customFormat="false" ht="15" hidden="false" customHeight="true" outlineLevel="0" collapsed="false">
      <c r="A593" s="27" t="s">
        <v>3489</v>
      </c>
      <c r="B593" s="27" t="s">
        <v>538</v>
      </c>
      <c r="C593" s="27" t="s">
        <v>5407</v>
      </c>
      <c r="D593" s="27" t="s">
        <v>5408</v>
      </c>
      <c r="E593" s="27"/>
      <c r="F593" s="27" t="s">
        <v>5416</v>
      </c>
      <c r="G593" s="27"/>
      <c r="H593" s="28" t="s">
        <v>3490</v>
      </c>
      <c r="I593" s="27"/>
    </row>
    <row r="594" customFormat="false" ht="15" hidden="false" customHeight="true" outlineLevel="0" collapsed="false">
      <c r="A594" s="27" t="s">
        <v>3489</v>
      </c>
      <c r="B594" s="27" t="s">
        <v>538</v>
      </c>
      <c r="C594" s="27" t="s">
        <v>5367</v>
      </c>
      <c r="D594" s="27" t="s">
        <v>5368</v>
      </c>
      <c r="E594" s="27"/>
      <c r="F594" s="27" t="s">
        <v>5369</v>
      </c>
      <c r="G594" s="27"/>
      <c r="H594" s="28" t="s">
        <v>3490</v>
      </c>
      <c r="I594" s="27"/>
    </row>
    <row r="595" customFormat="false" ht="15" hidden="false" customHeight="true" outlineLevel="0" collapsed="false">
      <c r="A595" s="27" t="s">
        <v>3499</v>
      </c>
      <c r="B595" s="27" t="s">
        <v>544</v>
      </c>
      <c r="C595" s="27" t="s">
        <v>5399</v>
      </c>
      <c r="D595" s="27" t="s">
        <v>5400</v>
      </c>
      <c r="E595" s="27"/>
      <c r="F595" s="27" t="s">
        <v>5418</v>
      </c>
      <c r="G595" s="27"/>
      <c r="H595" s="28" t="s">
        <v>3500</v>
      </c>
      <c r="I595" s="27"/>
    </row>
    <row r="596" customFormat="false" ht="15" hidden="false" customHeight="true" outlineLevel="0" collapsed="false">
      <c r="A596" s="27" t="s">
        <v>3502</v>
      </c>
      <c r="B596" s="27" t="s">
        <v>544</v>
      </c>
      <c r="C596" s="27" t="s">
        <v>5399</v>
      </c>
      <c r="D596" s="27" t="s">
        <v>5400</v>
      </c>
      <c r="E596" s="27"/>
      <c r="F596" s="27" t="s">
        <v>5418</v>
      </c>
      <c r="G596" s="27"/>
      <c r="H596" s="28" t="s">
        <v>3503</v>
      </c>
      <c r="I596" s="27"/>
    </row>
    <row r="597" customFormat="false" ht="15" hidden="false" customHeight="true" outlineLevel="0" collapsed="false">
      <c r="A597" s="27" t="s">
        <v>3505</v>
      </c>
      <c r="B597" s="27" t="s">
        <v>544</v>
      </c>
      <c r="C597" s="27" t="s">
        <v>5399</v>
      </c>
      <c r="D597" s="27" t="s">
        <v>5400</v>
      </c>
      <c r="E597" s="27"/>
      <c r="F597" s="27" t="s">
        <v>5417</v>
      </c>
      <c r="G597" s="27"/>
      <c r="H597" s="27" t="s">
        <v>3506</v>
      </c>
      <c r="I597" s="27"/>
    </row>
    <row r="598" customFormat="false" ht="15" hidden="false" customHeight="true" outlineLevel="0" collapsed="false">
      <c r="A598" s="27" t="s">
        <v>3508</v>
      </c>
      <c r="B598" s="27" t="s">
        <v>544</v>
      </c>
      <c r="C598" s="27" t="s">
        <v>5399</v>
      </c>
      <c r="D598" s="27" t="s">
        <v>5400</v>
      </c>
      <c r="E598" s="28" t="s">
        <v>5455</v>
      </c>
      <c r="F598" s="27" t="s">
        <v>5417</v>
      </c>
      <c r="G598" s="27"/>
      <c r="H598" s="28" t="s">
        <v>3509</v>
      </c>
      <c r="I598" s="27"/>
    </row>
    <row r="599" customFormat="false" ht="15" hidden="false" customHeight="true" outlineLevel="0" collapsed="false">
      <c r="A599" s="27" t="s">
        <v>3511</v>
      </c>
      <c r="B599" s="27" t="s">
        <v>544</v>
      </c>
      <c r="C599" s="27" t="s">
        <v>5399</v>
      </c>
      <c r="D599" s="27" t="s">
        <v>5400</v>
      </c>
      <c r="E599" s="27"/>
      <c r="F599" s="27" t="s">
        <v>5417</v>
      </c>
      <c r="G599" s="27"/>
      <c r="H599" s="28" t="s">
        <v>3512</v>
      </c>
      <c r="I599" s="27"/>
    </row>
    <row r="600" customFormat="false" ht="15" hidden="false" customHeight="true" outlineLevel="0" collapsed="false">
      <c r="A600" s="27" t="s">
        <v>3514</v>
      </c>
      <c r="B600" s="27" t="s">
        <v>544</v>
      </c>
      <c r="C600" s="27" t="s">
        <v>5399</v>
      </c>
      <c r="D600" s="27" t="s">
        <v>5400</v>
      </c>
      <c r="E600" s="27"/>
      <c r="F600" s="27" t="s">
        <v>5416</v>
      </c>
      <c r="G600" s="27"/>
      <c r="H600" s="28" t="s">
        <v>3515</v>
      </c>
      <c r="I600" s="27"/>
    </row>
    <row r="601" customFormat="false" ht="15" hidden="false" customHeight="true" outlineLevel="0" collapsed="false">
      <c r="A601" s="27" t="s">
        <v>3517</v>
      </c>
      <c r="B601" s="27" t="s">
        <v>544</v>
      </c>
      <c r="C601" s="27" t="s">
        <v>5367</v>
      </c>
      <c r="D601" s="27" t="s">
        <v>5368</v>
      </c>
      <c r="E601" s="27"/>
      <c r="F601" s="27" t="s">
        <v>5369</v>
      </c>
      <c r="G601" s="27"/>
      <c r="H601" s="28" t="s">
        <v>3518</v>
      </c>
      <c r="I601" s="27"/>
    </row>
    <row r="602" customFormat="false" ht="15" hidden="false" customHeight="true" outlineLevel="0" collapsed="false">
      <c r="A602" s="27" t="s">
        <v>3521</v>
      </c>
      <c r="B602" s="27" t="s">
        <v>544</v>
      </c>
      <c r="C602" s="27" t="s">
        <v>5399</v>
      </c>
      <c r="D602" s="27" t="s">
        <v>5400</v>
      </c>
      <c r="E602" s="27"/>
      <c r="F602" s="27" t="s">
        <v>5417</v>
      </c>
      <c r="G602" s="27"/>
      <c r="H602" s="28" t="s">
        <v>3522</v>
      </c>
      <c r="I602" s="27"/>
    </row>
    <row r="603" customFormat="false" ht="15" hidden="false" customHeight="true" outlineLevel="0" collapsed="false">
      <c r="A603" s="27" t="s">
        <v>3524</v>
      </c>
      <c r="B603" s="27" t="s">
        <v>544</v>
      </c>
      <c r="C603" s="27" t="s">
        <v>5399</v>
      </c>
      <c r="D603" s="27" t="s">
        <v>5400</v>
      </c>
      <c r="E603" s="27"/>
      <c r="F603" s="27" t="s">
        <v>5417</v>
      </c>
      <c r="G603" s="27"/>
      <c r="H603" s="28" t="s">
        <v>3525</v>
      </c>
      <c r="I603" s="27"/>
    </row>
    <row r="604" customFormat="false" ht="15" hidden="false" customHeight="true" outlineLevel="0" collapsed="false">
      <c r="A604" s="27" t="s">
        <v>3528</v>
      </c>
      <c r="B604" s="27" t="s">
        <v>544</v>
      </c>
      <c r="C604" s="27" t="s">
        <v>5399</v>
      </c>
      <c r="D604" s="27" t="s">
        <v>5400</v>
      </c>
      <c r="E604" s="27"/>
      <c r="F604" s="27" t="s">
        <v>5416</v>
      </c>
      <c r="G604" s="27"/>
      <c r="H604" s="28" t="s">
        <v>3529</v>
      </c>
      <c r="I604" s="27"/>
    </row>
    <row r="605" customFormat="false" ht="15" hidden="false" customHeight="true" outlineLevel="0" collapsed="false">
      <c r="A605" s="27" t="s">
        <v>3532</v>
      </c>
      <c r="B605" s="27" t="s">
        <v>544</v>
      </c>
      <c r="C605" s="27" t="s">
        <v>5399</v>
      </c>
      <c r="D605" s="27" t="s">
        <v>5400</v>
      </c>
      <c r="E605" s="27"/>
      <c r="F605" s="27" t="s">
        <v>5419</v>
      </c>
      <c r="G605" s="27"/>
      <c r="H605" s="28" t="s">
        <v>3533</v>
      </c>
      <c r="I605" s="27"/>
    </row>
    <row r="606" customFormat="false" ht="15" hidden="false" customHeight="true" outlineLevel="0" collapsed="false">
      <c r="A606" s="27" t="s">
        <v>3535</v>
      </c>
      <c r="B606" s="27" t="s">
        <v>544</v>
      </c>
      <c r="C606" s="27" t="s">
        <v>5399</v>
      </c>
      <c r="D606" s="27" t="s">
        <v>5400</v>
      </c>
      <c r="E606" s="27"/>
      <c r="F606" s="27" t="s">
        <v>5418</v>
      </c>
      <c r="G606" s="27"/>
      <c r="H606" s="28" t="s">
        <v>3536</v>
      </c>
      <c r="I606" s="27"/>
    </row>
    <row r="607" customFormat="false" ht="15" hidden="false" customHeight="true" outlineLevel="0" collapsed="false">
      <c r="A607" s="27" t="s">
        <v>3539</v>
      </c>
      <c r="B607" s="27" t="s">
        <v>544</v>
      </c>
      <c r="C607" s="27" t="s">
        <v>5399</v>
      </c>
      <c r="D607" s="27" t="s">
        <v>5400</v>
      </c>
      <c r="E607" s="27"/>
      <c r="F607" s="27" t="s">
        <v>5418</v>
      </c>
      <c r="G607" s="27"/>
      <c r="H607" s="28" t="s">
        <v>3540</v>
      </c>
      <c r="I607" s="27"/>
    </row>
    <row r="608" customFormat="false" ht="15" hidden="false" customHeight="true" outlineLevel="0" collapsed="false">
      <c r="A608" s="27" t="s">
        <v>3543</v>
      </c>
      <c r="B608" s="27" t="s">
        <v>544</v>
      </c>
      <c r="C608" s="27" t="s">
        <v>5399</v>
      </c>
      <c r="D608" s="27" t="s">
        <v>5400</v>
      </c>
      <c r="E608" s="27"/>
      <c r="F608" s="27" t="s">
        <v>5418</v>
      </c>
      <c r="G608" s="27"/>
      <c r="H608" s="28" t="s">
        <v>3544</v>
      </c>
      <c r="I608" s="27"/>
    </row>
    <row r="609" customFormat="false" ht="15" hidden="false" customHeight="true" outlineLevel="0" collapsed="false">
      <c r="A609" s="27" t="s">
        <v>3547</v>
      </c>
      <c r="B609" s="27" t="s">
        <v>544</v>
      </c>
      <c r="C609" s="27" t="s">
        <v>5399</v>
      </c>
      <c r="D609" s="27" t="s">
        <v>5400</v>
      </c>
      <c r="E609" s="27"/>
      <c r="F609" s="27" t="s">
        <v>5419</v>
      </c>
      <c r="G609" s="27"/>
      <c r="H609" s="28" t="s">
        <v>3548</v>
      </c>
      <c r="I609" s="27"/>
    </row>
    <row r="610" customFormat="false" ht="15" hidden="false" customHeight="true" outlineLevel="0" collapsed="false">
      <c r="A610" s="27" t="s">
        <v>3550</v>
      </c>
      <c r="B610" s="27" t="s">
        <v>544</v>
      </c>
      <c r="C610" s="27" t="s">
        <v>5407</v>
      </c>
      <c r="D610" s="27" t="s">
        <v>5408</v>
      </c>
      <c r="E610" s="27"/>
      <c r="F610" s="27" t="s">
        <v>5417</v>
      </c>
      <c r="G610" s="27"/>
      <c r="H610" s="28" t="s">
        <v>3551</v>
      </c>
      <c r="I610" s="27"/>
    </row>
    <row r="611" customFormat="false" ht="15" hidden="false" customHeight="true" outlineLevel="0" collapsed="false">
      <c r="A611" s="27" t="s">
        <v>3550</v>
      </c>
      <c r="B611" s="27" t="s">
        <v>544</v>
      </c>
      <c r="C611" s="27" t="s">
        <v>5399</v>
      </c>
      <c r="D611" s="27" t="s">
        <v>5400</v>
      </c>
      <c r="E611" s="27"/>
      <c r="F611" s="27" t="s">
        <v>5418</v>
      </c>
      <c r="G611" s="27"/>
      <c r="H611" s="28" t="s">
        <v>3551</v>
      </c>
      <c r="I611" s="27"/>
    </row>
    <row r="612" customFormat="false" ht="15" hidden="false" customHeight="true" outlineLevel="0" collapsed="false">
      <c r="A612" s="27" t="s">
        <v>3553</v>
      </c>
      <c r="B612" s="27" t="s">
        <v>544</v>
      </c>
      <c r="C612" s="27" t="s">
        <v>5399</v>
      </c>
      <c r="D612" s="27" t="s">
        <v>5400</v>
      </c>
      <c r="E612" s="28" t="s">
        <v>5455</v>
      </c>
      <c r="F612" s="27" t="s">
        <v>5416</v>
      </c>
      <c r="G612" s="27"/>
      <c r="H612" s="28" t="s">
        <v>3554</v>
      </c>
      <c r="I612" s="27"/>
    </row>
    <row r="613" customFormat="false" ht="15" hidden="false" customHeight="true" outlineLevel="0" collapsed="false">
      <c r="A613" s="27" t="s">
        <v>3556</v>
      </c>
      <c r="B613" s="27" t="s">
        <v>544</v>
      </c>
      <c r="C613" s="27" t="s">
        <v>5367</v>
      </c>
      <c r="D613" s="27" t="s">
        <v>5368</v>
      </c>
      <c r="E613" s="27"/>
      <c r="F613" s="27" t="s">
        <v>5369</v>
      </c>
      <c r="G613" s="27"/>
      <c r="H613" s="28" t="s">
        <v>3557</v>
      </c>
      <c r="I613" s="27"/>
    </row>
    <row r="614" customFormat="false" ht="15" hidden="false" customHeight="true" outlineLevel="0" collapsed="false">
      <c r="A614" s="27" t="s">
        <v>3563</v>
      </c>
      <c r="B614" s="27" t="s">
        <v>544</v>
      </c>
      <c r="C614" s="27" t="s">
        <v>5367</v>
      </c>
      <c r="D614" s="27" t="s">
        <v>5368</v>
      </c>
      <c r="E614" s="27"/>
      <c r="F614" s="27" t="s">
        <v>5375</v>
      </c>
      <c r="G614" s="27"/>
      <c r="H614" s="28" t="s">
        <v>3564</v>
      </c>
      <c r="I614" s="27"/>
    </row>
    <row r="615" customFormat="false" ht="15" hidden="false" customHeight="true" outlineLevel="0" collapsed="false">
      <c r="A615" s="27" t="s">
        <v>3606</v>
      </c>
      <c r="B615" s="27" t="s">
        <v>551</v>
      </c>
      <c r="C615" s="27" t="s">
        <v>5399</v>
      </c>
      <c r="D615" s="27" t="s">
        <v>5400</v>
      </c>
      <c r="E615" s="27"/>
      <c r="F615" s="27"/>
      <c r="G615" s="27" t="s">
        <v>5437</v>
      </c>
      <c r="H615" s="27" t="s">
        <v>3607</v>
      </c>
      <c r="I615" s="28" t="s">
        <v>5401</v>
      </c>
    </row>
    <row r="616" customFormat="false" ht="15" hidden="false" customHeight="true" outlineLevel="0" collapsed="false">
      <c r="A616" s="27" t="s">
        <v>3611</v>
      </c>
      <c r="B616" s="27" t="s">
        <v>551</v>
      </c>
      <c r="C616" s="27" t="s">
        <v>5399</v>
      </c>
      <c r="D616" s="27" t="s">
        <v>5400</v>
      </c>
      <c r="E616" s="27"/>
      <c r="F616" s="27"/>
      <c r="G616" s="27" t="s">
        <v>5437</v>
      </c>
      <c r="H616" s="28" t="s">
        <v>3612</v>
      </c>
      <c r="I616" s="28" t="s">
        <v>5401</v>
      </c>
    </row>
    <row r="617" customFormat="false" ht="15" hidden="false" customHeight="true" outlineLevel="0" collapsed="false">
      <c r="A617" s="27" t="s">
        <v>3615</v>
      </c>
      <c r="B617" s="27" t="s">
        <v>551</v>
      </c>
      <c r="C617" s="27" t="s">
        <v>5399</v>
      </c>
      <c r="D617" s="27" t="s">
        <v>5400</v>
      </c>
      <c r="E617" s="27"/>
      <c r="F617" s="27"/>
      <c r="G617" s="27" t="s">
        <v>5437</v>
      </c>
      <c r="H617" s="28" t="s">
        <v>3616</v>
      </c>
      <c r="I617" s="28" t="s">
        <v>5401</v>
      </c>
    </row>
    <row r="618" customFormat="false" ht="15" hidden="false" customHeight="true" outlineLevel="0" collapsed="false">
      <c r="A618" s="27" t="s">
        <v>3617</v>
      </c>
      <c r="B618" s="27" t="s">
        <v>551</v>
      </c>
      <c r="C618" s="27" t="s">
        <v>5399</v>
      </c>
      <c r="D618" s="27" t="s">
        <v>5400</v>
      </c>
      <c r="E618" s="27"/>
      <c r="F618" s="27"/>
      <c r="G618" s="27" t="s">
        <v>5437</v>
      </c>
      <c r="H618" s="28" t="s">
        <v>3618</v>
      </c>
      <c r="I618" s="28" t="s">
        <v>5401</v>
      </c>
    </row>
    <row r="619" customFormat="false" ht="15" hidden="false" customHeight="true" outlineLevel="0" collapsed="false">
      <c r="A619" s="27" t="s">
        <v>3631</v>
      </c>
      <c r="B619" s="27" t="s">
        <v>559</v>
      </c>
      <c r="C619" s="27" t="s">
        <v>5367</v>
      </c>
      <c r="D619" s="27" t="s">
        <v>5368</v>
      </c>
      <c r="E619" s="27"/>
      <c r="F619" s="27" t="s">
        <v>5375</v>
      </c>
      <c r="G619" s="27"/>
      <c r="H619" s="27" t="s">
        <v>3632</v>
      </c>
      <c r="I619" s="27"/>
    </row>
    <row r="620" customFormat="false" ht="15" hidden="false" customHeight="true" outlineLevel="0" collapsed="false">
      <c r="A620" s="27" t="s">
        <v>3635</v>
      </c>
      <c r="B620" s="27" t="s">
        <v>559</v>
      </c>
      <c r="C620" s="27" t="s">
        <v>5367</v>
      </c>
      <c r="D620" s="27" t="s">
        <v>5368</v>
      </c>
      <c r="E620" s="27"/>
      <c r="F620" s="27" t="s">
        <v>5375</v>
      </c>
      <c r="G620" s="27"/>
      <c r="H620" s="27" t="s">
        <v>3636</v>
      </c>
      <c r="I620" s="27"/>
    </row>
    <row r="621" customFormat="false" ht="15" hidden="false" customHeight="true" outlineLevel="0" collapsed="false">
      <c r="A621" s="27" t="s">
        <v>3638</v>
      </c>
      <c r="B621" s="27" t="s">
        <v>559</v>
      </c>
      <c r="C621" s="27" t="s">
        <v>5367</v>
      </c>
      <c r="D621" s="27" t="s">
        <v>5368</v>
      </c>
      <c r="E621" s="27"/>
      <c r="F621" s="27" t="s">
        <v>5375</v>
      </c>
      <c r="G621" s="27"/>
      <c r="H621" s="27" t="s">
        <v>3639</v>
      </c>
      <c r="I621" s="27"/>
    </row>
    <row r="622" customFormat="false" ht="15" hidden="false" customHeight="true" outlineLevel="0" collapsed="false">
      <c r="A622" s="27" t="s">
        <v>3644</v>
      </c>
      <c r="B622" s="27" t="s">
        <v>559</v>
      </c>
      <c r="C622" s="27" t="s">
        <v>5367</v>
      </c>
      <c r="D622" s="27" t="s">
        <v>5368</v>
      </c>
      <c r="E622" s="27"/>
      <c r="F622" s="27" t="s">
        <v>5375</v>
      </c>
      <c r="G622" s="27"/>
      <c r="H622" s="27" t="s">
        <v>3645</v>
      </c>
      <c r="I622" s="27"/>
    </row>
    <row r="623" customFormat="false" ht="15" hidden="false" customHeight="true" outlineLevel="0" collapsed="false">
      <c r="A623" s="27" t="s">
        <v>3650</v>
      </c>
      <c r="B623" s="27" t="s">
        <v>559</v>
      </c>
      <c r="C623" s="27" t="s">
        <v>5367</v>
      </c>
      <c r="D623" s="27" t="s">
        <v>5368</v>
      </c>
      <c r="E623" s="27"/>
      <c r="F623" s="27" t="s">
        <v>5375</v>
      </c>
      <c r="G623" s="27"/>
      <c r="H623" s="27" t="s">
        <v>3651</v>
      </c>
      <c r="I623" s="27"/>
    </row>
    <row r="624" customFormat="false" ht="15" hidden="false" customHeight="true" outlineLevel="0" collapsed="false">
      <c r="A624" s="27" t="s">
        <v>3653</v>
      </c>
      <c r="B624" s="27" t="s">
        <v>559</v>
      </c>
      <c r="C624" s="27" t="s">
        <v>5367</v>
      </c>
      <c r="D624" s="27" t="s">
        <v>5368</v>
      </c>
      <c r="E624" s="27"/>
      <c r="F624" s="27" t="s">
        <v>5375</v>
      </c>
      <c r="G624" s="27"/>
      <c r="H624" s="27" t="s">
        <v>3654</v>
      </c>
      <c r="I624" s="27"/>
    </row>
    <row r="625" customFormat="false" ht="15" hidden="false" customHeight="true" outlineLevel="0" collapsed="false">
      <c r="A625" s="27" t="s">
        <v>3656</v>
      </c>
      <c r="B625" s="27" t="s">
        <v>559</v>
      </c>
      <c r="C625" s="27" t="s">
        <v>5367</v>
      </c>
      <c r="D625" s="27" t="s">
        <v>5368</v>
      </c>
      <c r="E625" s="27"/>
      <c r="F625" s="27" t="s">
        <v>5369</v>
      </c>
      <c r="G625" s="27"/>
      <c r="H625" s="27" t="s">
        <v>3657</v>
      </c>
      <c r="I625" s="27"/>
    </row>
    <row r="626" customFormat="false" ht="15" hidden="false" customHeight="true" outlineLevel="0" collapsed="false">
      <c r="A626" s="27" t="s">
        <v>3659</v>
      </c>
      <c r="B626" s="27" t="s">
        <v>559</v>
      </c>
      <c r="C626" s="27" t="s">
        <v>5367</v>
      </c>
      <c r="D626" s="27" t="s">
        <v>5368</v>
      </c>
      <c r="E626" s="27"/>
      <c r="F626" s="27" t="s">
        <v>5375</v>
      </c>
      <c r="G626" s="27"/>
      <c r="H626" s="27" t="s">
        <v>3660</v>
      </c>
      <c r="I626" s="27"/>
    </row>
    <row r="627" customFormat="false" ht="15" hidden="false" customHeight="true" outlineLevel="0" collapsed="false">
      <c r="A627" s="27" t="s">
        <v>3662</v>
      </c>
      <c r="B627" s="27" t="s">
        <v>559</v>
      </c>
      <c r="C627" s="27" t="s">
        <v>5367</v>
      </c>
      <c r="D627" s="27" t="s">
        <v>5368</v>
      </c>
      <c r="E627" s="27"/>
      <c r="F627" s="27" t="s">
        <v>5369</v>
      </c>
      <c r="G627" s="27"/>
      <c r="H627" s="27" t="s">
        <v>3663</v>
      </c>
      <c r="I627" s="27"/>
    </row>
    <row r="628" customFormat="false" ht="15" hidden="false" customHeight="true" outlineLevel="0" collapsed="false">
      <c r="A628" s="27" t="s">
        <v>3665</v>
      </c>
      <c r="B628" s="27" t="s">
        <v>559</v>
      </c>
      <c r="C628" s="27" t="s">
        <v>5367</v>
      </c>
      <c r="D628" s="27" t="s">
        <v>5368</v>
      </c>
      <c r="E628" s="27"/>
      <c r="F628" s="27" t="s">
        <v>5375</v>
      </c>
      <c r="G628" s="27"/>
      <c r="H628" s="27" t="s">
        <v>3666</v>
      </c>
      <c r="I628" s="27"/>
    </row>
    <row r="629" customFormat="false" ht="15" hidden="false" customHeight="true" outlineLevel="0" collapsed="false">
      <c r="A629" s="27" t="s">
        <v>3671</v>
      </c>
      <c r="B629" s="27" t="s">
        <v>559</v>
      </c>
      <c r="C629" s="27" t="s">
        <v>5367</v>
      </c>
      <c r="D629" s="27" t="s">
        <v>5368</v>
      </c>
      <c r="E629" s="27"/>
      <c r="F629" s="27" t="s">
        <v>5369</v>
      </c>
      <c r="G629" s="27"/>
      <c r="H629" s="27" t="s">
        <v>3672</v>
      </c>
      <c r="I629" s="27"/>
    </row>
    <row r="630" customFormat="false" ht="15" hidden="false" customHeight="true" outlineLevel="0" collapsed="false">
      <c r="A630" s="27" t="s">
        <v>3674</v>
      </c>
      <c r="B630" s="27" t="s">
        <v>559</v>
      </c>
      <c r="C630" s="27" t="s">
        <v>5367</v>
      </c>
      <c r="D630" s="27" t="s">
        <v>5368</v>
      </c>
      <c r="E630" s="27"/>
      <c r="F630" s="27" t="s">
        <v>5375</v>
      </c>
      <c r="G630" s="27"/>
      <c r="H630" s="27" t="s">
        <v>3675</v>
      </c>
      <c r="I630" s="27"/>
    </row>
    <row r="631" customFormat="false" ht="15" hidden="false" customHeight="true" outlineLevel="0" collapsed="false">
      <c r="A631" s="27" t="s">
        <v>3677</v>
      </c>
      <c r="B631" s="27" t="s">
        <v>559</v>
      </c>
      <c r="C631" s="27" t="s">
        <v>5367</v>
      </c>
      <c r="D631" s="27" t="s">
        <v>5368</v>
      </c>
      <c r="E631" s="27"/>
      <c r="F631" s="27" t="s">
        <v>5375</v>
      </c>
      <c r="G631" s="27"/>
      <c r="H631" s="27" t="s">
        <v>3678</v>
      </c>
      <c r="I631" s="27"/>
    </row>
    <row r="632" customFormat="false" ht="15" hidden="false" customHeight="true" outlineLevel="0" collapsed="false">
      <c r="A632" s="27" t="s">
        <v>3680</v>
      </c>
      <c r="B632" s="27" t="s">
        <v>559</v>
      </c>
      <c r="C632" s="27" t="s">
        <v>5367</v>
      </c>
      <c r="D632" s="27" t="s">
        <v>5368</v>
      </c>
      <c r="E632" s="27"/>
      <c r="F632" s="27" t="s">
        <v>5375</v>
      </c>
      <c r="G632" s="27"/>
      <c r="H632" s="27" t="s">
        <v>3681</v>
      </c>
      <c r="I632" s="27"/>
    </row>
    <row r="633" customFormat="false" ht="15" hidden="false" customHeight="true" outlineLevel="0" collapsed="false">
      <c r="A633" s="27" t="s">
        <v>3683</v>
      </c>
      <c r="B633" s="27" t="s">
        <v>559</v>
      </c>
      <c r="C633" s="27" t="s">
        <v>5367</v>
      </c>
      <c r="D633" s="27" t="s">
        <v>5368</v>
      </c>
      <c r="E633" s="27"/>
      <c r="F633" s="27" t="s">
        <v>5375</v>
      </c>
      <c r="G633" s="27"/>
      <c r="H633" s="27" t="s">
        <v>3684</v>
      </c>
      <c r="I633" s="27"/>
    </row>
    <row r="634" customFormat="false" ht="15" hidden="false" customHeight="true" outlineLevel="0" collapsed="false">
      <c r="A634" s="27" t="s">
        <v>3689</v>
      </c>
      <c r="B634" s="27" t="s">
        <v>559</v>
      </c>
      <c r="C634" s="27" t="s">
        <v>5367</v>
      </c>
      <c r="D634" s="27" t="s">
        <v>5368</v>
      </c>
      <c r="E634" s="27"/>
      <c r="F634" s="27" t="s">
        <v>5369</v>
      </c>
      <c r="G634" s="27"/>
      <c r="H634" s="27" t="s">
        <v>3690</v>
      </c>
      <c r="I634" s="27"/>
    </row>
    <row r="635" customFormat="false" ht="15" hidden="false" customHeight="true" outlineLevel="0" collapsed="false">
      <c r="A635" s="27" t="s">
        <v>3692</v>
      </c>
      <c r="B635" s="27" t="s">
        <v>559</v>
      </c>
      <c r="C635" s="27" t="s">
        <v>5407</v>
      </c>
      <c r="D635" s="27" t="s">
        <v>5408</v>
      </c>
      <c r="E635" s="27"/>
      <c r="F635" s="27" t="s">
        <v>5418</v>
      </c>
      <c r="G635" s="27"/>
      <c r="H635" s="27" t="s">
        <v>3693</v>
      </c>
      <c r="I635" s="27"/>
    </row>
    <row r="636" customFormat="false" ht="15" hidden="false" customHeight="true" outlineLevel="0" collapsed="false">
      <c r="A636" s="27" t="s">
        <v>3692</v>
      </c>
      <c r="B636" s="27" t="s">
        <v>559</v>
      </c>
      <c r="C636" s="27" t="s">
        <v>5399</v>
      </c>
      <c r="D636" s="27" t="s">
        <v>5400</v>
      </c>
      <c r="E636" s="27"/>
      <c r="F636" s="27" t="s">
        <v>5417</v>
      </c>
      <c r="G636" s="27"/>
      <c r="H636" s="27" t="s">
        <v>3693</v>
      </c>
      <c r="I636" s="27"/>
    </row>
    <row r="637" customFormat="false" ht="15" hidden="false" customHeight="true" outlineLevel="0" collapsed="false">
      <c r="A637" s="27" t="s">
        <v>3698</v>
      </c>
      <c r="B637" s="27" t="s">
        <v>559</v>
      </c>
      <c r="C637" s="27" t="s">
        <v>5399</v>
      </c>
      <c r="D637" s="27" t="s">
        <v>5400</v>
      </c>
      <c r="E637" s="27"/>
      <c r="F637" s="27" t="s">
        <v>5417</v>
      </c>
      <c r="G637" s="27"/>
      <c r="H637" s="28" t="s">
        <v>3699</v>
      </c>
      <c r="I637" s="27"/>
    </row>
    <row r="638" customFormat="false" ht="15" hidden="false" customHeight="true" outlineLevel="0" collapsed="false">
      <c r="A638" s="27" t="s">
        <v>3701</v>
      </c>
      <c r="B638" s="27" t="s">
        <v>559</v>
      </c>
      <c r="C638" s="27" t="s">
        <v>5367</v>
      </c>
      <c r="D638" s="27" t="s">
        <v>5368</v>
      </c>
      <c r="E638" s="27"/>
      <c r="F638" s="27" t="s">
        <v>5375</v>
      </c>
      <c r="G638" s="27"/>
      <c r="H638" s="27" t="s">
        <v>3702</v>
      </c>
      <c r="I638" s="27"/>
    </row>
    <row r="639" customFormat="false" ht="15" hidden="false" customHeight="true" outlineLevel="0" collapsed="false">
      <c r="A639" s="27" t="s">
        <v>3710</v>
      </c>
      <c r="B639" s="27" t="s">
        <v>559</v>
      </c>
      <c r="C639" s="27" t="s">
        <v>5399</v>
      </c>
      <c r="D639" s="27" t="s">
        <v>5400</v>
      </c>
      <c r="E639" s="27"/>
      <c r="F639" s="27" t="s">
        <v>5417</v>
      </c>
      <c r="G639" s="27"/>
      <c r="H639" s="27" t="s">
        <v>3711</v>
      </c>
      <c r="I639" s="27"/>
    </row>
    <row r="640" customFormat="false" ht="15" hidden="false" customHeight="true" outlineLevel="0" collapsed="false">
      <c r="A640" s="27" t="s">
        <v>3716</v>
      </c>
      <c r="B640" s="27" t="s">
        <v>559</v>
      </c>
      <c r="C640" s="27" t="s">
        <v>5367</v>
      </c>
      <c r="D640" s="27" t="s">
        <v>5368</v>
      </c>
      <c r="E640" s="27"/>
      <c r="F640" s="27" t="s">
        <v>5369</v>
      </c>
      <c r="G640" s="27"/>
      <c r="H640" s="27" t="s">
        <v>3717</v>
      </c>
      <c r="I640" s="27"/>
    </row>
    <row r="641" customFormat="false" ht="15" hidden="false" customHeight="true" outlineLevel="0" collapsed="false">
      <c r="A641" s="27" t="s">
        <v>3722</v>
      </c>
      <c r="B641" s="27" t="s">
        <v>559</v>
      </c>
      <c r="C641" s="27" t="s">
        <v>5399</v>
      </c>
      <c r="D641" s="27" t="s">
        <v>5400</v>
      </c>
      <c r="E641" s="27"/>
      <c r="F641" s="27" t="s">
        <v>5416</v>
      </c>
      <c r="G641" s="27"/>
      <c r="H641" s="27" t="s">
        <v>3723</v>
      </c>
      <c r="I641" s="27"/>
    </row>
    <row r="642" customFormat="false" ht="15" hidden="false" customHeight="true" outlineLevel="0" collapsed="false">
      <c r="A642" s="27" t="s">
        <v>3722</v>
      </c>
      <c r="B642" s="27" t="s">
        <v>559</v>
      </c>
      <c r="C642" s="27" t="s">
        <v>5367</v>
      </c>
      <c r="D642" s="27" t="s">
        <v>5368</v>
      </c>
      <c r="E642" s="27"/>
      <c r="F642" s="27" t="s">
        <v>5369</v>
      </c>
      <c r="G642" s="27"/>
      <c r="H642" s="27" t="s">
        <v>3723</v>
      </c>
      <c r="I642" s="27"/>
    </row>
    <row r="643" customFormat="false" ht="15" hidden="false" customHeight="true" outlineLevel="0" collapsed="false">
      <c r="A643" s="27" t="s">
        <v>3725</v>
      </c>
      <c r="B643" s="27" t="s">
        <v>559</v>
      </c>
      <c r="C643" s="27" t="s">
        <v>5367</v>
      </c>
      <c r="D643" s="27" t="s">
        <v>5368</v>
      </c>
      <c r="E643" s="27"/>
      <c r="F643" s="27" t="s">
        <v>5375</v>
      </c>
      <c r="G643" s="27"/>
      <c r="H643" s="27" t="s">
        <v>3726</v>
      </c>
      <c r="I643" s="27"/>
    </row>
    <row r="644" customFormat="false" ht="15" hidden="false" customHeight="true" outlineLevel="0" collapsed="false">
      <c r="A644" s="27" t="s">
        <v>3728</v>
      </c>
      <c r="B644" s="27" t="s">
        <v>559</v>
      </c>
      <c r="C644" s="27" t="s">
        <v>5367</v>
      </c>
      <c r="D644" s="27" t="s">
        <v>5368</v>
      </c>
      <c r="E644" s="27"/>
      <c r="F644" s="27" t="s">
        <v>5375</v>
      </c>
      <c r="G644" s="27"/>
      <c r="H644" s="27" t="s">
        <v>3729</v>
      </c>
      <c r="I644" s="27"/>
    </row>
    <row r="645" customFormat="false" ht="15" hidden="false" customHeight="true" outlineLevel="0" collapsed="false">
      <c r="A645" s="27" t="s">
        <v>3731</v>
      </c>
      <c r="B645" s="27" t="s">
        <v>559</v>
      </c>
      <c r="C645" s="27" t="s">
        <v>5367</v>
      </c>
      <c r="D645" s="27" t="s">
        <v>5368</v>
      </c>
      <c r="E645" s="27"/>
      <c r="F645" s="27" t="s">
        <v>5375</v>
      </c>
      <c r="G645" s="27"/>
      <c r="H645" s="27" t="s">
        <v>3732</v>
      </c>
      <c r="I645" s="27"/>
    </row>
    <row r="646" customFormat="false" ht="15" hidden="false" customHeight="true" outlineLevel="0" collapsed="false">
      <c r="A646" s="27" t="s">
        <v>3734</v>
      </c>
      <c r="B646" s="27" t="s">
        <v>559</v>
      </c>
      <c r="C646" s="27" t="s">
        <v>5367</v>
      </c>
      <c r="D646" s="27" t="s">
        <v>5368</v>
      </c>
      <c r="E646" s="27"/>
      <c r="F646" s="27" t="s">
        <v>5369</v>
      </c>
      <c r="G646" s="27"/>
      <c r="H646" s="27" t="s">
        <v>3735</v>
      </c>
      <c r="I646" s="27"/>
    </row>
    <row r="647" customFormat="false" ht="15" hidden="false" customHeight="true" outlineLevel="0" collapsed="false">
      <c r="A647" s="27" t="s">
        <v>3737</v>
      </c>
      <c r="B647" s="27" t="s">
        <v>559</v>
      </c>
      <c r="C647" s="27" t="s">
        <v>5399</v>
      </c>
      <c r="D647" s="27" t="s">
        <v>5400</v>
      </c>
      <c r="E647" s="27"/>
      <c r="F647" s="27" t="s">
        <v>5417</v>
      </c>
      <c r="G647" s="27"/>
      <c r="H647" s="27" t="s">
        <v>3738</v>
      </c>
      <c r="I647" s="27"/>
    </row>
    <row r="648" customFormat="false" ht="15" hidden="false" customHeight="true" outlineLevel="0" collapsed="false">
      <c r="A648" s="27" t="s">
        <v>3740</v>
      </c>
      <c r="B648" s="27" t="s">
        <v>559</v>
      </c>
      <c r="C648" s="27" t="s">
        <v>5367</v>
      </c>
      <c r="D648" s="27" t="s">
        <v>5368</v>
      </c>
      <c r="E648" s="27"/>
      <c r="F648" s="27" t="s">
        <v>5369</v>
      </c>
      <c r="G648" s="27"/>
      <c r="H648" s="27" t="s">
        <v>3741</v>
      </c>
      <c r="I648" s="27"/>
    </row>
    <row r="649" customFormat="false" ht="15" hidden="false" customHeight="true" outlineLevel="0" collapsed="false">
      <c r="A649" s="27" t="s">
        <v>3743</v>
      </c>
      <c r="B649" s="27" t="s">
        <v>559</v>
      </c>
      <c r="C649" s="27" t="s">
        <v>5367</v>
      </c>
      <c r="D649" s="27" t="s">
        <v>5368</v>
      </c>
      <c r="E649" s="27"/>
      <c r="F649" s="27" t="s">
        <v>5369</v>
      </c>
      <c r="G649" s="27"/>
      <c r="H649" s="27" t="s">
        <v>3744</v>
      </c>
      <c r="I649" s="27"/>
    </row>
    <row r="650" customFormat="false" ht="15" hidden="false" customHeight="true" outlineLevel="0" collapsed="false">
      <c r="A650" s="27" t="s">
        <v>3746</v>
      </c>
      <c r="B650" s="27" t="s">
        <v>559</v>
      </c>
      <c r="C650" s="27" t="s">
        <v>5367</v>
      </c>
      <c r="D650" s="27" t="s">
        <v>5368</v>
      </c>
      <c r="E650" s="27"/>
      <c r="F650" s="27" t="s">
        <v>5375</v>
      </c>
      <c r="G650" s="27"/>
      <c r="H650" s="27" t="s">
        <v>3747</v>
      </c>
      <c r="I650" s="27"/>
    </row>
    <row r="651" customFormat="false" ht="15" hidden="false" customHeight="true" outlineLevel="0" collapsed="false">
      <c r="A651" s="27" t="s">
        <v>3749</v>
      </c>
      <c r="B651" s="27" t="s">
        <v>559</v>
      </c>
      <c r="C651" s="27" t="s">
        <v>5367</v>
      </c>
      <c r="D651" s="27" t="s">
        <v>5368</v>
      </c>
      <c r="E651" s="27"/>
      <c r="F651" s="27" t="s">
        <v>5375</v>
      </c>
      <c r="G651" s="27"/>
      <c r="H651" s="28" t="s">
        <v>2679</v>
      </c>
      <c r="I651" s="27"/>
    </row>
    <row r="652" customFormat="false" ht="15" hidden="false" customHeight="true" outlineLevel="0" collapsed="false">
      <c r="A652" s="27" t="s">
        <v>3751</v>
      </c>
      <c r="B652" s="27" t="s">
        <v>559</v>
      </c>
      <c r="C652" s="27" t="s">
        <v>5367</v>
      </c>
      <c r="D652" s="27" t="s">
        <v>5368</v>
      </c>
      <c r="E652" s="27"/>
      <c r="F652" s="27" t="s">
        <v>5375</v>
      </c>
      <c r="G652" s="27"/>
      <c r="H652" s="27" t="s">
        <v>3752</v>
      </c>
      <c r="I652" s="27"/>
    </row>
    <row r="653" customFormat="false" ht="15" hidden="false" customHeight="true" outlineLevel="0" collapsed="false">
      <c r="A653" s="27" t="s">
        <v>3754</v>
      </c>
      <c r="B653" s="27" t="s">
        <v>559</v>
      </c>
      <c r="C653" s="27" t="s">
        <v>5399</v>
      </c>
      <c r="D653" s="27" t="s">
        <v>5400</v>
      </c>
      <c r="E653" s="27"/>
      <c r="F653" s="27" t="s">
        <v>5416</v>
      </c>
      <c r="G653" s="27"/>
      <c r="H653" s="27" t="s">
        <v>3755</v>
      </c>
      <c r="I653" s="27"/>
    </row>
    <row r="654" customFormat="false" ht="15" hidden="false" customHeight="true" outlineLevel="0" collapsed="false">
      <c r="A654" s="27" t="s">
        <v>3757</v>
      </c>
      <c r="B654" s="27" t="s">
        <v>559</v>
      </c>
      <c r="C654" s="27" t="s">
        <v>5367</v>
      </c>
      <c r="D654" s="27" t="s">
        <v>5368</v>
      </c>
      <c r="E654" s="27"/>
      <c r="F654" s="27" t="s">
        <v>5375</v>
      </c>
      <c r="G654" s="27"/>
      <c r="H654" s="27" t="s">
        <v>3758</v>
      </c>
      <c r="I654" s="27"/>
    </row>
    <row r="655" customFormat="false" ht="15" hidden="false" customHeight="true" outlineLevel="0" collapsed="false">
      <c r="A655" s="27" t="s">
        <v>3760</v>
      </c>
      <c r="B655" s="27" t="s">
        <v>559</v>
      </c>
      <c r="C655" s="27" t="s">
        <v>5367</v>
      </c>
      <c r="D655" s="27" t="s">
        <v>5368</v>
      </c>
      <c r="E655" s="27"/>
      <c r="F655" s="27" t="s">
        <v>5375</v>
      </c>
      <c r="G655" s="27"/>
      <c r="H655" s="27" t="s">
        <v>3761</v>
      </c>
      <c r="I655" s="27"/>
    </row>
    <row r="656" customFormat="false" ht="15" hidden="false" customHeight="true" outlineLevel="0" collapsed="false">
      <c r="A656" s="27" t="s">
        <v>3763</v>
      </c>
      <c r="B656" s="27" t="s">
        <v>559</v>
      </c>
      <c r="C656" s="27" t="s">
        <v>5367</v>
      </c>
      <c r="D656" s="27" t="s">
        <v>5368</v>
      </c>
      <c r="E656" s="27"/>
      <c r="F656" s="27" t="s">
        <v>5369</v>
      </c>
      <c r="G656" s="27"/>
      <c r="H656" s="27" t="s">
        <v>3764</v>
      </c>
      <c r="I656" s="27"/>
    </row>
    <row r="657" customFormat="false" ht="15" hidden="false" customHeight="true" outlineLevel="0" collapsed="false">
      <c r="A657" s="27" t="s">
        <v>3766</v>
      </c>
      <c r="B657" s="27" t="s">
        <v>559</v>
      </c>
      <c r="C657" s="27" t="s">
        <v>5407</v>
      </c>
      <c r="D657" s="27" t="s">
        <v>5408</v>
      </c>
      <c r="E657" s="27"/>
      <c r="F657" s="27" t="s">
        <v>5417</v>
      </c>
      <c r="G657" s="27"/>
      <c r="H657" s="27" t="s">
        <v>3767</v>
      </c>
      <c r="I657" s="27"/>
    </row>
    <row r="658" customFormat="false" ht="15" hidden="false" customHeight="true" outlineLevel="0" collapsed="false">
      <c r="A658" s="27" t="s">
        <v>3766</v>
      </c>
      <c r="B658" s="27" t="s">
        <v>559</v>
      </c>
      <c r="C658" s="27" t="s">
        <v>5399</v>
      </c>
      <c r="D658" s="27" t="s">
        <v>5400</v>
      </c>
      <c r="E658" s="27"/>
      <c r="F658" s="27" t="s">
        <v>5417</v>
      </c>
      <c r="G658" s="27"/>
      <c r="H658" s="27" t="s">
        <v>3767</v>
      </c>
      <c r="I658" s="27"/>
    </row>
    <row r="659" customFormat="false" ht="15" hidden="false" customHeight="true" outlineLevel="0" collapsed="false">
      <c r="A659" s="27" t="s">
        <v>3769</v>
      </c>
      <c r="B659" s="27" t="s">
        <v>559</v>
      </c>
      <c r="C659" s="27" t="s">
        <v>5407</v>
      </c>
      <c r="D659" s="27" t="s">
        <v>5408</v>
      </c>
      <c r="E659" s="27"/>
      <c r="F659" s="27" t="s">
        <v>5417</v>
      </c>
      <c r="G659" s="27"/>
      <c r="H659" s="27" t="s">
        <v>3770</v>
      </c>
      <c r="I659" s="27"/>
    </row>
    <row r="660" customFormat="false" ht="15" hidden="false" customHeight="true" outlineLevel="0" collapsed="false">
      <c r="A660" s="27" t="s">
        <v>3769</v>
      </c>
      <c r="B660" s="27" t="s">
        <v>559</v>
      </c>
      <c r="C660" s="27" t="s">
        <v>5399</v>
      </c>
      <c r="D660" s="27" t="s">
        <v>5400</v>
      </c>
      <c r="E660" s="27"/>
      <c r="F660" s="27" t="s">
        <v>5418</v>
      </c>
      <c r="G660" s="27"/>
      <c r="H660" s="27" t="s">
        <v>3770</v>
      </c>
      <c r="I660" s="27"/>
    </row>
    <row r="661" customFormat="false" ht="15" hidden="false" customHeight="true" outlineLevel="0" collapsed="false">
      <c r="A661" s="27" t="s">
        <v>3775</v>
      </c>
      <c r="B661" s="27" t="s">
        <v>559</v>
      </c>
      <c r="C661" s="27" t="s">
        <v>5399</v>
      </c>
      <c r="D661" s="27" t="s">
        <v>5400</v>
      </c>
      <c r="E661" s="27"/>
      <c r="F661" s="27" t="s">
        <v>5418</v>
      </c>
      <c r="G661" s="27"/>
      <c r="H661" s="27" t="s">
        <v>3776</v>
      </c>
      <c r="I661" s="27"/>
    </row>
    <row r="662" customFormat="false" ht="15" hidden="false" customHeight="true" outlineLevel="0" collapsed="false">
      <c r="A662" s="27" t="s">
        <v>3775</v>
      </c>
      <c r="B662" s="27" t="s">
        <v>559</v>
      </c>
      <c r="C662" s="27" t="s">
        <v>5367</v>
      </c>
      <c r="D662" s="27" t="s">
        <v>5368</v>
      </c>
      <c r="E662" s="27"/>
      <c r="F662" s="27" t="s">
        <v>5375</v>
      </c>
      <c r="G662" s="27"/>
      <c r="H662" s="27" t="s">
        <v>3776</v>
      </c>
      <c r="I662" s="27"/>
    </row>
    <row r="663" customFormat="false" ht="15" hidden="false" customHeight="true" outlineLevel="0" collapsed="false">
      <c r="A663" s="27" t="s">
        <v>3778</v>
      </c>
      <c r="B663" s="27" t="s">
        <v>559</v>
      </c>
      <c r="C663" s="27" t="s">
        <v>5367</v>
      </c>
      <c r="D663" s="27" t="s">
        <v>5368</v>
      </c>
      <c r="E663" s="27"/>
      <c r="F663" s="27" t="s">
        <v>5375</v>
      </c>
      <c r="G663" s="27"/>
      <c r="H663" s="27" t="s">
        <v>3779</v>
      </c>
      <c r="I663" s="27"/>
    </row>
    <row r="664" customFormat="false" ht="15" hidden="false" customHeight="true" outlineLevel="0" collapsed="false">
      <c r="A664" s="27" t="s">
        <v>3781</v>
      </c>
      <c r="B664" s="27" t="s">
        <v>559</v>
      </c>
      <c r="C664" s="27" t="s">
        <v>5367</v>
      </c>
      <c r="D664" s="27" t="s">
        <v>5368</v>
      </c>
      <c r="E664" s="27"/>
      <c r="F664" s="27" t="s">
        <v>5369</v>
      </c>
      <c r="G664" s="27"/>
      <c r="H664" s="27" t="s">
        <v>3782</v>
      </c>
      <c r="I664" s="27"/>
    </row>
    <row r="665" customFormat="false" ht="15" hidden="false" customHeight="true" outlineLevel="0" collapsed="false">
      <c r="A665" s="27" t="s">
        <v>3784</v>
      </c>
      <c r="B665" s="27" t="s">
        <v>559</v>
      </c>
      <c r="C665" s="27" t="s">
        <v>5399</v>
      </c>
      <c r="D665" s="27" t="s">
        <v>5400</v>
      </c>
      <c r="E665" s="27"/>
      <c r="F665" s="27" t="s">
        <v>5417</v>
      </c>
      <c r="G665" s="27"/>
      <c r="H665" s="27" t="s">
        <v>3785</v>
      </c>
      <c r="I665" s="27"/>
    </row>
    <row r="666" customFormat="false" ht="15" hidden="false" customHeight="true" outlineLevel="0" collapsed="false">
      <c r="A666" s="27" t="s">
        <v>3787</v>
      </c>
      <c r="B666" s="27" t="s">
        <v>559</v>
      </c>
      <c r="C666" s="27" t="s">
        <v>5367</v>
      </c>
      <c r="D666" s="27" t="s">
        <v>5368</v>
      </c>
      <c r="E666" s="27"/>
      <c r="F666" s="27" t="s">
        <v>5375</v>
      </c>
      <c r="G666" s="27"/>
      <c r="H666" s="27" t="s">
        <v>3788</v>
      </c>
      <c r="I666" s="27"/>
    </row>
    <row r="667" customFormat="false" ht="15" hidden="false" customHeight="true" outlineLevel="0" collapsed="false">
      <c r="A667" s="27" t="s">
        <v>3790</v>
      </c>
      <c r="B667" s="27" t="s">
        <v>559</v>
      </c>
      <c r="C667" s="27" t="s">
        <v>5367</v>
      </c>
      <c r="D667" s="27" t="s">
        <v>5368</v>
      </c>
      <c r="E667" s="27"/>
      <c r="F667" s="27" t="s">
        <v>5375</v>
      </c>
      <c r="G667" s="27"/>
      <c r="H667" s="27" t="s">
        <v>3791</v>
      </c>
      <c r="I667" s="27"/>
    </row>
    <row r="668" customFormat="false" ht="15" hidden="false" customHeight="true" outlineLevel="0" collapsed="false">
      <c r="A668" s="27" t="s">
        <v>3796</v>
      </c>
      <c r="B668" s="27" t="s">
        <v>559</v>
      </c>
      <c r="C668" s="27" t="s">
        <v>5367</v>
      </c>
      <c r="D668" s="27" t="s">
        <v>5368</v>
      </c>
      <c r="E668" s="27"/>
      <c r="F668" s="27" t="s">
        <v>5375</v>
      </c>
      <c r="G668" s="27"/>
      <c r="H668" s="27" t="s">
        <v>3797</v>
      </c>
      <c r="I668" s="27"/>
    </row>
    <row r="669" customFormat="false" ht="15" hidden="false" customHeight="true" outlineLevel="0" collapsed="false">
      <c r="A669" s="27" t="s">
        <v>3799</v>
      </c>
      <c r="B669" s="27" t="s">
        <v>559</v>
      </c>
      <c r="C669" s="27" t="s">
        <v>5407</v>
      </c>
      <c r="D669" s="27" t="s">
        <v>5426</v>
      </c>
      <c r="E669" s="27"/>
      <c r="F669" s="27" t="s">
        <v>5419</v>
      </c>
      <c r="G669" s="27"/>
      <c r="H669" s="27" t="s">
        <v>3800</v>
      </c>
      <c r="I669" s="27"/>
    </row>
    <row r="670" customFormat="false" ht="15" hidden="false" customHeight="true" outlineLevel="0" collapsed="false">
      <c r="A670" s="27" t="s">
        <v>3799</v>
      </c>
      <c r="B670" s="27" t="s">
        <v>559</v>
      </c>
      <c r="C670" s="27" t="s">
        <v>5399</v>
      </c>
      <c r="D670" s="27" t="s">
        <v>5400</v>
      </c>
      <c r="E670" s="27"/>
      <c r="F670" s="27" t="s">
        <v>5418</v>
      </c>
      <c r="G670" s="27"/>
      <c r="H670" s="27" t="s">
        <v>3800</v>
      </c>
      <c r="I670" s="27"/>
    </row>
    <row r="671" customFormat="false" ht="15" hidden="false" customHeight="true" outlineLevel="0" collapsed="false">
      <c r="A671" s="27" t="s">
        <v>3799</v>
      </c>
      <c r="B671" s="27" t="s">
        <v>559</v>
      </c>
      <c r="C671" s="27" t="s">
        <v>5367</v>
      </c>
      <c r="D671" s="27" t="s">
        <v>5368</v>
      </c>
      <c r="E671" s="27"/>
      <c r="F671" s="27" t="s">
        <v>5369</v>
      </c>
      <c r="G671" s="27"/>
      <c r="H671" s="27" t="s">
        <v>3800</v>
      </c>
      <c r="I671" s="27"/>
    </row>
    <row r="672" customFormat="false" ht="15" hidden="false" customHeight="true" outlineLevel="0" collapsed="false">
      <c r="A672" s="27" t="s">
        <v>3802</v>
      </c>
      <c r="B672" s="27" t="s">
        <v>559</v>
      </c>
      <c r="C672" s="27" t="s">
        <v>5367</v>
      </c>
      <c r="D672" s="27" t="s">
        <v>5368</v>
      </c>
      <c r="E672" s="27"/>
      <c r="F672" s="27" t="s">
        <v>5375</v>
      </c>
      <c r="G672" s="27"/>
      <c r="H672" s="27" t="s">
        <v>3803</v>
      </c>
      <c r="I672" s="27"/>
    </row>
    <row r="673" customFormat="false" ht="15" hidden="false" customHeight="true" outlineLevel="0" collapsed="false">
      <c r="A673" s="27" t="s">
        <v>3805</v>
      </c>
      <c r="B673" s="27" t="s">
        <v>559</v>
      </c>
      <c r="C673" s="27" t="s">
        <v>5367</v>
      </c>
      <c r="D673" s="27" t="s">
        <v>5368</v>
      </c>
      <c r="E673" s="27"/>
      <c r="F673" s="27" t="s">
        <v>5369</v>
      </c>
      <c r="G673" s="27"/>
      <c r="H673" s="28" t="s">
        <v>1870</v>
      </c>
      <c r="I673" s="27"/>
    </row>
    <row r="674" customFormat="false" ht="15" hidden="false" customHeight="true" outlineLevel="0" collapsed="false">
      <c r="A674" s="27" t="s">
        <v>3807</v>
      </c>
      <c r="B674" s="27" t="s">
        <v>559</v>
      </c>
      <c r="C674" s="27" t="s">
        <v>5399</v>
      </c>
      <c r="D674" s="27" t="s">
        <v>5400</v>
      </c>
      <c r="E674" s="27"/>
      <c r="F674" s="27" t="s">
        <v>5417</v>
      </c>
      <c r="G674" s="27"/>
      <c r="H674" s="27" t="s">
        <v>3808</v>
      </c>
      <c r="I674" s="27"/>
    </row>
    <row r="675" customFormat="false" ht="15" hidden="false" customHeight="true" outlineLevel="0" collapsed="false">
      <c r="A675" s="27" t="s">
        <v>3810</v>
      </c>
      <c r="B675" s="27" t="s">
        <v>559</v>
      </c>
      <c r="C675" s="27" t="s">
        <v>5367</v>
      </c>
      <c r="D675" s="27" t="s">
        <v>5368</v>
      </c>
      <c r="E675" s="27"/>
      <c r="F675" s="27" t="s">
        <v>5375</v>
      </c>
      <c r="G675" s="27"/>
      <c r="H675" s="27" t="s">
        <v>3811</v>
      </c>
      <c r="I675" s="27"/>
    </row>
    <row r="676" customFormat="false" ht="15" hidden="false" customHeight="true" outlineLevel="0" collapsed="false">
      <c r="A676" s="27" t="s">
        <v>3813</v>
      </c>
      <c r="B676" s="27" t="s">
        <v>559</v>
      </c>
      <c r="C676" s="27" t="s">
        <v>5399</v>
      </c>
      <c r="D676" s="27" t="s">
        <v>5400</v>
      </c>
      <c r="E676" s="27"/>
      <c r="F676" s="27" t="s">
        <v>5416</v>
      </c>
      <c r="G676" s="27"/>
      <c r="H676" s="27" t="s">
        <v>3814</v>
      </c>
      <c r="I676" s="27"/>
    </row>
    <row r="677" customFormat="false" ht="15" hidden="false" customHeight="true" outlineLevel="0" collapsed="false">
      <c r="A677" s="27" t="s">
        <v>3816</v>
      </c>
      <c r="B677" s="27" t="s">
        <v>559</v>
      </c>
      <c r="C677" s="27" t="s">
        <v>5367</v>
      </c>
      <c r="D677" s="27" t="s">
        <v>5368</v>
      </c>
      <c r="E677" s="27"/>
      <c r="F677" s="27" t="s">
        <v>5369</v>
      </c>
      <c r="G677" s="27"/>
      <c r="H677" s="27" t="s">
        <v>3817</v>
      </c>
      <c r="I677" s="27"/>
    </row>
    <row r="678" customFormat="false" ht="15" hidden="false" customHeight="true" outlineLevel="0" collapsed="false">
      <c r="A678" s="27" t="s">
        <v>3819</v>
      </c>
      <c r="B678" s="27" t="s">
        <v>559</v>
      </c>
      <c r="C678" s="27" t="s">
        <v>5399</v>
      </c>
      <c r="D678" s="27" t="s">
        <v>5400</v>
      </c>
      <c r="E678" s="27"/>
      <c r="F678" s="27" t="s">
        <v>5417</v>
      </c>
      <c r="G678" s="27"/>
      <c r="H678" s="27" t="s">
        <v>3820</v>
      </c>
      <c r="I678" s="27"/>
    </row>
    <row r="679" customFormat="false" ht="15" hidden="false" customHeight="true" outlineLevel="0" collapsed="false">
      <c r="A679" s="27" t="s">
        <v>3822</v>
      </c>
      <c r="B679" s="27" t="s">
        <v>559</v>
      </c>
      <c r="C679" s="27" t="s">
        <v>5407</v>
      </c>
      <c r="D679" s="27" t="s">
        <v>5408</v>
      </c>
      <c r="E679" s="27"/>
      <c r="F679" s="27" t="s">
        <v>5417</v>
      </c>
      <c r="G679" s="27"/>
      <c r="H679" s="27" t="s">
        <v>3823</v>
      </c>
      <c r="I679" s="27"/>
    </row>
    <row r="680" customFormat="false" ht="15" hidden="false" customHeight="true" outlineLevel="0" collapsed="false">
      <c r="A680" s="27" t="s">
        <v>3822</v>
      </c>
      <c r="B680" s="27" t="s">
        <v>559</v>
      </c>
      <c r="C680" s="27" t="s">
        <v>5399</v>
      </c>
      <c r="D680" s="27" t="s">
        <v>5400</v>
      </c>
      <c r="E680" s="27"/>
      <c r="F680" s="27" t="s">
        <v>5418</v>
      </c>
      <c r="G680" s="27"/>
      <c r="H680" s="27" t="s">
        <v>3823</v>
      </c>
      <c r="I680" s="27"/>
    </row>
    <row r="681" customFormat="false" ht="15" hidden="false" customHeight="true" outlineLevel="0" collapsed="false">
      <c r="A681" s="27" t="s">
        <v>3822</v>
      </c>
      <c r="B681" s="27" t="s">
        <v>559</v>
      </c>
      <c r="C681" s="27" t="s">
        <v>5367</v>
      </c>
      <c r="D681" s="27" t="s">
        <v>5568</v>
      </c>
      <c r="E681" s="27"/>
      <c r="F681" s="27" t="s">
        <v>5375</v>
      </c>
      <c r="G681" s="27"/>
      <c r="H681" s="27" t="s">
        <v>3823</v>
      </c>
      <c r="I681" s="27"/>
    </row>
    <row r="682" customFormat="false" ht="15" hidden="false" customHeight="true" outlineLevel="0" collapsed="false">
      <c r="A682" s="27" t="s">
        <v>3825</v>
      </c>
      <c r="B682" s="27" t="s">
        <v>559</v>
      </c>
      <c r="C682" s="27" t="s">
        <v>5399</v>
      </c>
      <c r="D682" s="27" t="s">
        <v>5400</v>
      </c>
      <c r="E682" s="27"/>
      <c r="F682" s="27" t="s">
        <v>5417</v>
      </c>
      <c r="G682" s="27"/>
      <c r="H682" s="27" t="s">
        <v>3826</v>
      </c>
      <c r="I682" s="27"/>
    </row>
    <row r="683" customFormat="false" ht="15" hidden="false" customHeight="true" outlineLevel="0" collapsed="false">
      <c r="A683" s="27" t="s">
        <v>3831</v>
      </c>
      <c r="B683" s="27" t="s">
        <v>559</v>
      </c>
      <c r="C683" s="27" t="s">
        <v>5407</v>
      </c>
      <c r="D683" s="27" t="s">
        <v>5408</v>
      </c>
      <c r="E683" s="27"/>
      <c r="F683" s="27" t="s">
        <v>5416</v>
      </c>
      <c r="G683" s="27"/>
      <c r="H683" s="27" t="s">
        <v>3832</v>
      </c>
      <c r="I683" s="27"/>
    </row>
    <row r="684" customFormat="false" ht="15" hidden="false" customHeight="true" outlineLevel="0" collapsed="false">
      <c r="A684" s="27" t="s">
        <v>3831</v>
      </c>
      <c r="B684" s="27" t="s">
        <v>559</v>
      </c>
      <c r="C684" s="27" t="s">
        <v>5367</v>
      </c>
      <c r="D684" s="27" t="s">
        <v>5368</v>
      </c>
      <c r="E684" s="27"/>
      <c r="F684" s="27" t="s">
        <v>5369</v>
      </c>
      <c r="G684" s="27"/>
      <c r="H684" s="27" t="s">
        <v>3832</v>
      </c>
      <c r="I684" s="27"/>
    </row>
    <row r="685" customFormat="false" ht="15" hidden="false" customHeight="true" outlineLevel="0" collapsed="false">
      <c r="A685" s="27" t="s">
        <v>3834</v>
      </c>
      <c r="B685" s="27" t="s">
        <v>559</v>
      </c>
      <c r="C685" s="27" t="s">
        <v>5367</v>
      </c>
      <c r="D685" s="27" t="s">
        <v>5368</v>
      </c>
      <c r="E685" s="27"/>
      <c r="F685" s="27" t="s">
        <v>5369</v>
      </c>
      <c r="G685" s="27"/>
      <c r="H685" s="27" t="s">
        <v>3835</v>
      </c>
      <c r="I685" s="27"/>
    </row>
    <row r="686" customFormat="false" ht="15" hidden="false" customHeight="true" outlineLevel="0" collapsed="false">
      <c r="A686" s="27" t="s">
        <v>3841</v>
      </c>
      <c r="B686" s="27" t="s">
        <v>559</v>
      </c>
      <c r="C686" s="27" t="s">
        <v>5399</v>
      </c>
      <c r="D686" s="27" t="s">
        <v>5400</v>
      </c>
      <c r="E686" s="27"/>
      <c r="F686" s="27" t="s">
        <v>5417</v>
      </c>
      <c r="G686" s="27"/>
      <c r="H686" s="27" t="s">
        <v>3842</v>
      </c>
      <c r="I686" s="27"/>
    </row>
    <row r="687" customFormat="false" ht="15" hidden="false" customHeight="true" outlineLevel="0" collapsed="false">
      <c r="A687" s="27" t="s">
        <v>3841</v>
      </c>
      <c r="B687" s="27" t="s">
        <v>559</v>
      </c>
      <c r="C687" s="27" t="s">
        <v>5367</v>
      </c>
      <c r="D687" s="27" t="s">
        <v>5368</v>
      </c>
      <c r="E687" s="27"/>
      <c r="F687" s="27" t="s">
        <v>5369</v>
      </c>
      <c r="G687" s="27"/>
      <c r="H687" s="27" t="s">
        <v>3842</v>
      </c>
      <c r="I687" s="27"/>
    </row>
    <row r="688" customFormat="false" ht="15" hidden="false" customHeight="true" outlineLevel="0" collapsed="false">
      <c r="A688" s="27" t="s">
        <v>3844</v>
      </c>
      <c r="B688" s="27" t="s">
        <v>559</v>
      </c>
      <c r="C688" s="27" t="s">
        <v>5367</v>
      </c>
      <c r="D688" s="27" t="s">
        <v>5368</v>
      </c>
      <c r="E688" s="27"/>
      <c r="F688" s="27" t="s">
        <v>5369</v>
      </c>
      <c r="G688" s="27"/>
      <c r="H688" s="27" t="s">
        <v>3845</v>
      </c>
      <c r="I688" s="27"/>
    </row>
    <row r="689" customFormat="false" ht="15" hidden="false" customHeight="true" outlineLevel="0" collapsed="false">
      <c r="A689" s="27" t="s">
        <v>3847</v>
      </c>
      <c r="B689" s="27" t="s">
        <v>559</v>
      </c>
      <c r="C689" s="27" t="s">
        <v>5367</v>
      </c>
      <c r="D689" s="27" t="s">
        <v>5368</v>
      </c>
      <c r="E689" s="27"/>
      <c r="F689" s="27" t="s">
        <v>5375</v>
      </c>
      <c r="G689" s="27"/>
      <c r="H689" s="27" t="s">
        <v>3848</v>
      </c>
      <c r="I689" s="27"/>
    </row>
    <row r="690" customFormat="false" ht="15" hidden="false" customHeight="true" outlineLevel="0" collapsed="false">
      <c r="A690" s="27" t="s">
        <v>3850</v>
      </c>
      <c r="B690" s="27" t="s">
        <v>559</v>
      </c>
      <c r="C690" s="27" t="s">
        <v>5399</v>
      </c>
      <c r="D690" s="27" t="s">
        <v>5400</v>
      </c>
      <c r="E690" s="27"/>
      <c r="F690" s="27" t="s">
        <v>5417</v>
      </c>
      <c r="G690" s="27"/>
      <c r="H690" s="27" t="s">
        <v>3851</v>
      </c>
      <c r="I690" s="27"/>
    </row>
    <row r="691" customFormat="false" ht="15" hidden="false" customHeight="true" outlineLevel="0" collapsed="false">
      <c r="A691" s="27" t="s">
        <v>3850</v>
      </c>
      <c r="B691" s="27" t="s">
        <v>559</v>
      </c>
      <c r="C691" s="27" t="s">
        <v>5367</v>
      </c>
      <c r="D691" s="27" t="s">
        <v>5368</v>
      </c>
      <c r="E691" s="27"/>
      <c r="F691" s="27" t="s">
        <v>5369</v>
      </c>
      <c r="G691" s="27"/>
      <c r="H691" s="27" t="s">
        <v>3851</v>
      </c>
      <c r="I691" s="27"/>
    </row>
    <row r="692" customFormat="false" ht="15" hidden="false" customHeight="true" outlineLevel="0" collapsed="false">
      <c r="A692" s="27" t="s">
        <v>3853</v>
      </c>
      <c r="B692" s="27" t="s">
        <v>559</v>
      </c>
      <c r="C692" s="27" t="s">
        <v>5367</v>
      </c>
      <c r="D692" s="27" t="s">
        <v>5368</v>
      </c>
      <c r="E692" s="27"/>
      <c r="F692" s="27" t="s">
        <v>5369</v>
      </c>
      <c r="G692" s="27"/>
      <c r="H692" s="27" t="s">
        <v>3854</v>
      </c>
      <c r="I692" s="27"/>
    </row>
    <row r="693" customFormat="false" ht="15" hidden="false" customHeight="true" outlineLevel="0" collapsed="false">
      <c r="A693" s="27" t="s">
        <v>3856</v>
      </c>
      <c r="B693" s="27" t="s">
        <v>559</v>
      </c>
      <c r="C693" s="27" t="s">
        <v>5399</v>
      </c>
      <c r="D693" s="27" t="s">
        <v>5400</v>
      </c>
      <c r="E693" s="27"/>
      <c r="F693" s="27" t="s">
        <v>5417</v>
      </c>
      <c r="G693" s="27"/>
      <c r="H693" s="27" t="s">
        <v>3857</v>
      </c>
      <c r="I693" s="27"/>
    </row>
    <row r="694" customFormat="false" ht="15" hidden="false" customHeight="true" outlineLevel="0" collapsed="false">
      <c r="A694" s="27" t="s">
        <v>3859</v>
      </c>
      <c r="B694" s="27" t="s">
        <v>559</v>
      </c>
      <c r="C694" s="27" t="s">
        <v>5399</v>
      </c>
      <c r="D694" s="27" t="s">
        <v>5400</v>
      </c>
      <c r="E694" s="27"/>
      <c r="F694" s="27" t="s">
        <v>5416</v>
      </c>
      <c r="G694" s="27"/>
      <c r="H694" s="27" t="s">
        <v>3860</v>
      </c>
      <c r="I694" s="27"/>
    </row>
    <row r="695" customFormat="false" ht="15" hidden="false" customHeight="true" outlineLevel="0" collapsed="false">
      <c r="A695" s="27" t="s">
        <v>3865</v>
      </c>
      <c r="B695" s="27" t="s">
        <v>559</v>
      </c>
      <c r="C695" s="27" t="s">
        <v>5367</v>
      </c>
      <c r="D695" s="27" t="s">
        <v>5368</v>
      </c>
      <c r="E695" s="27"/>
      <c r="F695" s="27" t="s">
        <v>5369</v>
      </c>
      <c r="G695" s="27"/>
      <c r="H695" s="27" t="s">
        <v>3866</v>
      </c>
      <c r="I695" s="27"/>
    </row>
    <row r="696" customFormat="false" ht="15" hidden="false" customHeight="true" outlineLevel="0" collapsed="false">
      <c r="A696" s="27" t="s">
        <v>3868</v>
      </c>
      <c r="B696" s="27" t="s">
        <v>559</v>
      </c>
      <c r="C696" s="27" t="s">
        <v>5399</v>
      </c>
      <c r="D696" s="27" t="s">
        <v>5400</v>
      </c>
      <c r="E696" s="27"/>
      <c r="F696" s="27" t="s">
        <v>5417</v>
      </c>
      <c r="G696" s="27"/>
      <c r="H696" s="28" t="s">
        <v>3869</v>
      </c>
      <c r="I696" s="27"/>
    </row>
    <row r="697" customFormat="false" ht="15" hidden="false" customHeight="true" outlineLevel="0" collapsed="false">
      <c r="A697" s="27" t="s">
        <v>3874</v>
      </c>
      <c r="B697" s="27" t="s">
        <v>559</v>
      </c>
      <c r="C697" s="27" t="s">
        <v>5399</v>
      </c>
      <c r="D697" s="27" t="s">
        <v>5400</v>
      </c>
      <c r="E697" s="27"/>
      <c r="F697" s="27" t="s">
        <v>5417</v>
      </c>
      <c r="G697" s="27"/>
      <c r="H697" s="27" t="s">
        <v>3875</v>
      </c>
      <c r="I697" s="27"/>
    </row>
    <row r="698" customFormat="false" ht="15" hidden="false" customHeight="true" outlineLevel="0" collapsed="false">
      <c r="A698" s="27" t="s">
        <v>3877</v>
      </c>
      <c r="B698" s="27" t="s">
        <v>559</v>
      </c>
      <c r="C698" s="27" t="s">
        <v>5367</v>
      </c>
      <c r="D698" s="27" t="s">
        <v>5368</v>
      </c>
      <c r="E698" s="27"/>
      <c r="F698" s="27" t="s">
        <v>5369</v>
      </c>
      <c r="G698" s="27"/>
      <c r="H698" s="27" t="s">
        <v>3878</v>
      </c>
      <c r="I698" s="27"/>
    </row>
    <row r="699" customFormat="false" ht="15" hidden="false" customHeight="true" outlineLevel="0" collapsed="false">
      <c r="A699" s="27" t="s">
        <v>3880</v>
      </c>
      <c r="B699" s="27" t="s">
        <v>559</v>
      </c>
      <c r="C699" s="27" t="s">
        <v>5399</v>
      </c>
      <c r="D699" s="27" t="s">
        <v>5400</v>
      </c>
      <c r="E699" s="27"/>
      <c r="F699" s="27" t="s">
        <v>5417</v>
      </c>
      <c r="G699" s="27"/>
      <c r="H699" s="27" t="s">
        <v>3881</v>
      </c>
      <c r="I699" s="27"/>
    </row>
    <row r="700" customFormat="false" ht="15" hidden="false" customHeight="true" outlineLevel="0" collapsed="false">
      <c r="A700" s="27" t="s">
        <v>3883</v>
      </c>
      <c r="B700" s="27" t="s">
        <v>559</v>
      </c>
      <c r="C700" s="27" t="s">
        <v>5367</v>
      </c>
      <c r="D700" s="27" t="s">
        <v>5368</v>
      </c>
      <c r="E700" s="27"/>
      <c r="F700" s="27" t="s">
        <v>5369</v>
      </c>
      <c r="G700" s="27"/>
      <c r="H700" s="27" t="s">
        <v>3884</v>
      </c>
      <c r="I700" s="27"/>
    </row>
    <row r="701" customFormat="false" ht="15" hidden="false" customHeight="true" outlineLevel="0" collapsed="false">
      <c r="A701" s="27" t="s">
        <v>3886</v>
      </c>
      <c r="B701" s="27" t="s">
        <v>559</v>
      </c>
      <c r="C701" s="27" t="s">
        <v>5367</v>
      </c>
      <c r="D701" s="27" t="s">
        <v>5368</v>
      </c>
      <c r="E701" s="27"/>
      <c r="F701" s="27" t="s">
        <v>5375</v>
      </c>
      <c r="G701" s="27"/>
      <c r="H701" s="27" t="s">
        <v>3887</v>
      </c>
      <c r="I701" s="27"/>
    </row>
    <row r="702" customFormat="false" ht="15" hidden="false" customHeight="true" outlineLevel="0" collapsed="false">
      <c r="A702" s="27" t="s">
        <v>3889</v>
      </c>
      <c r="B702" s="27" t="s">
        <v>559</v>
      </c>
      <c r="C702" s="27" t="s">
        <v>5367</v>
      </c>
      <c r="D702" s="27" t="s">
        <v>5368</v>
      </c>
      <c r="E702" s="27"/>
      <c r="F702" s="27" t="s">
        <v>5369</v>
      </c>
      <c r="G702" s="27"/>
      <c r="H702" s="27" t="s">
        <v>3890</v>
      </c>
      <c r="I702" s="27"/>
    </row>
    <row r="703" customFormat="false" ht="15" hidden="false" customHeight="true" outlineLevel="0" collapsed="false">
      <c r="A703" s="27" t="s">
        <v>3892</v>
      </c>
      <c r="B703" s="27" t="s">
        <v>559</v>
      </c>
      <c r="C703" s="27" t="s">
        <v>5367</v>
      </c>
      <c r="D703" s="27" t="s">
        <v>5368</v>
      </c>
      <c r="E703" s="27"/>
      <c r="F703" s="27" t="s">
        <v>5369</v>
      </c>
      <c r="G703" s="27"/>
      <c r="H703" s="27" t="s">
        <v>3893</v>
      </c>
      <c r="I703" s="27"/>
    </row>
    <row r="704" customFormat="false" ht="15" hidden="false" customHeight="true" outlineLevel="0" collapsed="false">
      <c r="A704" s="27" t="s">
        <v>3895</v>
      </c>
      <c r="B704" s="27" t="s">
        <v>559</v>
      </c>
      <c r="C704" s="27" t="s">
        <v>5399</v>
      </c>
      <c r="D704" s="27" t="s">
        <v>5400</v>
      </c>
      <c r="E704" s="27"/>
      <c r="F704" s="27" t="s">
        <v>5418</v>
      </c>
      <c r="G704" s="27"/>
      <c r="H704" s="27" t="s">
        <v>3896</v>
      </c>
      <c r="I704" s="27"/>
    </row>
    <row r="705" customFormat="false" ht="15" hidden="false" customHeight="true" outlineLevel="0" collapsed="false">
      <c r="A705" s="27" t="s">
        <v>3895</v>
      </c>
      <c r="B705" s="27" t="s">
        <v>559</v>
      </c>
      <c r="C705" s="27" t="s">
        <v>5367</v>
      </c>
      <c r="D705" s="27" t="s">
        <v>5368</v>
      </c>
      <c r="E705" s="27"/>
      <c r="F705" s="27" t="s">
        <v>5375</v>
      </c>
      <c r="G705" s="27"/>
      <c r="H705" s="27" t="s">
        <v>3896</v>
      </c>
      <c r="I705" s="27"/>
    </row>
    <row r="706" customFormat="false" ht="15" hidden="false" customHeight="true" outlineLevel="0" collapsed="false">
      <c r="A706" s="27" t="s">
        <v>3898</v>
      </c>
      <c r="B706" s="27" t="s">
        <v>559</v>
      </c>
      <c r="C706" s="27" t="s">
        <v>5367</v>
      </c>
      <c r="D706" s="27" t="s">
        <v>5368</v>
      </c>
      <c r="E706" s="27"/>
      <c r="F706" s="27" t="s">
        <v>5485</v>
      </c>
      <c r="G706" s="27"/>
      <c r="H706" s="27" t="s">
        <v>3899</v>
      </c>
      <c r="I706" s="27"/>
    </row>
    <row r="707" customFormat="false" ht="15" hidden="false" customHeight="true" outlineLevel="0" collapsed="false">
      <c r="A707" s="27" t="s">
        <v>3901</v>
      </c>
      <c r="B707" s="27" t="s">
        <v>559</v>
      </c>
      <c r="C707" s="27" t="s">
        <v>5367</v>
      </c>
      <c r="D707" s="27" t="s">
        <v>5368</v>
      </c>
      <c r="E707" s="27"/>
      <c r="F707" s="27" t="s">
        <v>5375</v>
      </c>
      <c r="G707" s="27"/>
      <c r="H707" s="27" t="s">
        <v>3902</v>
      </c>
      <c r="I707" s="27"/>
    </row>
    <row r="708" customFormat="false" ht="15" hidden="false" customHeight="true" outlineLevel="0" collapsed="false">
      <c r="A708" s="27" t="s">
        <v>3904</v>
      </c>
      <c r="B708" s="27" t="s">
        <v>559</v>
      </c>
      <c r="C708" s="27" t="s">
        <v>5367</v>
      </c>
      <c r="D708" s="27" t="s">
        <v>5368</v>
      </c>
      <c r="E708" s="27"/>
      <c r="F708" s="27" t="s">
        <v>5375</v>
      </c>
      <c r="G708" s="27"/>
      <c r="H708" s="27" t="s">
        <v>3905</v>
      </c>
      <c r="I708" s="27"/>
    </row>
    <row r="709" customFormat="false" ht="15" hidden="false" customHeight="true" outlineLevel="0" collapsed="false">
      <c r="A709" s="27" t="s">
        <v>3907</v>
      </c>
      <c r="B709" s="27" t="s">
        <v>559</v>
      </c>
      <c r="C709" s="27" t="s">
        <v>5367</v>
      </c>
      <c r="D709" s="27" t="s">
        <v>5368</v>
      </c>
      <c r="E709" s="27"/>
      <c r="F709" s="27" t="s">
        <v>5375</v>
      </c>
      <c r="G709" s="27"/>
      <c r="H709" s="27" t="s">
        <v>3908</v>
      </c>
      <c r="I709" s="27"/>
    </row>
    <row r="710" customFormat="false" ht="15" hidden="false" customHeight="true" outlineLevel="0" collapsed="false">
      <c r="A710" s="27" t="s">
        <v>3910</v>
      </c>
      <c r="B710" s="27" t="s">
        <v>559</v>
      </c>
      <c r="C710" s="27" t="s">
        <v>5367</v>
      </c>
      <c r="D710" s="27" t="s">
        <v>5368</v>
      </c>
      <c r="E710" s="27"/>
      <c r="F710" s="27" t="s">
        <v>5375</v>
      </c>
      <c r="G710" s="27"/>
      <c r="H710" s="27" t="s">
        <v>3911</v>
      </c>
      <c r="I710" s="27"/>
    </row>
    <row r="711" customFormat="false" ht="15" hidden="false" customHeight="true" outlineLevel="0" collapsed="false">
      <c r="A711" s="27" t="s">
        <v>3919</v>
      </c>
      <c r="B711" s="27" t="s">
        <v>559</v>
      </c>
      <c r="C711" s="27" t="s">
        <v>5367</v>
      </c>
      <c r="D711" s="27" t="s">
        <v>5368</v>
      </c>
      <c r="E711" s="27"/>
      <c r="F711" s="27" t="s">
        <v>5375</v>
      </c>
      <c r="G711" s="27"/>
      <c r="H711" s="27" t="s">
        <v>3920</v>
      </c>
      <c r="I711" s="27"/>
    </row>
    <row r="712" customFormat="false" ht="15" hidden="false" customHeight="true" outlineLevel="0" collapsed="false">
      <c r="A712" s="27" t="s">
        <v>3922</v>
      </c>
      <c r="B712" s="27" t="s">
        <v>559</v>
      </c>
      <c r="C712" s="27" t="s">
        <v>5367</v>
      </c>
      <c r="D712" s="27" t="s">
        <v>5368</v>
      </c>
      <c r="E712" s="27"/>
      <c r="F712" s="27" t="s">
        <v>5375</v>
      </c>
      <c r="G712" s="27"/>
      <c r="H712" s="27" t="s">
        <v>3923</v>
      </c>
      <c r="I712" s="27"/>
    </row>
    <row r="713" customFormat="false" ht="15" hidden="false" customHeight="true" outlineLevel="0" collapsed="false">
      <c r="A713" s="27" t="s">
        <v>3925</v>
      </c>
      <c r="B713" s="27" t="s">
        <v>559</v>
      </c>
      <c r="C713" s="27" t="s">
        <v>5367</v>
      </c>
      <c r="D713" s="27" t="s">
        <v>5368</v>
      </c>
      <c r="E713" s="27"/>
      <c r="F713" s="27" t="s">
        <v>5375</v>
      </c>
      <c r="G713" s="27"/>
      <c r="H713" s="27" t="s">
        <v>3926</v>
      </c>
      <c r="I713" s="27"/>
    </row>
    <row r="714" customFormat="false" ht="15" hidden="false" customHeight="true" outlineLevel="0" collapsed="false">
      <c r="A714" s="27" t="s">
        <v>3928</v>
      </c>
      <c r="B714" s="27" t="s">
        <v>559</v>
      </c>
      <c r="C714" s="27" t="s">
        <v>5367</v>
      </c>
      <c r="D714" s="27" t="s">
        <v>5368</v>
      </c>
      <c r="E714" s="27"/>
      <c r="F714" s="27" t="s">
        <v>5485</v>
      </c>
      <c r="G714" s="27"/>
      <c r="H714" s="27" t="s">
        <v>3929</v>
      </c>
      <c r="I714" s="27"/>
    </row>
    <row r="715" customFormat="false" ht="15" hidden="false" customHeight="true" outlineLevel="0" collapsed="false">
      <c r="A715" s="27" t="s">
        <v>3931</v>
      </c>
      <c r="B715" s="27" t="s">
        <v>559</v>
      </c>
      <c r="C715" s="27" t="s">
        <v>5399</v>
      </c>
      <c r="D715" s="27" t="s">
        <v>5400</v>
      </c>
      <c r="E715" s="27"/>
      <c r="F715" s="27" t="s">
        <v>5417</v>
      </c>
      <c r="G715" s="27"/>
      <c r="H715" s="27" t="s">
        <v>3932</v>
      </c>
      <c r="I715" s="27"/>
    </row>
    <row r="716" customFormat="false" ht="15" hidden="false" customHeight="true" outlineLevel="0" collapsed="false">
      <c r="A716" s="27" t="s">
        <v>3931</v>
      </c>
      <c r="B716" s="27" t="s">
        <v>559</v>
      </c>
      <c r="C716" s="27" t="s">
        <v>5367</v>
      </c>
      <c r="D716" s="27" t="s">
        <v>5368</v>
      </c>
      <c r="E716" s="27"/>
      <c r="F716" s="27" t="s">
        <v>5375</v>
      </c>
      <c r="G716" s="27"/>
      <c r="H716" s="27" t="s">
        <v>3932</v>
      </c>
      <c r="I716" s="27"/>
    </row>
    <row r="717" customFormat="false" ht="15" hidden="false" customHeight="true" outlineLevel="0" collapsed="false">
      <c r="A717" s="27" t="s">
        <v>3934</v>
      </c>
      <c r="B717" s="27" t="s">
        <v>559</v>
      </c>
      <c r="C717" s="27" t="s">
        <v>5367</v>
      </c>
      <c r="D717" s="27" t="s">
        <v>5368</v>
      </c>
      <c r="E717" s="27"/>
      <c r="F717" s="27" t="s">
        <v>5375</v>
      </c>
      <c r="G717" s="27"/>
      <c r="H717" s="27" t="s">
        <v>3935</v>
      </c>
      <c r="I717" s="27"/>
    </row>
    <row r="718" customFormat="false" ht="15" hidden="false" customHeight="true" outlineLevel="0" collapsed="false">
      <c r="A718" s="27" t="s">
        <v>3940</v>
      </c>
      <c r="B718" s="27" t="s">
        <v>559</v>
      </c>
      <c r="C718" s="27" t="s">
        <v>5367</v>
      </c>
      <c r="D718" s="27" t="s">
        <v>5368</v>
      </c>
      <c r="E718" s="27"/>
      <c r="F718" s="27" t="s">
        <v>5375</v>
      </c>
      <c r="G718" s="27"/>
      <c r="H718" s="27" t="s">
        <v>3941</v>
      </c>
      <c r="I718" s="27"/>
    </row>
    <row r="719" customFormat="false" ht="15" hidden="false" customHeight="true" outlineLevel="0" collapsed="false">
      <c r="A719" s="27" t="s">
        <v>3943</v>
      </c>
      <c r="B719" s="27" t="s">
        <v>559</v>
      </c>
      <c r="C719" s="27" t="s">
        <v>5367</v>
      </c>
      <c r="D719" s="27" t="s">
        <v>5368</v>
      </c>
      <c r="E719" s="27"/>
      <c r="F719" s="27" t="s">
        <v>5369</v>
      </c>
      <c r="G719" s="27"/>
      <c r="H719" s="27" t="s">
        <v>3944</v>
      </c>
      <c r="I719" s="27"/>
    </row>
    <row r="720" customFormat="false" ht="15" hidden="false" customHeight="true" outlineLevel="0" collapsed="false">
      <c r="A720" s="27" t="s">
        <v>3946</v>
      </c>
      <c r="B720" s="27" t="s">
        <v>559</v>
      </c>
      <c r="C720" s="27" t="s">
        <v>5367</v>
      </c>
      <c r="D720" s="27" t="s">
        <v>5368</v>
      </c>
      <c r="E720" s="27"/>
      <c r="F720" s="27" t="s">
        <v>5375</v>
      </c>
      <c r="G720" s="27"/>
      <c r="H720" s="27" t="s">
        <v>3947</v>
      </c>
      <c r="I720" s="27"/>
    </row>
    <row r="721" customFormat="false" ht="15" hidden="false" customHeight="true" outlineLevel="0" collapsed="false">
      <c r="A721" s="27" t="s">
        <v>3949</v>
      </c>
      <c r="B721" s="27" t="s">
        <v>559</v>
      </c>
      <c r="C721" s="27" t="s">
        <v>5367</v>
      </c>
      <c r="D721" s="27" t="s">
        <v>5368</v>
      </c>
      <c r="E721" s="27"/>
      <c r="F721" s="27" t="s">
        <v>5375</v>
      </c>
      <c r="G721" s="27"/>
      <c r="H721" s="27" t="s">
        <v>3950</v>
      </c>
      <c r="I721" s="27"/>
    </row>
    <row r="722" customFormat="false" ht="15" hidden="false" customHeight="true" outlineLevel="0" collapsed="false">
      <c r="A722" s="27" t="s">
        <v>3952</v>
      </c>
      <c r="B722" s="27" t="s">
        <v>559</v>
      </c>
      <c r="C722" s="27" t="s">
        <v>5367</v>
      </c>
      <c r="D722" s="27" t="s">
        <v>5368</v>
      </c>
      <c r="E722" s="27"/>
      <c r="F722" s="27" t="s">
        <v>5375</v>
      </c>
      <c r="G722" s="27"/>
      <c r="H722" s="27" t="s">
        <v>3953</v>
      </c>
      <c r="I722" s="27"/>
    </row>
    <row r="723" customFormat="false" ht="15" hidden="false" customHeight="true" outlineLevel="0" collapsed="false">
      <c r="A723" s="27" t="s">
        <v>3961</v>
      </c>
      <c r="B723" s="27" t="s">
        <v>559</v>
      </c>
      <c r="C723" s="27" t="s">
        <v>5367</v>
      </c>
      <c r="D723" s="27" t="s">
        <v>5368</v>
      </c>
      <c r="E723" s="27"/>
      <c r="F723" s="27" t="s">
        <v>5375</v>
      </c>
      <c r="G723" s="27"/>
      <c r="H723" s="27" t="s">
        <v>3962</v>
      </c>
      <c r="I723" s="27"/>
    </row>
    <row r="724" customFormat="false" ht="15" hidden="false" customHeight="true" outlineLevel="0" collapsed="false">
      <c r="A724" s="27" t="s">
        <v>3967</v>
      </c>
      <c r="B724" s="27" t="s">
        <v>559</v>
      </c>
      <c r="C724" s="27" t="s">
        <v>5367</v>
      </c>
      <c r="D724" s="27" t="s">
        <v>5368</v>
      </c>
      <c r="E724" s="27"/>
      <c r="F724" s="27" t="s">
        <v>5375</v>
      </c>
      <c r="G724" s="27"/>
      <c r="H724" s="27" t="s">
        <v>3968</v>
      </c>
      <c r="I724" s="27"/>
    </row>
    <row r="725" customFormat="false" ht="15" hidden="false" customHeight="true" outlineLevel="0" collapsed="false">
      <c r="A725" s="27" t="s">
        <v>3979</v>
      </c>
      <c r="B725" s="27" t="s">
        <v>559</v>
      </c>
      <c r="C725" s="27" t="s">
        <v>5367</v>
      </c>
      <c r="D725" s="27" t="s">
        <v>5368</v>
      </c>
      <c r="E725" s="27"/>
      <c r="F725" s="27" t="s">
        <v>5375</v>
      </c>
      <c r="G725" s="27"/>
      <c r="H725" s="27" t="s">
        <v>3980</v>
      </c>
      <c r="I725" s="27"/>
    </row>
    <row r="726" customFormat="false" ht="15" hidden="false" customHeight="true" outlineLevel="0" collapsed="false">
      <c r="A726" s="27" t="s">
        <v>4009</v>
      </c>
      <c r="B726" s="27" t="s">
        <v>559</v>
      </c>
      <c r="C726" s="27" t="s">
        <v>5367</v>
      </c>
      <c r="D726" s="27" t="s">
        <v>5368</v>
      </c>
      <c r="E726" s="27"/>
      <c r="F726" s="27" t="s">
        <v>5375</v>
      </c>
      <c r="G726" s="27"/>
      <c r="H726" s="27" t="s">
        <v>4010</v>
      </c>
      <c r="I726" s="27"/>
    </row>
    <row r="727" customFormat="false" ht="15" hidden="false" customHeight="true" outlineLevel="0" collapsed="false">
      <c r="A727" s="27" t="s">
        <v>4012</v>
      </c>
      <c r="B727" s="27" t="s">
        <v>559</v>
      </c>
      <c r="C727" s="27" t="s">
        <v>5367</v>
      </c>
      <c r="D727" s="27" t="s">
        <v>5368</v>
      </c>
      <c r="E727" s="27"/>
      <c r="F727" s="27" t="s">
        <v>5375</v>
      </c>
      <c r="G727" s="27"/>
      <c r="H727" s="27" t="s">
        <v>4013</v>
      </c>
      <c r="I727" s="27"/>
    </row>
    <row r="728" customFormat="false" ht="15" hidden="false" customHeight="true" outlineLevel="0" collapsed="false">
      <c r="A728" s="27" t="s">
        <v>4015</v>
      </c>
      <c r="B728" s="27" t="s">
        <v>559</v>
      </c>
      <c r="C728" s="27" t="s">
        <v>5367</v>
      </c>
      <c r="D728" s="27" t="s">
        <v>5368</v>
      </c>
      <c r="E728" s="27"/>
      <c r="F728" s="27" t="s">
        <v>5375</v>
      </c>
      <c r="G728" s="27"/>
      <c r="H728" s="27" t="s">
        <v>4016</v>
      </c>
      <c r="I728" s="27"/>
    </row>
    <row r="729" customFormat="false" ht="15" hidden="false" customHeight="true" outlineLevel="0" collapsed="false">
      <c r="A729" s="27" t="s">
        <v>4018</v>
      </c>
      <c r="B729" s="27" t="s">
        <v>559</v>
      </c>
      <c r="C729" s="27" t="s">
        <v>5367</v>
      </c>
      <c r="D729" s="27" t="s">
        <v>5368</v>
      </c>
      <c r="E729" s="27"/>
      <c r="F729" s="27" t="s">
        <v>5375</v>
      </c>
      <c r="G729" s="27"/>
      <c r="H729" s="27" t="s">
        <v>4019</v>
      </c>
      <c r="I729" s="27"/>
    </row>
    <row r="730" customFormat="false" ht="15" hidden="false" customHeight="true" outlineLevel="0" collapsed="false">
      <c r="A730" s="27" t="s">
        <v>4021</v>
      </c>
      <c r="B730" s="27" t="s">
        <v>559</v>
      </c>
      <c r="C730" s="27" t="s">
        <v>5367</v>
      </c>
      <c r="D730" s="27" t="s">
        <v>5368</v>
      </c>
      <c r="E730" s="27"/>
      <c r="F730" s="27" t="s">
        <v>5375</v>
      </c>
      <c r="G730" s="27"/>
      <c r="H730" s="27" t="s">
        <v>4022</v>
      </c>
      <c r="I730" s="27"/>
    </row>
    <row r="731" customFormat="false" ht="15" hidden="false" customHeight="true" outlineLevel="0" collapsed="false">
      <c r="A731" s="27" t="s">
        <v>4027</v>
      </c>
      <c r="B731" s="27" t="s">
        <v>559</v>
      </c>
      <c r="C731" s="27" t="s">
        <v>5367</v>
      </c>
      <c r="D731" s="27" t="s">
        <v>5368</v>
      </c>
      <c r="E731" s="27"/>
      <c r="F731" s="27" t="s">
        <v>5375</v>
      </c>
      <c r="G731" s="27"/>
      <c r="H731" s="27" t="s">
        <v>4028</v>
      </c>
      <c r="I731" s="27"/>
    </row>
    <row r="732" customFormat="false" ht="15" hidden="false" customHeight="true" outlineLevel="0" collapsed="false">
      <c r="A732" s="27" t="s">
        <v>4033</v>
      </c>
      <c r="B732" s="27" t="s">
        <v>559</v>
      </c>
      <c r="C732" s="27" t="s">
        <v>5399</v>
      </c>
      <c r="D732" s="27" t="s">
        <v>5400</v>
      </c>
      <c r="E732" s="27"/>
      <c r="F732" s="27" t="s">
        <v>5417</v>
      </c>
      <c r="G732" s="27"/>
      <c r="H732" s="27" t="s">
        <v>4034</v>
      </c>
      <c r="I732" s="27"/>
    </row>
    <row r="733" customFormat="false" ht="15" hidden="false" customHeight="true" outlineLevel="0" collapsed="false">
      <c r="A733" s="27" t="s">
        <v>4033</v>
      </c>
      <c r="B733" s="27" t="s">
        <v>559</v>
      </c>
      <c r="C733" s="27" t="s">
        <v>5367</v>
      </c>
      <c r="D733" s="27" t="s">
        <v>5368</v>
      </c>
      <c r="E733" s="27"/>
      <c r="F733" s="27" t="s">
        <v>5375</v>
      </c>
      <c r="G733" s="27"/>
      <c r="H733" s="27" t="s">
        <v>4034</v>
      </c>
      <c r="I733" s="27"/>
    </row>
    <row r="734" customFormat="false" ht="15" hidden="false" customHeight="true" outlineLevel="0" collapsed="false">
      <c r="A734" s="27" t="s">
        <v>4036</v>
      </c>
      <c r="B734" s="27" t="s">
        <v>559</v>
      </c>
      <c r="C734" s="27" t="s">
        <v>5367</v>
      </c>
      <c r="D734" s="27" t="s">
        <v>5368</v>
      </c>
      <c r="E734" s="27"/>
      <c r="F734" s="27" t="s">
        <v>5375</v>
      </c>
      <c r="G734" s="27"/>
      <c r="H734" s="27" t="s">
        <v>4037</v>
      </c>
      <c r="I734" s="27"/>
    </row>
    <row r="735" customFormat="false" ht="15" hidden="false" customHeight="true" outlineLevel="0" collapsed="false">
      <c r="A735" s="27" t="s">
        <v>4039</v>
      </c>
      <c r="B735" s="27" t="s">
        <v>559</v>
      </c>
      <c r="C735" s="27" t="s">
        <v>5367</v>
      </c>
      <c r="D735" s="27" t="s">
        <v>5368</v>
      </c>
      <c r="E735" s="27"/>
      <c r="F735" s="27" t="s">
        <v>5375</v>
      </c>
      <c r="G735" s="27"/>
      <c r="H735" s="27" t="s">
        <v>4040</v>
      </c>
      <c r="I735" s="27"/>
    </row>
    <row r="736" customFormat="false" ht="15" hidden="false" customHeight="true" outlineLevel="0" collapsed="false">
      <c r="A736" s="27" t="s">
        <v>4042</v>
      </c>
      <c r="B736" s="27" t="s">
        <v>559</v>
      </c>
      <c r="C736" s="27" t="s">
        <v>5367</v>
      </c>
      <c r="D736" s="27" t="s">
        <v>5368</v>
      </c>
      <c r="E736" s="27"/>
      <c r="F736" s="27" t="s">
        <v>5375</v>
      </c>
      <c r="G736" s="27"/>
      <c r="H736" s="27" t="s">
        <v>4043</v>
      </c>
      <c r="I736" s="27"/>
    </row>
    <row r="737" customFormat="false" ht="15" hidden="false" customHeight="true" outlineLevel="0" collapsed="false">
      <c r="A737" s="27" t="s">
        <v>4045</v>
      </c>
      <c r="B737" s="27" t="s">
        <v>559</v>
      </c>
      <c r="C737" s="27" t="s">
        <v>5367</v>
      </c>
      <c r="D737" s="27" t="s">
        <v>5368</v>
      </c>
      <c r="E737" s="27"/>
      <c r="F737" s="27" t="s">
        <v>5375</v>
      </c>
      <c r="G737" s="27"/>
      <c r="H737" s="27" t="s">
        <v>4046</v>
      </c>
      <c r="I737" s="27"/>
    </row>
    <row r="738" customFormat="false" ht="15" hidden="false" customHeight="true" outlineLevel="0" collapsed="false">
      <c r="A738" s="27" t="s">
        <v>4048</v>
      </c>
      <c r="B738" s="27" t="s">
        <v>559</v>
      </c>
      <c r="C738" s="27" t="s">
        <v>5367</v>
      </c>
      <c r="D738" s="27" t="s">
        <v>5368</v>
      </c>
      <c r="E738" s="27"/>
      <c r="F738" s="27" t="s">
        <v>5375</v>
      </c>
      <c r="G738" s="27"/>
      <c r="H738" s="27" t="s">
        <v>4049</v>
      </c>
      <c r="I738" s="27"/>
    </row>
    <row r="739" customFormat="false" ht="15" hidden="false" customHeight="true" outlineLevel="0" collapsed="false">
      <c r="A739" s="27" t="s">
        <v>4051</v>
      </c>
      <c r="B739" s="27" t="s">
        <v>559</v>
      </c>
      <c r="C739" s="27" t="s">
        <v>5367</v>
      </c>
      <c r="D739" s="27" t="s">
        <v>5368</v>
      </c>
      <c r="E739" s="27"/>
      <c r="F739" s="27" t="s">
        <v>5375</v>
      </c>
      <c r="G739" s="27"/>
      <c r="H739" s="27" t="s">
        <v>4052</v>
      </c>
      <c r="I739" s="27"/>
    </row>
    <row r="740" customFormat="false" ht="15" hidden="false" customHeight="true" outlineLevel="0" collapsed="false">
      <c r="A740" s="27" t="s">
        <v>4054</v>
      </c>
      <c r="B740" s="27" t="s">
        <v>559</v>
      </c>
      <c r="C740" s="27" t="s">
        <v>5367</v>
      </c>
      <c r="D740" s="27" t="s">
        <v>5368</v>
      </c>
      <c r="E740" s="27"/>
      <c r="F740" s="27" t="s">
        <v>5375</v>
      </c>
      <c r="G740" s="27"/>
      <c r="H740" s="27" t="s">
        <v>4055</v>
      </c>
      <c r="I740" s="27"/>
    </row>
    <row r="741" customFormat="false" ht="15" hidden="false" customHeight="true" outlineLevel="0" collapsed="false">
      <c r="A741" s="27" t="s">
        <v>4060</v>
      </c>
      <c r="B741" s="27" t="s">
        <v>559</v>
      </c>
      <c r="C741" s="27" t="s">
        <v>5367</v>
      </c>
      <c r="D741" s="27" t="s">
        <v>5368</v>
      </c>
      <c r="E741" s="27"/>
      <c r="F741" s="27" t="s">
        <v>5375</v>
      </c>
      <c r="G741" s="27"/>
      <c r="H741" s="27" t="s">
        <v>4061</v>
      </c>
      <c r="I741" s="27"/>
    </row>
    <row r="742" customFormat="false" ht="15" hidden="false" customHeight="true" outlineLevel="0" collapsed="false">
      <c r="A742" s="27" t="s">
        <v>4069</v>
      </c>
      <c r="B742" s="27" t="s">
        <v>559</v>
      </c>
      <c r="C742" s="27" t="s">
        <v>5399</v>
      </c>
      <c r="D742" s="27" t="s">
        <v>5400</v>
      </c>
      <c r="E742" s="27"/>
      <c r="F742" s="27" t="s">
        <v>5417</v>
      </c>
      <c r="G742" s="27"/>
      <c r="H742" s="27" t="s">
        <v>4070</v>
      </c>
      <c r="I742" s="27"/>
    </row>
    <row r="743" customFormat="false" ht="15" hidden="false" customHeight="true" outlineLevel="0" collapsed="false">
      <c r="A743" s="27" t="s">
        <v>4069</v>
      </c>
      <c r="B743" s="27" t="s">
        <v>559</v>
      </c>
      <c r="C743" s="27" t="s">
        <v>5367</v>
      </c>
      <c r="D743" s="27" t="s">
        <v>5368</v>
      </c>
      <c r="E743" s="27"/>
      <c r="F743" s="27" t="s">
        <v>5369</v>
      </c>
      <c r="G743" s="27"/>
      <c r="H743" s="27" t="s">
        <v>4070</v>
      </c>
      <c r="I743" s="27"/>
    </row>
    <row r="744" customFormat="false" ht="15" hidden="false" customHeight="true" outlineLevel="0" collapsed="false">
      <c r="A744" s="27" t="s">
        <v>4072</v>
      </c>
      <c r="B744" s="27" t="s">
        <v>559</v>
      </c>
      <c r="C744" s="27" t="s">
        <v>5367</v>
      </c>
      <c r="D744" s="27" t="s">
        <v>5368</v>
      </c>
      <c r="E744" s="27"/>
      <c r="F744" s="27" t="s">
        <v>5375</v>
      </c>
      <c r="G744" s="27"/>
      <c r="H744" s="27" t="s">
        <v>4073</v>
      </c>
      <c r="I744" s="27"/>
    </row>
    <row r="745" customFormat="false" ht="15" hidden="false" customHeight="true" outlineLevel="0" collapsed="false">
      <c r="A745" s="27" t="s">
        <v>4099</v>
      </c>
      <c r="B745" s="27" t="s">
        <v>559</v>
      </c>
      <c r="C745" s="27" t="s">
        <v>5399</v>
      </c>
      <c r="D745" s="27" t="s">
        <v>5400</v>
      </c>
      <c r="E745" s="27"/>
      <c r="F745" s="27" t="s">
        <v>5418</v>
      </c>
      <c r="G745" s="27"/>
      <c r="H745" s="27" t="s">
        <v>4100</v>
      </c>
      <c r="I745" s="27"/>
    </row>
    <row r="746" customFormat="false" ht="15" hidden="false" customHeight="true" outlineLevel="0" collapsed="false">
      <c r="A746" s="27" t="s">
        <v>4099</v>
      </c>
      <c r="B746" s="27" t="s">
        <v>559</v>
      </c>
      <c r="C746" s="27" t="s">
        <v>5367</v>
      </c>
      <c r="D746" s="27" t="s">
        <v>5368</v>
      </c>
      <c r="E746" s="27"/>
      <c r="F746" s="27" t="s">
        <v>5369</v>
      </c>
      <c r="G746" s="27"/>
      <c r="H746" s="27" t="s">
        <v>4100</v>
      </c>
      <c r="I746" s="27"/>
    </row>
    <row r="747" customFormat="false" ht="15" hidden="false" customHeight="true" outlineLevel="0" collapsed="false">
      <c r="A747" s="27" t="s">
        <v>4102</v>
      </c>
      <c r="B747" s="27" t="s">
        <v>559</v>
      </c>
      <c r="C747" s="27" t="s">
        <v>5367</v>
      </c>
      <c r="D747" s="27" t="s">
        <v>5368</v>
      </c>
      <c r="E747" s="27"/>
      <c r="F747" s="27" t="s">
        <v>5375</v>
      </c>
      <c r="G747" s="27"/>
      <c r="H747" s="27" t="s">
        <v>4103</v>
      </c>
      <c r="I747" s="27"/>
    </row>
    <row r="748" customFormat="false" ht="15" hidden="false" customHeight="true" outlineLevel="0" collapsed="false">
      <c r="A748" s="27" t="s">
        <v>4105</v>
      </c>
      <c r="B748" s="27" t="s">
        <v>559</v>
      </c>
      <c r="C748" s="27" t="s">
        <v>5367</v>
      </c>
      <c r="D748" s="27" t="s">
        <v>5368</v>
      </c>
      <c r="E748" s="27"/>
      <c r="F748" s="27" t="s">
        <v>5375</v>
      </c>
      <c r="G748" s="27"/>
      <c r="H748" s="27" t="s">
        <v>4106</v>
      </c>
      <c r="I748" s="27"/>
    </row>
    <row r="749" customFormat="false" ht="15" hidden="false" customHeight="true" outlineLevel="0" collapsed="false">
      <c r="A749" s="27" t="s">
        <v>4108</v>
      </c>
      <c r="B749" s="27" t="s">
        <v>559</v>
      </c>
      <c r="C749" s="27" t="s">
        <v>5367</v>
      </c>
      <c r="D749" s="27" t="s">
        <v>5368</v>
      </c>
      <c r="E749" s="27"/>
      <c r="F749" s="27" t="s">
        <v>5375</v>
      </c>
      <c r="G749" s="27"/>
      <c r="H749" s="27" t="s">
        <v>4109</v>
      </c>
      <c r="I749" s="27"/>
    </row>
    <row r="750" customFormat="false" ht="15" hidden="false" customHeight="true" outlineLevel="0" collapsed="false">
      <c r="A750" s="27" t="s">
        <v>4123</v>
      </c>
      <c r="B750" s="27" t="s">
        <v>559</v>
      </c>
      <c r="C750" s="27" t="s">
        <v>5367</v>
      </c>
      <c r="D750" s="27" t="s">
        <v>5368</v>
      </c>
      <c r="E750" s="27"/>
      <c r="F750" s="27" t="s">
        <v>5375</v>
      </c>
      <c r="G750" s="27"/>
      <c r="H750" s="27" t="s">
        <v>4124</v>
      </c>
      <c r="I750" s="27"/>
    </row>
    <row r="751" customFormat="false" ht="15" hidden="false" customHeight="true" outlineLevel="0" collapsed="false">
      <c r="A751" s="27" t="s">
        <v>4126</v>
      </c>
      <c r="B751" s="27" t="s">
        <v>559</v>
      </c>
      <c r="C751" s="27" t="s">
        <v>5367</v>
      </c>
      <c r="D751" s="27" t="s">
        <v>5368</v>
      </c>
      <c r="E751" s="27"/>
      <c r="F751" s="27" t="s">
        <v>5375</v>
      </c>
      <c r="G751" s="27"/>
      <c r="H751" s="27" t="s">
        <v>4127</v>
      </c>
      <c r="I751" s="27"/>
    </row>
    <row r="752" customFormat="false" ht="15" hidden="false" customHeight="true" outlineLevel="0" collapsed="false">
      <c r="A752" s="27" t="s">
        <v>4129</v>
      </c>
      <c r="B752" s="27" t="s">
        <v>559</v>
      </c>
      <c r="C752" s="27" t="s">
        <v>5367</v>
      </c>
      <c r="D752" s="27" t="s">
        <v>5368</v>
      </c>
      <c r="E752" s="27"/>
      <c r="F752" s="27" t="s">
        <v>5375</v>
      </c>
      <c r="G752" s="27"/>
      <c r="H752" s="27" t="s">
        <v>4130</v>
      </c>
      <c r="I752" s="27"/>
    </row>
    <row r="753" customFormat="false" ht="15" hidden="false" customHeight="true" outlineLevel="0" collapsed="false">
      <c r="A753" s="27" t="s">
        <v>4138</v>
      </c>
      <c r="B753" s="27" t="s">
        <v>559</v>
      </c>
      <c r="C753" s="27" t="s">
        <v>5367</v>
      </c>
      <c r="D753" s="27" t="s">
        <v>5368</v>
      </c>
      <c r="E753" s="27"/>
      <c r="F753" s="27" t="s">
        <v>5369</v>
      </c>
      <c r="G753" s="27"/>
      <c r="H753" s="27" t="s">
        <v>4139</v>
      </c>
      <c r="I753" s="27"/>
    </row>
    <row r="754" customFormat="false" ht="15" hidden="false" customHeight="true" outlineLevel="0" collapsed="false">
      <c r="A754" s="27" t="s">
        <v>4141</v>
      </c>
      <c r="B754" s="27" t="s">
        <v>559</v>
      </c>
      <c r="C754" s="27" t="s">
        <v>5367</v>
      </c>
      <c r="D754" s="27" t="s">
        <v>5368</v>
      </c>
      <c r="E754" s="27"/>
      <c r="F754" s="27" t="s">
        <v>5369</v>
      </c>
      <c r="G754" s="27"/>
      <c r="H754" s="27" t="s">
        <v>4142</v>
      </c>
      <c r="I754" s="27"/>
    </row>
    <row r="755" customFormat="false" ht="15" hidden="false" customHeight="true" outlineLevel="0" collapsed="false">
      <c r="A755" s="27" t="s">
        <v>4147</v>
      </c>
      <c r="B755" s="27" t="s">
        <v>559</v>
      </c>
      <c r="C755" s="27" t="s">
        <v>5367</v>
      </c>
      <c r="D755" s="27" t="s">
        <v>5368</v>
      </c>
      <c r="E755" s="27"/>
      <c r="F755" s="27" t="s">
        <v>5375</v>
      </c>
      <c r="G755" s="27"/>
      <c r="H755" s="27" t="s">
        <v>4148</v>
      </c>
      <c r="I755" s="27"/>
    </row>
    <row r="756" customFormat="false" ht="15" hidden="false" customHeight="true" outlineLevel="0" collapsed="false">
      <c r="A756" s="27" t="s">
        <v>4150</v>
      </c>
      <c r="B756" s="27" t="s">
        <v>559</v>
      </c>
      <c r="C756" s="27" t="s">
        <v>5367</v>
      </c>
      <c r="D756" s="27" t="s">
        <v>5368</v>
      </c>
      <c r="E756" s="27"/>
      <c r="F756" s="27" t="s">
        <v>5375</v>
      </c>
      <c r="G756" s="27"/>
      <c r="H756" s="27" t="s">
        <v>4151</v>
      </c>
      <c r="I756" s="27"/>
    </row>
    <row r="757" customFormat="false" ht="15" hidden="false" customHeight="true" outlineLevel="0" collapsed="false">
      <c r="A757" s="27" t="s">
        <v>4162</v>
      </c>
      <c r="B757" s="27" t="s">
        <v>559</v>
      </c>
      <c r="C757" s="27" t="s">
        <v>5367</v>
      </c>
      <c r="D757" s="27" t="s">
        <v>5368</v>
      </c>
      <c r="E757" s="27"/>
      <c r="F757" s="27" t="s">
        <v>5375</v>
      </c>
      <c r="G757" s="27"/>
      <c r="H757" s="27" t="s">
        <v>5570</v>
      </c>
      <c r="I757" s="27"/>
    </row>
    <row r="758" customFormat="false" ht="15" hidden="false" customHeight="true" outlineLevel="0" collapsed="false">
      <c r="A758" s="27" t="s">
        <v>4168</v>
      </c>
      <c r="B758" s="27" t="s">
        <v>559</v>
      </c>
      <c r="C758" s="27" t="s">
        <v>5367</v>
      </c>
      <c r="D758" s="27" t="s">
        <v>5368</v>
      </c>
      <c r="E758" s="27"/>
      <c r="F758" s="27" t="s">
        <v>5369</v>
      </c>
      <c r="G758" s="27"/>
      <c r="H758" s="27" t="s">
        <v>4169</v>
      </c>
      <c r="I758" s="27"/>
    </row>
    <row r="759" customFormat="false" ht="15" hidden="false" customHeight="true" outlineLevel="0" collapsed="false">
      <c r="A759" s="27" t="s">
        <v>4171</v>
      </c>
      <c r="B759" s="27" t="s">
        <v>559</v>
      </c>
      <c r="C759" s="27" t="s">
        <v>5367</v>
      </c>
      <c r="D759" s="27" t="s">
        <v>5368</v>
      </c>
      <c r="E759" s="27"/>
      <c r="F759" s="27" t="s">
        <v>5375</v>
      </c>
      <c r="G759" s="27"/>
      <c r="H759" s="27" t="s">
        <v>4172</v>
      </c>
      <c r="I759" s="27"/>
    </row>
    <row r="760" customFormat="false" ht="15" hidden="false" customHeight="true" outlineLevel="0" collapsed="false">
      <c r="A760" s="27" t="s">
        <v>4174</v>
      </c>
      <c r="B760" s="27" t="s">
        <v>559</v>
      </c>
      <c r="C760" s="27" t="s">
        <v>5367</v>
      </c>
      <c r="D760" s="27" t="s">
        <v>5368</v>
      </c>
      <c r="E760" s="27"/>
      <c r="F760" s="27" t="s">
        <v>5375</v>
      </c>
      <c r="G760" s="27"/>
      <c r="H760" s="27" t="s">
        <v>4175</v>
      </c>
      <c r="I760" s="27"/>
    </row>
    <row r="761" customFormat="false" ht="15" hidden="false" customHeight="true" outlineLevel="0" collapsed="false">
      <c r="A761" s="27" t="s">
        <v>4180</v>
      </c>
      <c r="B761" s="27" t="s">
        <v>559</v>
      </c>
      <c r="C761" s="27" t="s">
        <v>5367</v>
      </c>
      <c r="D761" s="27" t="s">
        <v>5368</v>
      </c>
      <c r="E761" s="27"/>
      <c r="F761" s="27" t="s">
        <v>5485</v>
      </c>
      <c r="G761" s="27"/>
      <c r="H761" s="27" t="s">
        <v>4181</v>
      </c>
      <c r="I761" s="27"/>
    </row>
    <row r="762" customFormat="false" ht="15" hidden="false" customHeight="true" outlineLevel="0" collapsed="false">
      <c r="A762" s="27" t="s">
        <v>4183</v>
      </c>
      <c r="B762" s="27" t="s">
        <v>559</v>
      </c>
      <c r="C762" s="27" t="s">
        <v>5367</v>
      </c>
      <c r="D762" s="27" t="s">
        <v>5368</v>
      </c>
      <c r="E762" s="27"/>
      <c r="F762" s="27" t="s">
        <v>5369</v>
      </c>
      <c r="G762" s="27"/>
      <c r="H762" s="27" t="s">
        <v>4184</v>
      </c>
      <c r="I762" s="27"/>
    </row>
    <row r="763" customFormat="false" ht="15" hidden="false" customHeight="true" outlineLevel="0" collapsed="false">
      <c r="A763" s="27" t="s">
        <v>4189</v>
      </c>
      <c r="B763" s="27" t="s">
        <v>559</v>
      </c>
      <c r="C763" s="27" t="s">
        <v>5367</v>
      </c>
      <c r="D763" s="27" t="s">
        <v>5368</v>
      </c>
      <c r="E763" s="27"/>
      <c r="F763" s="27" t="s">
        <v>5369</v>
      </c>
      <c r="G763" s="27"/>
      <c r="H763" s="28" t="s">
        <v>4190</v>
      </c>
      <c r="I763" s="27"/>
    </row>
    <row r="764" customFormat="false" ht="15" hidden="false" customHeight="true" outlineLevel="0" collapsed="false">
      <c r="A764" s="27" t="s">
        <v>4195</v>
      </c>
      <c r="B764" s="27" t="s">
        <v>559</v>
      </c>
      <c r="C764" s="27" t="s">
        <v>5367</v>
      </c>
      <c r="D764" s="27" t="s">
        <v>5368</v>
      </c>
      <c r="E764" s="27"/>
      <c r="F764" s="27" t="s">
        <v>5375</v>
      </c>
      <c r="G764" s="27"/>
      <c r="H764" s="27" t="s">
        <v>4196</v>
      </c>
      <c r="I764" s="27"/>
    </row>
    <row r="765" customFormat="false" ht="15" hidden="false" customHeight="true" outlineLevel="0" collapsed="false">
      <c r="A765" s="27" t="s">
        <v>4204</v>
      </c>
      <c r="B765" s="27" t="s">
        <v>559</v>
      </c>
      <c r="C765" s="27" t="s">
        <v>5399</v>
      </c>
      <c r="D765" s="27" t="s">
        <v>5400</v>
      </c>
      <c r="E765" s="27"/>
      <c r="F765" s="27" t="s">
        <v>5417</v>
      </c>
      <c r="G765" s="27"/>
      <c r="H765" s="27" t="s">
        <v>4205</v>
      </c>
      <c r="I765" s="27"/>
    </row>
    <row r="766" customFormat="false" ht="15" hidden="false" customHeight="true" outlineLevel="0" collapsed="false">
      <c r="A766" s="27" t="s">
        <v>4204</v>
      </c>
      <c r="B766" s="27" t="s">
        <v>559</v>
      </c>
      <c r="C766" s="27" t="s">
        <v>5367</v>
      </c>
      <c r="D766" s="27" t="s">
        <v>5368</v>
      </c>
      <c r="E766" s="27"/>
      <c r="F766" s="27" t="s">
        <v>5375</v>
      </c>
      <c r="G766" s="27"/>
      <c r="H766" s="27" t="s">
        <v>4205</v>
      </c>
      <c r="I766" s="27"/>
    </row>
    <row r="767" customFormat="false" ht="15" hidden="false" customHeight="true" outlineLevel="0" collapsed="false">
      <c r="A767" s="27" t="s">
        <v>4207</v>
      </c>
      <c r="B767" s="27" t="s">
        <v>559</v>
      </c>
      <c r="C767" s="27" t="s">
        <v>5367</v>
      </c>
      <c r="D767" s="27" t="s">
        <v>5368</v>
      </c>
      <c r="E767" s="27"/>
      <c r="F767" s="27" t="s">
        <v>5375</v>
      </c>
      <c r="G767" s="27"/>
      <c r="H767" s="27" t="s">
        <v>4208</v>
      </c>
      <c r="I767" s="27"/>
    </row>
    <row r="768" customFormat="false" ht="15" hidden="false" customHeight="true" outlineLevel="0" collapsed="false">
      <c r="A768" s="27" t="s">
        <v>4210</v>
      </c>
      <c r="B768" s="27" t="s">
        <v>559</v>
      </c>
      <c r="C768" s="27" t="s">
        <v>5367</v>
      </c>
      <c r="D768" s="27" t="s">
        <v>5368</v>
      </c>
      <c r="E768" s="27"/>
      <c r="F768" s="27" t="s">
        <v>5375</v>
      </c>
      <c r="G768" s="27"/>
      <c r="H768" s="27" t="s">
        <v>4211</v>
      </c>
      <c r="I768" s="27"/>
    </row>
    <row r="769" customFormat="false" ht="15" hidden="false" customHeight="true" outlineLevel="0" collapsed="false">
      <c r="A769" s="27" t="s">
        <v>4213</v>
      </c>
      <c r="B769" s="27" t="s">
        <v>559</v>
      </c>
      <c r="C769" s="27" t="s">
        <v>5367</v>
      </c>
      <c r="D769" s="27" t="s">
        <v>5368</v>
      </c>
      <c r="E769" s="27"/>
      <c r="F769" s="27" t="s">
        <v>5375</v>
      </c>
      <c r="G769" s="27"/>
      <c r="H769" s="27" t="s">
        <v>4214</v>
      </c>
      <c r="I769" s="27"/>
    </row>
    <row r="770" customFormat="false" ht="15" hidden="false" customHeight="true" outlineLevel="0" collapsed="false">
      <c r="A770" s="27" t="s">
        <v>4216</v>
      </c>
      <c r="B770" s="27" t="s">
        <v>559</v>
      </c>
      <c r="C770" s="27" t="s">
        <v>5367</v>
      </c>
      <c r="D770" s="27" t="s">
        <v>5368</v>
      </c>
      <c r="E770" s="27"/>
      <c r="F770" s="27" t="s">
        <v>5375</v>
      </c>
      <c r="G770" s="27"/>
      <c r="H770" s="27" t="s">
        <v>4217</v>
      </c>
      <c r="I770" s="27"/>
    </row>
    <row r="771" customFormat="false" ht="15" hidden="false" customHeight="true" outlineLevel="0" collapsed="false">
      <c r="A771" s="27" t="s">
        <v>4219</v>
      </c>
      <c r="B771" s="27" t="s">
        <v>559</v>
      </c>
      <c r="C771" s="27" t="s">
        <v>5367</v>
      </c>
      <c r="D771" s="27" t="s">
        <v>5368</v>
      </c>
      <c r="E771" s="27"/>
      <c r="F771" s="27" t="s">
        <v>5375</v>
      </c>
      <c r="G771" s="27"/>
      <c r="H771" s="27" t="s">
        <v>4220</v>
      </c>
      <c r="I771" s="27"/>
    </row>
    <row r="772" customFormat="false" ht="15" hidden="false" customHeight="true" outlineLevel="0" collapsed="false">
      <c r="A772" s="27" t="s">
        <v>4222</v>
      </c>
      <c r="B772" s="27" t="s">
        <v>559</v>
      </c>
      <c r="C772" s="27" t="s">
        <v>5399</v>
      </c>
      <c r="D772" s="27" t="s">
        <v>5400</v>
      </c>
      <c r="E772" s="27"/>
      <c r="F772" s="27" t="s">
        <v>5417</v>
      </c>
      <c r="G772" s="27"/>
      <c r="H772" s="27" t="s">
        <v>4223</v>
      </c>
      <c r="I772" s="27"/>
    </row>
    <row r="773" customFormat="false" ht="15" hidden="false" customHeight="true" outlineLevel="0" collapsed="false">
      <c r="A773" s="27" t="s">
        <v>4222</v>
      </c>
      <c r="B773" s="27" t="s">
        <v>559</v>
      </c>
      <c r="C773" s="27" t="s">
        <v>5367</v>
      </c>
      <c r="D773" s="27" t="s">
        <v>5368</v>
      </c>
      <c r="E773" s="27"/>
      <c r="F773" s="27" t="s">
        <v>5369</v>
      </c>
      <c r="G773" s="27"/>
      <c r="H773" s="27" t="s">
        <v>4223</v>
      </c>
      <c r="I773" s="27"/>
    </row>
    <row r="774" customFormat="false" ht="15" hidden="false" customHeight="true" outlineLevel="0" collapsed="false">
      <c r="A774" s="27" t="s">
        <v>4225</v>
      </c>
      <c r="B774" s="27" t="s">
        <v>559</v>
      </c>
      <c r="C774" s="27" t="s">
        <v>5399</v>
      </c>
      <c r="D774" s="27" t="s">
        <v>5400</v>
      </c>
      <c r="E774" s="27"/>
      <c r="F774" s="27" t="s">
        <v>5418</v>
      </c>
      <c r="G774" s="27"/>
      <c r="H774" s="28" t="s">
        <v>4226</v>
      </c>
      <c r="I774" s="27"/>
    </row>
    <row r="775" customFormat="false" ht="15" hidden="false" customHeight="true" outlineLevel="0" collapsed="false">
      <c r="A775" s="27" t="s">
        <v>4225</v>
      </c>
      <c r="B775" s="27" t="s">
        <v>559</v>
      </c>
      <c r="C775" s="27" t="s">
        <v>5367</v>
      </c>
      <c r="D775" s="27" t="s">
        <v>5368</v>
      </c>
      <c r="E775" s="27"/>
      <c r="F775" s="27" t="s">
        <v>5375</v>
      </c>
      <c r="G775" s="27"/>
      <c r="H775" s="28" t="s">
        <v>4226</v>
      </c>
      <c r="I775" s="27"/>
    </row>
    <row r="776" customFormat="false" ht="15" hidden="false" customHeight="true" outlineLevel="0" collapsed="false">
      <c r="A776" s="27" t="s">
        <v>4228</v>
      </c>
      <c r="B776" s="27" t="s">
        <v>559</v>
      </c>
      <c r="C776" s="27" t="s">
        <v>5367</v>
      </c>
      <c r="D776" s="27" t="s">
        <v>5368</v>
      </c>
      <c r="E776" s="27"/>
      <c r="F776" s="27" t="s">
        <v>5485</v>
      </c>
      <c r="G776" s="27"/>
      <c r="H776" s="27" t="s">
        <v>4229</v>
      </c>
      <c r="I776" s="27"/>
    </row>
    <row r="777" customFormat="false" ht="15" hidden="false" customHeight="true" outlineLevel="0" collapsed="false">
      <c r="A777" s="27" t="s">
        <v>4231</v>
      </c>
      <c r="B777" s="27" t="s">
        <v>559</v>
      </c>
      <c r="C777" s="27" t="s">
        <v>5367</v>
      </c>
      <c r="D777" s="27" t="s">
        <v>5368</v>
      </c>
      <c r="E777" s="27"/>
      <c r="F777" s="27" t="s">
        <v>5375</v>
      </c>
      <c r="G777" s="27"/>
      <c r="H777" s="27" t="s">
        <v>4232</v>
      </c>
      <c r="I777" s="27"/>
    </row>
    <row r="778" customFormat="false" ht="15" hidden="false" customHeight="true" outlineLevel="0" collapsed="false">
      <c r="A778" s="27" t="s">
        <v>4234</v>
      </c>
      <c r="B778" s="27" t="s">
        <v>559</v>
      </c>
      <c r="C778" s="27" t="s">
        <v>5367</v>
      </c>
      <c r="D778" s="27" t="s">
        <v>5368</v>
      </c>
      <c r="E778" s="27"/>
      <c r="F778" s="27" t="s">
        <v>5375</v>
      </c>
      <c r="G778" s="27"/>
      <c r="H778" s="27" t="s">
        <v>4235</v>
      </c>
      <c r="I778" s="27"/>
    </row>
    <row r="779" customFormat="false" ht="15" hidden="false" customHeight="true" outlineLevel="0" collapsed="false">
      <c r="A779" s="27" t="s">
        <v>4237</v>
      </c>
      <c r="B779" s="27" t="s">
        <v>559</v>
      </c>
      <c r="C779" s="27" t="s">
        <v>5367</v>
      </c>
      <c r="D779" s="27" t="s">
        <v>5368</v>
      </c>
      <c r="E779" s="27"/>
      <c r="F779" s="27" t="s">
        <v>5375</v>
      </c>
      <c r="G779" s="27"/>
      <c r="H779" s="27" t="s">
        <v>4238</v>
      </c>
      <c r="I779" s="27"/>
    </row>
    <row r="780" customFormat="false" ht="15" hidden="false" customHeight="true" outlineLevel="0" collapsed="false">
      <c r="A780" s="27" t="s">
        <v>4240</v>
      </c>
      <c r="B780" s="27" t="s">
        <v>559</v>
      </c>
      <c r="C780" s="27" t="s">
        <v>5367</v>
      </c>
      <c r="D780" s="27" t="s">
        <v>5368</v>
      </c>
      <c r="E780" s="27"/>
      <c r="F780" s="27" t="s">
        <v>5485</v>
      </c>
      <c r="G780" s="27"/>
      <c r="H780" s="27" t="s">
        <v>4241</v>
      </c>
      <c r="I780" s="27"/>
    </row>
    <row r="781" customFormat="false" ht="15" hidden="false" customHeight="true" outlineLevel="0" collapsed="false">
      <c r="A781" s="27" t="s">
        <v>4243</v>
      </c>
      <c r="B781" s="27" t="s">
        <v>559</v>
      </c>
      <c r="C781" s="27" t="s">
        <v>5367</v>
      </c>
      <c r="D781" s="27" t="s">
        <v>5368</v>
      </c>
      <c r="E781" s="27"/>
      <c r="F781" s="27" t="s">
        <v>5375</v>
      </c>
      <c r="G781" s="27"/>
      <c r="H781" s="27" t="s">
        <v>4244</v>
      </c>
      <c r="I781" s="27"/>
    </row>
    <row r="782" customFormat="false" ht="15" hidden="false" customHeight="true" outlineLevel="0" collapsed="false">
      <c r="A782" s="27" t="s">
        <v>4246</v>
      </c>
      <c r="B782" s="27" t="s">
        <v>559</v>
      </c>
      <c r="C782" s="27" t="s">
        <v>5367</v>
      </c>
      <c r="D782" s="27" t="s">
        <v>5368</v>
      </c>
      <c r="E782" s="27"/>
      <c r="F782" s="27" t="s">
        <v>5375</v>
      </c>
      <c r="G782" s="27"/>
      <c r="H782" s="27" t="s">
        <v>4247</v>
      </c>
      <c r="I782" s="27"/>
    </row>
    <row r="783" customFormat="false" ht="15" hidden="false" customHeight="true" outlineLevel="0" collapsed="false">
      <c r="A783" s="27" t="s">
        <v>4249</v>
      </c>
      <c r="B783" s="27" t="s">
        <v>559</v>
      </c>
      <c r="C783" s="27" t="s">
        <v>5367</v>
      </c>
      <c r="D783" s="27" t="s">
        <v>5368</v>
      </c>
      <c r="E783" s="27"/>
      <c r="F783" s="27" t="s">
        <v>5375</v>
      </c>
      <c r="G783" s="27"/>
      <c r="H783" s="27" t="s">
        <v>4250</v>
      </c>
      <c r="I783" s="27"/>
    </row>
    <row r="784" customFormat="false" ht="15" hidden="false" customHeight="true" outlineLevel="0" collapsed="false">
      <c r="A784" s="27" t="s">
        <v>4252</v>
      </c>
      <c r="B784" s="27" t="s">
        <v>559</v>
      </c>
      <c r="C784" s="27" t="s">
        <v>5367</v>
      </c>
      <c r="D784" s="27" t="s">
        <v>5368</v>
      </c>
      <c r="E784" s="27"/>
      <c r="F784" s="27" t="s">
        <v>5375</v>
      </c>
      <c r="G784" s="27"/>
      <c r="H784" s="27" t="s">
        <v>4253</v>
      </c>
      <c r="I784" s="27"/>
    </row>
    <row r="785" customFormat="false" ht="15" hidden="false" customHeight="true" outlineLevel="0" collapsed="false">
      <c r="A785" s="27" t="s">
        <v>4255</v>
      </c>
      <c r="B785" s="27" t="s">
        <v>559</v>
      </c>
      <c r="C785" s="27" t="s">
        <v>5367</v>
      </c>
      <c r="D785" s="27" t="s">
        <v>5368</v>
      </c>
      <c r="E785" s="27"/>
      <c r="F785" s="27" t="s">
        <v>5375</v>
      </c>
      <c r="G785" s="27"/>
      <c r="H785" s="27" t="s">
        <v>4256</v>
      </c>
      <c r="I785" s="27"/>
    </row>
    <row r="786" customFormat="false" ht="15" hidden="false" customHeight="true" outlineLevel="0" collapsed="false">
      <c r="A786" s="27" t="s">
        <v>4258</v>
      </c>
      <c r="B786" s="27" t="s">
        <v>559</v>
      </c>
      <c r="C786" s="27" t="s">
        <v>5367</v>
      </c>
      <c r="D786" s="27" t="s">
        <v>5368</v>
      </c>
      <c r="E786" s="27"/>
      <c r="F786" s="27" t="s">
        <v>5375</v>
      </c>
      <c r="G786" s="27"/>
      <c r="H786" s="27" t="s">
        <v>4259</v>
      </c>
      <c r="I786" s="27"/>
    </row>
    <row r="787" customFormat="false" ht="15" hidden="false" customHeight="true" outlineLevel="0" collapsed="false">
      <c r="A787" s="27" t="s">
        <v>4264</v>
      </c>
      <c r="B787" s="27" t="s">
        <v>559</v>
      </c>
      <c r="C787" s="27" t="s">
        <v>5367</v>
      </c>
      <c r="D787" s="27" t="s">
        <v>5368</v>
      </c>
      <c r="E787" s="27"/>
      <c r="F787" s="27" t="s">
        <v>5375</v>
      </c>
      <c r="G787" s="27"/>
      <c r="H787" s="27" t="s">
        <v>4265</v>
      </c>
      <c r="I787" s="27"/>
    </row>
    <row r="788" customFormat="false" ht="15" hidden="false" customHeight="true" outlineLevel="0" collapsed="false">
      <c r="A788" s="27" t="s">
        <v>4267</v>
      </c>
      <c r="B788" s="27" t="s">
        <v>559</v>
      </c>
      <c r="C788" s="27" t="s">
        <v>5399</v>
      </c>
      <c r="D788" s="27" t="s">
        <v>5400</v>
      </c>
      <c r="E788" s="27"/>
      <c r="F788" s="27" t="s">
        <v>5417</v>
      </c>
      <c r="G788" s="27"/>
      <c r="H788" s="27" t="s">
        <v>4268</v>
      </c>
      <c r="I788" s="27"/>
    </row>
    <row r="789" customFormat="false" ht="15" hidden="false" customHeight="true" outlineLevel="0" collapsed="false">
      <c r="A789" s="27" t="s">
        <v>4267</v>
      </c>
      <c r="B789" s="27" t="s">
        <v>559</v>
      </c>
      <c r="C789" s="27" t="s">
        <v>5367</v>
      </c>
      <c r="D789" s="27" t="s">
        <v>5368</v>
      </c>
      <c r="E789" s="27"/>
      <c r="F789" s="27" t="s">
        <v>5375</v>
      </c>
      <c r="G789" s="27"/>
      <c r="H789" s="27" t="s">
        <v>4268</v>
      </c>
      <c r="I789" s="27"/>
    </row>
    <row r="790" customFormat="false" ht="15" hidden="false" customHeight="true" outlineLevel="0" collapsed="false">
      <c r="A790" s="27" t="s">
        <v>4270</v>
      </c>
      <c r="B790" s="27" t="s">
        <v>559</v>
      </c>
      <c r="C790" s="27" t="s">
        <v>5399</v>
      </c>
      <c r="D790" s="27" t="s">
        <v>5400</v>
      </c>
      <c r="E790" s="27"/>
      <c r="F790" s="27" t="s">
        <v>5418</v>
      </c>
      <c r="G790" s="27"/>
      <c r="H790" s="27" t="s">
        <v>4271</v>
      </c>
      <c r="I790" s="27"/>
    </row>
    <row r="791" customFormat="false" ht="15" hidden="false" customHeight="true" outlineLevel="0" collapsed="false">
      <c r="A791" s="27" t="s">
        <v>4270</v>
      </c>
      <c r="B791" s="27" t="s">
        <v>559</v>
      </c>
      <c r="C791" s="27" t="s">
        <v>5367</v>
      </c>
      <c r="D791" s="27" t="s">
        <v>5368</v>
      </c>
      <c r="E791" s="27"/>
      <c r="F791" s="27" t="s">
        <v>5369</v>
      </c>
      <c r="G791" s="27"/>
      <c r="H791" s="27" t="s">
        <v>4271</v>
      </c>
      <c r="I791" s="27"/>
    </row>
    <row r="792" customFormat="false" ht="15" hidden="false" customHeight="true" outlineLevel="0" collapsed="false">
      <c r="A792" s="27" t="s">
        <v>4273</v>
      </c>
      <c r="B792" s="27" t="s">
        <v>559</v>
      </c>
      <c r="C792" s="27" t="s">
        <v>5367</v>
      </c>
      <c r="D792" s="27" t="s">
        <v>5368</v>
      </c>
      <c r="E792" s="27"/>
      <c r="F792" s="27" t="s">
        <v>5375</v>
      </c>
      <c r="G792" s="27"/>
      <c r="H792" s="27" t="s">
        <v>4274</v>
      </c>
      <c r="I792" s="27"/>
    </row>
    <row r="793" customFormat="false" ht="15" hidden="false" customHeight="true" outlineLevel="0" collapsed="false">
      <c r="A793" s="27" t="s">
        <v>4276</v>
      </c>
      <c r="B793" s="27" t="s">
        <v>559</v>
      </c>
      <c r="C793" s="27" t="s">
        <v>5367</v>
      </c>
      <c r="D793" s="27" t="s">
        <v>5368</v>
      </c>
      <c r="E793" s="27"/>
      <c r="F793" s="27" t="s">
        <v>5375</v>
      </c>
      <c r="G793" s="27"/>
      <c r="H793" s="27" t="s">
        <v>4277</v>
      </c>
      <c r="I793" s="27"/>
    </row>
    <row r="794" customFormat="false" ht="15" hidden="false" customHeight="true" outlineLevel="0" collapsed="false">
      <c r="A794" s="27" t="s">
        <v>4285</v>
      </c>
      <c r="B794" s="27" t="s">
        <v>559</v>
      </c>
      <c r="C794" s="27" t="s">
        <v>5367</v>
      </c>
      <c r="D794" s="27" t="s">
        <v>5368</v>
      </c>
      <c r="E794" s="27"/>
      <c r="F794" s="27" t="s">
        <v>5375</v>
      </c>
      <c r="G794" s="27"/>
      <c r="H794" s="27" t="s">
        <v>4286</v>
      </c>
      <c r="I794" s="27"/>
    </row>
    <row r="795" customFormat="false" ht="15" hidden="false" customHeight="true" outlineLevel="0" collapsed="false">
      <c r="A795" s="27" t="s">
        <v>4288</v>
      </c>
      <c r="B795" s="27" t="s">
        <v>559</v>
      </c>
      <c r="C795" s="27" t="s">
        <v>5399</v>
      </c>
      <c r="D795" s="27" t="s">
        <v>5400</v>
      </c>
      <c r="E795" s="27"/>
      <c r="F795" s="27" t="s">
        <v>5417</v>
      </c>
      <c r="G795" s="27"/>
      <c r="H795" s="27" t="s">
        <v>4289</v>
      </c>
      <c r="I795" s="27"/>
    </row>
    <row r="796" customFormat="false" ht="15" hidden="false" customHeight="true" outlineLevel="0" collapsed="false">
      <c r="A796" s="27" t="s">
        <v>4288</v>
      </c>
      <c r="B796" s="27" t="s">
        <v>559</v>
      </c>
      <c r="C796" s="27" t="s">
        <v>5367</v>
      </c>
      <c r="D796" s="27" t="s">
        <v>5368</v>
      </c>
      <c r="E796" s="27"/>
      <c r="F796" s="27" t="s">
        <v>5375</v>
      </c>
      <c r="G796" s="27"/>
      <c r="H796" s="27" t="s">
        <v>4289</v>
      </c>
      <c r="I796" s="27"/>
    </row>
    <row r="797" customFormat="false" ht="15" hidden="false" customHeight="true" outlineLevel="0" collapsed="false">
      <c r="A797" s="27" t="s">
        <v>4291</v>
      </c>
      <c r="B797" s="27" t="s">
        <v>559</v>
      </c>
      <c r="C797" s="27" t="s">
        <v>5399</v>
      </c>
      <c r="D797" s="27" t="s">
        <v>5400</v>
      </c>
      <c r="E797" s="27"/>
      <c r="F797" s="27" t="s">
        <v>5417</v>
      </c>
      <c r="G797" s="27"/>
      <c r="H797" s="28" t="s">
        <v>4292</v>
      </c>
      <c r="I797" s="27"/>
    </row>
    <row r="798" customFormat="false" ht="15" hidden="false" customHeight="true" outlineLevel="0" collapsed="false">
      <c r="A798" s="27" t="s">
        <v>4291</v>
      </c>
      <c r="B798" s="27" t="s">
        <v>559</v>
      </c>
      <c r="C798" s="27" t="s">
        <v>5367</v>
      </c>
      <c r="D798" s="27" t="s">
        <v>5368</v>
      </c>
      <c r="E798" s="27"/>
      <c r="F798" s="27" t="s">
        <v>5375</v>
      </c>
      <c r="G798" s="27"/>
      <c r="H798" s="28" t="s">
        <v>4292</v>
      </c>
      <c r="I798" s="27"/>
    </row>
    <row r="799" customFormat="false" ht="15" hidden="false" customHeight="true" outlineLevel="0" collapsed="false">
      <c r="A799" s="27" t="s">
        <v>4294</v>
      </c>
      <c r="B799" s="27" t="s">
        <v>559</v>
      </c>
      <c r="C799" s="27" t="s">
        <v>5367</v>
      </c>
      <c r="D799" s="27" t="s">
        <v>5368</v>
      </c>
      <c r="E799" s="27"/>
      <c r="F799" s="27" t="s">
        <v>5375</v>
      </c>
      <c r="G799" s="27"/>
      <c r="H799" s="27" t="s">
        <v>4295</v>
      </c>
      <c r="I799" s="27"/>
    </row>
    <row r="800" customFormat="false" ht="15" hidden="false" customHeight="true" outlineLevel="0" collapsed="false">
      <c r="A800" s="27" t="s">
        <v>4300</v>
      </c>
      <c r="B800" s="27" t="s">
        <v>559</v>
      </c>
      <c r="C800" s="27" t="s">
        <v>5367</v>
      </c>
      <c r="D800" s="27" t="s">
        <v>5368</v>
      </c>
      <c r="E800" s="27"/>
      <c r="F800" s="27" t="s">
        <v>5375</v>
      </c>
      <c r="G800" s="27"/>
      <c r="H800" s="28" t="s">
        <v>4301</v>
      </c>
      <c r="I800" s="27"/>
    </row>
    <row r="801" customFormat="false" ht="15" hidden="false" customHeight="true" outlineLevel="0" collapsed="false">
      <c r="A801" s="27" t="s">
        <v>4303</v>
      </c>
      <c r="B801" s="27" t="s">
        <v>559</v>
      </c>
      <c r="C801" s="27" t="s">
        <v>5367</v>
      </c>
      <c r="D801" s="27" t="s">
        <v>5368</v>
      </c>
      <c r="E801" s="27"/>
      <c r="F801" s="27" t="s">
        <v>5375</v>
      </c>
      <c r="G801" s="27"/>
      <c r="H801" s="27" t="s">
        <v>4304</v>
      </c>
      <c r="I801" s="27"/>
    </row>
    <row r="802" customFormat="false" ht="15" hidden="false" customHeight="true" outlineLevel="0" collapsed="false">
      <c r="A802" s="27" t="s">
        <v>4306</v>
      </c>
      <c r="B802" s="27" t="s">
        <v>559</v>
      </c>
      <c r="C802" s="27" t="s">
        <v>5367</v>
      </c>
      <c r="D802" s="27" t="s">
        <v>5368</v>
      </c>
      <c r="E802" s="27"/>
      <c r="F802" s="27" t="s">
        <v>5369</v>
      </c>
      <c r="G802" s="27"/>
      <c r="H802" s="28" t="s">
        <v>4307</v>
      </c>
      <c r="I802" s="27"/>
    </row>
    <row r="803" customFormat="false" ht="15" hidden="false" customHeight="true" outlineLevel="0" collapsed="false">
      <c r="A803" s="27" t="s">
        <v>4309</v>
      </c>
      <c r="B803" s="27" t="s">
        <v>559</v>
      </c>
      <c r="C803" s="27" t="s">
        <v>5399</v>
      </c>
      <c r="D803" s="27" t="s">
        <v>5400</v>
      </c>
      <c r="E803" s="27"/>
      <c r="F803" s="27" t="s">
        <v>5417</v>
      </c>
      <c r="G803" s="27"/>
      <c r="H803" s="28" t="s">
        <v>4310</v>
      </c>
      <c r="I803" s="27"/>
    </row>
    <row r="804" customFormat="false" ht="15" hidden="false" customHeight="true" outlineLevel="0" collapsed="false">
      <c r="A804" s="27" t="s">
        <v>4312</v>
      </c>
      <c r="B804" s="27" t="s">
        <v>559</v>
      </c>
      <c r="C804" s="27" t="s">
        <v>5367</v>
      </c>
      <c r="D804" s="27" t="s">
        <v>5368</v>
      </c>
      <c r="E804" s="27"/>
      <c r="F804" s="27" t="s">
        <v>5369</v>
      </c>
      <c r="G804" s="27"/>
      <c r="H804" s="28" t="s">
        <v>4313</v>
      </c>
      <c r="I804" s="27"/>
    </row>
    <row r="805" customFormat="false" ht="15" hidden="false" customHeight="true" outlineLevel="0" collapsed="false">
      <c r="A805" s="27" t="s">
        <v>4315</v>
      </c>
      <c r="B805" s="27" t="s">
        <v>559</v>
      </c>
      <c r="C805" s="27" t="s">
        <v>5367</v>
      </c>
      <c r="D805" s="27" t="s">
        <v>5368</v>
      </c>
      <c r="E805" s="27"/>
      <c r="F805" s="27" t="s">
        <v>5369</v>
      </c>
      <c r="G805" s="27"/>
      <c r="H805" s="28" t="s">
        <v>4316</v>
      </c>
      <c r="I805" s="27"/>
    </row>
    <row r="806" customFormat="false" ht="15" hidden="false" customHeight="true" outlineLevel="0" collapsed="false">
      <c r="A806" s="27" t="s">
        <v>4336</v>
      </c>
      <c r="B806" s="27" t="s">
        <v>559</v>
      </c>
      <c r="C806" s="27" t="s">
        <v>5367</v>
      </c>
      <c r="D806" s="27" t="s">
        <v>5368</v>
      </c>
      <c r="E806" s="27"/>
      <c r="F806" s="27" t="s">
        <v>5375</v>
      </c>
      <c r="G806" s="27"/>
      <c r="H806" s="28" t="s">
        <v>4337</v>
      </c>
      <c r="I806" s="27"/>
    </row>
    <row r="807" customFormat="false" ht="15" hidden="false" customHeight="true" outlineLevel="0" collapsed="false">
      <c r="A807" s="27" t="s">
        <v>4345</v>
      </c>
      <c r="B807" s="27" t="s">
        <v>559</v>
      </c>
      <c r="C807" s="27" t="s">
        <v>5367</v>
      </c>
      <c r="D807" s="27" t="s">
        <v>5368</v>
      </c>
      <c r="E807" s="27"/>
      <c r="F807" s="27" t="s">
        <v>5369</v>
      </c>
      <c r="G807" s="27"/>
      <c r="H807" s="28" t="s">
        <v>4346</v>
      </c>
      <c r="I807" s="27"/>
    </row>
    <row r="808" customFormat="false" ht="15" hidden="false" customHeight="true" outlineLevel="0" collapsed="false">
      <c r="A808" s="27" t="s">
        <v>4351</v>
      </c>
      <c r="B808" s="27" t="s">
        <v>559</v>
      </c>
      <c r="C808" s="27" t="s">
        <v>5399</v>
      </c>
      <c r="D808" s="27" t="s">
        <v>5400</v>
      </c>
      <c r="E808" s="27"/>
      <c r="F808" s="27" t="s">
        <v>5417</v>
      </c>
      <c r="G808" s="27"/>
      <c r="H808" s="28" t="s">
        <v>4352</v>
      </c>
      <c r="I808" s="27"/>
    </row>
    <row r="809" customFormat="false" ht="15" hidden="false" customHeight="true" outlineLevel="0" collapsed="false">
      <c r="A809" s="27" t="s">
        <v>4357</v>
      </c>
      <c r="B809" s="27" t="s">
        <v>559</v>
      </c>
      <c r="C809" s="27" t="s">
        <v>5399</v>
      </c>
      <c r="D809" s="27" t="s">
        <v>5400</v>
      </c>
      <c r="E809" s="27"/>
      <c r="F809" s="27" t="s">
        <v>5417</v>
      </c>
      <c r="G809" s="27"/>
      <c r="H809" s="28" t="s">
        <v>4358</v>
      </c>
      <c r="I809" s="27"/>
    </row>
    <row r="810" customFormat="false" ht="15" hidden="false" customHeight="true" outlineLevel="0" collapsed="false">
      <c r="A810" s="27" t="s">
        <v>4363</v>
      </c>
      <c r="B810" s="27" t="s">
        <v>559</v>
      </c>
      <c r="C810" s="27" t="s">
        <v>5407</v>
      </c>
      <c r="D810" s="27" t="s">
        <v>5408</v>
      </c>
      <c r="E810" s="27"/>
      <c r="F810" s="27" t="s">
        <v>5419</v>
      </c>
      <c r="G810" s="27"/>
      <c r="H810" s="28" t="s">
        <v>4364</v>
      </c>
      <c r="I810" s="27"/>
    </row>
    <row r="811" customFormat="false" ht="15" hidden="false" customHeight="true" outlineLevel="0" collapsed="false">
      <c r="A811" s="27" t="s">
        <v>4363</v>
      </c>
      <c r="B811" s="27" t="s">
        <v>559</v>
      </c>
      <c r="C811" s="27" t="s">
        <v>5367</v>
      </c>
      <c r="D811" s="27" t="s">
        <v>5368</v>
      </c>
      <c r="E811" s="27"/>
      <c r="F811" s="27" t="s">
        <v>5369</v>
      </c>
      <c r="G811" s="27"/>
      <c r="H811" s="28" t="s">
        <v>4364</v>
      </c>
      <c r="I811" s="27"/>
    </row>
    <row r="812" customFormat="false" ht="15" hidden="false" customHeight="true" outlineLevel="0" collapsed="false">
      <c r="A812" s="27" t="s">
        <v>4366</v>
      </c>
      <c r="B812" s="27" t="s">
        <v>559</v>
      </c>
      <c r="C812" s="27" t="s">
        <v>5367</v>
      </c>
      <c r="D812" s="27" t="s">
        <v>5368</v>
      </c>
      <c r="E812" s="27"/>
      <c r="F812" s="27" t="s">
        <v>5369</v>
      </c>
      <c r="G812" s="27"/>
      <c r="H812" s="28" t="s">
        <v>4367</v>
      </c>
      <c r="I812" s="27"/>
    </row>
    <row r="813" customFormat="false" ht="15" hidden="false" customHeight="true" outlineLevel="0" collapsed="false">
      <c r="A813" s="27" t="s">
        <v>4375</v>
      </c>
      <c r="B813" s="27" t="s">
        <v>559</v>
      </c>
      <c r="C813" s="27" t="s">
        <v>5367</v>
      </c>
      <c r="D813" s="27" t="s">
        <v>5368</v>
      </c>
      <c r="E813" s="27"/>
      <c r="F813" s="27" t="s">
        <v>5369</v>
      </c>
      <c r="G813" s="27"/>
      <c r="H813" s="28" t="s">
        <v>4376</v>
      </c>
      <c r="I813" s="27"/>
    </row>
    <row r="814" customFormat="false" ht="15" hidden="false" customHeight="true" outlineLevel="0" collapsed="false">
      <c r="A814" s="27" t="s">
        <v>4381</v>
      </c>
      <c r="B814" s="27" t="s">
        <v>559</v>
      </c>
      <c r="C814" s="27" t="s">
        <v>5367</v>
      </c>
      <c r="D814" s="27" t="s">
        <v>5368</v>
      </c>
      <c r="E814" s="27"/>
      <c r="F814" s="27" t="s">
        <v>5375</v>
      </c>
      <c r="G814" s="27"/>
      <c r="H814" s="28" t="s">
        <v>4382</v>
      </c>
      <c r="I814" s="27"/>
    </row>
    <row r="815" customFormat="false" ht="15" hidden="false" customHeight="true" outlineLevel="0" collapsed="false">
      <c r="A815" s="27" t="s">
        <v>4384</v>
      </c>
      <c r="B815" s="27" t="s">
        <v>559</v>
      </c>
      <c r="C815" s="27" t="s">
        <v>5367</v>
      </c>
      <c r="D815" s="27" t="s">
        <v>5368</v>
      </c>
      <c r="E815" s="27"/>
      <c r="F815" s="27" t="s">
        <v>5375</v>
      </c>
      <c r="G815" s="27"/>
      <c r="H815" s="28" t="s">
        <v>4385</v>
      </c>
      <c r="I815" s="27"/>
    </row>
    <row r="816" customFormat="false" ht="15" hidden="false" customHeight="true" outlineLevel="0" collapsed="false">
      <c r="A816" s="27" t="s">
        <v>4393</v>
      </c>
      <c r="B816" s="27" t="s">
        <v>559</v>
      </c>
      <c r="C816" s="27" t="s">
        <v>5399</v>
      </c>
      <c r="D816" s="27" t="s">
        <v>5400</v>
      </c>
      <c r="E816" s="27"/>
      <c r="F816" s="27" t="s">
        <v>5417</v>
      </c>
      <c r="G816" s="27"/>
      <c r="H816" s="28" t="s">
        <v>4394</v>
      </c>
      <c r="I816" s="27"/>
    </row>
    <row r="817" customFormat="false" ht="15" hidden="false" customHeight="true" outlineLevel="0" collapsed="false">
      <c r="A817" s="27" t="s">
        <v>4396</v>
      </c>
      <c r="B817" s="27" t="s">
        <v>559</v>
      </c>
      <c r="C817" s="27" t="s">
        <v>5367</v>
      </c>
      <c r="D817" s="27" t="s">
        <v>5368</v>
      </c>
      <c r="E817" s="27"/>
      <c r="F817" s="27" t="s">
        <v>5369</v>
      </c>
      <c r="G817" s="27"/>
      <c r="H817" s="28" t="s">
        <v>4397</v>
      </c>
      <c r="I817" s="27"/>
    </row>
    <row r="818" customFormat="false" ht="15" hidden="false" customHeight="true" outlineLevel="0" collapsed="false">
      <c r="A818" s="27" t="s">
        <v>4405</v>
      </c>
      <c r="B818" s="27" t="s">
        <v>559</v>
      </c>
      <c r="C818" s="27" t="s">
        <v>5367</v>
      </c>
      <c r="D818" s="27" t="s">
        <v>5368</v>
      </c>
      <c r="E818" s="27"/>
      <c r="F818" s="27" t="s">
        <v>5375</v>
      </c>
      <c r="G818" s="27"/>
      <c r="H818" s="27" t="s">
        <v>4406</v>
      </c>
      <c r="I818" s="27"/>
    </row>
    <row r="819" customFormat="false" ht="15" hidden="false" customHeight="true" outlineLevel="0" collapsed="false">
      <c r="A819" s="27" t="s">
        <v>4408</v>
      </c>
      <c r="B819" s="27" t="s">
        <v>559</v>
      </c>
      <c r="C819" s="27" t="s">
        <v>5367</v>
      </c>
      <c r="D819" s="27" t="s">
        <v>5368</v>
      </c>
      <c r="E819" s="27"/>
      <c r="F819" s="27" t="s">
        <v>5375</v>
      </c>
      <c r="G819" s="27"/>
      <c r="H819" s="28" t="s">
        <v>4409</v>
      </c>
      <c r="I819" s="27"/>
    </row>
    <row r="820" customFormat="false" ht="15" hidden="false" customHeight="true" outlineLevel="0" collapsed="false">
      <c r="A820" s="27" t="s">
        <v>4414</v>
      </c>
      <c r="B820" s="27" t="s">
        <v>559</v>
      </c>
      <c r="C820" s="27" t="s">
        <v>5367</v>
      </c>
      <c r="D820" s="27" t="s">
        <v>5368</v>
      </c>
      <c r="E820" s="27"/>
      <c r="F820" s="27" t="s">
        <v>5369</v>
      </c>
      <c r="G820" s="27"/>
      <c r="H820" s="28" t="s">
        <v>4415</v>
      </c>
      <c r="I820" s="28" t="s">
        <v>5571</v>
      </c>
    </row>
    <row r="821" customFormat="false" ht="15" hidden="false" customHeight="true" outlineLevel="0" collapsed="false">
      <c r="A821" s="27" t="s">
        <v>4417</v>
      </c>
      <c r="B821" s="27" t="s">
        <v>559</v>
      </c>
      <c r="C821" s="27" t="s">
        <v>5367</v>
      </c>
      <c r="D821" s="27" t="s">
        <v>5368</v>
      </c>
      <c r="E821" s="27"/>
      <c r="F821" s="27" t="s">
        <v>5375</v>
      </c>
      <c r="G821" s="27"/>
      <c r="H821" s="28" t="s">
        <v>4418</v>
      </c>
      <c r="I821" s="27"/>
    </row>
    <row r="822" customFormat="false" ht="15" hidden="false" customHeight="true" outlineLevel="0" collapsed="false">
      <c r="A822" s="27" t="s">
        <v>4420</v>
      </c>
      <c r="B822" s="27" t="s">
        <v>559</v>
      </c>
      <c r="C822" s="27" t="s">
        <v>5367</v>
      </c>
      <c r="D822" s="27" t="s">
        <v>5368</v>
      </c>
      <c r="E822" s="27"/>
      <c r="F822" s="27" t="s">
        <v>5369</v>
      </c>
      <c r="G822" s="27"/>
      <c r="H822" s="28" t="s">
        <v>4421</v>
      </c>
      <c r="I822" s="27"/>
    </row>
    <row r="823" customFormat="false" ht="15" hidden="false" customHeight="true" outlineLevel="0" collapsed="false">
      <c r="A823" s="27" t="s">
        <v>4423</v>
      </c>
      <c r="B823" s="27" t="s">
        <v>559</v>
      </c>
      <c r="C823" s="27" t="s">
        <v>5399</v>
      </c>
      <c r="D823" s="27" t="s">
        <v>5400</v>
      </c>
      <c r="E823" s="27"/>
      <c r="F823" s="27" t="s">
        <v>5417</v>
      </c>
      <c r="G823" s="27"/>
      <c r="H823" s="28" t="s">
        <v>4424</v>
      </c>
      <c r="I823" s="27"/>
    </row>
    <row r="824" customFormat="false" ht="15" hidden="false" customHeight="true" outlineLevel="0" collapsed="false">
      <c r="A824" s="27" t="s">
        <v>4426</v>
      </c>
      <c r="B824" s="27" t="s">
        <v>559</v>
      </c>
      <c r="C824" s="27" t="s">
        <v>5367</v>
      </c>
      <c r="D824" s="27" t="s">
        <v>5368</v>
      </c>
      <c r="E824" s="27"/>
      <c r="F824" s="27" t="s">
        <v>5369</v>
      </c>
      <c r="G824" s="27"/>
      <c r="H824" s="28" t="s">
        <v>4427</v>
      </c>
      <c r="I824" s="27"/>
    </row>
    <row r="825" customFormat="false" ht="15" hidden="false" customHeight="true" outlineLevel="0" collapsed="false">
      <c r="A825" s="27" t="s">
        <v>4435</v>
      </c>
      <c r="B825" s="27" t="s">
        <v>559</v>
      </c>
      <c r="C825" s="27" t="s">
        <v>5367</v>
      </c>
      <c r="D825" s="27" t="s">
        <v>5368</v>
      </c>
      <c r="E825" s="27"/>
      <c r="F825" s="27" t="s">
        <v>5369</v>
      </c>
      <c r="G825" s="27"/>
      <c r="H825" s="28" t="s">
        <v>4436</v>
      </c>
      <c r="I825" s="27"/>
    </row>
    <row r="826" customFormat="false" ht="15" hidden="false" customHeight="true" outlineLevel="0" collapsed="false">
      <c r="A826" s="27" t="s">
        <v>4453</v>
      </c>
      <c r="B826" s="27" t="s">
        <v>559</v>
      </c>
      <c r="C826" s="27" t="s">
        <v>5399</v>
      </c>
      <c r="D826" s="27" t="s">
        <v>5400</v>
      </c>
      <c r="E826" s="27"/>
      <c r="F826" s="27" t="s">
        <v>5418</v>
      </c>
      <c r="G826" s="27"/>
      <c r="H826" s="28" t="s">
        <v>4454</v>
      </c>
      <c r="I826" s="27"/>
    </row>
    <row r="827" customFormat="false" ht="15" hidden="false" customHeight="true" outlineLevel="0" collapsed="false">
      <c r="A827" s="27" t="s">
        <v>4456</v>
      </c>
      <c r="B827" s="27" t="s">
        <v>559</v>
      </c>
      <c r="C827" s="27" t="s">
        <v>5367</v>
      </c>
      <c r="D827" s="27" t="s">
        <v>5368</v>
      </c>
      <c r="E827" s="27"/>
      <c r="F827" s="27" t="s">
        <v>5375</v>
      </c>
      <c r="G827" s="27"/>
      <c r="H827" s="28" t="s">
        <v>4457</v>
      </c>
      <c r="I827" s="27"/>
    </row>
    <row r="828" customFormat="false" ht="15" hidden="false" customHeight="true" outlineLevel="0" collapsed="false">
      <c r="A828" s="27" t="s">
        <v>4465</v>
      </c>
      <c r="B828" s="27" t="s">
        <v>559</v>
      </c>
      <c r="C828" s="27" t="s">
        <v>5367</v>
      </c>
      <c r="D828" s="27" t="s">
        <v>5368</v>
      </c>
      <c r="E828" s="27"/>
      <c r="F828" s="27" t="s">
        <v>5369</v>
      </c>
      <c r="G828" s="27"/>
      <c r="H828" s="28" t="s">
        <v>4466</v>
      </c>
      <c r="I828" s="27"/>
    </row>
    <row r="829" customFormat="false" ht="15" hidden="false" customHeight="true" outlineLevel="0" collapsed="false">
      <c r="A829" s="27" t="s">
        <v>4468</v>
      </c>
      <c r="B829" s="27" t="s">
        <v>559</v>
      </c>
      <c r="C829" s="27" t="s">
        <v>5367</v>
      </c>
      <c r="D829" s="27" t="s">
        <v>5368</v>
      </c>
      <c r="E829" s="27"/>
      <c r="F829" s="27" t="s">
        <v>5375</v>
      </c>
      <c r="G829" s="27"/>
      <c r="H829" s="28" t="s">
        <v>4469</v>
      </c>
      <c r="I829" s="27"/>
    </row>
    <row r="830" customFormat="false" ht="15" hidden="false" customHeight="true" outlineLevel="0" collapsed="false">
      <c r="A830" s="27" t="s">
        <v>4474</v>
      </c>
      <c r="B830" s="27" t="s">
        <v>559</v>
      </c>
      <c r="C830" s="27" t="s">
        <v>5407</v>
      </c>
      <c r="D830" s="27" t="s">
        <v>5408</v>
      </c>
      <c r="E830" s="27"/>
      <c r="F830" s="27" t="s">
        <v>5419</v>
      </c>
      <c r="G830" s="27"/>
      <c r="H830" s="28" t="s">
        <v>4475</v>
      </c>
      <c r="I830" s="27"/>
    </row>
    <row r="831" customFormat="false" ht="15" hidden="false" customHeight="true" outlineLevel="0" collapsed="false">
      <c r="A831" s="27" t="s">
        <v>4480</v>
      </c>
      <c r="B831" s="27" t="s">
        <v>559</v>
      </c>
      <c r="C831" s="27" t="s">
        <v>5367</v>
      </c>
      <c r="D831" s="27" t="s">
        <v>5368</v>
      </c>
      <c r="E831" s="27"/>
      <c r="F831" s="27" t="s">
        <v>5375</v>
      </c>
      <c r="G831" s="27"/>
      <c r="H831" s="28" t="s">
        <v>4481</v>
      </c>
      <c r="I831" s="27"/>
    </row>
    <row r="832" customFormat="false" ht="15" hidden="false" customHeight="true" outlineLevel="0" collapsed="false">
      <c r="A832" s="27" t="s">
        <v>4498</v>
      </c>
      <c r="B832" s="27" t="s">
        <v>559</v>
      </c>
      <c r="C832" s="27" t="s">
        <v>5367</v>
      </c>
      <c r="D832" s="27" t="s">
        <v>5368</v>
      </c>
      <c r="E832" s="27"/>
      <c r="F832" s="27" t="s">
        <v>5375</v>
      </c>
      <c r="G832" s="27"/>
      <c r="H832" s="28" t="s">
        <v>4499</v>
      </c>
      <c r="I832" s="27"/>
    </row>
    <row r="833" customFormat="false" ht="15" hidden="false" customHeight="true" outlineLevel="0" collapsed="false">
      <c r="A833" s="27" t="s">
        <v>4504</v>
      </c>
      <c r="B833" s="27" t="s">
        <v>559</v>
      </c>
      <c r="C833" s="27" t="s">
        <v>5367</v>
      </c>
      <c r="D833" s="27" t="s">
        <v>5368</v>
      </c>
      <c r="E833" s="27"/>
      <c r="F833" s="27" t="s">
        <v>5375</v>
      </c>
      <c r="G833" s="27"/>
      <c r="H833" s="27" t="s">
        <v>4505</v>
      </c>
      <c r="I833" s="27"/>
    </row>
    <row r="834" customFormat="false" ht="15" hidden="false" customHeight="true" outlineLevel="0" collapsed="false">
      <c r="A834" s="27" t="s">
        <v>4519</v>
      </c>
      <c r="B834" s="27" t="s">
        <v>559</v>
      </c>
      <c r="C834" s="27" t="s">
        <v>5407</v>
      </c>
      <c r="D834" s="27" t="s">
        <v>5422</v>
      </c>
      <c r="E834" s="27"/>
      <c r="F834" s="27" t="s">
        <v>5442</v>
      </c>
      <c r="G834" s="27"/>
      <c r="H834" s="27" t="s">
        <v>4520</v>
      </c>
      <c r="I834" s="27"/>
    </row>
    <row r="835" customFormat="false" ht="15" hidden="false" customHeight="true" outlineLevel="0" collapsed="false">
      <c r="A835" s="27" t="s">
        <v>4519</v>
      </c>
      <c r="B835" s="27" t="s">
        <v>559</v>
      </c>
      <c r="C835" s="27" t="s">
        <v>5367</v>
      </c>
      <c r="D835" s="27" t="s">
        <v>5391</v>
      </c>
      <c r="E835" s="27"/>
      <c r="F835" s="27" t="s">
        <v>5375</v>
      </c>
      <c r="G835" s="27"/>
      <c r="H835" s="27" t="s">
        <v>4520</v>
      </c>
      <c r="I835" s="27"/>
    </row>
    <row r="836" customFormat="false" ht="15" hidden="false" customHeight="true" outlineLevel="0" collapsed="false">
      <c r="A836" s="27" t="s">
        <v>4531</v>
      </c>
      <c r="B836" s="27" t="s">
        <v>559</v>
      </c>
      <c r="C836" s="27" t="s">
        <v>5399</v>
      </c>
      <c r="D836" s="27" t="s">
        <v>5400</v>
      </c>
      <c r="E836" s="27"/>
      <c r="F836" s="27" t="s">
        <v>5418</v>
      </c>
      <c r="G836" s="27"/>
      <c r="H836" s="28" t="s">
        <v>5572</v>
      </c>
      <c r="I836" s="27"/>
    </row>
    <row r="837" customFormat="false" ht="15" hidden="false" customHeight="true" outlineLevel="0" collapsed="false">
      <c r="A837" s="27" t="s">
        <v>4534</v>
      </c>
      <c r="B837" s="27" t="s">
        <v>559</v>
      </c>
      <c r="C837" s="27" t="s">
        <v>5367</v>
      </c>
      <c r="D837" s="27" t="s">
        <v>5368</v>
      </c>
      <c r="E837" s="27"/>
      <c r="F837" s="27" t="s">
        <v>5375</v>
      </c>
      <c r="G837" s="27"/>
      <c r="H837" s="28" t="s">
        <v>4535</v>
      </c>
      <c r="I837" s="27"/>
    </row>
    <row r="838" customFormat="false" ht="15" hidden="false" customHeight="true" outlineLevel="0" collapsed="false">
      <c r="A838" s="27" t="s">
        <v>4555</v>
      </c>
      <c r="B838" s="27" t="s">
        <v>559</v>
      </c>
      <c r="C838" s="27" t="s">
        <v>5407</v>
      </c>
      <c r="D838" s="27" t="s">
        <v>5408</v>
      </c>
      <c r="E838" s="27"/>
      <c r="F838" s="27" t="s">
        <v>5417</v>
      </c>
      <c r="G838" s="27"/>
      <c r="H838" s="28" t="s">
        <v>5573</v>
      </c>
      <c r="I838" s="27"/>
    </row>
    <row r="839" customFormat="false" ht="15" hidden="false" customHeight="true" outlineLevel="0" collapsed="false">
      <c r="A839" s="27" t="s">
        <v>4666</v>
      </c>
      <c r="B839" s="27" t="s">
        <v>566</v>
      </c>
      <c r="C839" s="27" t="s">
        <v>5367</v>
      </c>
      <c r="D839" s="27" t="s">
        <v>5368</v>
      </c>
      <c r="E839" s="27"/>
      <c r="F839" s="27" t="s">
        <v>5375</v>
      </c>
      <c r="G839" s="27"/>
      <c r="H839" s="28" t="s">
        <v>4667</v>
      </c>
      <c r="I839" s="28" t="s">
        <v>5574</v>
      </c>
    </row>
    <row r="840" customFormat="false" ht="15" hidden="false" customHeight="true" outlineLevel="0" collapsed="false">
      <c r="A840" s="27" t="s">
        <v>4675</v>
      </c>
      <c r="B840" s="27" t="s">
        <v>566</v>
      </c>
      <c r="C840" s="27" t="s">
        <v>5367</v>
      </c>
      <c r="D840" s="27" t="s">
        <v>5368</v>
      </c>
      <c r="E840" s="27"/>
      <c r="F840" s="27" t="s">
        <v>5369</v>
      </c>
      <c r="G840" s="27"/>
      <c r="H840" s="28" t="s">
        <v>4676</v>
      </c>
      <c r="I840" s="28" t="s">
        <v>5574</v>
      </c>
    </row>
    <row r="841" customFormat="false" ht="15" hidden="false" customHeight="true" outlineLevel="0" collapsed="false">
      <c r="A841" s="27" t="s">
        <v>4678</v>
      </c>
      <c r="B841" s="27" t="s">
        <v>566</v>
      </c>
      <c r="C841" s="27" t="s">
        <v>5367</v>
      </c>
      <c r="D841" s="27" t="s">
        <v>5368</v>
      </c>
      <c r="E841" s="27" t="s">
        <v>5458</v>
      </c>
      <c r="F841" s="27" t="s">
        <v>5369</v>
      </c>
      <c r="G841" s="28" t="s">
        <v>5575</v>
      </c>
      <c r="H841" s="28" t="s">
        <v>4679</v>
      </c>
      <c r="I841" s="28" t="s">
        <v>5574</v>
      </c>
    </row>
    <row r="842" customFormat="false" ht="15" hidden="false" customHeight="true" outlineLevel="0" collapsed="false">
      <c r="A842" s="27" t="s">
        <v>4685</v>
      </c>
      <c r="B842" s="27" t="s">
        <v>566</v>
      </c>
      <c r="C842" s="27" t="s">
        <v>5367</v>
      </c>
      <c r="D842" s="27" t="s">
        <v>5368</v>
      </c>
      <c r="E842" s="27" t="e">
        <f aca="false">COUNTIFS($B$2:$B$849,$A853,$C$2:$C$849,E$852)</f>
        <v>#VALUE!</v>
      </c>
      <c r="F842" s="27" t="s">
        <v>5369</v>
      </c>
      <c r="G842" s="27" t="e">
        <f aca="false">SUM(B853:F853)</f>
        <v>#VALUE!</v>
      </c>
      <c r="H842" s="28" t="s">
        <v>4686</v>
      </c>
      <c r="I842" s="28" t="s">
        <v>5574</v>
      </c>
    </row>
    <row r="843" customFormat="false" ht="15" hidden="false" customHeight="true" outlineLevel="0" collapsed="false">
      <c r="A843" s="27" t="s">
        <v>4685</v>
      </c>
      <c r="B843" s="27" t="s">
        <v>566</v>
      </c>
      <c r="C843" s="27" t="s">
        <v>5407</v>
      </c>
      <c r="D843" s="27" t="s">
        <v>5408</v>
      </c>
      <c r="E843" s="27" t="e">
        <f aca="false">COUNTIFS($B$2:$B$849,$A854,$C$2:$C$849,E$852)</f>
        <v>#VALUE!</v>
      </c>
      <c r="F843" s="27" t="s">
        <v>5416</v>
      </c>
      <c r="G843" s="27" t="e">
        <f aca="false">SUM(B854:F854)</f>
        <v>#VALUE!</v>
      </c>
      <c r="H843" s="28" t="s">
        <v>4686</v>
      </c>
      <c r="I843" s="28" t="s">
        <v>5574</v>
      </c>
    </row>
    <row r="844" customFormat="false" ht="15" hidden="false" customHeight="true" outlineLevel="0" collapsed="false">
      <c r="A844" s="27" t="s">
        <v>4688</v>
      </c>
      <c r="B844" s="27" t="s">
        <v>566</v>
      </c>
      <c r="C844" s="27" t="s">
        <v>5367</v>
      </c>
      <c r="D844" s="27" t="s">
        <v>5368</v>
      </c>
      <c r="E844" s="27" t="e">
        <f aca="false">COUNTIFS($B$2:$B$849,$A855,$C$2:$C$849,E$852)</f>
        <v>#VALUE!</v>
      </c>
      <c r="F844" s="27" t="s">
        <v>5369</v>
      </c>
      <c r="G844" s="27" t="e">
        <f aca="false">SUM(B855:F855)</f>
        <v>#VALUE!</v>
      </c>
      <c r="H844" s="28" t="s">
        <v>4689</v>
      </c>
      <c r="I844" s="28" t="s">
        <v>5574</v>
      </c>
    </row>
    <row r="845" customFormat="false" ht="15" hidden="false" customHeight="true" outlineLevel="0" collapsed="false">
      <c r="A845" s="27" t="s">
        <v>4691</v>
      </c>
      <c r="B845" s="27" t="s">
        <v>566</v>
      </c>
      <c r="C845" s="27" t="s">
        <v>5367</v>
      </c>
      <c r="D845" s="27" t="s">
        <v>5368</v>
      </c>
      <c r="E845" s="27" t="e">
        <f aca="false">COUNTIFS($B$2:$B$849,$A856,$C$2:$C$849,E$852)</f>
        <v>#VALUE!</v>
      </c>
      <c r="F845" s="27" t="s">
        <v>5369</v>
      </c>
      <c r="G845" s="27" t="e">
        <f aca="false">SUM(B856:F856)</f>
        <v>#VALUE!</v>
      </c>
      <c r="H845" s="28" t="s">
        <v>4692</v>
      </c>
      <c r="I845" s="28" t="s">
        <v>5574</v>
      </c>
    </row>
    <row r="846" customFormat="false" ht="15" hidden="false" customHeight="true" outlineLevel="0" collapsed="false">
      <c r="A846" s="27" t="s">
        <v>4694</v>
      </c>
      <c r="B846" s="27" t="s">
        <v>566</v>
      </c>
      <c r="C846" s="27" t="s">
        <v>5367</v>
      </c>
      <c r="D846" s="27" t="s">
        <v>5368</v>
      </c>
      <c r="E846" s="27" t="e">
        <f aca="false">COUNTIFS($B$2:$B$849,$A857,$C$2:$C$849,E$852)</f>
        <v>#VALUE!</v>
      </c>
      <c r="F846" s="27" t="s">
        <v>5369</v>
      </c>
      <c r="G846" s="27" t="e">
        <f aca="false">SUM(B857:F857)</f>
        <v>#VALUE!</v>
      </c>
      <c r="H846" s="28" t="s">
        <v>4695</v>
      </c>
      <c r="I846" s="28" t="s">
        <v>5574</v>
      </c>
    </row>
    <row r="847" customFormat="false" ht="15" hidden="false" customHeight="true" outlineLevel="0" collapsed="false">
      <c r="A847" s="27" t="s">
        <v>4694</v>
      </c>
      <c r="B847" s="27" t="s">
        <v>566</v>
      </c>
      <c r="C847" s="27" t="s">
        <v>5407</v>
      </c>
      <c r="D847" s="27" t="s">
        <v>5408</v>
      </c>
      <c r="E847" s="27" t="e">
        <f aca="false">COUNTIFS($B$2:$B$849,$A858,$C$2:$C$849,E$852)</f>
        <v>#VALUE!</v>
      </c>
      <c r="F847" s="27" t="s">
        <v>5418</v>
      </c>
      <c r="G847" s="27" t="e">
        <f aca="false">SUM(B858:F858)</f>
        <v>#VALUE!</v>
      </c>
      <c r="H847" s="28" t="s">
        <v>4695</v>
      </c>
      <c r="I847" s="28" t="s">
        <v>5574</v>
      </c>
    </row>
    <row r="848" customFormat="false" ht="15" hidden="false" customHeight="true" outlineLevel="0" collapsed="false">
      <c r="A848" s="27" t="s">
        <v>4698</v>
      </c>
      <c r="B848" s="27" t="s">
        <v>566</v>
      </c>
      <c r="C848" s="27" t="s">
        <v>5367</v>
      </c>
      <c r="D848" s="27" t="s">
        <v>5368</v>
      </c>
      <c r="E848" s="27" t="e">
        <f aca="false">COUNTIFS($B$2:$B$849,$A859,$C$2:$C$849,E$852)</f>
        <v>#VALUE!</v>
      </c>
      <c r="F848" s="27" t="s">
        <v>5369</v>
      </c>
      <c r="G848" s="27" t="n">
        <f aca="false">SUM(B859:F859)</f>
        <v>0</v>
      </c>
      <c r="H848" s="28" t="s">
        <v>4699</v>
      </c>
      <c r="I848" s="28" t="s">
        <v>5574</v>
      </c>
    </row>
    <row r="849" customFormat="false" ht="15" hidden="false" customHeight="true" outlineLevel="0" collapsed="false">
      <c r="A849" s="27" t="s">
        <v>4701</v>
      </c>
      <c r="B849" s="27" t="s">
        <v>566</v>
      </c>
      <c r="C849" s="27" t="s">
        <v>5407</v>
      </c>
      <c r="D849" s="27" t="s">
        <v>5408</v>
      </c>
      <c r="E849" s="27" t="e">
        <f aca="false">COUNTIFS($B$2:$B$849,$A860,$C$2:$C$849,E$852)</f>
        <v>#VALUE!</v>
      </c>
      <c r="F849" s="27" t="s">
        <v>5419</v>
      </c>
      <c r="G849" s="27" t="n">
        <f aca="false">SUM(B860:F860)</f>
        <v>0</v>
      </c>
      <c r="H849" s="28" t="s">
        <v>4702</v>
      </c>
      <c r="I849" s="28" t="s">
        <v>5574</v>
      </c>
    </row>
    <row r="850" customFormat="false" ht="15" hidden="false" customHeight="true" outlineLevel="0" collapsed="false">
      <c r="A850" s="27" t="s">
        <v>4722</v>
      </c>
      <c r="B850" s="27" t="s">
        <v>566</v>
      </c>
      <c r="C850" s="27" t="s">
        <v>5367</v>
      </c>
      <c r="D850" s="27" t="s">
        <v>5368</v>
      </c>
      <c r="E850" s="27" t="e">
        <f aca="false">COUNTIFS($B$2:$B$849,$A861,$C$2:$C$849,E$852)</f>
        <v>#VALUE!</v>
      </c>
      <c r="F850" s="27" t="s">
        <v>5369</v>
      </c>
      <c r="G850" s="27" t="n">
        <f aca="false">SUM(B861:F861)</f>
        <v>0</v>
      </c>
      <c r="H850" s="28" t="s">
        <v>4723</v>
      </c>
      <c r="I850" s="28" t="s">
        <v>5574</v>
      </c>
    </row>
    <row r="851" customFormat="false" ht="15" hidden="false" customHeight="true" outlineLevel="0" collapsed="false">
      <c r="A851" s="27" t="s">
        <v>4725</v>
      </c>
      <c r="B851" s="27" t="s">
        <v>566</v>
      </c>
      <c r="C851" s="27" t="s">
        <v>5367</v>
      </c>
      <c r="D851" s="27" t="s">
        <v>5368</v>
      </c>
      <c r="E851" s="27" t="e">
        <f aca="false">COUNTIFS($B$2:$B$849,$A862,$C$2:$C$849,E$852)</f>
        <v>#VALUE!</v>
      </c>
      <c r="F851" s="27" t="s">
        <v>5369</v>
      </c>
      <c r="G851" s="27" t="n">
        <f aca="false">SUM(B862:F862)</f>
        <v>0</v>
      </c>
      <c r="H851" s="28" t="s">
        <v>4726</v>
      </c>
      <c r="I851" s="28" t="s">
        <v>5574</v>
      </c>
    </row>
    <row r="852" customFormat="false" ht="15" hidden="false" customHeight="true" outlineLevel="0" collapsed="false">
      <c r="A852" s="27" t="s">
        <v>4744</v>
      </c>
      <c r="B852" s="27" t="s">
        <v>566</v>
      </c>
      <c r="C852" s="27" t="s">
        <v>5407</v>
      </c>
      <c r="D852" s="27" t="s">
        <v>5408</v>
      </c>
      <c r="E852" s="27" t="e">
        <f aca="false">COUNTIFS($B$2:$B$849,$A863,$C$2:$C$849,E$852)</f>
        <v>#VALUE!</v>
      </c>
      <c r="F852" s="27" t="s">
        <v>5417</v>
      </c>
      <c r="G852" s="27" t="n">
        <f aca="false">SUM(B863:F863)</f>
        <v>0</v>
      </c>
      <c r="H852" s="28" t="s">
        <v>4745</v>
      </c>
      <c r="I852" s="28" t="s">
        <v>5574</v>
      </c>
    </row>
    <row r="853" customFormat="false" ht="15" hidden="false" customHeight="true" outlineLevel="0" collapsed="false">
      <c r="A853" s="27" t="s">
        <v>4757</v>
      </c>
      <c r="B853" s="27" t="s">
        <v>575</v>
      </c>
      <c r="C853" s="27" t="s">
        <v>5367</v>
      </c>
      <c r="D853" s="27" t="s">
        <v>5368</v>
      </c>
      <c r="E853" s="27" t="e">
        <f aca="false">COUNTIFS($B$2:$B$849,$A864,$C$2:$C$849,E$852)</f>
        <v>#VALUE!</v>
      </c>
      <c r="F853" s="27" t="s">
        <v>5375</v>
      </c>
      <c r="G853" s="27" t="s">
        <v>5504</v>
      </c>
      <c r="H853" s="27" t="s">
        <v>4758</v>
      </c>
      <c r="I853" s="27" t="s">
        <v>5576</v>
      </c>
    </row>
    <row r="854" customFormat="false" ht="15" hidden="false" customHeight="true" outlineLevel="0" collapsed="false">
      <c r="A854" s="27" t="s">
        <v>4763</v>
      </c>
      <c r="B854" s="27" t="s">
        <v>575</v>
      </c>
      <c r="C854" s="27" t="s">
        <v>5367</v>
      </c>
      <c r="D854" s="27" t="s">
        <v>5368</v>
      </c>
      <c r="E854" s="27" t="e">
        <f aca="false">COUNTIFS($B$2:$B$849,$A865,$C$2:$C$849,E$852)</f>
        <v>#VALUE!</v>
      </c>
      <c r="F854" s="27" t="s">
        <v>5369</v>
      </c>
      <c r="G854" s="27" t="s">
        <v>5577</v>
      </c>
      <c r="H854" s="28" t="s">
        <v>4764</v>
      </c>
      <c r="I854" s="27" t="s">
        <v>5576</v>
      </c>
    </row>
    <row r="855" customFormat="false" ht="15" hidden="false" customHeight="true" outlineLevel="0" collapsed="false">
      <c r="A855" s="27" t="s">
        <v>4766</v>
      </c>
      <c r="B855" s="27" t="s">
        <v>575</v>
      </c>
      <c r="C855" s="27" t="s">
        <v>5367</v>
      </c>
      <c r="D855" s="27" t="s">
        <v>5368</v>
      </c>
      <c r="E855" s="27" t="e">
        <f aca="false">COUNTIFS($B$2:$B$849,$A866,$C$2:$C$849,E$852)</f>
        <v>#VALUE!</v>
      </c>
      <c r="F855" s="27" t="s">
        <v>5375</v>
      </c>
      <c r="G855" s="27" t="s">
        <v>5578</v>
      </c>
      <c r="H855" s="27" t="s">
        <v>4767</v>
      </c>
      <c r="I855" s="27" t="s">
        <v>5576</v>
      </c>
    </row>
    <row r="856" customFormat="false" ht="15" hidden="false" customHeight="true" outlineLevel="0" collapsed="false">
      <c r="A856" s="27" t="s">
        <v>4772</v>
      </c>
      <c r="B856" s="27" t="s">
        <v>575</v>
      </c>
      <c r="C856" s="27" t="s">
        <v>5367</v>
      </c>
      <c r="D856" s="27" t="s">
        <v>5368</v>
      </c>
      <c r="E856" s="27" t="e">
        <f aca="false">COUNTIFS($B$2:$B$849,$A867,$C$2:$C$849,E$852)</f>
        <v>#VALUE!</v>
      </c>
      <c r="F856" s="27" t="s">
        <v>5375</v>
      </c>
      <c r="G856" s="27" t="s">
        <v>5577</v>
      </c>
      <c r="H856" s="28" t="s">
        <v>4773</v>
      </c>
      <c r="I856" s="27" t="s">
        <v>5576</v>
      </c>
    </row>
    <row r="857" customFormat="false" ht="15" hidden="false" customHeight="true" outlineLevel="0" collapsed="false">
      <c r="A857" s="27" t="s">
        <v>4775</v>
      </c>
      <c r="B857" s="27" t="s">
        <v>575</v>
      </c>
      <c r="C857" s="27" t="s">
        <v>5367</v>
      </c>
      <c r="D857" s="27" t="s">
        <v>5368</v>
      </c>
      <c r="E857" s="27" t="e">
        <f aca="false">COUNTIFS($B$2:$B$849,$A868,$C$2:$C$849,E$852)</f>
        <v>#VALUE!</v>
      </c>
      <c r="F857" s="27" t="s">
        <v>5375</v>
      </c>
      <c r="G857" s="27" t="s">
        <v>5577</v>
      </c>
      <c r="H857" s="27" t="s">
        <v>4776</v>
      </c>
      <c r="I857" s="27" t="s">
        <v>5576</v>
      </c>
    </row>
    <row r="858" customFormat="false" ht="15" hidden="false" customHeight="true" outlineLevel="0" collapsed="false">
      <c r="A858" s="27" t="s">
        <v>4779</v>
      </c>
      <c r="B858" s="27" t="s">
        <v>575</v>
      </c>
      <c r="C858" s="27" t="s">
        <v>5367</v>
      </c>
      <c r="D858" s="27" t="s">
        <v>5368</v>
      </c>
      <c r="E858" s="27" t="e">
        <f aca="false">SUM(E853:E868)</f>
        <v>#VALUE!</v>
      </c>
      <c r="F858" s="27" t="s">
        <v>5375</v>
      </c>
      <c r="G858" s="27" t="s">
        <v>5578</v>
      </c>
      <c r="H858" s="27" t="s">
        <v>4780</v>
      </c>
      <c r="I858" s="27" t="s">
        <v>5576</v>
      </c>
    </row>
    <row r="859" customFormat="false" ht="15" hidden="false" customHeight="true" outlineLevel="0" collapsed="false">
      <c r="A859" s="27" t="s">
        <v>4782</v>
      </c>
      <c r="B859" s="27" t="s">
        <v>575</v>
      </c>
      <c r="C859" s="27" t="s">
        <v>5367</v>
      </c>
      <c r="D859" s="27" t="s">
        <v>5368</v>
      </c>
      <c r="E859" s="27"/>
      <c r="F859" s="27" t="s">
        <v>5375</v>
      </c>
      <c r="G859" s="27" t="s">
        <v>5577</v>
      </c>
      <c r="H859" s="27" t="s">
        <v>4783</v>
      </c>
      <c r="I859" s="27" t="s">
        <v>5576</v>
      </c>
    </row>
    <row r="860" customFormat="false" ht="15" hidden="false" customHeight="true" outlineLevel="0" collapsed="false">
      <c r="A860" s="27" t="s">
        <v>4786</v>
      </c>
      <c r="B860" s="27" t="s">
        <v>575</v>
      </c>
      <c r="C860" s="27" t="s">
        <v>5367</v>
      </c>
      <c r="D860" s="27" t="s">
        <v>5368</v>
      </c>
      <c r="E860" s="27"/>
      <c r="F860" s="27" t="s">
        <v>5375</v>
      </c>
      <c r="G860" s="27" t="s">
        <v>5577</v>
      </c>
      <c r="H860" s="27" t="s">
        <v>4787</v>
      </c>
      <c r="I860" s="27" t="s">
        <v>5576</v>
      </c>
    </row>
    <row r="861" customFormat="false" ht="15" hidden="false" customHeight="true" outlineLevel="0" collapsed="false">
      <c r="A861" s="27" t="s">
        <v>4789</v>
      </c>
      <c r="B861" s="27" t="s">
        <v>575</v>
      </c>
      <c r="C861" s="27" t="s">
        <v>5367</v>
      </c>
      <c r="D861" s="27" t="s">
        <v>5368</v>
      </c>
      <c r="E861" s="27"/>
      <c r="F861" s="27" t="s">
        <v>5375</v>
      </c>
      <c r="G861" s="27" t="s">
        <v>5504</v>
      </c>
      <c r="H861" s="28" t="s">
        <v>4790</v>
      </c>
      <c r="I861" s="27" t="s">
        <v>5576</v>
      </c>
    </row>
    <row r="862" customFormat="false" ht="15" hidden="false" customHeight="true" outlineLevel="0" collapsed="false">
      <c r="A862" s="27" t="s">
        <v>4793</v>
      </c>
      <c r="B862" s="27" t="s">
        <v>575</v>
      </c>
      <c r="C862" s="27" t="s">
        <v>5367</v>
      </c>
      <c r="D862" s="27" t="s">
        <v>5368</v>
      </c>
      <c r="E862" s="27"/>
      <c r="F862" s="27" t="s">
        <v>5485</v>
      </c>
      <c r="G862" s="27" t="s">
        <v>5578</v>
      </c>
      <c r="H862" s="28" t="s">
        <v>4794</v>
      </c>
      <c r="I862" s="27" t="s">
        <v>5576</v>
      </c>
    </row>
    <row r="863" customFormat="false" ht="15" hidden="false" customHeight="true" outlineLevel="0" collapsed="false">
      <c r="A863" s="27" t="s">
        <v>4795</v>
      </c>
      <c r="B863" s="27" t="s">
        <v>575</v>
      </c>
      <c r="C863" s="27" t="s">
        <v>5367</v>
      </c>
      <c r="D863" s="27" t="s">
        <v>5368</v>
      </c>
      <c r="E863" s="27"/>
      <c r="F863" s="27" t="s">
        <v>5375</v>
      </c>
      <c r="G863" s="27" t="s">
        <v>5504</v>
      </c>
      <c r="H863" s="27" t="s">
        <v>4796</v>
      </c>
      <c r="I863" s="27" t="s">
        <v>5576</v>
      </c>
    </row>
    <row r="864" customFormat="false" ht="15" hidden="false" customHeight="true" outlineLevel="0" collapsed="false">
      <c r="A864" s="27" t="s">
        <v>4799</v>
      </c>
      <c r="B864" s="27" t="s">
        <v>575</v>
      </c>
      <c r="C864" s="27" t="s">
        <v>5367</v>
      </c>
      <c r="D864" s="27" t="s">
        <v>5368</v>
      </c>
      <c r="E864" s="27"/>
      <c r="F864" s="27" t="s">
        <v>5375</v>
      </c>
      <c r="G864" s="27" t="s">
        <v>5579</v>
      </c>
      <c r="H864" s="27" t="s">
        <v>4800</v>
      </c>
      <c r="I864" s="27" t="s">
        <v>5576</v>
      </c>
    </row>
    <row r="865" customFormat="false" ht="15" hidden="false" customHeight="true" outlineLevel="0" collapsed="false">
      <c r="A865" s="27" t="s">
        <v>4803</v>
      </c>
      <c r="B865" s="27" t="s">
        <v>575</v>
      </c>
      <c r="C865" s="27" t="s">
        <v>5367</v>
      </c>
      <c r="D865" s="27" t="s">
        <v>5368</v>
      </c>
      <c r="E865" s="27"/>
      <c r="F865" s="27" t="s">
        <v>5375</v>
      </c>
      <c r="G865" s="27" t="s">
        <v>5579</v>
      </c>
      <c r="H865" s="27" t="s">
        <v>4804</v>
      </c>
      <c r="I865" s="27" t="s">
        <v>5576</v>
      </c>
    </row>
    <row r="866" customFormat="false" ht="15" hidden="false" customHeight="true" outlineLevel="0" collapsed="false">
      <c r="A866" s="27" t="s">
        <v>4806</v>
      </c>
      <c r="B866" s="27" t="s">
        <v>575</v>
      </c>
      <c r="C866" s="27" t="s">
        <v>5367</v>
      </c>
      <c r="D866" s="27" t="s">
        <v>5368</v>
      </c>
      <c r="E866" s="27"/>
      <c r="F866" s="27" t="s">
        <v>5375</v>
      </c>
      <c r="G866" s="27" t="s">
        <v>5579</v>
      </c>
      <c r="H866" s="27" t="s">
        <v>4807</v>
      </c>
      <c r="I866" s="27" t="s">
        <v>5576</v>
      </c>
    </row>
    <row r="867" customFormat="false" ht="15" hidden="false" customHeight="true" outlineLevel="0" collapsed="false">
      <c r="A867" s="27" t="s">
        <v>4806</v>
      </c>
      <c r="B867" s="27" t="s">
        <v>575</v>
      </c>
      <c r="C867" s="27" t="s">
        <v>5407</v>
      </c>
      <c r="D867" s="27" t="s">
        <v>5408</v>
      </c>
      <c r="E867" s="27"/>
      <c r="F867" s="27" t="s">
        <v>5418</v>
      </c>
      <c r="G867" s="27" t="s">
        <v>5580</v>
      </c>
      <c r="H867" s="27" t="s">
        <v>4807</v>
      </c>
      <c r="I867" s="27" t="s">
        <v>5576</v>
      </c>
    </row>
    <row r="868" customFormat="false" ht="15" hidden="false" customHeight="true" outlineLevel="0" collapsed="false">
      <c r="A868" s="27" t="s">
        <v>4809</v>
      </c>
      <c r="B868" s="27" t="s">
        <v>575</v>
      </c>
      <c r="C868" s="27" t="s">
        <v>5399</v>
      </c>
      <c r="D868" s="27" t="s">
        <v>5581</v>
      </c>
      <c r="E868" s="27"/>
      <c r="F868" s="27" t="s">
        <v>5417</v>
      </c>
      <c r="G868" s="27" t="s">
        <v>5578</v>
      </c>
      <c r="H868" s="28" t="s">
        <v>4810</v>
      </c>
      <c r="I868" s="27" t="s">
        <v>5576</v>
      </c>
    </row>
    <row r="869" customFormat="false" ht="15" hidden="false" customHeight="true" outlineLevel="0" collapsed="false">
      <c r="A869" s="27" t="s">
        <v>4812</v>
      </c>
      <c r="B869" s="27" t="s">
        <v>575</v>
      </c>
      <c r="C869" s="27" t="s">
        <v>5407</v>
      </c>
      <c r="D869" s="27" t="s">
        <v>5408</v>
      </c>
      <c r="E869" s="27"/>
      <c r="F869" s="27" t="s">
        <v>5442</v>
      </c>
      <c r="G869" s="27" t="s">
        <v>5504</v>
      </c>
      <c r="H869" s="27" t="s">
        <v>4813</v>
      </c>
      <c r="I869" s="27" t="s">
        <v>5576</v>
      </c>
    </row>
    <row r="870" customFormat="false" ht="15" hidden="false" customHeight="true" outlineLevel="0" collapsed="false">
      <c r="A870" s="27" t="s">
        <v>4819</v>
      </c>
      <c r="B870" s="27" t="s">
        <v>575</v>
      </c>
      <c r="C870" s="27" t="s">
        <v>5367</v>
      </c>
      <c r="D870" s="27" t="s">
        <v>5368</v>
      </c>
      <c r="E870" s="27"/>
      <c r="F870" s="27" t="s">
        <v>5375</v>
      </c>
      <c r="G870" s="27" t="s">
        <v>5578</v>
      </c>
      <c r="H870" s="28" t="s">
        <v>4820</v>
      </c>
      <c r="I870" s="27" t="s">
        <v>5576</v>
      </c>
    </row>
    <row r="871" customFormat="false" ht="15" hidden="false" customHeight="true" outlineLevel="0" collapsed="false">
      <c r="A871" s="27" t="s">
        <v>4826</v>
      </c>
      <c r="B871" s="27" t="s">
        <v>575</v>
      </c>
      <c r="C871" s="27" t="s">
        <v>5399</v>
      </c>
      <c r="D871" s="27" t="s">
        <v>5581</v>
      </c>
      <c r="E871" s="27"/>
      <c r="F871" s="27" t="s">
        <v>5417</v>
      </c>
      <c r="G871" s="27" t="s">
        <v>5577</v>
      </c>
      <c r="H871" s="27" t="s">
        <v>4827</v>
      </c>
      <c r="I871" s="27" t="s">
        <v>5576</v>
      </c>
    </row>
    <row r="872" customFormat="false" ht="15" hidden="false" customHeight="true" outlineLevel="0" collapsed="false">
      <c r="A872" s="27" t="s">
        <v>4829</v>
      </c>
      <c r="B872" s="27" t="s">
        <v>575</v>
      </c>
      <c r="C872" s="27" t="s">
        <v>5367</v>
      </c>
      <c r="D872" s="27" t="s">
        <v>5368</v>
      </c>
      <c r="E872" s="27"/>
      <c r="F872" s="27" t="s">
        <v>5375</v>
      </c>
      <c r="G872" s="27" t="s">
        <v>5504</v>
      </c>
      <c r="H872" s="27" t="s">
        <v>4830</v>
      </c>
      <c r="I872" s="27" t="s">
        <v>5576</v>
      </c>
    </row>
    <row r="873" customFormat="false" ht="15" hidden="false" customHeight="true" outlineLevel="0" collapsed="false">
      <c r="A873" s="27" t="s">
        <v>4834</v>
      </c>
      <c r="B873" s="27" t="s">
        <v>575</v>
      </c>
      <c r="C873" s="27" t="s">
        <v>5367</v>
      </c>
      <c r="D873" s="27" t="s">
        <v>5368</v>
      </c>
      <c r="E873" s="27"/>
      <c r="F873" s="27" t="s">
        <v>5375</v>
      </c>
      <c r="G873" s="27" t="s">
        <v>5578</v>
      </c>
      <c r="H873" s="27" t="s">
        <v>4835</v>
      </c>
      <c r="I873" s="27" t="s">
        <v>5576</v>
      </c>
    </row>
    <row r="874" customFormat="false" ht="15" hidden="false" customHeight="true" outlineLevel="0" collapsed="false">
      <c r="A874" s="27" t="s">
        <v>4836</v>
      </c>
      <c r="B874" s="27" t="s">
        <v>575</v>
      </c>
      <c r="C874" s="27" t="s">
        <v>5367</v>
      </c>
      <c r="D874" s="27" t="s">
        <v>5368</v>
      </c>
      <c r="E874" s="27"/>
      <c r="F874" s="27" t="s">
        <v>5375</v>
      </c>
      <c r="G874" s="27" t="s">
        <v>5577</v>
      </c>
      <c r="H874" s="28" t="s">
        <v>4837</v>
      </c>
      <c r="I874" s="27" t="s">
        <v>5576</v>
      </c>
    </row>
    <row r="875" customFormat="false" ht="15" hidden="false" customHeight="true" outlineLevel="0" collapsed="false">
      <c r="A875" s="27" t="s">
        <v>4841</v>
      </c>
      <c r="B875" s="27" t="s">
        <v>575</v>
      </c>
      <c r="C875" s="27" t="s">
        <v>5399</v>
      </c>
      <c r="D875" s="27" t="s">
        <v>5581</v>
      </c>
      <c r="E875" s="27"/>
      <c r="F875" s="27" t="s">
        <v>5417</v>
      </c>
      <c r="G875" s="27" t="s">
        <v>5577</v>
      </c>
      <c r="H875" s="28" t="s">
        <v>4842</v>
      </c>
      <c r="I875" s="27" t="s">
        <v>5576</v>
      </c>
    </row>
    <row r="876" customFormat="false" ht="15" hidden="false" customHeight="true" outlineLevel="0" collapsed="false">
      <c r="A876" s="27" t="s">
        <v>4844</v>
      </c>
      <c r="B876" s="27" t="s">
        <v>575</v>
      </c>
      <c r="C876" s="27" t="s">
        <v>5367</v>
      </c>
      <c r="D876" s="27" t="s">
        <v>5368</v>
      </c>
      <c r="E876" s="27"/>
      <c r="F876" s="27" t="s">
        <v>5375</v>
      </c>
      <c r="G876" s="27" t="s">
        <v>5578</v>
      </c>
      <c r="H876" s="28" t="s">
        <v>4845</v>
      </c>
      <c r="I876" s="27" t="s">
        <v>5576</v>
      </c>
    </row>
    <row r="877" customFormat="false" ht="15" hidden="false" customHeight="true" outlineLevel="0" collapsed="false">
      <c r="A877" s="27" t="s">
        <v>4847</v>
      </c>
      <c r="B877" s="27" t="s">
        <v>575</v>
      </c>
      <c r="C877" s="27" t="s">
        <v>5367</v>
      </c>
      <c r="D877" s="27" t="s">
        <v>5368</v>
      </c>
      <c r="E877" s="27"/>
      <c r="F877" s="27" t="s">
        <v>5369</v>
      </c>
      <c r="G877" s="27" t="s">
        <v>5579</v>
      </c>
      <c r="H877" s="28" t="s">
        <v>4848</v>
      </c>
      <c r="I877" s="27" t="s">
        <v>5576</v>
      </c>
    </row>
    <row r="878" customFormat="false" ht="15" hidden="false" customHeight="true" outlineLevel="0" collapsed="false">
      <c r="A878" s="27" t="s">
        <v>4852</v>
      </c>
      <c r="B878" s="27" t="s">
        <v>575</v>
      </c>
      <c r="C878" s="27" t="s">
        <v>5367</v>
      </c>
      <c r="D878" s="27" t="s">
        <v>5368</v>
      </c>
      <c r="E878" s="27"/>
      <c r="F878" s="27" t="s">
        <v>5375</v>
      </c>
      <c r="G878" s="27" t="s">
        <v>5579</v>
      </c>
      <c r="H878" s="28" t="s">
        <v>4853</v>
      </c>
      <c r="I878" s="27" t="s">
        <v>5576</v>
      </c>
    </row>
    <row r="879" customFormat="false" ht="15" hidden="false" customHeight="true" outlineLevel="0" collapsed="false">
      <c r="A879" s="6" t="s">
        <v>5582</v>
      </c>
      <c r="B879" s="36" t="s">
        <v>5583</v>
      </c>
    </row>
    <row r="880" customFormat="false" ht="15" hidden="false" customHeight="true" outlineLevel="0" collapsed="false">
      <c r="A880" s="6" t="s">
        <v>471</v>
      </c>
      <c r="B880" s="27" t="n">
        <f aca="false">COUNTIFS($B$2:$B$849,$A856,$C$2:$C$849,B$852)</f>
        <v>0</v>
      </c>
      <c r="C880" s="27" t="n">
        <f aca="false">COUNTIFS($B$2:$B$849,$A856,$C$2:$C$849,C$852)</f>
        <v>0</v>
      </c>
      <c r="D880" s="27" t="n">
        <f aca="false">COUNTIFS($B$2:$B$849,$A856,$C$2:$C$849,D$852)</f>
        <v>0</v>
      </c>
      <c r="E880" s="27" t="e">
        <f aca="false">COUNTIFS($B$2:$B$849,$A856,$C$2:$C$849,E$852)</f>
        <v>#VALUE!</v>
      </c>
      <c r="F880" s="27" t="n">
        <f aca="false">COUNTIFS($B$2:$B$849,$A856,$C$2:$C$849,F$852)</f>
        <v>0</v>
      </c>
      <c r="G880" s="27" t="e">
        <f aca="false">SUM(B856:F856)</f>
        <v>#VALUE!</v>
      </c>
    </row>
    <row r="881" customFormat="false" ht="15" hidden="false" customHeight="true" outlineLevel="0" collapsed="false">
      <c r="A881" s="6" t="s">
        <v>471</v>
      </c>
      <c r="B881" s="9" t="s">
        <v>5584</v>
      </c>
    </row>
    <row r="882" customFormat="false" ht="15" hidden="false" customHeight="true" outlineLevel="0" collapsed="false">
      <c r="A882" s="6" t="s">
        <v>465</v>
      </c>
      <c r="B882" s="27" t="n">
        <f aca="false">COUNTIFS($B$2:$B$849,$A855,$C$2:$C$849,B$852)</f>
        <v>0</v>
      </c>
      <c r="C882" s="27" t="n">
        <f aca="false">COUNTIFS($B$2:$B$849,$A855,$C$2:$C$849,C$852)</f>
        <v>0</v>
      </c>
      <c r="D882" s="27" t="n">
        <f aca="false">COUNTIFS($B$2:$B$849,$A855,$C$2:$C$849,D$852)</f>
        <v>0</v>
      </c>
      <c r="E882" s="27" t="e">
        <f aca="false">COUNTIFS($B$2:$B$849,$A855,$C$2:$C$849,E$852)</f>
        <v>#VALUE!</v>
      </c>
      <c r="F882" s="27" t="n">
        <f aca="false">COUNTIFS($B$2:$B$849,$A855,$C$2:$C$849,F$852)</f>
        <v>0</v>
      </c>
      <c r="G882" s="27" t="e">
        <f aca="false">SUM(B855:F855)</f>
        <v>#VALUE!</v>
      </c>
    </row>
    <row r="883" customFormat="false" ht="15" hidden="false" customHeight="true" outlineLevel="0" collapsed="false">
      <c r="A883" s="6" t="s">
        <v>465</v>
      </c>
      <c r="B883" s="9" t="s">
        <v>5585</v>
      </c>
    </row>
    <row r="884" customFormat="false" ht="15" hidden="false" customHeight="true" outlineLevel="0" collapsed="false">
      <c r="A884" s="6" t="s">
        <v>531</v>
      </c>
      <c r="B884" s="27" t="n">
        <f aca="false">COUNTIFS($B$2:$B$849,$A864,$C$2:$C$849,B$852)</f>
        <v>0</v>
      </c>
      <c r="C884" s="27" t="n">
        <f aca="false">COUNTIFS($B$2:$B$849,$A864,$C$2:$C$849,C$852)</f>
        <v>0</v>
      </c>
      <c r="D884" s="27" t="n">
        <f aca="false">COUNTIFS($B$2:$B$849,$A864,$C$2:$C$849,D$852)</f>
        <v>0</v>
      </c>
      <c r="E884" s="27" t="e">
        <f aca="false">COUNTIFS($B$2:$B$849,$A864,$C$2:$C$849,E$852)</f>
        <v>#VALUE!</v>
      </c>
      <c r="F884" s="27" t="n">
        <f aca="false">COUNTIFS($B$2:$B$849,$A864,$C$2:$C$849,F$852)</f>
        <v>0</v>
      </c>
      <c r="G884" s="27" t="n">
        <f aca="false">SUM(B864:F864)</f>
        <v>0</v>
      </c>
    </row>
    <row r="885" customFormat="false" ht="15" hidden="false" customHeight="true" outlineLevel="0" collapsed="false">
      <c r="A885" s="6" t="s">
        <v>531</v>
      </c>
      <c r="B885" s="9" t="s">
        <v>5586</v>
      </c>
      <c r="C885" s="1" t="s">
        <v>5367</v>
      </c>
      <c r="D885" s="1" t="s">
        <v>5587</v>
      </c>
      <c r="F885" s="1" t="s">
        <v>5375</v>
      </c>
      <c r="H885" s="36" t="s">
        <v>4667</v>
      </c>
      <c r="I885" s="36" t="s">
        <v>5574</v>
      </c>
    </row>
    <row r="886" customFormat="false" ht="15" hidden="false" customHeight="true" outlineLevel="0" collapsed="false">
      <c r="A886" s="6" t="s">
        <v>515</v>
      </c>
      <c r="B886" s="27" t="n">
        <f aca="false">COUNTIFS($B$2:$B$849,$A862,$C$2:$C$849,B$852)</f>
        <v>0</v>
      </c>
      <c r="C886" s="27" t="n">
        <f aca="false">COUNTIFS($B$2:$B$849,$A862,$C$2:$C$849,C$852)</f>
        <v>0</v>
      </c>
      <c r="D886" s="27" t="n">
        <f aca="false">COUNTIFS($B$2:$B$849,$A862,$C$2:$C$849,D$852)</f>
        <v>0</v>
      </c>
      <c r="E886" s="27" t="e">
        <f aca="false">COUNTIFS($B$2:$B$849,$A862,$C$2:$C$849,E$852)</f>
        <v>#VALUE!</v>
      </c>
      <c r="F886" s="27" t="n">
        <f aca="false">COUNTIFS($B$2:$B$849,$A862,$C$2:$C$849,F$852)</f>
        <v>0</v>
      </c>
      <c r="G886" s="27" t="n">
        <f aca="false">SUM(B862:F862)</f>
        <v>0</v>
      </c>
      <c r="H886" s="36" t="s">
        <v>4676</v>
      </c>
      <c r="I886" s="36" t="s">
        <v>5574</v>
      </c>
    </row>
    <row r="887" customFormat="false" ht="15" hidden="false" customHeight="true" outlineLevel="0" collapsed="false">
      <c r="A887" s="6" t="s">
        <v>515</v>
      </c>
      <c r="B887" s="9" t="s">
        <v>5588</v>
      </c>
      <c r="C887" s="1" t="s">
        <v>5367</v>
      </c>
      <c r="D887" s="1" t="s">
        <v>5587</v>
      </c>
      <c r="F887" s="1" t="s">
        <v>5369</v>
      </c>
      <c r="H887" s="36" t="s">
        <v>4679</v>
      </c>
      <c r="I887" s="36" t="s">
        <v>5574</v>
      </c>
    </row>
    <row r="888" customFormat="false" ht="15" hidden="false" customHeight="true" outlineLevel="0" collapsed="false">
      <c r="A888" s="6" t="s">
        <v>478</v>
      </c>
      <c r="B888" s="27" t="n">
        <f aca="false">COUNTIFS($B$2:$B$849,$A857,$C$2:$C$849,B$852)</f>
        <v>0</v>
      </c>
      <c r="C888" s="27" t="n">
        <f aca="false">COUNTIFS($B$2:$B$849,$A857,$C$2:$C$849,C$852)</f>
        <v>0</v>
      </c>
      <c r="D888" s="27" t="n">
        <f aca="false">COUNTIFS($B$2:$B$849,$A857,$C$2:$C$849,D$852)</f>
        <v>0</v>
      </c>
      <c r="E888" s="27" t="e">
        <f aca="false">COUNTIFS($B$2:$B$849,$A857,$C$2:$C$849,E$852)</f>
        <v>#VALUE!</v>
      </c>
      <c r="F888" s="27" t="n">
        <f aca="false">COUNTIFS($B$2:$B$849,$A857,$C$2:$C$849,F$852)</f>
        <v>0</v>
      </c>
      <c r="G888" s="27" t="e">
        <f aca="false">SUM(B857:F857)</f>
        <v>#VALUE!</v>
      </c>
      <c r="H888" s="36" t="s">
        <v>4686</v>
      </c>
      <c r="I888" s="36" t="s">
        <v>5574</v>
      </c>
    </row>
    <row r="889" customFormat="false" ht="15" hidden="false" customHeight="true" outlineLevel="0" collapsed="false">
      <c r="A889" s="6" t="s">
        <v>478</v>
      </c>
      <c r="B889" s="9" t="s">
        <v>5589</v>
      </c>
      <c r="C889" s="1" t="s">
        <v>5407</v>
      </c>
      <c r="D889" s="1" t="s">
        <v>5408</v>
      </c>
      <c r="F889" s="1" t="s">
        <v>5416</v>
      </c>
      <c r="H889" s="36" t="s">
        <v>4686</v>
      </c>
      <c r="I889" s="36" t="s">
        <v>5574</v>
      </c>
    </row>
    <row r="890" customFormat="false" ht="15" hidden="false" customHeight="true" outlineLevel="0" collapsed="false">
      <c r="A890" s="6" t="s">
        <v>487</v>
      </c>
      <c r="B890" s="27" t="n">
        <f aca="false">COUNTIFS($B$2:$B$849,$A858,$C$2:$C$849,B$852)</f>
        <v>0</v>
      </c>
      <c r="C890" s="27" t="n">
        <f aca="false">COUNTIFS($B$2:$B$849,$A858,$C$2:$C$849,C$852)</f>
        <v>0</v>
      </c>
      <c r="D890" s="27" t="n">
        <f aca="false">COUNTIFS($B$2:$B$849,$A858,$C$2:$C$849,D$852)</f>
        <v>0</v>
      </c>
      <c r="E890" s="27" t="e">
        <f aca="false">COUNTIFS($B$2:$B$849,$A858,$C$2:$C$849,E$852)</f>
        <v>#VALUE!</v>
      </c>
      <c r="F890" s="27" t="n">
        <f aca="false">COUNTIFS($B$2:$B$849,$A858,$C$2:$C$849,F$852)</f>
        <v>0</v>
      </c>
      <c r="G890" s="27" t="e">
        <f aca="false">SUM(B858:F858)</f>
        <v>#VALUE!</v>
      </c>
      <c r="H890" s="36" t="s">
        <v>4689</v>
      </c>
      <c r="I890" s="36" t="s">
        <v>5574</v>
      </c>
    </row>
    <row r="891" customFormat="false" ht="15" hidden="false" customHeight="true" outlineLevel="0" collapsed="false">
      <c r="A891" s="6" t="s">
        <v>487</v>
      </c>
      <c r="B891" s="9" t="s">
        <v>5590</v>
      </c>
      <c r="C891" s="1" t="s">
        <v>5367</v>
      </c>
      <c r="D891" s="1" t="s">
        <v>5587</v>
      </c>
      <c r="F891" s="1" t="s">
        <v>5369</v>
      </c>
      <c r="H891" s="36" t="s">
        <v>4692</v>
      </c>
      <c r="I891" s="36" t="s">
        <v>5574</v>
      </c>
    </row>
    <row r="892" customFormat="false" ht="15" hidden="false" customHeight="true" outlineLevel="0" collapsed="false">
      <c r="A892" s="6" t="s">
        <v>502</v>
      </c>
      <c r="B892" s="27" t="n">
        <f aca="false">COUNTIFS($B$2:$B$849,$A860,$C$2:$C$849,B$852)</f>
        <v>0</v>
      </c>
      <c r="C892" s="27" t="n">
        <f aca="false">COUNTIFS($B$2:$B$849,$A860,$C$2:$C$849,C$852)</f>
        <v>0</v>
      </c>
      <c r="D892" s="27" t="n">
        <f aca="false">COUNTIFS($B$2:$B$849,$A860,$C$2:$C$849,D$852)</f>
        <v>0</v>
      </c>
      <c r="E892" s="27" t="e">
        <f aca="false">COUNTIFS($B$2:$B$849,$A860,$C$2:$C$849,E$852)</f>
        <v>#VALUE!</v>
      </c>
      <c r="F892" s="27" t="n">
        <f aca="false">COUNTIFS($B$2:$B$849,$A860,$C$2:$C$849,F$852)</f>
        <v>0</v>
      </c>
      <c r="G892" s="27" t="n">
        <f aca="false">SUM(B860:F860)</f>
        <v>0</v>
      </c>
      <c r="H892" s="36" t="s">
        <v>4695</v>
      </c>
      <c r="I892" s="36" t="s">
        <v>5574</v>
      </c>
    </row>
    <row r="893" customFormat="false" ht="15" hidden="false" customHeight="true" outlineLevel="0" collapsed="false">
      <c r="A893" s="6" t="s">
        <v>502</v>
      </c>
      <c r="B893" s="9" t="s">
        <v>5591</v>
      </c>
      <c r="C893" s="1" t="s">
        <v>5407</v>
      </c>
      <c r="D893" s="1" t="s">
        <v>5408</v>
      </c>
      <c r="F893" s="1" t="s">
        <v>5418</v>
      </c>
      <c r="H893" s="36" t="s">
        <v>4695</v>
      </c>
      <c r="I893" s="36" t="s">
        <v>5574</v>
      </c>
    </row>
    <row r="894" customFormat="false" ht="15" hidden="false" customHeight="true" outlineLevel="0" collapsed="false">
      <c r="A894" s="6" t="s">
        <v>458</v>
      </c>
      <c r="B894" s="27" t="n">
        <f aca="false">COUNTIFS($B$2:$B$849,$A854,$C$2:$C$849,B$852)</f>
        <v>0</v>
      </c>
      <c r="C894" s="27" t="n">
        <f aca="false">COUNTIFS($B$2:$B$849,$A854,$C$2:$C$849,C$852)</f>
        <v>0</v>
      </c>
      <c r="D894" s="27" t="n">
        <f aca="false">COUNTIFS($B$2:$B$849,$A854,$C$2:$C$849,D$852)</f>
        <v>0</v>
      </c>
      <c r="E894" s="27" t="e">
        <f aca="false">COUNTIFS($B$2:$B$849,$A854,$C$2:$C$849,E$852)</f>
        <v>#VALUE!</v>
      </c>
      <c r="F894" s="27" t="n">
        <f aca="false">COUNTIFS($B$2:$B$849,$A854,$C$2:$C$849,F$852)</f>
        <v>0</v>
      </c>
      <c r="G894" s="27" t="e">
        <f aca="false">SUM(B854:F854)</f>
        <v>#VALUE!</v>
      </c>
      <c r="H894" s="36" t="s">
        <v>4699</v>
      </c>
      <c r="I894" s="36" t="s">
        <v>5574</v>
      </c>
    </row>
    <row r="895" customFormat="false" ht="15" hidden="false" customHeight="true" outlineLevel="0" collapsed="false">
      <c r="A895" s="6" t="s">
        <v>458</v>
      </c>
      <c r="B895" s="9" t="s">
        <v>5592</v>
      </c>
      <c r="C895" s="1" t="s">
        <v>5407</v>
      </c>
      <c r="D895" s="1" t="s">
        <v>5408</v>
      </c>
      <c r="F895" s="1" t="s">
        <v>5419</v>
      </c>
      <c r="H895" s="36" t="s">
        <v>4702</v>
      </c>
      <c r="I895" s="36" t="s">
        <v>5574</v>
      </c>
    </row>
    <row r="896" customFormat="false" ht="15" hidden="false" customHeight="true" outlineLevel="0" collapsed="false">
      <c r="A896" s="6" t="s">
        <v>559</v>
      </c>
      <c r="B896" s="27" t="n">
        <f aca="false">COUNTIFS($B$2:$B$849,$A868,$C$2:$C$849,B$852)</f>
        <v>0</v>
      </c>
      <c r="C896" s="27" t="n">
        <f aca="false">COUNTIFS($B$2:$B$849,$A868,$C$2:$C$849,C$852)</f>
        <v>0</v>
      </c>
      <c r="D896" s="27" t="n">
        <f aca="false">COUNTIFS($B$2:$B$849,$A868,$C$2:$C$849,D$852)</f>
        <v>0</v>
      </c>
      <c r="E896" s="27" t="e">
        <f aca="false">COUNTIFS($B$2:$B$849,$A868,$C$2:$C$849,E$852)</f>
        <v>#VALUE!</v>
      </c>
      <c r="F896" s="27" t="n">
        <f aca="false">COUNTIFS($B$2:$B$849,$A868,$C$2:$C$849,F$852)</f>
        <v>0</v>
      </c>
      <c r="G896" s="27" t="n">
        <f aca="false">SUM(B868:F868)</f>
        <v>0</v>
      </c>
      <c r="H896" s="36" t="s">
        <v>4723</v>
      </c>
      <c r="I896" s="36" t="s">
        <v>5574</v>
      </c>
    </row>
    <row r="897" customFormat="false" ht="15" hidden="false" customHeight="true" outlineLevel="0" collapsed="false">
      <c r="A897" s="6" t="s">
        <v>559</v>
      </c>
      <c r="B897" s="9" t="s">
        <v>5593</v>
      </c>
      <c r="C897" s="1" t="s">
        <v>5367</v>
      </c>
      <c r="D897" s="1" t="s">
        <v>5587</v>
      </c>
      <c r="F897" s="1" t="s">
        <v>5369</v>
      </c>
      <c r="H897" s="36" t="s">
        <v>4726</v>
      </c>
      <c r="I897" s="36" t="s">
        <v>5574</v>
      </c>
    </row>
    <row r="898" customFormat="false" ht="15" hidden="false" customHeight="true" outlineLevel="0" collapsed="false">
      <c r="A898" s="6" t="s">
        <v>5594</v>
      </c>
      <c r="B898" s="1" t="s">
        <v>566</v>
      </c>
      <c r="C898" s="1" t="s">
        <v>5407</v>
      </c>
      <c r="D898" s="1" t="s">
        <v>5408</v>
      </c>
      <c r="F898" s="1" t="s">
        <v>5417</v>
      </c>
      <c r="H898" s="36" t="s">
        <v>4745</v>
      </c>
      <c r="I898" s="36" t="s">
        <v>5574</v>
      </c>
    </row>
    <row r="899" customFormat="false" ht="15" hidden="false" customHeight="true" outlineLevel="0" collapsed="false">
      <c r="A899" s="6" t="s">
        <v>493</v>
      </c>
      <c r="B899" s="27" t="n">
        <f aca="false">COUNTIFS($B$2:$B$849,$A859,$C$2:$C$849,B$852)</f>
        <v>0</v>
      </c>
      <c r="C899" s="27" t="n">
        <f aca="false">COUNTIFS($B$2:$B$849,$A859,$C$2:$C$849,C$852)</f>
        <v>0</v>
      </c>
      <c r="D899" s="27" t="n">
        <f aca="false">COUNTIFS($B$2:$B$849,$A859,$C$2:$C$849,D$852)</f>
        <v>0</v>
      </c>
      <c r="E899" s="27" t="e">
        <f aca="false">COUNTIFS($B$2:$B$849,$A859,$C$2:$C$849,E$852)</f>
        <v>#VALUE!</v>
      </c>
      <c r="F899" s="27" t="n">
        <f aca="false">COUNTIFS($B$2:$B$849,$A859,$C$2:$C$849,F$852)</f>
        <v>0</v>
      </c>
      <c r="G899" s="27" t="n">
        <f aca="false">SUM(B859:F859)</f>
        <v>0</v>
      </c>
      <c r="H899" s="36" t="s">
        <v>4848</v>
      </c>
      <c r="I899" s="1" t="s">
        <v>5595</v>
      </c>
    </row>
    <row r="900" customFormat="false" ht="15" hidden="false" customHeight="true" outlineLevel="0" collapsed="false">
      <c r="A900" s="6" t="s">
        <v>493</v>
      </c>
      <c r="B900" s="9" t="s">
        <v>5596</v>
      </c>
      <c r="C900" s="1" t="s">
        <v>5367</v>
      </c>
      <c r="D900" s="1" t="s">
        <v>5587</v>
      </c>
      <c r="F900" s="1" t="s">
        <v>5375</v>
      </c>
      <c r="G900" s="1" t="s">
        <v>5579</v>
      </c>
      <c r="H900" s="36" t="s">
        <v>4853</v>
      </c>
      <c r="I900" s="1" t="s">
        <v>5595</v>
      </c>
    </row>
    <row r="901" customFormat="false" ht="15" hidden="false" customHeight="true" outlineLevel="0" collapsed="false">
      <c r="A901" s="6" t="s">
        <v>544</v>
      </c>
      <c r="B901" s="27" t="n">
        <f aca="false">COUNTIFS($B$2:$B$849,$A866,$C$2:$C$849,B$852)</f>
        <v>0</v>
      </c>
      <c r="C901" s="27" t="n">
        <f aca="false">COUNTIFS($B$2:$B$849,$A866,$C$2:$C$849,C$852)</f>
        <v>0</v>
      </c>
      <c r="D901" s="27" t="n">
        <f aca="false">COUNTIFS($B$2:$B$849,$A866,$C$2:$C$849,D$852)</f>
        <v>0</v>
      </c>
      <c r="E901" s="27" t="e">
        <f aca="false">COUNTIFS($B$2:$B$849,$A866,$C$2:$C$849,E$852)</f>
        <v>#VALUE!</v>
      </c>
      <c r="F901" s="27" t="n">
        <f aca="false">COUNTIFS($B$2:$B$849,$A866,$C$2:$C$849,F$852)</f>
        <v>0</v>
      </c>
      <c r="G901" s="27" t="n">
        <f aca="false">SUM(B866:F866)</f>
        <v>0</v>
      </c>
      <c r="H901" s="1" t="s">
        <v>5597</v>
      </c>
      <c r="I901" s="1" t="s">
        <v>5595</v>
      </c>
    </row>
    <row r="902" customFormat="false" ht="15" hidden="false" customHeight="true" outlineLevel="0" collapsed="false">
      <c r="A902" s="6" t="s">
        <v>544</v>
      </c>
      <c r="B902" s="6" t="s">
        <v>5598</v>
      </c>
      <c r="C902" s="1" t="s">
        <v>5367</v>
      </c>
      <c r="D902" s="1" t="s">
        <v>5587</v>
      </c>
      <c r="F902" s="1" t="s">
        <v>5375</v>
      </c>
      <c r="G902" s="1" t="s">
        <v>5579</v>
      </c>
      <c r="H902" s="1" t="s">
        <v>5599</v>
      </c>
      <c r="I902" s="1" t="s">
        <v>5595</v>
      </c>
    </row>
    <row r="903" customFormat="false" ht="15" hidden="false" customHeight="true" outlineLevel="0" collapsed="false">
      <c r="A903" s="6" t="s">
        <v>448</v>
      </c>
      <c r="B903" s="27" t="n">
        <f aca="false">COUNTIFS($B$2:$B$849,$A853,$C$2:$C$849,B$852)</f>
        <v>0</v>
      </c>
      <c r="C903" s="27" t="n">
        <f aca="false">COUNTIFS($B$2:$B$849,$A853,$C$2:$C$849,C$852)</f>
        <v>0</v>
      </c>
      <c r="D903" s="27" t="n">
        <f aca="false">COUNTIFS($B$2:$B$849,$A853,$C$2:$C$849,D$852)</f>
        <v>0</v>
      </c>
      <c r="E903" s="27" t="e">
        <f aca="false">COUNTIFS($B$2:$B$849,$A853,$C$2:$C$849,E$852)</f>
        <v>#VALUE!</v>
      </c>
      <c r="F903" s="27" t="n">
        <f aca="false">COUNTIFS($B$2:$B$849,$A853,$C$2:$C$849,F$852)</f>
        <v>0</v>
      </c>
      <c r="G903" s="27" t="e">
        <f aca="false">SUM(B853:F853)</f>
        <v>#VALUE!</v>
      </c>
      <c r="H903" s="1" t="s">
        <v>5600</v>
      </c>
      <c r="I903" s="1" t="s">
        <v>5595</v>
      </c>
    </row>
    <row r="904" customFormat="false" ht="15" hidden="false" customHeight="true" outlineLevel="0" collapsed="false">
      <c r="A904" s="6" t="s">
        <v>448</v>
      </c>
      <c r="B904" s="9" t="s">
        <v>5601</v>
      </c>
      <c r="C904" s="1" t="s">
        <v>5367</v>
      </c>
      <c r="D904" s="1" t="s">
        <v>5587</v>
      </c>
      <c r="F904" s="1" t="s">
        <v>5375</v>
      </c>
      <c r="G904" s="1" t="s">
        <v>5578</v>
      </c>
      <c r="H904" s="1" t="s">
        <v>5602</v>
      </c>
      <c r="I904" s="1" t="s">
        <v>5595</v>
      </c>
    </row>
    <row r="905" customFormat="false" ht="15" hidden="false" customHeight="true" outlineLevel="0" collapsed="false">
      <c r="A905" s="6" t="s">
        <v>523</v>
      </c>
      <c r="B905" s="27" t="n">
        <f aca="false">COUNTIFS($B$2:$B$849,$A863,$C$2:$C$849,B$852)</f>
        <v>0</v>
      </c>
      <c r="C905" s="27" t="n">
        <f aca="false">COUNTIFS($B$2:$B$849,$A863,$C$2:$C$849,C$852)</f>
        <v>0</v>
      </c>
      <c r="D905" s="27" t="n">
        <f aca="false">COUNTIFS($B$2:$B$849,$A863,$C$2:$C$849,D$852)</f>
        <v>0</v>
      </c>
      <c r="E905" s="27" t="e">
        <f aca="false">COUNTIFS($B$2:$B$849,$A863,$C$2:$C$849,E$852)</f>
        <v>#VALUE!</v>
      </c>
      <c r="F905" s="27" t="n">
        <f aca="false">COUNTIFS($B$2:$B$849,$A863,$C$2:$C$849,F$852)</f>
        <v>0</v>
      </c>
      <c r="G905" s="27" t="n">
        <f aca="false">SUM(B863:F863)</f>
        <v>0</v>
      </c>
      <c r="H905" s="1" t="s">
        <v>5603</v>
      </c>
      <c r="I905" s="1" t="s">
        <v>5595</v>
      </c>
    </row>
    <row r="906" customFormat="false" ht="15" hidden="false" customHeight="true" outlineLevel="0" collapsed="false">
      <c r="A906" s="6" t="s">
        <v>523</v>
      </c>
      <c r="B906" s="9" t="s">
        <v>5583</v>
      </c>
      <c r="C906" s="1" t="s">
        <v>5367</v>
      </c>
      <c r="D906" s="1" t="s">
        <v>5587</v>
      </c>
      <c r="F906" s="1" t="s">
        <v>5375</v>
      </c>
      <c r="G906" s="1" t="s">
        <v>5578</v>
      </c>
      <c r="H906" s="36" t="s">
        <v>4820</v>
      </c>
      <c r="I906" s="1" t="s">
        <v>5595</v>
      </c>
    </row>
    <row r="907" customFormat="false" ht="15" hidden="false" customHeight="true" outlineLevel="0" collapsed="false">
      <c r="A907" s="6" t="s">
        <v>538</v>
      </c>
      <c r="B907" s="27" t="n">
        <f aca="false">COUNTIFS($B$2:$B$849,$A865,$C$2:$C$849,B$852)</f>
        <v>0</v>
      </c>
      <c r="C907" s="27" t="n">
        <f aca="false">COUNTIFS($B$2:$B$849,$A865,$C$2:$C$849,C$852)</f>
        <v>0</v>
      </c>
      <c r="D907" s="27" t="n">
        <f aca="false">COUNTIFS($B$2:$B$849,$A865,$C$2:$C$849,D$852)</f>
        <v>0</v>
      </c>
      <c r="E907" s="27" t="e">
        <f aca="false">COUNTIFS($B$2:$B$849,$A865,$C$2:$C$849,E$852)</f>
        <v>#VALUE!</v>
      </c>
      <c r="F907" s="27" t="n">
        <f aca="false">COUNTIFS($B$2:$B$849,$A865,$C$2:$C$849,F$852)</f>
        <v>0</v>
      </c>
      <c r="G907" s="27" t="n">
        <f aca="false">SUM(B865:F865)</f>
        <v>0</v>
      </c>
      <c r="H907" s="1" t="s">
        <v>5604</v>
      </c>
      <c r="I907" s="1" t="s">
        <v>5595</v>
      </c>
    </row>
    <row r="908" customFormat="false" ht="15" hidden="false" customHeight="true" outlineLevel="0" collapsed="false">
      <c r="A908" s="6" t="s">
        <v>538</v>
      </c>
      <c r="B908" s="9" t="s">
        <v>5605</v>
      </c>
      <c r="C908" s="1" t="s">
        <v>5367</v>
      </c>
      <c r="D908" s="1" t="s">
        <v>5587</v>
      </c>
      <c r="F908" s="1" t="s">
        <v>5375</v>
      </c>
      <c r="G908" s="1" t="s">
        <v>5578</v>
      </c>
      <c r="H908" s="36" t="s">
        <v>4845</v>
      </c>
      <c r="I908" s="1" t="s">
        <v>5595</v>
      </c>
    </row>
    <row r="909" customFormat="false" ht="15" hidden="false" customHeight="true" outlineLevel="0" collapsed="false">
      <c r="A909" s="6" t="s">
        <v>551</v>
      </c>
      <c r="B909" s="27" t="n">
        <f aca="false">COUNTIFS($B$2:$B$849,$A867,$C$2:$C$849,B$852)</f>
        <v>0</v>
      </c>
      <c r="C909" s="27" t="n">
        <f aca="false">COUNTIFS($B$2:$B$849,$A867,$C$2:$C$849,C$852)</f>
        <v>0</v>
      </c>
      <c r="D909" s="27" t="n">
        <f aca="false">COUNTIFS($B$2:$B$849,$A867,$C$2:$C$849,D$852)</f>
        <v>0</v>
      </c>
      <c r="E909" s="27" t="e">
        <f aca="false">COUNTIFS($B$2:$B$849,$A867,$C$2:$C$849,E$852)</f>
        <v>#VALUE!</v>
      </c>
      <c r="F909" s="27" t="n">
        <f aca="false">COUNTIFS($B$2:$B$849,$A867,$C$2:$C$849,F$852)</f>
        <v>0</v>
      </c>
      <c r="G909" s="27" t="n">
        <f aca="false">SUM(B867:F867)</f>
        <v>0</v>
      </c>
      <c r="H909" s="36" t="s">
        <v>4794</v>
      </c>
      <c r="I909" s="1" t="s">
        <v>5595</v>
      </c>
    </row>
    <row r="910" customFormat="false" ht="15" hidden="false" customHeight="true" outlineLevel="0" collapsed="false">
      <c r="A910" s="6" t="s">
        <v>551</v>
      </c>
      <c r="B910" s="6" t="s">
        <v>5606</v>
      </c>
      <c r="C910" s="1" t="s">
        <v>5367</v>
      </c>
      <c r="D910" s="1" t="s">
        <v>5587</v>
      </c>
      <c r="F910" s="1" t="s">
        <v>5375</v>
      </c>
      <c r="G910" s="1" t="s">
        <v>5504</v>
      </c>
      <c r="H910" s="1" t="s">
        <v>5607</v>
      </c>
      <c r="I910" s="1" t="s">
        <v>5595</v>
      </c>
    </row>
    <row r="911" customFormat="false" ht="15" hidden="false" customHeight="true" outlineLevel="0" collapsed="false">
      <c r="A911" s="6" t="s">
        <v>509</v>
      </c>
      <c r="B911" s="27" t="n">
        <f aca="false">COUNTIFS($B$2:$B$849,$A861,$C$2:$C$849,B$852)</f>
        <v>0</v>
      </c>
      <c r="C911" s="27" t="n">
        <f aca="false">COUNTIFS($B$2:$B$849,$A861,$C$2:$C$849,C$852)</f>
        <v>0</v>
      </c>
      <c r="D911" s="27" t="n">
        <f aca="false">COUNTIFS($B$2:$B$849,$A861,$C$2:$C$849,D$852)</f>
        <v>0</v>
      </c>
      <c r="E911" s="27" t="e">
        <f aca="false">COUNTIFS($B$2:$B$849,$A861,$C$2:$C$849,E$852)</f>
        <v>#VALUE!</v>
      </c>
      <c r="F911" s="27" t="n">
        <f aca="false">COUNTIFS($B$2:$B$849,$A861,$C$2:$C$849,F$852)</f>
        <v>0</v>
      </c>
      <c r="G911" s="27" t="n">
        <f aca="false">SUM(B861:F861)</f>
        <v>0</v>
      </c>
      <c r="H911" s="1" t="s">
        <v>5608</v>
      </c>
      <c r="I911" s="1" t="s">
        <v>5595</v>
      </c>
    </row>
    <row r="912" customFormat="false" ht="15" hidden="false" customHeight="true" outlineLevel="0" collapsed="false">
      <c r="A912" s="6" t="s">
        <v>509</v>
      </c>
      <c r="B912" s="9" t="s">
        <v>5609</v>
      </c>
      <c r="C912" s="1" t="s">
        <v>5367</v>
      </c>
      <c r="D912" s="1" t="s">
        <v>5587</v>
      </c>
      <c r="F912" s="1" t="s">
        <v>5375</v>
      </c>
      <c r="G912" s="1" t="s">
        <v>5504</v>
      </c>
      <c r="H912" s="36" t="s">
        <v>4790</v>
      </c>
      <c r="I912" s="1" t="s">
        <v>5595</v>
      </c>
    </row>
    <row r="913" customFormat="false" ht="15" hidden="false" customHeight="true" outlineLevel="0" collapsed="false">
      <c r="A913" s="9" t="s">
        <v>5610</v>
      </c>
      <c r="B913" s="1" t="s">
        <v>575</v>
      </c>
      <c r="C913" s="1" t="s">
        <v>5367</v>
      </c>
      <c r="D913" s="1" t="s">
        <v>5587</v>
      </c>
      <c r="F913" s="1" t="s">
        <v>5375</v>
      </c>
      <c r="G913" s="1" t="s">
        <v>5504</v>
      </c>
      <c r="H913" s="1" t="s">
        <v>5611</v>
      </c>
      <c r="I913" s="1" t="s">
        <v>5595</v>
      </c>
    </row>
    <row r="914" customFormat="false" ht="15" hidden="false" customHeight="true" outlineLevel="0" collapsed="false">
      <c r="A914" s="15" t="s">
        <v>5575</v>
      </c>
      <c r="B914" s="27" t="n">
        <f aca="false">SUM(B853:B868)</f>
        <v>0</v>
      </c>
      <c r="C914" s="27" t="n">
        <f aca="false">SUM(C853:C868)</f>
        <v>0</v>
      </c>
      <c r="D914" s="27" t="n">
        <f aca="false">SUM(D853:D868)</f>
        <v>0</v>
      </c>
      <c r="E914" s="27" t="e">
        <f aca="false">SUM(E853:E868)</f>
        <v>#VALUE!</v>
      </c>
      <c r="F914" s="27" t="n">
        <f aca="false">SUM(F853:F868)</f>
        <v>0</v>
      </c>
      <c r="G914" s="27" t="n">
        <f aca="false">SUM(G853:G868)</f>
        <v>0</v>
      </c>
      <c r="H914" s="36" t="s">
        <v>4764</v>
      </c>
      <c r="I914" s="1" t="s">
        <v>5595</v>
      </c>
    </row>
    <row r="915" customFormat="false" ht="15" hidden="false" customHeight="true" outlineLevel="0" collapsed="false">
      <c r="A915" s="9" t="s">
        <v>5612</v>
      </c>
      <c r="B915" s="1" t="s">
        <v>575</v>
      </c>
      <c r="C915" s="1" t="s">
        <v>5367</v>
      </c>
      <c r="D915" s="1" t="s">
        <v>5587</v>
      </c>
      <c r="F915" s="1" t="s">
        <v>5375</v>
      </c>
      <c r="G915" s="1" t="s">
        <v>5577</v>
      </c>
      <c r="H915" s="1" t="s">
        <v>5613</v>
      </c>
      <c r="I915" s="1" t="s">
        <v>5595</v>
      </c>
    </row>
    <row r="916" customFormat="false" ht="15" hidden="false" customHeight="true" outlineLevel="0" collapsed="false">
      <c r="A916" s="15" t="s">
        <v>435</v>
      </c>
      <c r="B916" s="53" t="s">
        <v>5407</v>
      </c>
      <c r="C916" s="53" t="s">
        <v>5399</v>
      </c>
      <c r="D916" s="53" t="s">
        <v>5367</v>
      </c>
      <c r="E916" s="53" t="s">
        <v>5458</v>
      </c>
      <c r="F916" s="53" t="s">
        <v>5614</v>
      </c>
      <c r="G916" s="35" t="s">
        <v>5575</v>
      </c>
      <c r="H916" s="36" t="s">
        <v>4773</v>
      </c>
      <c r="I916" s="1" t="s">
        <v>5595</v>
      </c>
    </row>
    <row r="917" customFormat="false" ht="15" hidden="false" customHeight="true" outlineLevel="0" collapsed="false">
      <c r="A917" s="15" t="s">
        <v>5615</v>
      </c>
      <c r="B917" s="1" t="s">
        <v>575</v>
      </c>
      <c r="C917" s="1" t="s">
        <v>5367</v>
      </c>
      <c r="D917" s="1" t="s">
        <v>5587</v>
      </c>
      <c r="F917" s="1" t="s">
        <v>5375</v>
      </c>
      <c r="G917" s="1" t="s">
        <v>5577</v>
      </c>
      <c r="H917" s="1" t="s">
        <v>5616</v>
      </c>
      <c r="I917" s="1" t="s">
        <v>5595</v>
      </c>
    </row>
    <row r="918" customFormat="false" ht="15" hidden="false" customHeight="true" outlineLevel="0" collapsed="false">
      <c r="A918" s="15" t="s">
        <v>5617</v>
      </c>
      <c r="B918" s="1" t="s">
        <v>575</v>
      </c>
      <c r="C918" s="1" t="s">
        <v>5367</v>
      </c>
      <c r="D918" s="1" t="s">
        <v>5587</v>
      </c>
      <c r="F918" s="1" t="s">
        <v>5375</v>
      </c>
      <c r="G918" s="1" t="s">
        <v>5577</v>
      </c>
      <c r="H918" s="1" t="s">
        <v>5618</v>
      </c>
      <c r="I918" s="1" t="s">
        <v>5595</v>
      </c>
    </row>
    <row r="919" customFormat="false" ht="15" hidden="false" customHeight="true" outlineLevel="0" collapsed="false">
      <c r="A919" s="15" t="s">
        <v>5619</v>
      </c>
      <c r="B919" s="1" t="s">
        <v>575</v>
      </c>
      <c r="C919" s="1" t="s">
        <v>5367</v>
      </c>
      <c r="D919" s="1" t="s">
        <v>5587</v>
      </c>
      <c r="F919" s="1" t="s">
        <v>5375</v>
      </c>
      <c r="G919" s="1" t="s">
        <v>5577</v>
      </c>
      <c r="H919" s="36" t="s">
        <v>4837</v>
      </c>
      <c r="I919" s="1" t="s">
        <v>5595</v>
      </c>
    </row>
    <row r="920" customFormat="false" ht="15" hidden="false" customHeight="true" outlineLevel="0" collapsed="false">
      <c r="A920" s="6" t="s">
        <v>5620</v>
      </c>
      <c r="B920" s="1" t="s">
        <v>575</v>
      </c>
      <c r="C920" s="1" t="s">
        <v>5399</v>
      </c>
      <c r="D920" s="1" t="s">
        <v>5581</v>
      </c>
      <c r="F920" s="1" t="s">
        <v>5417</v>
      </c>
      <c r="G920" s="1" t="s">
        <v>5578</v>
      </c>
      <c r="H920" s="36" t="s">
        <v>4810</v>
      </c>
      <c r="I920" s="1" t="s">
        <v>5595</v>
      </c>
    </row>
    <row r="921" customFormat="false" ht="15" hidden="false" customHeight="true" outlineLevel="0" collapsed="false">
      <c r="A921" s="6" t="s">
        <v>5621</v>
      </c>
      <c r="B921" s="1" t="s">
        <v>575</v>
      </c>
      <c r="C921" s="1" t="s">
        <v>5399</v>
      </c>
      <c r="D921" s="1" t="s">
        <v>5581</v>
      </c>
      <c r="F921" s="1" t="s">
        <v>5417</v>
      </c>
      <c r="G921" s="1" t="s">
        <v>5577</v>
      </c>
      <c r="H921" s="1" t="s">
        <v>5622</v>
      </c>
      <c r="I921" s="1" t="s">
        <v>5595</v>
      </c>
    </row>
    <row r="922" customFormat="false" ht="15" hidden="false" customHeight="true" outlineLevel="0" collapsed="false"/>
    <row r="923" customFormat="false" ht="15" hidden="false" customHeight="true" outlineLevel="0" collapsed="false"/>
    <row r="924" customFormat="false" ht="15" hidden="false" customHeight="true" outlineLevel="0" collapsed="false"/>
    <row r="925" customFormat="false" ht="15" hidden="false" customHeight="true" outlineLevel="0" collapsed="false"/>
    <row r="926" customFormat="false" ht="15" hidden="false" customHeight="true" outlineLevel="0" collapsed="false"/>
    <row r="927" customFormat="false" ht="15" hidden="false" customHeight="true" outlineLevel="0" collapsed="false"/>
    <row r="928" customFormat="false" ht="15" hidden="false" customHeight="true" outlineLevel="0" collapsed="false"/>
    <row r="929" customFormat="false" ht="15" hidden="false" customHeight="true" outlineLevel="0" collapsed="false"/>
    <row r="930" customFormat="false" ht="15" hidden="false" customHeight="true" outlineLevel="0" collapsed="false"/>
    <row r="931" customFormat="false" ht="15" hidden="false" customHeight="true" outlineLevel="0" collapsed="false"/>
    <row r="932" customFormat="false" ht="15" hidden="false" customHeight="true" outlineLevel="0" collapsed="false"/>
    <row r="933" customFormat="false" ht="15" hidden="false" customHeight="true" outlineLevel="0" collapsed="false"/>
    <row r="934" customFormat="false" ht="15" hidden="false" customHeight="true" outlineLevel="0" collapsed="false"/>
    <row r="935"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30"/>
    <col collapsed="false" customWidth="true" hidden="false" outlineLevel="0" max="4" min="4" style="1" width="32"/>
    <col collapsed="false" customWidth="true" hidden="false" outlineLevel="0" max="5" min="5" style="1" width="16"/>
    <col collapsed="false" customWidth="true" hidden="false" outlineLevel="0" max="6" min="6" style="1" width="34"/>
    <col collapsed="false" customWidth="true" hidden="false" outlineLevel="0" max="7" min="7" style="1" width="14"/>
    <col collapsed="false" customWidth="true" hidden="false" outlineLevel="0" max="8" min="8" style="1" width="20"/>
    <col collapsed="false" customWidth="true" hidden="false" outlineLevel="0" max="9" min="9" style="1" width="30"/>
  </cols>
  <sheetData>
    <row r="1" customFormat="false" ht="15" hidden="false" customHeight="true" outlineLevel="0" collapsed="false">
      <c r="A1" s="29" t="s">
        <v>731</v>
      </c>
      <c r="B1" s="29" t="s">
        <v>435</v>
      </c>
      <c r="C1" s="29" t="s">
        <v>732</v>
      </c>
      <c r="D1" s="30" t="s">
        <v>5623</v>
      </c>
      <c r="E1" s="30" t="s">
        <v>5624</v>
      </c>
      <c r="F1" s="29" t="s">
        <v>5625</v>
      </c>
      <c r="G1" s="29" t="s">
        <v>5626</v>
      </c>
      <c r="H1" s="29" t="s">
        <v>4872</v>
      </c>
      <c r="I1" s="29" t="s">
        <v>5627</v>
      </c>
      <c r="J1" s="29" t="s">
        <v>447</v>
      </c>
    </row>
    <row r="2" customFormat="false" ht="15" hidden="false" customHeight="true" outlineLevel="0" collapsed="false">
      <c r="A2" s="27" t="s">
        <v>769</v>
      </c>
      <c r="B2" s="27" t="s">
        <v>448</v>
      </c>
      <c r="C2" s="28" t="s">
        <v>770</v>
      </c>
      <c r="D2" s="28" t="s">
        <v>5628</v>
      </c>
      <c r="E2" s="28" t="s">
        <v>5629</v>
      </c>
      <c r="F2" s="28" t="s">
        <v>5630</v>
      </c>
      <c r="G2" s="28" t="s">
        <v>5631</v>
      </c>
      <c r="H2" s="27" t="s">
        <v>5632</v>
      </c>
      <c r="I2" s="28" t="s">
        <v>5633</v>
      </c>
      <c r="J2" s="28" t="s">
        <v>5634</v>
      </c>
    </row>
    <row r="3" customFormat="false" ht="15" hidden="false" customHeight="true" outlineLevel="0" collapsed="false">
      <c r="A3" s="27" t="s">
        <v>776</v>
      </c>
      <c r="B3" s="27" t="s">
        <v>448</v>
      </c>
      <c r="C3" s="28" t="s">
        <v>777</v>
      </c>
      <c r="D3" s="28" t="s">
        <v>5628</v>
      </c>
      <c r="E3" s="28" t="s">
        <v>5629</v>
      </c>
      <c r="F3" s="28" t="s">
        <v>5630</v>
      </c>
      <c r="G3" s="28" t="s">
        <v>5631</v>
      </c>
      <c r="H3" s="27" t="s">
        <v>5632</v>
      </c>
      <c r="I3" s="28" t="s">
        <v>5633</v>
      </c>
      <c r="J3" s="28" t="s">
        <v>5634</v>
      </c>
    </row>
    <row r="4" customFormat="false" ht="15" hidden="false" customHeight="true" outlineLevel="0" collapsed="false">
      <c r="A4" s="27" t="s">
        <v>780</v>
      </c>
      <c r="B4" s="27" t="s">
        <v>448</v>
      </c>
      <c r="C4" s="28" t="s">
        <v>781</v>
      </c>
      <c r="D4" s="28" t="s">
        <v>5628</v>
      </c>
      <c r="E4" s="28" t="s">
        <v>5629</v>
      </c>
      <c r="F4" s="28" t="s">
        <v>5630</v>
      </c>
      <c r="G4" s="28" t="s">
        <v>5631</v>
      </c>
      <c r="H4" s="27" t="s">
        <v>5632</v>
      </c>
      <c r="I4" s="28" t="s">
        <v>5633</v>
      </c>
      <c r="J4" s="28" t="s">
        <v>5634</v>
      </c>
    </row>
    <row r="5" customFormat="false" ht="15" hidden="false" customHeight="true" outlineLevel="0" collapsed="false">
      <c r="A5" s="27" t="s">
        <v>784</v>
      </c>
      <c r="B5" s="27" t="s">
        <v>448</v>
      </c>
      <c r="C5" s="28" t="s">
        <v>785</v>
      </c>
      <c r="D5" s="28" t="s">
        <v>5628</v>
      </c>
      <c r="E5" s="28" t="s">
        <v>5629</v>
      </c>
      <c r="F5" s="28" t="s">
        <v>5630</v>
      </c>
      <c r="G5" s="28" t="s">
        <v>5631</v>
      </c>
      <c r="H5" s="27" t="s">
        <v>5632</v>
      </c>
      <c r="I5" s="28" t="s">
        <v>5633</v>
      </c>
      <c r="J5" s="28" t="s">
        <v>5634</v>
      </c>
    </row>
    <row r="6" customFormat="false" ht="15" hidden="false" customHeight="true" outlineLevel="0" collapsed="false">
      <c r="A6" s="27" t="s">
        <v>788</v>
      </c>
      <c r="B6" s="27" t="s">
        <v>448</v>
      </c>
      <c r="C6" s="28" t="s">
        <v>789</v>
      </c>
      <c r="D6" s="28" t="s">
        <v>5628</v>
      </c>
      <c r="E6" s="28" t="s">
        <v>5629</v>
      </c>
      <c r="F6" s="28" t="s">
        <v>5630</v>
      </c>
      <c r="G6" s="28" t="s">
        <v>5631</v>
      </c>
      <c r="H6" s="27" t="s">
        <v>5632</v>
      </c>
      <c r="I6" s="28" t="s">
        <v>5633</v>
      </c>
      <c r="J6" s="28" t="s">
        <v>5634</v>
      </c>
    </row>
    <row r="7" customFormat="false" ht="15" hidden="false" customHeight="true" outlineLevel="0" collapsed="false">
      <c r="A7" s="27" t="s">
        <v>793</v>
      </c>
      <c r="B7" s="27" t="s">
        <v>448</v>
      </c>
      <c r="C7" s="28" t="s">
        <v>794</v>
      </c>
      <c r="D7" s="28" t="s">
        <v>5635</v>
      </c>
      <c r="E7" s="28" t="s">
        <v>5636</v>
      </c>
      <c r="F7" s="28" t="s">
        <v>5630</v>
      </c>
      <c r="G7" s="28" t="s">
        <v>5631</v>
      </c>
      <c r="H7" s="27" t="s">
        <v>5632</v>
      </c>
      <c r="I7" s="28" t="s">
        <v>5633</v>
      </c>
      <c r="J7" s="28" t="s">
        <v>5634</v>
      </c>
    </row>
    <row r="8" customFormat="false" ht="15" hidden="false" customHeight="true" outlineLevel="0" collapsed="false">
      <c r="A8" s="27" t="s">
        <v>797</v>
      </c>
      <c r="B8" s="27" t="s">
        <v>448</v>
      </c>
      <c r="C8" s="28" t="s">
        <v>798</v>
      </c>
      <c r="D8" s="28" t="s">
        <v>5637</v>
      </c>
      <c r="E8" s="28" t="s">
        <v>5636</v>
      </c>
      <c r="F8" s="28" t="s">
        <v>5630</v>
      </c>
      <c r="G8" s="28" t="s">
        <v>5631</v>
      </c>
      <c r="H8" s="27" t="s">
        <v>5632</v>
      </c>
      <c r="I8" s="28" t="s">
        <v>5633</v>
      </c>
      <c r="J8" s="28" t="s">
        <v>5634</v>
      </c>
    </row>
    <row r="9" customFormat="false" ht="15" hidden="false" customHeight="true" outlineLevel="0" collapsed="false">
      <c r="A9" s="27" t="s">
        <v>802</v>
      </c>
      <c r="B9" s="27" t="s">
        <v>448</v>
      </c>
      <c r="C9" s="28" t="s">
        <v>803</v>
      </c>
      <c r="D9" s="28" t="s">
        <v>5637</v>
      </c>
      <c r="E9" s="28" t="s">
        <v>5636</v>
      </c>
      <c r="F9" s="28" t="s">
        <v>5630</v>
      </c>
      <c r="G9" s="28" t="s">
        <v>5631</v>
      </c>
      <c r="H9" s="27" t="s">
        <v>5632</v>
      </c>
      <c r="I9" s="28" t="s">
        <v>5633</v>
      </c>
      <c r="J9" s="28" t="s">
        <v>5634</v>
      </c>
    </row>
    <row r="10" customFormat="false" ht="15" hidden="false" customHeight="true" outlineLevel="0" collapsed="false">
      <c r="A10" s="27" t="s">
        <v>805</v>
      </c>
      <c r="B10" s="27" t="s">
        <v>448</v>
      </c>
      <c r="C10" s="28" t="s">
        <v>806</v>
      </c>
      <c r="D10" s="28" t="s">
        <v>5638</v>
      </c>
      <c r="E10" s="28" t="s">
        <v>5639</v>
      </c>
      <c r="F10" s="28" t="s">
        <v>5640</v>
      </c>
      <c r="G10" s="28" t="s">
        <v>5631</v>
      </c>
      <c r="H10" s="27" t="s">
        <v>5632</v>
      </c>
      <c r="I10" s="28" t="s">
        <v>5633</v>
      </c>
      <c r="J10" s="28" t="s">
        <v>5634</v>
      </c>
    </row>
    <row r="11" customFormat="false" ht="15" hidden="false" customHeight="true" outlineLevel="0" collapsed="false">
      <c r="A11" s="27" t="s">
        <v>809</v>
      </c>
      <c r="B11" s="27" t="s">
        <v>448</v>
      </c>
      <c r="C11" s="28" t="s">
        <v>810</v>
      </c>
      <c r="D11" s="28" t="s">
        <v>5628</v>
      </c>
      <c r="E11" s="28" t="s">
        <v>5629</v>
      </c>
      <c r="F11" s="28" t="s">
        <v>5630</v>
      </c>
      <c r="G11" s="28" t="s">
        <v>5631</v>
      </c>
      <c r="H11" s="27" t="s">
        <v>5632</v>
      </c>
      <c r="I11" s="28" t="s">
        <v>5633</v>
      </c>
      <c r="J11" s="28" t="s">
        <v>5634</v>
      </c>
    </row>
    <row r="12" customFormat="false" ht="15" hidden="false" customHeight="true" outlineLevel="0" collapsed="false">
      <c r="A12" s="27" t="s">
        <v>813</v>
      </c>
      <c r="B12" s="27" t="s">
        <v>448</v>
      </c>
      <c r="C12" s="28" t="s">
        <v>814</v>
      </c>
      <c r="D12" s="28" t="s">
        <v>5635</v>
      </c>
      <c r="E12" s="28" t="s">
        <v>5636</v>
      </c>
      <c r="F12" s="28" t="s">
        <v>5630</v>
      </c>
      <c r="G12" s="28" t="s">
        <v>5631</v>
      </c>
      <c r="H12" s="27" t="s">
        <v>5632</v>
      </c>
      <c r="I12" s="28" t="s">
        <v>5633</v>
      </c>
      <c r="J12" s="28" t="s">
        <v>5634</v>
      </c>
    </row>
    <row r="13" customFormat="false" ht="15" hidden="false" customHeight="true" outlineLevel="0" collapsed="false">
      <c r="A13" s="27" t="s">
        <v>818</v>
      </c>
      <c r="B13" s="27" t="s">
        <v>448</v>
      </c>
      <c r="C13" s="28" t="s">
        <v>819</v>
      </c>
      <c r="D13" s="28" t="s">
        <v>5641</v>
      </c>
      <c r="E13" s="28" t="s">
        <v>5639</v>
      </c>
      <c r="F13" s="28" t="s">
        <v>5640</v>
      </c>
      <c r="G13" s="28" t="s">
        <v>5631</v>
      </c>
      <c r="H13" s="27" t="s">
        <v>5632</v>
      </c>
      <c r="I13" s="28" t="s">
        <v>5633</v>
      </c>
      <c r="J13" s="28" t="s">
        <v>5634</v>
      </c>
    </row>
    <row r="14" customFormat="false" ht="15" hidden="false" customHeight="true" outlineLevel="0" collapsed="false">
      <c r="A14" s="27" t="s">
        <v>824</v>
      </c>
      <c r="B14" s="27" t="s">
        <v>448</v>
      </c>
      <c r="C14" s="28" t="s">
        <v>825</v>
      </c>
      <c r="D14" s="28" t="s">
        <v>5637</v>
      </c>
      <c r="E14" s="28" t="s">
        <v>5636</v>
      </c>
      <c r="F14" s="28" t="s">
        <v>5630</v>
      </c>
      <c r="G14" s="28" t="s">
        <v>5631</v>
      </c>
      <c r="H14" s="27" t="s">
        <v>5632</v>
      </c>
      <c r="I14" s="28" t="s">
        <v>5633</v>
      </c>
      <c r="J14" s="28" t="s">
        <v>5634</v>
      </c>
    </row>
    <row r="15" customFormat="false" ht="15" hidden="false" customHeight="true" outlineLevel="0" collapsed="false">
      <c r="A15" s="27" t="s">
        <v>827</v>
      </c>
      <c r="B15" s="27" t="s">
        <v>448</v>
      </c>
      <c r="C15" s="28" t="s">
        <v>828</v>
      </c>
      <c r="D15" s="28" t="s">
        <v>5642</v>
      </c>
      <c r="E15" s="28" t="s">
        <v>5639</v>
      </c>
      <c r="F15" s="28" t="s">
        <v>5640</v>
      </c>
      <c r="G15" s="28" t="s">
        <v>5631</v>
      </c>
      <c r="H15" s="27" t="s">
        <v>5632</v>
      </c>
      <c r="I15" s="28" t="s">
        <v>5633</v>
      </c>
      <c r="J15" s="28" t="s">
        <v>5634</v>
      </c>
    </row>
    <row r="16" customFormat="false" ht="15" hidden="false" customHeight="true" outlineLevel="0" collapsed="false">
      <c r="A16" s="27" t="s">
        <v>832</v>
      </c>
      <c r="B16" s="27" t="s">
        <v>448</v>
      </c>
      <c r="C16" s="28" t="s">
        <v>833</v>
      </c>
      <c r="D16" s="28" t="s">
        <v>5637</v>
      </c>
      <c r="E16" s="28" t="s">
        <v>5636</v>
      </c>
      <c r="F16" s="28" t="s">
        <v>5630</v>
      </c>
      <c r="G16" s="28" t="s">
        <v>5631</v>
      </c>
      <c r="H16" s="27" t="s">
        <v>5632</v>
      </c>
      <c r="I16" s="28" t="s">
        <v>5633</v>
      </c>
      <c r="J16" s="28" t="s">
        <v>5634</v>
      </c>
    </row>
    <row r="17" customFormat="false" ht="15" hidden="false" customHeight="true" outlineLevel="0" collapsed="false">
      <c r="A17" s="27" t="s">
        <v>834</v>
      </c>
      <c r="B17" s="27" t="s">
        <v>448</v>
      </c>
      <c r="C17" s="28" t="s">
        <v>835</v>
      </c>
      <c r="D17" s="28" t="s">
        <v>5635</v>
      </c>
      <c r="E17" s="28" t="s">
        <v>5636</v>
      </c>
      <c r="F17" s="28" t="s">
        <v>5630</v>
      </c>
      <c r="G17" s="28" t="s">
        <v>5631</v>
      </c>
      <c r="H17" s="27" t="s">
        <v>5632</v>
      </c>
      <c r="I17" s="28" t="s">
        <v>5633</v>
      </c>
      <c r="J17" s="28" t="s">
        <v>5634</v>
      </c>
    </row>
    <row r="18" customFormat="false" ht="15" hidden="false" customHeight="true" outlineLevel="0" collapsed="false">
      <c r="A18" s="27" t="s">
        <v>838</v>
      </c>
      <c r="B18" s="27" t="s">
        <v>448</v>
      </c>
      <c r="C18" s="28" t="s">
        <v>839</v>
      </c>
      <c r="D18" s="27" t="s">
        <v>5643</v>
      </c>
      <c r="E18" s="28" t="s">
        <v>5644</v>
      </c>
      <c r="F18" s="28" t="s">
        <v>5102</v>
      </c>
      <c r="G18" s="28" t="s">
        <v>5631</v>
      </c>
      <c r="H18" s="27" t="s">
        <v>5632</v>
      </c>
      <c r="I18" s="28" t="s">
        <v>5633</v>
      </c>
      <c r="J18" s="28" t="s">
        <v>5634</v>
      </c>
    </row>
    <row r="19" customFormat="false" ht="15" hidden="false" customHeight="true" outlineLevel="0" collapsed="false">
      <c r="A19" s="27" t="s">
        <v>842</v>
      </c>
      <c r="B19" s="27" t="s">
        <v>448</v>
      </c>
      <c r="C19" s="28" t="s">
        <v>843</v>
      </c>
      <c r="D19" s="28" t="s">
        <v>5645</v>
      </c>
      <c r="E19" s="28" t="s">
        <v>5639</v>
      </c>
      <c r="F19" s="28" t="s">
        <v>5640</v>
      </c>
      <c r="G19" s="28" t="s">
        <v>5631</v>
      </c>
      <c r="H19" s="27" t="s">
        <v>5632</v>
      </c>
      <c r="I19" s="28" t="s">
        <v>5633</v>
      </c>
      <c r="J19" s="28" t="s">
        <v>5634</v>
      </c>
    </row>
    <row r="20" customFormat="false" ht="15" hidden="false" customHeight="true" outlineLevel="0" collapsed="false">
      <c r="A20" s="27" t="s">
        <v>846</v>
      </c>
      <c r="B20" s="27" t="s">
        <v>448</v>
      </c>
      <c r="C20" s="28" t="s">
        <v>847</v>
      </c>
      <c r="D20" s="28" t="s">
        <v>5635</v>
      </c>
      <c r="E20" s="28" t="s">
        <v>5636</v>
      </c>
      <c r="F20" s="28" t="s">
        <v>5630</v>
      </c>
      <c r="G20" s="28" t="s">
        <v>5631</v>
      </c>
      <c r="H20" s="27" t="s">
        <v>5632</v>
      </c>
      <c r="I20" s="28" t="s">
        <v>5633</v>
      </c>
      <c r="J20" s="28" t="s">
        <v>5634</v>
      </c>
    </row>
    <row r="21" customFormat="false" ht="15" hidden="false" customHeight="true" outlineLevel="0" collapsed="false">
      <c r="A21" s="27" t="s">
        <v>849</v>
      </c>
      <c r="B21" s="27" t="s">
        <v>448</v>
      </c>
      <c r="C21" s="28" t="s">
        <v>850</v>
      </c>
      <c r="D21" s="28" t="s">
        <v>5628</v>
      </c>
      <c r="E21" s="28" t="s">
        <v>5629</v>
      </c>
      <c r="F21" s="28" t="s">
        <v>5630</v>
      </c>
      <c r="G21" s="28" t="s">
        <v>5631</v>
      </c>
      <c r="H21" s="27" t="s">
        <v>5632</v>
      </c>
      <c r="I21" s="28" t="s">
        <v>5633</v>
      </c>
      <c r="J21" s="28" t="s">
        <v>5634</v>
      </c>
    </row>
    <row r="22" customFormat="false" ht="15" hidden="false" customHeight="true" outlineLevel="0" collapsed="false">
      <c r="A22" s="27" t="s">
        <v>852</v>
      </c>
      <c r="B22" s="27" t="s">
        <v>448</v>
      </c>
      <c r="C22" s="28" t="s">
        <v>853</v>
      </c>
      <c r="D22" s="28" t="s">
        <v>5635</v>
      </c>
      <c r="E22" s="28" t="s">
        <v>5636</v>
      </c>
      <c r="F22" s="28" t="s">
        <v>5630</v>
      </c>
      <c r="G22" s="28" t="s">
        <v>5631</v>
      </c>
      <c r="H22" s="27" t="s">
        <v>5632</v>
      </c>
      <c r="I22" s="28" t="s">
        <v>5633</v>
      </c>
      <c r="J22" s="28" t="s">
        <v>5634</v>
      </c>
    </row>
    <row r="23" customFormat="false" ht="15" hidden="false" customHeight="true" outlineLevel="0" collapsed="false">
      <c r="A23" s="27" t="s">
        <v>854</v>
      </c>
      <c r="B23" s="27" t="s">
        <v>448</v>
      </c>
      <c r="C23" s="28" t="s">
        <v>855</v>
      </c>
      <c r="D23" s="28" t="s">
        <v>5646</v>
      </c>
      <c r="E23" s="28" t="s">
        <v>5639</v>
      </c>
      <c r="F23" s="28" t="s">
        <v>5640</v>
      </c>
      <c r="G23" s="28" t="s">
        <v>5631</v>
      </c>
      <c r="H23" s="27" t="s">
        <v>5632</v>
      </c>
      <c r="I23" s="28" t="s">
        <v>5633</v>
      </c>
      <c r="J23" s="28" t="s">
        <v>5634</v>
      </c>
    </row>
    <row r="24" customFormat="false" ht="15" hidden="false" customHeight="true" outlineLevel="0" collapsed="false">
      <c r="A24" s="27" t="s">
        <v>856</v>
      </c>
      <c r="B24" s="27" t="s">
        <v>448</v>
      </c>
      <c r="C24" s="28" t="s">
        <v>857</v>
      </c>
      <c r="D24" s="28" t="s">
        <v>5647</v>
      </c>
      <c r="E24" s="28" t="s">
        <v>5639</v>
      </c>
      <c r="F24" s="28" t="s">
        <v>5640</v>
      </c>
      <c r="G24" s="28" t="s">
        <v>5631</v>
      </c>
      <c r="H24" s="27" t="s">
        <v>5632</v>
      </c>
      <c r="I24" s="28" t="s">
        <v>5633</v>
      </c>
      <c r="J24" s="28" t="s">
        <v>5634</v>
      </c>
    </row>
    <row r="25" customFormat="false" ht="15" hidden="false" customHeight="true" outlineLevel="0" collapsed="false">
      <c r="A25" s="27" t="s">
        <v>858</v>
      </c>
      <c r="B25" s="27" t="s">
        <v>448</v>
      </c>
      <c r="C25" s="28" t="s">
        <v>859</v>
      </c>
      <c r="D25" s="28" t="s">
        <v>5648</v>
      </c>
      <c r="E25" s="28" t="s">
        <v>5639</v>
      </c>
      <c r="F25" s="28" t="s">
        <v>5640</v>
      </c>
      <c r="G25" s="28" t="s">
        <v>5631</v>
      </c>
      <c r="H25" s="27" t="s">
        <v>5632</v>
      </c>
      <c r="I25" s="28" t="s">
        <v>5633</v>
      </c>
      <c r="J25" s="28" t="s">
        <v>5634</v>
      </c>
    </row>
    <row r="26" customFormat="false" ht="15" hidden="false" customHeight="true" outlineLevel="0" collapsed="false">
      <c r="A26" s="27" t="s">
        <v>860</v>
      </c>
      <c r="B26" s="27" t="s">
        <v>448</v>
      </c>
      <c r="C26" s="28" t="s">
        <v>861</v>
      </c>
      <c r="D26" s="28" t="s">
        <v>5628</v>
      </c>
      <c r="E26" s="28" t="s">
        <v>5629</v>
      </c>
      <c r="F26" s="28" t="s">
        <v>5630</v>
      </c>
      <c r="G26" s="28" t="s">
        <v>5631</v>
      </c>
      <c r="H26" s="27" t="s">
        <v>5632</v>
      </c>
      <c r="I26" s="28" t="s">
        <v>5633</v>
      </c>
      <c r="J26" s="28" t="s">
        <v>5634</v>
      </c>
    </row>
    <row r="27" customFormat="false" ht="15" hidden="false" customHeight="true" outlineLevel="0" collapsed="false">
      <c r="A27" s="27" t="s">
        <v>863</v>
      </c>
      <c r="B27" s="27" t="s">
        <v>448</v>
      </c>
      <c r="C27" s="28" t="s">
        <v>864</v>
      </c>
      <c r="D27" s="28" t="s">
        <v>5637</v>
      </c>
      <c r="E27" s="28" t="s">
        <v>5636</v>
      </c>
      <c r="F27" s="28" t="s">
        <v>5630</v>
      </c>
      <c r="G27" s="28" t="s">
        <v>5631</v>
      </c>
      <c r="H27" s="27" t="s">
        <v>5632</v>
      </c>
      <c r="I27" s="28" t="s">
        <v>5633</v>
      </c>
      <c r="J27" s="28" t="s">
        <v>5634</v>
      </c>
    </row>
    <row r="28" customFormat="false" ht="15" hidden="false" customHeight="true" outlineLevel="0" collapsed="false">
      <c r="A28" s="27" t="s">
        <v>866</v>
      </c>
      <c r="B28" s="27" t="s">
        <v>448</v>
      </c>
      <c r="C28" s="28" t="s">
        <v>867</v>
      </c>
      <c r="D28" s="28" t="s">
        <v>5635</v>
      </c>
      <c r="E28" s="28" t="s">
        <v>5636</v>
      </c>
      <c r="F28" s="28" t="s">
        <v>5630</v>
      </c>
      <c r="G28" s="28" t="s">
        <v>5631</v>
      </c>
      <c r="H28" s="27" t="s">
        <v>5632</v>
      </c>
      <c r="I28" s="28" t="s">
        <v>5633</v>
      </c>
      <c r="J28" s="28" t="s">
        <v>5634</v>
      </c>
    </row>
    <row r="29" customFormat="false" ht="15" hidden="false" customHeight="true" outlineLevel="0" collapsed="false">
      <c r="A29" s="27" t="s">
        <v>869</v>
      </c>
      <c r="B29" s="27" t="s">
        <v>448</v>
      </c>
      <c r="C29" s="28" t="s">
        <v>870</v>
      </c>
      <c r="D29" s="28" t="s">
        <v>5635</v>
      </c>
      <c r="E29" s="28" t="s">
        <v>5636</v>
      </c>
      <c r="F29" s="28" t="s">
        <v>5630</v>
      </c>
      <c r="G29" s="28" t="s">
        <v>5631</v>
      </c>
      <c r="H29" s="27" t="s">
        <v>5632</v>
      </c>
      <c r="I29" s="28" t="s">
        <v>5633</v>
      </c>
      <c r="J29" s="28" t="s">
        <v>5634</v>
      </c>
    </row>
    <row r="30" customFormat="false" ht="15" hidden="false" customHeight="true" outlineLevel="0" collapsed="false">
      <c r="A30" s="27" t="s">
        <v>872</v>
      </c>
      <c r="B30" s="27" t="s">
        <v>448</v>
      </c>
      <c r="C30" s="28" t="s">
        <v>873</v>
      </c>
      <c r="D30" s="28" t="s">
        <v>5642</v>
      </c>
      <c r="E30" s="28" t="s">
        <v>5639</v>
      </c>
      <c r="F30" s="28" t="s">
        <v>5640</v>
      </c>
      <c r="G30" s="28" t="s">
        <v>5631</v>
      </c>
      <c r="H30" s="27" t="s">
        <v>5632</v>
      </c>
      <c r="I30" s="28" t="s">
        <v>5633</v>
      </c>
      <c r="J30" s="28" t="s">
        <v>5634</v>
      </c>
    </row>
    <row r="31" customFormat="false" ht="15" hidden="false" customHeight="true" outlineLevel="0" collapsed="false">
      <c r="A31" s="27" t="s">
        <v>875</v>
      </c>
      <c r="B31" s="27" t="s">
        <v>448</v>
      </c>
      <c r="C31" s="28" t="s">
        <v>876</v>
      </c>
      <c r="D31" s="28" t="s">
        <v>5635</v>
      </c>
      <c r="E31" s="28" t="s">
        <v>5636</v>
      </c>
      <c r="F31" s="28" t="s">
        <v>5630</v>
      </c>
      <c r="G31" s="28" t="s">
        <v>5631</v>
      </c>
      <c r="H31" s="27" t="s">
        <v>5632</v>
      </c>
      <c r="I31" s="28" t="s">
        <v>5633</v>
      </c>
      <c r="J31" s="28" t="s">
        <v>5634</v>
      </c>
    </row>
    <row r="32" customFormat="false" ht="15" hidden="false" customHeight="true" outlineLevel="0" collapsed="false">
      <c r="A32" s="27" t="s">
        <v>877</v>
      </c>
      <c r="B32" s="27" t="s">
        <v>448</v>
      </c>
      <c r="C32" s="28" t="s">
        <v>878</v>
      </c>
      <c r="D32" s="28" t="s">
        <v>5635</v>
      </c>
      <c r="E32" s="28" t="s">
        <v>5636</v>
      </c>
      <c r="F32" s="28" t="s">
        <v>5630</v>
      </c>
      <c r="G32" s="28" t="s">
        <v>5631</v>
      </c>
      <c r="H32" s="27" t="s">
        <v>5632</v>
      </c>
      <c r="I32" s="28" t="s">
        <v>5633</v>
      </c>
      <c r="J32" s="28" t="s">
        <v>5634</v>
      </c>
    </row>
    <row r="33" customFormat="false" ht="15" hidden="false" customHeight="true" outlineLevel="0" collapsed="false">
      <c r="A33" s="27" t="s">
        <v>879</v>
      </c>
      <c r="B33" s="27" t="s">
        <v>448</v>
      </c>
      <c r="C33" s="28" t="s">
        <v>880</v>
      </c>
      <c r="D33" s="28" t="s">
        <v>5628</v>
      </c>
      <c r="E33" s="28" t="s">
        <v>5629</v>
      </c>
      <c r="F33" s="28" t="s">
        <v>5630</v>
      </c>
      <c r="G33" s="28" t="s">
        <v>5631</v>
      </c>
      <c r="H33" s="27" t="s">
        <v>5632</v>
      </c>
      <c r="I33" s="28" t="s">
        <v>5633</v>
      </c>
      <c r="J33" s="28" t="s">
        <v>5634</v>
      </c>
    </row>
    <row r="34" customFormat="false" ht="15" hidden="false" customHeight="true" outlineLevel="0" collapsed="false">
      <c r="A34" s="27" t="s">
        <v>884</v>
      </c>
      <c r="B34" s="27" t="s">
        <v>448</v>
      </c>
      <c r="C34" s="28" t="s">
        <v>885</v>
      </c>
      <c r="D34" s="28" t="s">
        <v>5649</v>
      </c>
      <c r="E34" s="28" t="s">
        <v>5650</v>
      </c>
      <c r="F34" s="28" t="s">
        <v>5640</v>
      </c>
      <c r="G34" s="28" t="s">
        <v>5631</v>
      </c>
      <c r="H34" s="27" t="s">
        <v>5632</v>
      </c>
      <c r="I34" s="28" t="s">
        <v>5633</v>
      </c>
      <c r="J34" s="28" t="s">
        <v>5651</v>
      </c>
    </row>
    <row r="35" customFormat="false" ht="15" hidden="false" customHeight="true" outlineLevel="0" collapsed="false">
      <c r="A35" s="27" t="s">
        <v>887</v>
      </c>
      <c r="B35" s="27" t="s">
        <v>448</v>
      </c>
      <c r="C35" s="28" t="s">
        <v>888</v>
      </c>
      <c r="D35" s="28" t="s">
        <v>5628</v>
      </c>
      <c r="E35" s="28" t="s">
        <v>5629</v>
      </c>
      <c r="F35" s="28" t="s">
        <v>5630</v>
      </c>
      <c r="G35" s="28" t="s">
        <v>5631</v>
      </c>
      <c r="H35" s="27" t="s">
        <v>5632</v>
      </c>
      <c r="I35" s="28" t="s">
        <v>5633</v>
      </c>
      <c r="J35" s="28" t="s">
        <v>5634</v>
      </c>
    </row>
    <row r="36" customFormat="false" ht="15" hidden="false" customHeight="true" outlineLevel="0" collapsed="false">
      <c r="A36" s="27" t="s">
        <v>890</v>
      </c>
      <c r="B36" s="27" t="s">
        <v>448</v>
      </c>
      <c r="C36" s="28" t="s">
        <v>891</v>
      </c>
      <c r="D36" s="28" t="s">
        <v>5648</v>
      </c>
      <c r="E36" s="28" t="s">
        <v>5639</v>
      </c>
      <c r="F36" s="28" t="s">
        <v>5640</v>
      </c>
      <c r="G36" s="28" t="s">
        <v>5631</v>
      </c>
      <c r="H36" s="27" t="s">
        <v>5632</v>
      </c>
      <c r="I36" s="28" t="s">
        <v>5633</v>
      </c>
      <c r="J36" s="28" t="s">
        <v>5634</v>
      </c>
    </row>
    <row r="37" customFormat="false" ht="15" hidden="false" customHeight="true" outlineLevel="0" collapsed="false">
      <c r="A37" s="27" t="s">
        <v>893</v>
      </c>
      <c r="B37" s="27" t="s">
        <v>448</v>
      </c>
      <c r="C37" s="28" t="s">
        <v>894</v>
      </c>
      <c r="D37" s="28" t="s">
        <v>5648</v>
      </c>
      <c r="E37" s="28" t="s">
        <v>5639</v>
      </c>
      <c r="F37" s="28" t="s">
        <v>5640</v>
      </c>
      <c r="G37" s="28" t="s">
        <v>5631</v>
      </c>
      <c r="H37" s="27" t="s">
        <v>5632</v>
      </c>
      <c r="I37" s="28" t="s">
        <v>5633</v>
      </c>
      <c r="J37" s="28" t="s">
        <v>5634</v>
      </c>
    </row>
    <row r="38" customFormat="false" ht="15" hidden="false" customHeight="true" outlineLevel="0" collapsed="false">
      <c r="A38" s="27" t="s">
        <v>897</v>
      </c>
      <c r="B38" s="27" t="s">
        <v>448</v>
      </c>
      <c r="C38" s="28" t="s">
        <v>898</v>
      </c>
      <c r="D38" s="28" t="s">
        <v>5648</v>
      </c>
      <c r="E38" s="28" t="s">
        <v>5639</v>
      </c>
      <c r="F38" s="28" t="s">
        <v>5640</v>
      </c>
      <c r="G38" s="28" t="s">
        <v>5631</v>
      </c>
      <c r="H38" s="27" t="s">
        <v>5632</v>
      </c>
      <c r="I38" s="28" t="s">
        <v>5633</v>
      </c>
      <c r="J38" s="28" t="s">
        <v>5634</v>
      </c>
    </row>
    <row r="39" customFormat="false" ht="15" hidden="false" customHeight="true" outlineLevel="0" collapsed="false">
      <c r="A39" s="27" t="s">
        <v>900</v>
      </c>
      <c r="B39" s="27" t="s">
        <v>448</v>
      </c>
      <c r="C39" s="28" t="s">
        <v>901</v>
      </c>
      <c r="D39" s="28" t="s">
        <v>5628</v>
      </c>
      <c r="E39" s="28" t="s">
        <v>5629</v>
      </c>
      <c r="F39" s="28" t="s">
        <v>5630</v>
      </c>
      <c r="G39" s="28" t="s">
        <v>5631</v>
      </c>
      <c r="H39" s="27" t="s">
        <v>5632</v>
      </c>
      <c r="I39" s="28" t="s">
        <v>5633</v>
      </c>
      <c r="J39" s="28" t="s">
        <v>5634</v>
      </c>
    </row>
    <row r="40" customFormat="false" ht="15" hidden="false" customHeight="true" outlineLevel="0" collapsed="false">
      <c r="A40" s="27" t="s">
        <v>903</v>
      </c>
      <c r="B40" s="27" t="s">
        <v>448</v>
      </c>
      <c r="C40" s="28" t="s">
        <v>904</v>
      </c>
      <c r="D40" s="28" t="s">
        <v>5628</v>
      </c>
      <c r="E40" s="28" t="s">
        <v>5629</v>
      </c>
      <c r="F40" s="28" t="s">
        <v>5630</v>
      </c>
      <c r="G40" s="28" t="s">
        <v>5631</v>
      </c>
      <c r="H40" s="27" t="s">
        <v>5632</v>
      </c>
      <c r="I40" s="28" t="s">
        <v>5633</v>
      </c>
      <c r="J40" s="28" t="s">
        <v>5634</v>
      </c>
    </row>
    <row r="41" customFormat="false" ht="15" hidden="false" customHeight="true" outlineLevel="0" collapsed="false">
      <c r="A41" s="27" t="s">
        <v>907</v>
      </c>
      <c r="B41" s="27" t="s">
        <v>448</v>
      </c>
      <c r="C41" s="28" t="s">
        <v>908</v>
      </c>
      <c r="D41" s="28" t="s">
        <v>5628</v>
      </c>
      <c r="E41" s="28" t="s">
        <v>5629</v>
      </c>
      <c r="F41" s="28" t="s">
        <v>5630</v>
      </c>
      <c r="G41" s="28" t="s">
        <v>5631</v>
      </c>
      <c r="H41" s="27" t="s">
        <v>5632</v>
      </c>
      <c r="I41" s="28" t="s">
        <v>5633</v>
      </c>
      <c r="J41" s="28" t="s">
        <v>5634</v>
      </c>
    </row>
    <row r="42" customFormat="false" ht="15" hidden="false" customHeight="true" outlineLevel="0" collapsed="false">
      <c r="A42" s="27" t="s">
        <v>909</v>
      </c>
      <c r="B42" s="27" t="s">
        <v>448</v>
      </c>
      <c r="C42" s="28" t="s">
        <v>910</v>
      </c>
      <c r="D42" s="28" t="s">
        <v>5635</v>
      </c>
      <c r="E42" s="28" t="s">
        <v>5636</v>
      </c>
      <c r="F42" s="28" t="s">
        <v>5630</v>
      </c>
      <c r="G42" s="28" t="s">
        <v>5631</v>
      </c>
      <c r="H42" s="27" t="s">
        <v>5632</v>
      </c>
      <c r="I42" s="28" t="s">
        <v>5633</v>
      </c>
      <c r="J42" s="28" t="s">
        <v>5634</v>
      </c>
    </row>
    <row r="43" customFormat="false" ht="15" hidden="false" customHeight="true" outlineLevel="0" collapsed="false">
      <c r="A43" s="27" t="s">
        <v>912</v>
      </c>
      <c r="B43" s="27" t="s">
        <v>448</v>
      </c>
      <c r="C43" s="28" t="s">
        <v>913</v>
      </c>
      <c r="D43" s="28" t="s">
        <v>5628</v>
      </c>
      <c r="E43" s="28" t="s">
        <v>5629</v>
      </c>
      <c r="F43" s="28" t="s">
        <v>5630</v>
      </c>
      <c r="G43" s="28" t="s">
        <v>5631</v>
      </c>
      <c r="H43" s="27" t="s">
        <v>5632</v>
      </c>
      <c r="I43" s="28" t="s">
        <v>5633</v>
      </c>
      <c r="J43" s="28" t="s">
        <v>5634</v>
      </c>
    </row>
    <row r="44" customFormat="false" ht="15" hidden="false" customHeight="true" outlineLevel="0" collapsed="false">
      <c r="A44" s="27" t="s">
        <v>914</v>
      </c>
      <c r="B44" s="27" t="s">
        <v>448</v>
      </c>
      <c r="C44" s="28" t="s">
        <v>915</v>
      </c>
      <c r="D44" s="28" t="s">
        <v>5637</v>
      </c>
      <c r="E44" s="28" t="s">
        <v>5636</v>
      </c>
      <c r="F44" s="28" t="s">
        <v>5630</v>
      </c>
      <c r="G44" s="28" t="s">
        <v>5631</v>
      </c>
      <c r="H44" s="27" t="s">
        <v>5632</v>
      </c>
      <c r="I44" s="28" t="s">
        <v>5633</v>
      </c>
      <c r="J44" s="28" t="s">
        <v>5634</v>
      </c>
    </row>
    <row r="45" customFormat="false" ht="15" hidden="false" customHeight="true" outlineLevel="0" collapsed="false">
      <c r="A45" s="27" t="s">
        <v>916</v>
      </c>
      <c r="B45" s="27" t="s">
        <v>448</v>
      </c>
      <c r="C45" s="28" t="s">
        <v>917</v>
      </c>
      <c r="D45" s="28" t="s">
        <v>5652</v>
      </c>
      <c r="E45" s="28" t="s">
        <v>5639</v>
      </c>
      <c r="F45" s="28" t="s">
        <v>5640</v>
      </c>
      <c r="G45" s="28" t="s">
        <v>5631</v>
      </c>
      <c r="H45" s="27" t="s">
        <v>5632</v>
      </c>
      <c r="I45" s="28" t="s">
        <v>5633</v>
      </c>
      <c r="J45" s="28" t="s">
        <v>5634</v>
      </c>
    </row>
    <row r="46" customFormat="false" ht="15" hidden="false" customHeight="true" outlineLevel="0" collapsed="false">
      <c r="A46" s="27" t="s">
        <v>918</v>
      </c>
      <c r="B46" s="27" t="s">
        <v>448</v>
      </c>
      <c r="C46" s="28" t="s">
        <v>919</v>
      </c>
      <c r="D46" s="28" t="s">
        <v>5648</v>
      </c>
      <c r="E46" s="28" t="s">
        <v>5639</v>
      </c>
      <c r="F46" s="28" t="s">
        <v>5640</v>
      </c>
      <c r="G46" s="28" t="s">
        <v>5631</v>
      </c>
      <c r="H46" s="27" t="s">
        <v>5632</v>
      </c>
      <c r="I46" s="28" t="s">
        <v>5633</v>
      </c>
      <c r="J46" s="28" t="s">
        <v>5634</v>
      </c>
    </row>
    <row r="47" customFormat="false" ht="15" hidden="false" customHeight="true" outlineLevel="0" collapsed="false">
      <c r="A47" s="27" t="s">
        <v>923</v>
      </c>
      <c r="B47" s="27" t="s">
        <v>448</v>
      </c>
      <c r="C47" s="28" t="s">
        <v>924</v>
      </c>
      <c r="D47" s="28" t="s">
        <v>5628</v>
      </c>
      <c r="E47" s="28" t="s">
        <v>5629</v>
      </c>
      <c r="F47" s="28" t="s">
        <v>5630</v>
      </c>
      <c r="G47" s="28" t="s">
        <v>5631</v>
      </c>
      <c r="H47" s="27" t="s">
        <v>5632</v>
      </c>
      <c r="I47" s="28" t="s">
        <v>5633</v>
      </c>
      <c r="J47" s="28" t="s">
        <v>5634</v>
      </c>
    </row>
    <row r="48" customFormat="false" ht="15" hidden="false" customHeight="true" outlineLevel="0" collapsed="false">
      <c r="A48" s="27" t="s">
        <v>932</v>
      </c>
      <c r="B48" s="27" t="s">
        <v>448</v>
      </c>
      <c r="C48" s="28" t="s">
        <v>933</v>
      </c>
      <c r="D48" s="28" t="s">
        <v>5652</v>
      </c>
      <c r="E48" s="28" t="s">
        <v>5639</v>
      </c>
      <c r="F48" s="28" t="s">
        <v>5640</v>
      </c>
      <c r="G48" s="28" t="s">
        <v>5631</v>
      </c>
      <c r="H48" s="27" t="s">
        <v>5632</v>
      </c>
      <c r="I48" s="28" t="s">
        <v>5633</v>
      </c>
      <c r="J48" s="28" t="s">
        <v>5634</v>
      </c>
    </row>
    <row r="49" customFormat="false" ht="15" hidden="false" customHeight="true" outlineLevel="0" collapsed="false">
      <c r="A49" s="27" t="s">
        <v>935</v>
      </c>
      <c r="B49" s="27" t="s">
        <v>448</v>
      </c>
      <c r="C49" s="28" t="s">
        <v>936</v>
      </c>
      <c r="D49" s="28" t="s">
        <v>5628</v>
      </c>
      <c r="E49" s="28" t="s">
        <v>5629</v>
      </c>
      <c r="F49" s="28" t="s">
        <v>5630</v>
      </c>
      <c r="G49" s="28" t="s">
        <v>5631</v>
      </c>
      <c r="H49" s="27" t="s">
        <v>5632</v>
      </c>
      <c r="I49" s="28" t="s">
        <v>5633</v>
      </c>
      <c r="J49" s="28" t="s">
        <v>5634</v>
      </c>
    </row>
    <row r="50" customFormat="false" ht="15" hidden="false" customHeight="true" outlineLevel="0" collapsed="false">
      <c r="A50" s="27" t="s">
        <v>937</v>
      </c>
      <c r="B50" s="27" t="s">
        <v>448</v>
      </c>
      <c r="C50" s="28" t="s">
        <v>938</v>
      </c>
      <c r="D50" s="28" t="s">
        <v>5653</v>
      </c>
      <c r="E50" s="28" t="s">
        <v>5654</v>
      </c>
      <c r="F50" s="28" t="s">
        <v>5640</v>
      </c>
      <c r="G50" s="28" t="s">
        <v>5631</v>
      </c>
      <c r="H50" s="27" t="s">
        <v>5632</v>
      </c>
      <c r="I50" s="28" t="s">
        <v>5633</v>
      </c>
      <c r="J50" s="28" t="s">
        <v>5634</v>
      </c>
    </row>
    <row r="51" customFormat="false" ht="15" hidden="false" customHeight="true" outlineLevel="0" collapsed="false">
      <c r="A51" s="27" t="s">
        <v>942</v>
      </c>
      <c r="B51" s="27" t="s">
        <v>448</v>
      </c>
      <c r="C51" s="28" t="s">
        <v>943</v>
      </c>
      <c r="D51" s="28" t="s">
        <v>5652</v>
      </c>
      <c r="E51" s="28" t="s">
        <v>5639</v>
      </c>
      <c r="F51" s="28" t="s">
        <v>5640</v>
      </c>
      <c r="G51" s="28" t="s">
        <v>5631</v>
      </c>
      <c r="H51" s="27" t="s">
        <v>5632</v>
      </c>
      <c r="I51" s="28" t="s">
        <v>5633</v>
      </c>
      <c r="J51" s="28" t="s">
        <v>5634</v>
      </c>
    </row>
    <row r="52" customFormat="false" ht="15" hidden="false" customHeight="true" outlineLevel="0" collapsed="false">
      <c r="A52" s="27" t="s">
        <v>944</v>
      </c>
      <c r="B52" s="27" t="s">
        <v>448</v>
      </c>
      <c r="C52" s="28" t="s">
        <v>945</v>
      </c>
      <c r="D52" s="28" t="s">
        <v>5635</v>
      </c>
      <c r="E52" s="28" t="s">
        <v>5636</v>
      </c>
      <c r="F52" s="28" t="s">
        <v>5630</v>
      </c>
      <c r="G52" s="28" t="s">
        <v>5631</v>
      </c>
      <c r="H52" s="27" t="s">
        <v>5632</v>
      </c>
      <c r="I52" s="28" t="s">
        <v>5633</v>
      </c>
      <c r="J52" s="28" t="s">
        <v>5634</v>
      </c>
    </row>
    <row r="53" customFormat="false" ht="15" hidden="false" customHeight="true" outlineLevel="0" collapsed="false">
      <c r="A53" s="27" t="s">
        <v>948</v>
      </c>
      <c r="B53" s="27" t="s">
        <v>448</v>
      </c>
      <c r="C53" s="28" t="s">
        <v>949</v>
      </c>
      <c r="D53" s="28" t="s">
        <v>5655</v>
      </c>
      <c r="E53" s="28" t="s">
        <v>5656</v>
      </c>
      <c r="F53" s="28" t="s">
        <v>5640</v>
      </c>
      <c r="G53" s="28" t="s">
        <v>5631</v>
      </c>
      <c r="H53" s="27" t="s">
        <v>5632</v>
      </c>
      <c r="I53" s="28" t="s">
        <v>5633</v>
      </c>
      <c r="J53" s="28" t="s">
        <v>5634</v>
      </c>
    </row>
    <row r="54" customFormat="false" ht="15" hidden="false" customHeight="true" outlineLevel="0" collapsed="false">
      <c r="A54" s="27" t="s">
        <v>955</v>
      </c>
      <c r="B54" s="27" t="s">
        <v>448</v>
      </c>
      <c r="C54" s="28" t="s">
        <v>956</v>
      </c>
      <c r="D54" s="28" t="s">
        <v>5653</v>
      </c>
      <c r="E54" s="28" t="s">
        <v>5654</v>
      </c>
      <c r="F54" s="28" t="s">
        <v>5640</v>
      </c>
      <c r="G54" s="28" t="s">
        <v>5631</v>
      </c>
      <c r="H54" s="27" t="s">
        <v>5632</v>
      </c>
      <c r="I54" s="28" t="s">
        <v>5633</v>
      </c>
      <c r="J54" s="28" t="s">
        <v>5657</v>
      </c>
    </row>
    <row r="55" customFormat="false" ht="15" hidden="false" customHeight="true" outlineLevel="0" collapsed="false">
      <c r="A55" s="27" t="s">
        <v>958</v>
      </c>
      <c r="B55" s="27" t="s">
        <v>448</v>
      </c>
      <c r="C55" s="28" t="s">
        <v>959</v>
      </c>
      <c r="D55" s="28" t="s">
        <v>5658</v>
      </c>
      <c r="E55" s="28" t="s">
        <v>5639</v>
      </c>
      <c r="F55" s="28" t="s">
        <v>5640</v>
      </c>
      <c r="G55" s="28" t="s">
        <v>5631</v>
      </c>
      <c r="H55" s="27" t="s">
        <v>5632</v>
      </c>
      <c r="I55" s="28" t="s">
        <v>5633</v>
      </c>
      <c r="J55" s="28" t="s">
        <v>5634</v>
      </c>
    </row>
    <row r="56" customFormat="false" ht="15" hidden="false" customHeight="true" outlineLevel="0" collapsed="false">
      <c r="A56" s="27" t="s">
        <v>961</v>
      </c>
      <c r="B56" s="27" t="s">
        <v>448</v>
      </c>
      <c r="C56" s="28" t="s">
        <v>962</v>
      </c>
      <c r="D56" s="28" t="s">
        <v>5659</v>
      </c>
      <c r="E56" s="28" t="s">
        <v>5639</v>
      </c>
      <c r="F56" s="28" t="s">
        <v>5640</v>
      </c>
      <c r="G56" s="28" t="s">
        <v>5631</v>
      </c>
      <c r="H56" s="27" t="s">
        <v>5632</v>
      </c>
      <c r="I56" s="28" t="s">
        <v>5633</v>
      </c>
      <c r="J56" s="28" t="s">
        <v>5634</v>
      </c>
    </row>
    <row r="57" customFormat="false" ht="15" hidden="false" customHeight="true" outlineLevel="0" collapsed="false">
      <c r="A57" s="27" t="s">
        <v>967</v>
      </c>
      <c r="B57" s="27" t="s">
        <v>448</v>
      </c>
      <c r="C57" s="28" t="s">
        <v>968</v>
      </c>
      <c r="D57" s="28" t="s">
        <v>5660</v>
      </c>
      <c r="E57" s="28" t="s">
        <v>5639</v>
      </c>
      <c r="F57" s="28" t="s">
        <v>5640</v>
      </c>
      <c r="G57" s="28" t="s">
        <v>5631</v>
      </c>
      <c r="H57" s="27" t="s">
        <v>5632</v>
      </c>
      <c r="I57" s="28" t="s">
        <v>5633</v>
      </c>
      <c r="J57" s="28" t="s">
        <v>5634</v>
      </c>
    </row>
    <row r="58" customFormat="false" ht="15" hidden="false" customHeight="true" outlineLevel="0" collapsed="false">
      <c r="A58" s="27" t="s">
        <v>972</v>
      </c>
      <c r="B58" s="27" t="s">
        <v>448</v>
      </c>
      <c r="C58" s="28" t="s">
        <v>973</v>
      </c>
      <c r="D58" s="28" t="s">
        <v>5628</v>
      </c>
      <c r="E58" s="28" t="s">
        <v>5629</v>
      </c>
      <c r="F58" s="28" t="s">
        <v>5630</v>
      </c>
      <c r="G58" s="28" t="s">
        <v>5631</v>
      </c>
      <c r="H58" s="27" t="s">
        <v>5632</v>
      </c>
      <c r="I58" s="28" t="s">
        <v>5633</v>
      </c>
      <c r="J58" s="28" t="s">
        <v>5634</v>
      </c>
    </row>
    <row r="59" customFormat="false" ht="15" hidden="false" customHeight="true" outlineLevel="0" collapsed="false">
      <c r="A59" s="27" t="s">
        <v>974</v>
      </c>
      <c r="B59" s="27" t="s">
        <v>448</v>
      </c>
      <c r="C59" s="28" t="s">
        <v>975</v>
      </c>
      <c r="D59" s="28" t="s">
        <v>5628</v>
      </c>
      <c r="E59" s="28" t="s">
        <v>5629</v>
      </c>
      <c r="F59" s="28" t="s">
        <v>5630</v>
      </c>
      <c r="G59" s="28" t="s">
        <v>5631</v>
      </c>
      <c r="H59" s="27" t="s">
        <v>5632</v>
      </c>
      <c r="I59" s="28" t="s">
        <v>5633</v>
      </c>
      <c r="J59" s="28" t="s">
        <v>5634</v>
      </c>
    </row>
    <row r="60" customFormat="false" ht="15" hidden="false" customHeight="true" outlineLevel="0" collapsed="false">
      <c r="A60" s="27" t="s">
        <v>976</v>
      </c>
      <c r="B60" s="27" t="s">
        <v>448</v>
      </c>
      <c r="C60" s="28" t="s">
        <v>977</v>
      </c>
      <c r="D60" s="28" t="s">
        <v>5661</v>
      </c>
      <c r="E60" s="28" t="s">
        <v>5639</v>
      </c>
      <c r="F60" s="28" t="s">
        <v>5640</v>
      </c>
      <c r="G60" s="28" t="s">
        <v>5631</v>
      </c>
      <c r="H60" s="27" t="s">
        <v>5632</v>
      </c>
      <c r="I60" s="28" t="s">
        <v>5633</v>
      </c>
      <c r="J60" s="28" t="s">
        <v>5634</v>
      </c>
    </row>
    <row r="61" customFormat="false" ht="15" hidden="false" customHeight="true" outlineLevel="0" collapsed="false">
      <c r="A61" s="27" t="s">
        <v>979</v>
      </c>
      <c r="B61" s="27" t="s">
        <v>448</v>
      </c>
      <c r="C61" s="28" t="s">
        <v>980</v>
      </c>
      <c r="D61" s="28" t="s">
        <v>5628</v>
      </c>
      <c r="E61" s="28" t="s">
        <v>5629</v>
      </c>
      <c r="F61" s="28" t="s">
        <v>5630</v>
      </c>
      <c r="G61" s="28" t="s">
        <v>5631</v>
      </c>
      <c r="H61" s="27" t="s">
        <v>5632</v>
      </c>
      <c r="I61" s="28" t="s">
        <v>5633</v>
      </c>
      <c r="J61" s="28" t="s">
        <v>5634</v>
      </c>
    </row>
    <row r="62" customFormat="false" ht="15" hidden="false" customHeight="true" outlineLevel="0" collapsed="false">
      <c r="A62" s="27" t="s">
        <v>983</v>
      </c>
      <c r="B62" s="27" t="s">
        <v>448</v>
      </c>
      <c r="C62" s="28" t="s">
        <v>984</v>
      </c>
      <c r="D62" s="28" t="s">
        <v>5662</v>
      </c>
      <c r="E62" s="28" t="s">
        <v>5636</v>
      </c>
      <c r="F62" s="28" t="s">
        <v>5630</v>
      </c>
      <c r="G62" s="28" t="s">
        <v>5631</v>
      </c>
      <c r="H62" s="27" t="s">
        <v>5632</v>
      </c>
      <c r="I62" s="28" t="s">
        <v>5633</v>
      </c>
      <c r="J62" s="28" t="s">
        <v>5634</v>
      </c>
    </row>
    <row r="63" customFormat="false" ht="15" hidden="false" customHeight="true" outlineLevel="0" collapsed="false">
      <c r="A63" s="27" t="s">
        <v>985</v>
      </c>
      <c r="B63" s="27" t="s">
        <v>448</v>
      </c>
      <c r="C63" s="28" t="s">
        <v>986</v>
      </c>
      <c r="D63" s="28" t="s">
        <v>5662</v>
      </c>
      <c r="E63" s="28" t="s">
        <v>5636</v>
      </c>
      <c r="F63" s="28" t="s">
        <v>5630</v>
      </c>
      <c r="G63" s="28" t="s">
        <v>5631</v>
      </c>
      <c r="H63" s="27" t="s">
        <v>5632</v>
      </c>
      <c r="I63" s="28" t="s">
        <v>5633</v>
      </c>
      <c r="J63" s="28" t="s">
        <v>5634</v>
      </c>
    </row>
    <row r="64" customFormat="false" ht="15" hidden="false" customHeight="true" outlineLevel="0" collapsed="false">
      <c r="A64" s="27" t="s">
        <v>987</v>
      </c>
      <c r="B64" s="27" t="s">
        <v>448</v>
      </c>
      <c r="C64" s="28" t="s">
        <v>988</v>
      </c>
      <c r="D64" s="28" t="s">
        <v>5628</v>
      </c>
      <c r="E64" s="28" t="s">
        <v>5629</v>
      </c>
      <c r="F64" s="28" t="s">
        <v>5630</v>
      </c>
      <c r="G64" s="28" t="s">
        <v>5631</v>
      </c>
      <c r="H64" s="27" t="s">
        <v>5632</v>
      </c>
      <c r="I64" s="28" t="s">
        <v>5633</v>
      </c>
      <c r="J64" s="28" t="s">
        <v>5634</v>
      </c>
    </row>
    <row r="65" customFormat="false" ht="15" hidden="false" customHeight="true" outlineLevel="0" collapsed="false">
      <c r="A65" s="27" t="s">
        <v>989</v>
      </c>
      <c r="B65" s="27" t="s">
        <v>448</v>
      </c>
      <c r="C65" s="28" t="s">
        <v>990</v>
      </c>
      <c r="D65" s="28" t="s">
        <v>5662</v>
      </c>
      <c r="E65" s="28" t="s">
        <v>5636</v>
      </c>
      <c r="F65" s="28" t="s">
        <v>5630</v>
      </c>
      <c r="G65" s="28" t="s">
        <v>5631</v>
      </c>
      <c r="H65" s="27" t="s">
        <v>5632</v>
      </c>
      <c r="I65" s="28" t="s">
        <v>5633</v>
      </c>
      <c r="J65" s="28" t="s">
        <v>5634</v>
      </c>
    </row>
    <row r="66" customFormat="false" ht="15" hidden="false" customHeight="true" outlineLevel="0" collapsed="false">
      <c r="A66" s="27" t="s">
        <v>992</v>
      </c>
      <c r="B66" s="27" t="s">
        <v>448</v>
      </c>
      <c r="C66" s="28" t="s">
        <v>993</v>
      </c>
      <c r="D66" s="28" t="s">
        <v>5663</v>
      </c>
      <c r="E66" s="28" t="s">
        <v>5639</v>
      </c>
      <c r="F66" s="28" t="s">
        <v>5640</v>
      </c>
      <c r="G66" s="28" t="s">
        <v>5631</v>
      </c>
      <c r="H66" s="27" t="s">
        <v>5632</v>
      </c>
      <c r="I66" s="28" t="s">
        <v>5633</v>
      </c>
      <c r="J66" s="28" t="s">
        <v>5634</v>
      </c>
    </row>
    <row r="67" customFormat="false" ht="15" hidden="false" customHeight="true" outlineLevel="0" collapsed="false">
      <c r="A67" s="27" t="s">
        <v>994</v>
      </c>
      <c r="B67" s="27" t="s">
        <v>448</v>
      </c>
      <c r="C67" s="28" t="s">
        <v>995</v>
      </c>
      <c r="D67" s="28" t="s">
        <v>5664</v>
      </c>
      <c r="E67" s="28" t="s">
        <v>5639</v>
      </c>
      <c r="F67" s="28" t="s">
        <v>5640</v>
      </c>
      <c r="G67" s="28" t="s">
        <v>5631</v>
      </c>
      <c r="H67" s="27" t="s">
        <v>5632</v>
      </c>
      <c r="I67" s="28" t="s">
        <v>5633</v>
      </c>
      <c r="J67" s="28" t="s">
        <v>5634</v>
      </c>
    </row>
    <row r="68" customFormat="false" ht="15" hidden="false" customHeight="true" outlineLevel="0" collapsed="false">
      <c r="A68" s="27" t="s">
        <v>999</v>
      </c>
      <c r="B68" s="27" t="s">
        <v>448</v>
      </c>
      <c r="C68" s="28" t="s">
        <v>1000</v>
      </c>
      <c r="D68" s="28" t="s">
        <v>5665</v>
      </c>
      <c r="E68" s="28" t="s">
        <v>5639</v>
      </c>
      <c r="F68" s="28" t="s">
        <v>5640</v>
      </c>
      <c r="G68" s="28" t="s">
        <v>5631</v>
      </c>
      <c r="H68" s="27" t="s">
        <v>5632</v>
      </c>
      <c r="I68" s="28" t="s">
        <v>5633</v>
      </c>
      <c r="J68" s="28" t="s">
        <v>5634</v>
      </c>
    </row>
    <row r="69" customFormat="false" ht="15" hidden="false" customHeight="true" outlineLevel="0" collapsed="false">
      <c r="A69" s="27" t="s">
        <v>1003</v>
      </c>
      <c r="B69" s="27" t="s">
        <v>448</v>
      </c>
      <c r="C69" s="28" t="s">
        <v>1004</v>
      </c>
      <c r="D69" s="28" t="s">
        <v>5666</v>
      </c>
      <c r="E69" s="28" t="s">
        <v>5639</v>
      </c>
      <c r="F69" s="28" t="s">
        <v>5640</v>
      </c>
      <c r="G69" s="28" t="s">
        <v>5631</v>
      </c>
      <c r="H69" s="27" t="s">
        <v>5632</v>
      </c>
      <c r="I69" s="28" t="s">
        <v>5633</v>
      </c>
      <c r="J69" s="28" t="s">
        <v>5634</v>
      </c>
    </row>
    <row r="70" customFormat="false" ht="15" hidden="false" customHeight="true" outlineLevel="0" collapsed="false">
      <c r="A70" s="27" t="s">
        <v>1007</v>
      </c>
      <c r="B70" s="27" t="s">
        <v>448</v>
      </c>
      <c r="C70" s="28" t="s">
        <v>1008</v>
      </c>
      <c r="D70" s="28" t="s">
        <v>5659</v>
      </c>
      <c r="E70" s="28" t="s">
        <v>5639</v>
      </c>
      <c r="F70" s="28" t="s">
        <v>5640</v>
      </c>
      <c r="G70" s="28" t="s">
        <v>5631</v>
      </c>
      <c r="H70" s="27" t="s">
        <v>5632</v>
      </c>
      <c r="I70" s="28" t="s">
        <v>5633</v>
      </c>
      <c r="J70" s="28" t="s">
        <v>5634</v>
      </c>
    </row>
    <row r="71" customFormat="false" ht="15" hidden="false" customHeight="true" outlineLevel="0" collapsed="false">
      <c r="A71" s="27" t="s">
        <v>1016</v>
      </c>
      <c r="B71" s="27" t="s">
        <v>458</v>
      </c>
      <c r="C71" s="28" t="s">
        <v>1017</v>
      </c>
      <c r="D71" s="28" t="s">
        <v>5667</v>
      </c>
      <c r="E71" s="28" t="s">
        <v>5668</v>
      </c>
      <c r="F71" s="28" t="s">
        <v>5630</v>
      </c>
      <c r="G71" s="28" t="s">
        <v>5669</v>
      </c>
      <c r="H71" s="27" t="s">
        <v>5670</v>
      </c>
      <c r="I71" s="28" t="s">
        <v>5671</v>
      </c>
      <c r="J71" s="27"/>
    </row>
    <row r="72" customFormat="false" ht="15" hidden="false" customHeight="true" outlineLevel="0" collapsed="false">
      <c r="A72" s="27" t="s">
        <v>1019</v>
      </c>
      <c r="B72" s="27" t="s">
        <v>458</v>
      </c>
      <c r="C72" s="28" t="s">
        <v>1020</v>
      </c>
      <c r="D72" s="28" t="s">
        <v>5672</v>
      </c>
      <c r="E72" s="28" t="s">
        <v>5673</v>
      </c>
      <c r="F72" s="28" t="s">
        <v>5640</v>
      </c>
      <c r="G72" s="28" t="s">
        <v>5669</v>
      </c>
      <c r="H72" s="27" t="s">
        <v>5670</v>
      </c>
      <c r="I72" s="28" t="s">
        <v>5671</v>
      </c>
      <c r="J72" s="27"/>
    </row>
    <row r="73" customFormat="false" ht="15" hidden="false" customHeight="true" outlineLevel="0" collapsed="false">
      <c r="A73" s="27" t="s">
        <v>1022</v>
      </c>
      <c r="B73" s="27" t="s">
        <v>458</v>
      </c>
      <c r="C73" s="28" t="s">
        <v>1023</v>
      </c>
      <c r="D73" s="28" t="s">
        <v>5674</v>
      </c>
      <c r="E73" s="28" t="s">
        <v>5675</v>
      </c>
      <c r="F73" s="28" t="s">
        <v>5630</v>
      </c>
      <c r="G73" s="28" t="s">
        <v>5669</v>
      </c>
      <c r="H73" s="27" t="s">
        <v>5670</v>
      </c>
      <c r="I73" s="28" t="s">
        <v>5671</v>
      </c>
      <c r="J73" s="27"/>
    </row>
    <row r="74" customFormat="false" ht="15" hidden="false" customHeight="true" outlineLevel="0" collapsed="false">
      <c r="A74" s="27" t="s">
        <v>1025</v>
      </c>
      <c r="B74" s="27" t="s">
        <v>458</v>
      </c>
      <c r="C74" s="28" t="s">
        <v>1026</v>
      </c>
      <c r="D74" s="28" t="s">
        <v>5674</v>
      </c>
      <c r="E74" s="28" t="s">
        <v>5675</v>
      </c>
      <c r="F74" s="28" t="s">
        <v>5630</v>
      </c>
      <c r="G74" s="28" t="s">
        <v>5669</v>
      </c>
      <c r="H74" s="27" t="s">
        <v>5670</v>
      </c>
      <c r="I74" s="28" t="s">
        <v>5671</v>
      </c>
      <c r="J74" s="27"/>
    </row>
    <row r="75" customFormat="false" ht="15" hidden="false" customHeight="true" outlineLevel="0" collapsed="false">
      <c r="A75" s="27" t="s">
        <v>1028</v>
      </c>
      <c r="B75" s="27" t="s">
        <v>458</v>
      </c>
      <c r="C75" s="28" t="s">
        <v>1029</v>
      </c>
      <c r="D75" s="28" t="s">
        <v>5674</v>
      </c>
      <c r="E75" s="28" t="s">
        <v>5675</v>
      </c>
      <c r="F75" s="28" t="s">
        <v>5630</v>
      </c>
      <c r="G75" s="28" t="s">
        <v>5669</v>
      </c>
      <c r="H75" s="27" t="s">
        <v>5670</v>
      </c>
      <c r="I75" s="28" t="s">
        <v>5671</v>
      </c>
      <c r="J75" s="27"/>
    </row>
    <row r="76" customFormat="false" ht="15" hidden="false" customHeight="true" outlineLevel="0" collapsed="false">
      <c r="A76" s="27" t="s">
        <v>1031</v>
      </c>
      <c r="B76" s="27" t="s">
        <v>458</v>
      </c>
      <c r="C76" s="28" t="s">
        <v>1032</v>
      </c>
      <c r="D76" s="28" t="s">
        <v>5674</v>
      </c>
      <c r="E76" s="28" t="s">
        <v>5675</v>
      </c>
      <c r="F76" s="28" t="s">
        <v>5630</v>
      </c>
      <c r="G76" s="28" t="s">
        <v>5669</v>
      </c>
      <c r="H76" s="27" t="s">
        <v>5670</v>
      </c>
      <c r="I76" s="28" t="s">
        <v>5671</v>
      </c>
      <c r="J76" s="27"/>
    </row>
    <row r="77" customFormat="false" ht="15" hidden="false" customHeight="true" outlineLevel="0" collapsed="false">
      <c r="A77" s="27" t="s">
        <v>1034</v>
      </c>
      <c r="B77" s="27" t="s">
        <v>458</v>
      </c>
      <c r="C77" s="28" t="s">
        <v>1035</v>
      </c>
      <c r="D77" s="28" t="s">
        <v>5674</v>
      </c>
      <c r="E77" s="28" t="s">
        <v>5675</v>
      </c>
      <c r="F77" s="28" t="s">
        <v>5630</v>
      </c>
      <c r="G77" s="28" t="s">
        <v>5669</v>
      </c>
      <c r="H77" s="27" t="s">
        <v>5670</v>
      </c>
      <c r="I77" s="28" t="s">
        <v>5671</v>
      </c>
      <c r="J77" s="27"/>
    </row>
    <row r="78" customFormat="false" ht="15" hidden="false" customHeight="true" outlineLevel="0" collapsed="false">
      <c r="A78" s="27" t="s">
        <v>1037</v>
      </c>
      <c r="B78" s="27" t="s">
        <v>458</v>
      </c>
      <c r="C78" s="28" t="s">
        <v>1038</v>
      </c>
      <c r="D78" s="28" t="s">
        <v>5676</v>
      </c>
      <c r="E78" s="28" t="s">
        <v>5677</v>
      </c>
      <c r="F78" s="28" t="s">
        <v>5640</v>
      </c>
      <c r="G78" s="28" t="s">
        <v>5669</v>
      </c>
      <c r="H78" s="27" t="s">
        <v>5670</v>
      </c>
      <c r="I78" s="28" t="s">
        <v>5671</v>
      </c>
      <c r="J78" s="27"/>
    </row>
    <row r="79" customFormat="false" ht="15" hidden="false" customHeight="true" outlineLevel="0" collapsed="false">
      <c r="A79" s="27" t="s">
        <v>1039</v>
      </c>
      <c r="B79" s="27" t="s">
        <v>458</v>
      </c>
      <c r="C79" s="27" t="s">
        <v>1040</v>
      </c>
      <c r="D79" s="28" t="s">
        <v>5678</v>
      </c>
      <c r="E79" s="28" t="s">
        <v>5668</v>
      </c>
      <c r="F79" s="28" t="s">
        <v>5630</v>
      </c>
      <c r="G79" s="28" t="s">
        <v>5669</v>
      </c>
      <c r="H79" s="27" t="s">
        <v>5670</v>
      </c>
      <c r="I79" s="28" t="s">
        <v>5671</v>
      </c>
      <c r="J79" s="27"/>
    </row>
    <row r="80" customFormat="false" ht="15" hidden="false" customHeight="true" outlineLevel="0" collapsed="false">
      <c r="A80" s="27" t="s">
        <v>1042</v>
      </c>
      <c r="B80" s="27" t="s">
        <v>458</v>
      </c>
      <c r="C80" s="28" t="s">
        <v>1043</v>
      </c>
      <c r="D80" s="28" t="s">
        <v>5674</v>
      </c>
      <c r="E80" s="28" t="s">
        <v>5675</v>
      </c>
      <c r="F80" s="28" t="s">
        <v>5630</v>
      </c>
      <c r="G80" s="28" t="s">
        <v>5669</v>
      </c>
      <c r="H80" s="27" t="s">
        <v>5670</v>
      </c>
      <c r="I80" s="28" t="s">
        <v>5671</v>
      </c>
      <c r="J80" s="27"/>
    </row>
    <row r="81" customFormat="false" ht="15" hidden="false" customHeight="true" outlineLevel="0" collapsed="false">
      <c r="A81" s="27" t="s">
        <v>1045</v>
      </c>
      <c r="B81" s="27" t="s">
        <v>458</v>
      </c>
      <c r="C81" s="28" t="s">
        <v>1046</v>
      </c>
      <c r="D81" s="28" t="s">
        <v>5667</v>
      </c>
      <c r="E81" s="28" t="s">
        <v>5668</v>
      </c>
      <c r="F81" s="28" t="s">
        <v>5630</v>
      </c>
      <c r="G81" s="28" t="s">
        <v>5669</v>
      </c>
      <c r="H81" s="27" t="s">
        <v>5670</v>
      </c>
      <c r="I81" s="28" t="s">
        <v>5671</v>
      </c>
      <c r="J81" s="27"/>
    </row>
    <row r="82" customFormat="false" ht="15" hidden="false" customHeight="true" outlineLevel="0" collapsed="false">
      <c r="A82" s="27" t="s">
        <v>1048</v>
      </c>
      <c r="B82" s="27" t="s">
        <v>458</v>
      </c>
      <c r="C82" s="28" t="s">
        <v>1049</v>
      </c>
      <c r="D82" s="28" t="s">
        <v>5674</v>
      </c>
      <c r="E82" s="28" t="s">
        <v>5675</v>
      </c>
      <c r="F82" s="28" t="s">
        <v>5630</v>
      </c>
      <c r="G82" s="28" t="s">
        <v>5669</v>
      </c>
      <c r="H82" s="27" t="s">
        <v>5670</v>
      </c>
      <c r="I82" s="28" t="s">
        <v>5671</v>
      </c>
      <c r="J82" s="27"/>
    </row>
    <row r="83" customFormat="false" ht="15" hidden="false" customHeight="true" outlineLevel="0" collapsed="false">
      <c r="A83" s="27" t="s">
        <v>1051</v>
      </c>
      <c r="B83" s="27" t="s">
        <v>458</v>
      </c>
      <c r="C83" s="28" t="s">
        <v>1052</v>
      </c>
      <c r="D83" s="28" t="s">
        <v>5672</v>
      </c>
      <c r="E83" s="28" t="s">
        <v>5673</v>
      </c>
      <c r="F83" s="28" t="s">
        <v>5640</v>
      </c>
      <c r="G83" s="28" t="s">
        <v>5669</v>
      </c>
      <c r="H83" s="27" t="s">
        <v>5670</v>
      </c>
      <c r="I83" s="28" t="s">
        <v>5671</v>
      </c>
      <c r="J83" s="27"/>
    </row>
    <row r="84" customFormat="false" ht="15" hidden="false" customHeight="true" outlineLevel="0" collapsed="false">
      <c r="A84" s="27" t="s">
        <v>1054</v>
      </c>
      <c r="B84" s="27" t="s">
        <v>458</v>
      </c>
      <c r="C84" s="28" t="s">
        <v>1055</v>
      </c>
      <c r="D84" s="28" t="s">
        <v>5676</v>
      </c>
      <c r="E84" s="28" t="s">
        <v>5677</v>
      </c>
      <c r="F84" s="28" t="s">
        <v>5640</v>
      </c>
      <c r="G84" s="28" t="s">
        <v>5669</v>
      </c>
      <c r="H84" s="27" t="s">
        <v>5670</v>
      </c>
      <c r="I84" s="28" t="s">
        <v>5671</v>
      </c>
      <c r="J84" s="27"/>
    </row>
    <row r="85" customFormat="false" ht="15" hidden="false" customHeight="true" outlineLevel="0" collapsed="false">
      <c r="A85" s="27" t="s">
        <v>1057</v>
      </c>
      <c r="B85" s="27" t="s">
        <v>458</v>
      </c>
      <c r="C85" s="28" t="s">
        <v>1058</v>
      </c>
      <c r="D85" s="28" t="s">
        <v>5667</v>
      </c>
      <c r="E85" s="28" t="s">
        <v>5668</v>
      </c>
      <c r="F85" s="28" t="s">
        <v>5630</v>
      </c>
      <c r="G85" s="28" t="s">
        <v>5669</v>
      </c>
      <c r="H85" s="27" t="s">
        <v>5670</v>
      </c>
      <c r="I85" s="28" t="s">
        <v>5671</v>
      </c>
      <c r="J85" s="27"/>
    </row>
    <row r="86" customFormat="false" ht="15" hidden="false" customHeight="true" outlineLevel="0" collapsed="false">
      <c r="A86" s="27" t="s">
        <v>1060</v>
      </c>
      <c r="B86" s="27" t="s">
        <v>458</v>
      </c>
      <c r="C86" s="28" t="s">
        <v>1061</v>
      </c>
      <c r="D86" s="28" t="s">
        <v>5667</v>
      </c>
      <c r="E86" s="28" t="s">
        <v>5668</v>
      </c>
      <c r="F86" s="28" t="s">
        <v>5630</v>
      </c>
      <c r="G86" s="28" t="s">
        <v>5669</v>
      </c>
      <c r="H86" s="27" t="s">
        <v>5670</v>
      </c>
      <c r="I86" s="28" t="s">
        <v>5671</v>
      </c>
      <c r="J86" s="27"/>
    </row>
    <row r="87" customFormat="false" ht="15" hidden="false" customHeight="true" outlineLevel="0" collapsed="false">
      <c r="A87" s="27" t="s">
        <v>1063</v>
      </c>
      <c r="B87" s="27" t="s">
        <v>458</v>
      </c>
      <c r="C87" s="28" t="s">
        <v>1064</v>
      </c>
      <c r="D87" s="28" t="s">
        <v>5667</v>
      </c>
      <c r="E87" s="28" t="s">
        <v>5668</v>
      </c>
      <c r="F87" s="28" t="s">
        <v>5630</v>
      </c>
      <c r="G87" s="28" t="s">
        <v>5669</v>
      </c>
      <c r="H87" s="27" t="s">
        <v>5670</v>
      </c>
      <c r="I87" s="28" t="s">
        <v>5671</v>
      </c>
      <c r="J87" s="27"/>
    </row>
    <row r="88" customFormat="false" ht="15" hidden="false" customHeight="true" outlineLevel="0" collapsed="false">
      <c r="A88" s="27" t="s">
        <v>1066</v>
      </c>
      <c r="B88" s="27" t="s">
        <v>458</v>
      </c>
      <c r="C88" s="28" t="s">
        <v>1067</v>
      </c>
      <c r="D88" s="28" t="s">
        <v>5674</v>
      </c>
      <c r="E88" s="28" t="s">
        <v>5675</v>
      </c>
      <c r="F88" s="28" t="s">
        <v>5630</v>
      </c>
      <c r="G88" s="28" t="s">
        <v>5669</v>
      </c>
      <c r="H88" s="27" t="s">
        <v>5670</v>
      </c>
      <c r="I88" s="28" t="s">
        <v>5671</v>
      </c>
      <c r="J88" s="27"/>
    </row>
    <row r="89" customFormat="false" ht="15" hidden="false" customHeight="true" outlineLevel="0" collapsed="false">
      <c r="A89" s="27" t="s">
        <v>1069</v>
      </c>
      <c r="B89" s="27" t="s">
        <v>458</v>
      </c>
      <c r="C89" s="27" t="s">
        <v>1070</v>
      </c>
      <c r="D89" s="28" t="s">
        <v>5674</v>
      </c>
      <c r="E89" s="28" t="s">
        <v>5675</v>
      </c>
      <c r="F89" s="28" t="s">
        <v>5630</v>
      </c>
      <c r="G89" s="28" t="s">
        <v>5669</v>
      </c>
      <c r="H89" s="27" t="s">
        <v>5670</v>
      </c>
      <c r="I89" s="28" t="s">
        <v>5671</v>
      </c>
      <c r="J89" s="27"/>
    </row>
    <row r="90" customFormat="false" ht="15" hidden="false" customHeight="true" outlineLevel="0" collapsed="false">
      <c r="A90" s="27" t="s">
        <v>1072</v>
      </c>
      <c r="B90" s="27" t="s">
        <v>458</v>
      </c>
      <c r="C90" s="27" t="s">
        <v>1073</v>
      </c>
      <c r="D90" s="28" t="s">
        <v>5674</v>
      </c>
      <c r="E90" s="28" t="s">
        <v>5675</v>
      </c>
      <c r="F90" s="28" t="s">
        <v>5630</v>
      </c>
      <c r="G90" s="28" t="s">
        <v>5669</v>
      </c>
      <c r="H90" s="27" t="s">
        <v>5670</v>
      </c>
      <c r="I90" s="28" t="s">
        <v>5671</v>
      </c>
      <c r="J90" s="27"/>
    </row>
    <row r="91" customFormat="false" ht="15" hidden="false" customHeight="true" outlineLevel="0" collapsed="false">
      <c r="A91" s="27" t="s">
        <v>1075</v>
      </c>
      <c r="B91" s="27" t="s">
        <v>458</v>
      </c>
      <c r="C91" s="28" t="s">
        <v>1076</v>
      </c>
      <c r="D91" s="28" t="s">
        <v>5679</v>
      </c>
      <c r="E91" s="28" t="s">
        <v>5656</v>
      </c>
      <c r="F91" s="28" t="s">
        <v>5640</v>
      </c>
      <c r="G91" s="28" t="s">
        <v>5669</v>
      </c>
      <c r="H91" s="27" t="s">
        <v>5670</v>
      </c>
      <c r="I91" s="28" t="s">
        <v>5671</v>
      </c>
      <c r="J91" s="27"/>
    </row>
    <row r="92" customFormat="false" ht="15" hidden="false" customHeight="true" outlineLevel="0" collapsed="false">
      <c r="A92" s="27" t="s">
        <v>1078</v>
      </c>
      <c r="B92" s="27" t="s">
        <v>458</v>
      </c>
      <c r="C92" s="28" t="s">
        <v>1079</v>
      </c>
      <c r="D92" s="28" t="s">
        <v>5667</v>
      </c>
      <c r="E92" s="28" t="s">
        <v>5668</v>
      </c>
      <c r="F92" s="28" t="s">
        <v>5630</v>
      </c>
      <c r="G92" s="28" t="s">
        <v>5669</v>
      </c>
      <c r="H92" s="27" t="s">
        <v>5670</v>
      </c>
      <c r="I92" s="28" t="s">
        <v>5671</v>
      </c>
      <c r="J92" s="27"/>
    </row>
    <row r="93" customFormat="false" ht="15" hidden="false" customHeight="true" outlineLevel="0" collapsed="false">
      <c r="A93" s="27" t="s">
        <v>1081</v>
      </c>
      <c r="B93" s="27" t="s">
        <v>458</v>
      </c>
      <c r="C93" s="28" t="s">
        <v>1082</v>
      </c>
      <c r="D93" s="28" t="s">
        <v>5667</v>
      </c>
      <c r="E93" s="28" t="s">
        <v>5668</v>
      </c>
      <c r="F93" s="28" t="s">
        <v>5630</v>
      </c>
      <c r="G93" s="28" t="s">
        <v>5669</v>
      </c>
      <c r="H93" s="27" t="s">
        <v>5670</v>
      </c>
      <c r="I93" s="28" t="s">
        <v>5671</v>
      </c>
      <c r="J93" s="27"/>
    </row>
    <row r="94" customFormat="false" ht="15" hidden="false" customHeight="true" outlineLevel="0" collapsed="false">
      <c r="A94" s="27" t="s">
        <v>1084</v>
      </c>
      <c r="B94" s="27" t="s">
        <v>458</v>
      </c>
      <c r="C94" s="28" t="s">
        <v>1085</v>
      </c>
      <c r="D94" s="28" t="s">
        <v>5680</v>
      </c>
      <c r="E94" s="28" t="s">
        <v>5681</v>
      </c>
      <c r="F94" s="28" t="s">
        <v>5640</v>
      </c>
      <c r="G94" s="28" t="s">
        <v>5669</v>
      </c>
      <c r="H94" s="27" t="s">
        <v>5670</v>
      </c>
      <c r="I94" s="28" t="s">
        <v>5671</v>
      </c>
      <c r="J94" s="27"/>
    </row>
    <row r="95" customFormat="false" ht="15" hidden="false" customHeight="true" outlineLevel="0" collapsed="false">
      <c r="A95" s="27" t="s">
        <v>1087</v>
      </c>
      <c r="B95" s="27" t="s">
        <v>458</v>
      </c>
      <c r="C95" s="28" t="s">
        <v>1088</v>
      </c>
      <c r="D95" s="28" t="s">
        <v>5682</v>
      </c>
      <c r="E95" s="28" t="s">
        <v>5683</v>
      </c>
      <c r="F95" s="28" t="s">
        <v>5640</v>
      </c>
      <c r="G95" s="28" t="s">
        <v>5669</v>
      </c>
      <c r="H95" s="27" t="s">
        <v>5670</v>
      </c>
      <c r="I95" s="28" t="s">
        <v>5671</v>
      </c>
      <c r="J95" s="28" t="s">
        <v>5684</v>
      </c>
    </row>
    <row r="96" customFormat="false" ht="15" hidden="false" customHeight="true" outlineLevel="0" collapsed="false">
      <c r="A96" s="27" t="s">
        <v>1089</v>
      </c>
      <c r="B96" s="27" t="s">
        <v>458</v>
      </c>
      <c r="C96" s="28" t="s">
        <v>1090</v>
      </c>
      <c r="D96" s="28" t="s">
        <v>5685</v>
      </c>
      <c r="E96" s="28" t="s">
        <v>5686</v>
      </c>
      <c r="F96" s="28" t="s">
        <v>5640</v>
      </c>
      <c r="G96" s="28" t="s">
        <v>5669</v>
      </c>
      <c r="H96" s="27" t="s">
        <v>5670</v>
      </c>
      <c r="I96" s="28" t="s">
        <v>5671</v>
      </c>
      <c r="J96" s="27"/>
    </row>
    <row r="97" customFormat="false" ht="15" hidden="false" customHeight="true" outlineLevel="0" collapsed="false">
      <c r="A97" s="27" t="s">
        <v>1092</v>
      </c>
      <c r="B97" s="27" t="s">
        <v>458</v>
      </c>
      <c r="C97" s="28" t="s">
        <v>1093</v>
      </c>
      <c r="D97" s="28" t="s">
        <v>5674</v>
      </c>
      <c r="E97" s="28" t="s">
        <v>5675</v>
      </c>
      <c r="F97" s="28" t="s">
        <v>5630</v>
      </c>
      <c r="G97" s="28" t="s">
        <v>5669</v>
      </c>
      <c r="H97" s="27" t="s">
        <v>5670</v>
      </c>
      <c r="I97" s="28" t="s">
        <v>5671</v>
      </c>
      <c r="J97" s="27"/>
    </row>
    <row r="98" customFormat="false" ht="15" hidden="false" customHeight="true" outlineLevel="0" collapsed="false">
      <c r="A98" s="27" t="s">
        <v>1095</v>
      </c>
      <c r="B98" s="27" t="s">
        <v>458</v>
      </c>
      <c r="C98" s="28" t="s">
        <v>1096</v>
      </c>
      <c r="D98" s="28" t="s">
        <v>5674</v>
      </c>
      <c r="E98" s="28" t="s">
        <v>5675</v>
      </c>
      <c r="F98" s="28" t="s">
        <v>5630</v>
      </c>
      <c r="G98" s="28" t="s">
        <v>5669</v>
      </c>
      <c r="H98" s="27" t="s">
        <v>5670</v>
      </c>
      <c r="I98" s="28" t="s">
        <v>5671</v>
      </c>
      <c r="J98" s="27"/>
    </row>
    <row r="99" customFormat="false" ht="15" hidden="false" customHeight="true" outlineLevel="0" collapsed="false">
      <c r="A99" s="27" t="s">
        <v>1098</v>
      </c>
      <c r="B99" s="27" t="s">
        <v>458</v>
      </c>
      <c r="C99" s="28" t="s">
        <v>1099</v>
      </c>
      <c r="D99" s="28" t="s">
        <v>5674</v>
      </c>
      <c r="E99" s="28" t="s">
        <v>5675</v>
      </c>
      <c r="F99" s="28" t="s">
        <v>5630</v>
      </c>
      <c r="G99" s="28" t="s">
        <v>5669</v>
      </c>
      <c r="H99" s="27" t="s">
        <v>5670</v>
      </c>
      <c r="I99" s="28" t="s">
        <v>5671</v>
      </c>
      <c r="J99" s="27"/>
    </row>
    <row r="100" customFormat="false" ht="15" hidden="false" customHeight="true" outlineLevel="0" collapsed="false">
      <c r="A100" s="27" t="s">
        <v>1101</v>
      </c>
      <c r="B100" s="27" t="s">
        <v>458</v>
      </c>
      <c r="C100" s="28" t="s">
        <v>1102</v>
      </c>
      <c r="D100" s="28" t="s">
        <v>5674</v>
      </c>
      <c r="E100" s="28" t="s">
        <v>5675</v>
      </c>
      <c r="F100" s="28" t="s">
        <v>5630</v>
      </c>
      <c r="G100" s="28" t="s">
        <v>5669</v>
      </c>
      <c r="H100" s="27" t="s">
        <v>5670</v>
      </c>
      <c r="I100" s="28" t="s">
        <v>5671</v>
      </c>
      <c r="J100" s="27"/>
    </row>
    <row r="101" customFormat="false" ht="15" hidden="false" customHeight="true" outlineLevel="0" collapsed="false">
      <c r="A101" s="27" t="s">
        <v>1104</v>
      </c>
      <c r="B101" s="27" t="s">
        <v>458</v>
      </c>
      <c r="C101" s="28" t="s">
        <v>1105</v>
      </c>
      <c r="D101" s="28" t="s">
        <v>5680</v>
      </c>
      <c r="E101" s="28" t="s">
        <v>5681</v>
      </c>
      <c r="F101" s="28" t="s">
        <v>5640</v>
      </c>
      <c r="G101" s="28" t="s">
        <v>5669</v>
      </c>
      <c r="H101" s="27" t="s">
        <v>5670</v>
      </c>
      <c r="I101" s="28" t="s">
        <v>5671</v>
      </c>
      <c r="J101" s="27"/>
    </row>
    <row r="102" customFormat="false" ht="15" hidden="false" customHeight="true" outlineLevel="0" collapsed="false">
      <c r="A102" s="27" t="s">
        <v>1107</v>
      </c>
      <c r="B102" s="27" t="s">
        <v>458</v>
      </c>
      <c r="C102" s="28" t="s">
        <v>1108</v>
      </c>
      <c r="D102" s="28" t="s">
        <v>5687</v>
      </c>
      <c r="E102" s="28" t="s">
        <v>5688</v>
      </c>
      <c r="F102" s="28" t="s">
        <v>5640</v>
      </c>
      <c r="G102" s="28" t="s">
        <v>5669</v>
      </c>
      <c r="H102" s="27" t="s">
        <v>5670</v>
      </c>
      <c r="I102" s="28" t="s">
        <v>5671</v>
      </c>
      <c r="J102" s="27"/>
    </row>
    <row r="103" customFormat="false" ht="15" hidden="false" customHeight="true" outlineLevel="0" collapsed="false">
      <c r="A103" s="27" t="s">
        <v>1110</v>
      </c>
      <c r="B103" s="27" t="s">
        <v>458</v>
      </c>
      <c r="C103" s="28" t="s">
        <v>1111</v>
      </c>
      <c r="D103" s="28" t="s">
        <v>5674</v>
      </c>
      <c r="E103" s="28" t="s">
        <v>5675</v>
      </c>
      <c r="F103" s="28" t="s">
        <v>5630</v>
      </c>
      <c r="G103" s="28" t="s">
        <v>5669</v>
      </c>
      <c r="H103" s="27" t="s">
        <v>5670</v>
      </c>
      <c r="I103" s="28" t="s">
        <v>5671</v>
      </c>
      <c r="J103" s="27"/>
    </row>
    <row r="104" customFormat="false" ht="15" hidden="false" customHeight="true" outlineLevel="0" collapsed="false">
      <c r="A104" s="27" t="s">
        <v>1113</v>
      </c>
      <c r="B104" s="27" t="s">
        <v>458</v>
      </c>
      <c r="C104" s="28" t="s">
        <v>1114</v>
      </c>
      <c r="D104" s="28" t="s">
        <v>5674</v>
      </c>
      <c r="E104" s="28" t="s">
        <v>5675</v>
      </c>
      <c r="F104" s="28" t="s">
        <v>5630</v>
      </c>
      <c r="G104" s="28" t="s">
        <v>5669</v>
      </c>
      <c r="H104" s="27" t="s">
        <v>5670</v>
      </c>
      <c r="I104" s="28" t="s">
        <v>5671</v>
      </c>
      <c r="J104" s="27"/>
    </row>
    <row r="105" customFormat="false" ht="15" hidden="false" customHeight="true" outlineLevel="0" collapsed="false">
      <c r="A105" s="27" t="s">
        <v>1116</v>
      </c>
      <c r="B105" s="27" t="s">
        <v>458</v>
      </c>
      <c r="C105" s="28" t="s">
        <v>1117</v>
      </c>
      <c r="D105" s="28" t="s">
        <v>5680</v>
      </c>
      <c r="E105" s="28" t="s">
        <v>5681</v>
      </c>
      <c r="F105" s="28" t="s">
        <v>5640</v>
      </c>
      <c r="G105" s="28" t="s">
        <v>5669</v>
      </c>
      <c r="H105" s="27" t="s">
        <v>5670</v>
      </c>
      <c r="I105" s="28" t="s">
        <v>5671</v>
      </c>
      <c r="J105" s="27"/>
    </row>
    <row r="106" customFormat="false" ht="15" hidden="false" customHeight="true" outlineLevel="0" collapsed="false">
      <c r="A106" s="27" t="s">
        <v>1119</v>
      </c>
      <c r="B106" s="27" t="s">
        <v>458</v>
      </c>
      <c r="C106" s="28" t="s">
        <v>1120</v>
      </c>
      <c r="D106" s="28" t="s">
        <v>5679</v>
      </c>
      <c r="E106" s="28" t="s">
        <v>5656</v>
      </c>
      <c r="F106" s="28" t="s">
        <v>5640</v>
      </c>
      <c r="G106" s="28" t="s">
        <v>5669</v>
      </c>
      <c r="H106" s="27" t="s">
        <v>5670</v>
      </c>
      <c r="I106" s="28" t="s">
        <v>5671</v>
      </c>
      <c r="J106" s="27"/>
    </row>
    <row r="107" customFormat="false" ht="15" hidden="false" customHeight="true" outlineLevel="0" collapsed="false">
      <c r="A107" s="27" t="s">
        <v>1122</v>
      </c>
      <c r="B107" s="27" t="s">
        <v>458</v>
      </c>
      <c r="C107" s="28" t="s">
        <v>1123</v>
      </c>
      <c r="D107" s="28" t="s">
        <v>5667</v>
      </c>
      <c r="E107" s="28" t="s">
        <v>5668</v>
      </c>
      <c r="F107" s="28" t="s">
        <v>5630</v>
      </c>
      <c r="G107" s="28" t="s">
        <v>5669</v>
      </c>
      <c r="H107" s="27" t="s">
        <v>5670</v>
      </c>
      <c r="I107" s="28" t="s">
        <v>5671</v>
      </c>
      <c r="J107" s="27"/>
    </row>
    <row r="108" customFormat="false" ht="15" hidden="false" customHeight="true" outlineLevel="0" collapsed="false">
      <c r="A108" s="27" t="s">
        <v>1127</v>
      </c>
      <c r="B108" s="27" t="s">
        <v>458</v>
      </c>
      <c r="C108" s="28" t="s">
        <v>1128</v>
      </c>
      <c r="D108" s="28" t="s">
        <v>5667</v>
      </c>
      <c r="E108" s="28" t="s">
        <v>5668</v>
      </c>
      <c r="F108" s="28" t="s">
        <v>5630</v>
      </c>
      <c r="G108" s="28" t="s">
        <v>5669</v>
      </c>
      <c r="H108" s="27" t="s">
        <v>5670</v>
      </c>
      <c r="I108" s="28" t="s">
        <v>5671</v>
      </c>
      <c r="J108" s="27"/>
    </row>
    <row r="109" customFormat="false" ht="15" hidden="false" customHeight="true" outlineLevel="0" collapsed="false">
      <c r="A109" s="27" t="s">
        <v>1130</v>
      </c>
      <c r="B109" s="27" t="s">
        <v>458</v>
      </c>
      <c r="C109" s="28" t="s">
        <v>1131</v>
      </c>
      <c r="D109" s="28" t="s">
        <v>5667</v>
      </c>
      <c r="E109" s="28" t="s">
        <v>5668</v>
      </c>
      <c r="F109" s="28" t="s">
        <v>5630</v>
      </c>
      <c r="G109" s="28" t="s">
        <v>5669</v>
      </c>
      <c r="H109" s="27" t="s">
        <v>5670</v>
      </c>
      <c r="I109" s="28" t="s">
        <v>5671</v>
      </c>
      <c r="J109" s="27"/>
    </row>
    <row r="110" customFormat="false" ht="15" hidden="false" customHeight="true" outlineLevel="0" collapsed="false">
      <c r="A110" s="27" t="s">
        <v>1132</v>
      </c>
      <c r="B110" s="27" t="s">
        <v>458</v>
      </c>
      <c r="C110" s="28" t="s">
        <v>1133</v>
      </c>
      <c r="D110" s="28" t="s">
        <v>5674</v>
      </c>
      <c r="E110" s="28" t="s">
        <v>5675</v>
      </c>
      <c r="F110" s="28" t="s">
        <v>5630</v>
      </c>
      <c r="G110" s="28" t="s">
        <v>5669</v>
      </c>
      <c r="H110" s="27" t="s">
        <v>5670</v>
      </c>
      <c r="I110" s="28" t="s">
        <v>5671</v>
      </c>
      <c r="J110" s="27"/>
    </row>
    <row r="111" customFormat="false" ht="15" hidden="false" customHeight="true" outlineLevel="0" collapsed="false">
      <c r="A111" s="27" t="s">
        <v>1135</v>
      </c>
      <c r="B111" s="27" t="s">
        <v>458</v>
      </c>
      <c r="C111" s="28" t="s">
        <v>1136</v>
      </c>
      <c r="D111" s="28" t="s">
        <v>5674</v>
      </c>
      <c r="E111" s="28" t="s">
        <v>5675</v>
      </c>
      <c r="F111" s="28" t="s">
        <v>5630</v>
      </c>
      <c r="G111" s="28" t="s">
        <v>5669</v>
      </c>
      <c r="H111" s="27" t="s">
        <v>5670</v>
      </c>
      <c r="I111" s="28" t="s">
        <v>5671</v>
      </c>
      <c r="J111" s="27"/>
    </row>
    <row r="112" customFormat="false" ht="15" hidden="false" customHeight="true" outlineLevel="0" collapsed="false">
      <c r="A112" s="27" t="s">
        <v>1138</v>
      </c>
      <c r="B112" s="27" t="s">
        <v>458</v>
      </c>
      <c r="C112" s="28" t="s">
        <v>1139</v>
      </c>
      <c r="D112" s="28" t="s">
        <v>5667</v>
      </c>
      <c r="E112" s="28" t="s">
        <v>5668</v>
      </c>
      <c r="F112" s="28" t="s">
        <v>5630</v>
      </c>
      <c r="G112" s="28" t="s">
        <v>5669</v>
      </c>
      <c r="H112" s="27" t="s">
        <v>5670</v>
      </c>
      <c r="I112" s="28" t="s">
        <v>5671</v>
      </c>
      <c r="J112" s="27"/>
    </row>
    <row r="113" customFormat="false" ht="15" hidden="false" customHeight="true" outlineLevel="0" collapsed="false">
      <c r="A113" s="27" t="s">
        <v>1142</v>
      </c>
      <c r="B113" s="27" t="s">
        <v>458</v>
      </c>
      <c r="C113" s="28" t="s">
        <v>1143</v>
      </c>
      <c r="D113" s="28" t="s">
        <v>5674</v>
      </c>
      <c r="E113" s="28" t="s">
        <v>5675</v>
      </c>
      <c r="F113" s="28" t="s">
        <v>5630</v>
      </c>
      <c r="G113" s="28" t="s">
        <v>5669</v>
      </c>
      <c r="H113" s="27" t="s">
        <v>5670</v>
      </c>
      <c r="I113" s="28" t="s">
        <v>5671</v>
      </c>
      <c r="J113" s="27"/>
    </row>
    <row r="114" customFormat="false" ht="15" hidden="false" customHeight="true" outlineLevel="0" collapsed="false">
      <c r="A114" s="27" t="s">
        <v>1146</v>
      </c>
      <c r="B114" s="27" t="s">
        <v>458</v>
      </c>
      <c r="C114" s="28" t="s">
        <v>1147</v>
      </c>
      <c r="D114" s="28" t="s">
        <v>5680</v>
      </c>
      <c r="E114" s="28" t="s">
        <v>5681</v>
      </c>
      <c r="F114" s="28" t="s">
        <v>5640</v>
      </c>
      <c r="G114" s="28" t="s">
        <v>5669</v>
      </c>
      <c r="H114" s="27" t="s">
        <v>5670</v>
      </c>
      <c r="I114" s="28" t="s">
        <v>5671</v>
      </c>
      <c r="J114" s="27"/>
    </row>
    <row r="115" customFormat="false" ht="15" hidden="false" customHeight="true" outlineLevel="0" collapsed="false">
      <c r="A115" s="27" t="s">
        <v>1150</v>
      </c>
      <c r="B115" s="27" t="s">
        <v>458</v>
      </c>
      <c r="C115" s="28" t="s">
        <v>1151</v>
      </c>
      <c r="D115" s="28" t="s">
        <v>5689</v>
      </c>
      <c r="E115" s="28" t="s">
        <v>5650</v>
      </c>
      <c r="F115" s="28" t="s">
        <v>5640</v>
      </c>
      <c r="G115" s="28" t="s">
        <v>5669</v>
      </c>
      <c r="H115" s="27" t="s">
        <v>5670</v>
      </c>
      <c r="I115" s="28" t="s">
        <v>5671</v>
      </c>
      <c r="J115" s="28" t="s">
        <v>5690</v>
      </c>
    </row>
    <row r="116" customFormat="false" ht="15" hidden="false" customHeight="true" outlineLevel="0" collapsed="false">
      <c r="A116" s="27" t="s">
        <v>1155</v>
      </c>
      <c r="B116" s="27" t="s">
        <v>458</v>
      </c>
      <c r="C116" s="28" t="s">
        <v>1156</v>
      </c>
      <c r="D116" s="28" t="s">
        <v>5682</v>
      </c>
      <c r="E116" s="28" t="s">
        <v>5683</v>
      </c>
      <c r="F116" s="28" t="s">
        <v>5640</v>
      </c>
      <c r="G116" s="28" t="s">
        <v>5669</v>
      </c>
      <c r="H116" s="27" t="s">
        <v>5670</v>
      </c>
      <c r="I116" s="28" t="s">
        <v>5671</v>
      </c>
      <c r="J116" s="27"/>
    </row>
    <row r="117" customFormat="false" ht="15" hidden="false" customHeight="true" outlineLevel="0" collapsed="false">
      <c r="A117" s="27" t="s">
        <v>1159</v>
      </c>
      <c r="B117" s="27" t="s">
        <v>458</v>
      </c>
      <c r="C117" s="28" t="s">
        <v>1160</v>
      </c>
      <c r="D117" s="28" t="s">
        <v>5679</v>
      </c>
      <c r="E117" s="28" t="s">
        <v>5656</v>
      </c>
      <c r="F117" s="28" t="s">
        <v>5640</v>
      </c>
      <c r="G117" s="28" t="s">
        <v>5669</v>
      </c>
      <c r="H117" s="27" t="s">
        <v>5670</v>
      </c>
      <c r="I117" s="28" t="s">
        <v>5671</v>
      </c>
      <c r="J117" s="27"/>
    </row>
    <row r="118" customFormat="false" ht="15" hidden="false" customHeight="true" outlineLevel="0" collapsed="false">
      <c r="A118" s="27" t="s">
        <v>1163</v>
      </c>
      <c r="B118" s="27" t="s">
        <v>458</v>
      </c>
      <c r="C118" s="28" t="s">
        <v>1164</v>
      </c>
      <c r="D118" s="28" t="s">
        <v>5691</v>
      </c>
      <c r="E118" s="28" t="s">
        <v>5639</v>
      </c>
      <c r="F118" s="28" t="s">
        <v>5640</v>
      </c>
      <c r="G118" s="28" t="s">
        <v>5669</v>
      </c>
      <c r="H118" s="27" t="s">
        <v>5670</v>
      </c>
      <c r="I118" s="28" t="s">
        <v>5671</v>
      </c>
      <c r="J118" s="27"/>
    </row>
    <row r="119" customFormat="false" ht="15" hidden="false" customHeight="true" outlineLevel="0" collapsed="false">
      <c r="A119" s="27" t="s">
        <v>1168</v>
      </c>
      <c r="B119" s="27" t="s">
        <v>458</v>
      </c>
      <c r="C119" s="28" t="s">
        <v>1169</v>
      </c>
      <c r="D119" s="28" t="s">
        <v>5682</v>
      </c>
      <c r="E119" s="28" t="s">
        <v>5683</v>
      </c>
      <c r="F119" s="28" t="s">
        <v>5640</v>
      </c>
      <c r="G119" s="28" t="s">
        <v>5669</v>
      </c>
      <c r="H119" s="27" t="s">
        <v>5670</v>
      </c>
      <c r="I119" s="28" t="s">
        <v>5671</v>
      </c>
      <c r="J119" s="27"/>
    </row>
    <row r="120" customFormat="false" ht="15" hidden="false" customHeight="true" outlineLevel="0" collapsed="false">
      <c r="A120" s="27" t="s">
        <v>1172</v>
      </c>
      <c r="B120" s="27" t="s">
        <v>458</v>
      </c>
      <c r="C120" s="28" t="s">
        <v>1173</v>
      </c>
      <c r="D120" s="28" t="s">
        <v>5674</v>
      </c>
      <c r="E120" s="28" t="s">
        <v>5675</v>
      </c>
      <c r="F120" s="28" t="s">
        <v>5630</v>
      </c>
      <c r="G120" s="28" t="s">
        <v>5669</v>
      </c>
      <c r="H120" s="27" t="s">
        <v>5670</v>
      </c>
      <c r="I120" s="28" t="s">
        <v>5671</v>
      </c>
      <c r="J120" s="27"/>
    </row>
    <row r="121" customFormat="false" ht="15" hidden="false" customHeight="true" outlineLevel="0" collapsed="false">
      <c r="A121" s="27" t="s">
        <v>1176</v>
      </c>
      <c r="B121" s="27" t="s">
        <v>458</v>
      </c>
      <c r="C121" s="28" t="s">
        <v>1177</v>
      </c>
      <c r="D121" s="28" t="s">
        <v>5674</v>
      </c>
      <c r="E121" s="28" t="s">
        <v>5675</v>
      </c>
      <c r="F121" s="28" t="s">
        <v>5630</v>
      </c>
      <c r="G121" s="28" t="s">
        <v>5669</v>
      </c>
      <c r="H121" s="27" t="s">
        <v>5670</v>
      </c>
      <c r="I121" s="28" t="s">
        <v>5671</v>
      </c>
      <c r="J121" s="27"/>
    </row>
    <row r="122" customFormat="false" ht="15" hidden="false" customHeight="true" outlineLevel="0" collapsed="false">
      <c r="A122" s="27" t="s">
        <v>1180</v>
      </c>
      <c r="B122" s="27" t="s">
        <v>458</v>
      </c>
      <c r="C122" s="28" t="s">
        <v>1181</v>
      </c>
      <c r="D122" s="28" t="s">
        <v>5691</v>
      </c>
      <c r="E122" s="28" t="s">
        <v>5639</v>
      </c>
      <c r="F122" s="28" t="s">
        <v>5640</v>
      </c>
      <c r="G122" s="28" t="s">
        <v>5669</v>
      </c>
      <c r="H122" s="27" t="s">
        <v>5670</v>
      </c>
      <c r="I122" s="28" t="s">
        <v>5671</v>
      </c>
      <c r="J122" s="27"/>
    </row>
    <row r="123" customFormat="false" ht="15" hidden="false" customHeight="true" outlineLevel="0" collapsed="false">
      <c r="A123" s="27" t="s">
        <v>1184</v>
      </c>
      <c r="B123" s="27" t="s">
        <v>458</v>
      </c>
      <c r="C123" s="28" t="s">
        <v>1185</v>
      </c>
      <c r="D123" s="28" t="s">
        <v>5679</v>
      </c>
      <c r="E123" s="28" t="s">
        <v>5656</v>
      </c>
      <c r="F123" s="28" t="s">
        <v>5640</v>
      </c>
      <c r="G123" s="28" t="s">
        <v>5669</v>
      </c>
      <c r="H123" s="27" t="s">
        <v>5670</v>
      </c>
      <c r="I123" s="28" t="s">
        <v>5671</v>
      </c>
      <c r="J123" s="27"/>
    </row>
    <row r="124" customFormat="false" ht="15" hidden="false" customHeight="true" outlineLevel="0" collapsed="false">
      <c r="A124" s="27" t="s">
        <v>1188</v>
      </c>
      <c r="B124" s="27" t="s">
        <v>458</v>
      </c>
      <c r="C124" s="28" t="s">
        <v>1189</v>
      </c>
      <c r="D124" s="28" t="s">
        <v>5667</v>
      </c>
      <c r="E124" s="28" t="s">
        <v>5668</v>
      </c>
      <c r="F124" s="28" t="s">
        <v>5630</v>
      </c>
      <c r="G124" s="28" t="s">
        <v>5669</v>
      </c>
      <c r="H124" s="27" t="s">
        <v>5670</v>
      </c>
      <c r="I124" s="28" t="s">
        <v>5671</v>
      </c>
      <c r="J124" s="27"/>
    </row>
    <row r="125" customFormat="false" ht="15" hidden="false" customHeight="true" outlineLevel="0" collapsed="false">
      <c r="A125" s="27" t="s">
        <v>1192</v>
      </c>
      <c r="B125" s="27" t="s">
        <v>458</v>
      </c>
      <c r="C125" s="27" t="s">
        <v>1193</v>
      </c>
      <c r="D125" s="28" t="s">
        <v>5692</v>
      </c>
      <c r="E125" s="28" t="s">
        <v>5693</v>
      </c>
      <c r="F125" s="28" t="s">
        <v>5640</v>
      </c>
      <c r="G125" s="28" t="s">
        <v>5669</v>
      </c>
      <c r="H125" s="27" t="s">
        <v>5670</v>
      </c>
      <c r="I125" s="28" t="s">
        <v>5671</v>
      </c>
      <c r="J125" s="27"/>
    </row>
    <row r="126" customFormat="false" ht="15" hidden="false" customHeight="true" outlineLevel="0" collapsed="false">
      <c r="A126" s="27" t="s">
        <v>1195</v>
      </c>
      <c r="B126" s="27" t="s">
        <v>458</v>
      </c>
      <c r="C126" s="28" t="s">
        <v>1196</v>
      </c>
      <c r="D126" s="28" t="s">
        <v>5674</v>
      </c>
      <c r="E126" s="28" t="s">
        <v>5675</v>
      </c>
      <c r="F126" s="28" t="s">
        <v>5630</v>
      </c>
      <c r="G126" s="28" t="s">
        <v>5669</v>
      </c>
      <c r="H126" s="27" t="s">
        <v>5670</v>
      </c>
      <c r="I126" s="28" t="s">
        <v>5671</v>
      </c>
      <c r="J126" s="27"/>
    </row>
    <row r="127" customFormat="false" ht="15" hidden="false" customHeight="true" outlineLevel="0" collapsed="false">
      <c r="A127" s="27" t="s">
        <v>1199</v>
      </c>
      <c r="B127" s="27" t="s">
        <v>458</v>
      </c>
      <c r="C127" s="28" t="s">
        <v>1200</v>
      </c>
      <c r="D127" s="28" t="s">
        <v>5667</v>
      </c>
      <c r="E127" s="28" t="s">
        <v>5668</v>
      </c>
      <c r="F127" s="28" t="s">
        <v>5630</v>
      </c>
      <c r="G127" s="28" t="s">
        <v>5669</v>
      </c>
      <c r="H127" s="27" t="s">
        <v>5670</v>
      </c>
      <c r="I127" s="28" t="s">
        <v>5671</v>
      </c>
      <c r="J127" s="27"/>
    </row>
    <row r="128" customFormat="false" ht="15" hidden="false" customHeight="true" outlineLevel="0" collapsed="false">
      <c r="A128" s="27" t="s">
        <v>1201</v>
      </c>
      <c r="B128" s="27" t="s">
        <v>458</v>
      </c>
      <c r="C128" s="28" t="s">
        <v>1202</v>
      </c>
      <c r="D128" s="28" t="s">
        <v>5667</v>
      </c>
      <c r="E128" s="28" t="s">
        <v>5668</v>
      </c>
      <c r="F128" s="28" t="s">
        <v>5630</v>
      </c>
      <c r="G128" s="28" t="s">
        <v>5669</v>
      </c>
      <c r="H128" s="27" t="s">
        <v>5670</v>
      </c>
      <c r="I128" s="28" t="s">
        <v>5671</v>
      </c>
      <c r="J128" s="27"/>
    </row>
    <row r="129" customFormat="false" ht="15" hidden="false" customHeight="true" outlineLevel="0" collapsed="false">
      <c r="A129" s="27" t="s">
        <v>1203</v>
      </c>
      <c r="B129" s="27" t="s">
        <v>458</v>
      </c>
      <c r="C129" s="28" t="s">
        <v>1204</v>
      </c>
      <c r="D129" s="28" t="s">
        <v>5667</v>
      </c>
      <c r="E129" s="28" t="s">
        <v>5668</v>
      </c>
      <c r="F129" s="28" t="s">
        <v>5630</v>
      </c>
      <c r="G129" s="28" t="s">
        <v>5669</v>
      </c>
      <c r="H129" s="27" t="s">
        <v>5670</v>
      </c>
      <c r="I129" s="28" t="s">
        <v>5671</v>
      </c>
      <c r="J129" s="27"/>
    </row>
    <row r="130" customFormat="false" ht="15" hidden="false" customHeight="true" outlineLevel="0" collapsed="false">
      <c r="A130" s="27" t="s">
        <v>1205</v>
      </c>
      <c r="B130" s="27" t="s">
        <v>458</v>
      </c>
      <c r="C130" s="28" t="s">
        <v>1206</v>
      </c>
      <c r="D130" s="28" t="s">
        <v>5682</v>
      </c>
      <c r="E130" s="28" t="s">
        <v>5683</v>
      </c>
      <c r="F130" s="28" t="s">
        <v>5640</v>
      </c>
      <c r="G130" s="28" t="s">
        <v>5669</v>
      </c>
      <c r="H130" s="27" t="s">
        <v>5670</v>
      </c>
      <c r="I130" s="28" t="s">
        <v>5671</v>
      </c>
      <c r="J130" s="27"/>
    </row>
    <row r="131" customFormat="false" ht="15" hidden="false" customHeight="true" outlineLevel="0" collapsed="false">
      <c r="A131" s="27" t="s">
        <v>1210</v>
      </c>
      <c r="B131" s="27" t="s">
        <v>458</v>
      </c>
      <c r="C131" s="28" t="s">
        <v>1211</v>
      </c>
      <c r="D131" s="28" t="s">
        <v>5674</v>
      </c>
      <c r="E131" s="28" t="s">
        <v>5675</v>
      </c>
      <c r="F131" s="28" t="s">
        <v>5630</v>
      </c>
      <c r="G131" s="28" t="s">
        <v>5669</v>
      </c>
      <c r="H131" s="27" t="s">
        <v>5670</v>
      </c>
      <c r="I131" s="28" t="s">
        <v>5671</v>
      </c>
      <c r="J131" s="27"/>
    </row>
    <row r="132" customFormat="false" ht="15" hidden="false" customHeight="true" outlineLevel="0" collapsed="false">
      <c r="A132" s="27" t="s">
        <v>1214</v>
      </c>
      <c r="B132" s="27" t="s">
        <v>458</v>
      </c>
      <c r="C132" s="28" t="s">
        <v>1215</v>
      </c>
      <c r="D132" s="28" t="s">
        <v>5667</v>
      </c>
      <c r="E132" s="28" t="s">
        <v>5668</v>
      </c>
      <c r="F132" s="28" t="s">
        <v>5630</v>
      </c>
      <c r="G132" s="28" t="s">
        <v>5669</v>
      </c>
      <c r="H132" s="27" t="s">
        <v>5670</v>
      </c>
      <c r="I132" s="28" t="s">
        <v>5671</v>
      </c>
      <c r="J132" s="27"/>
    </row>
    <row r="133" customFormat="false" ht="15" hidden="false" customHeight="true" outlineLevel="0" collapsed="false">
      <c r="A133" s="27" t="s">
        <v>1216</v>
      </c>
      <c r="B133" s="27" t="s">
        <v>458</v>
      </c>
      <c r="C133" s="28" t="s">
        <v>1217</v>
      </c>
      <c r="D133" s="28" t="s">
        <v>5674</v>
      </c>
      <c r="E133" s="28" t="s">
        <v>5675</v>
      </c>
      <c r="F133" s="28" t="s">
        <v>5630</v>
      </c>
      <c r="G133" s="28" t="s">
        <v>5669</v>
      </c>
      <c r="H133" s="27" t="s">
        <v>5670</v>
      </c>
      <c r="I133" s="28" t="s">
        <v>5671</v>
      </c>
      <c r="J133" s="27"/>
    </row>
    <row r="134" customFormat="false" ht="15" hidden="false" customHeight="true" outlineLevel="0" collapsed="false">
      <c r="A134" s="27" t="s">
        <v>1219</v>
      </c>
      <c r="B134" s="27" t="s">
        <v>458</v>
      </c>
      <c r="C134" s="28" t="s">
        <v>1220</v>
      </c>
      <c r="D134" s="28" t="s">
        <v>5667</v>
      </c>
      <c r="E134" s="28" t="s">
        <v>5668</v>
      </c>
      <c r="F134" s="28" t="s">
        <v>5630</v>
      </c>
      <c r="G134" s="28" t="s">
        <v>5669</v>
      </c>
      <c r="H134" s="27" t="s">
        <v>5670</v>
      </c>
      <c r="I134" s="28" t="s">
        <v>5671</v>
      </c>
      <c r="J134" s="27"/>
    </row>
    <row r="135" customFormat="false" ht="15" hidden="false" customHeight="true" outlineLevel="0" collapsed="false">
      <c r="A135" s="27" t="s">
        <v>1221</v>
      </c>
      <c r="B135" s="27" t="s">
        <v>458</v>
      </c>
      <c r="C135" s="28" t="s">
        <v>1222</v>
      </c>
      <c r="D135" s="28" t="s">
        <v>5667</v>
      </c>
      <c r="E135" s="28" t="s">
        <v>5668</v>
      </c>
      <c r="F135" s="28" t="s">
        <v>5630</v>
      </c>
      <c r="G135" s="28" t="s">
        <v>5669</v>
      </c>
      <c r="H135" s="27" t="s">
        <v>5670</v>
      </c>
      <c r="I135" s="28" t="s">
        <v>5671</v>
      </c>
      <c r="J135" s="27"/>
    </row>
    <row r="136" customFormat="false" ht="15" hidden="false" customHeight="true" outlineLevel="0" collapsed="false">
      <c r="A136" s="27" t="s">
        <v>1223</v>
      </c>
      <c r="B136" s="27" t="s">
        <v>458</v>
      </c>
      <c r="C136" s="28" t="s">
        <v>1224</v>
      </c>
      <c r="D136" s="28" t="s">
        <v>5667</v>
      </c>
      <c r="E136" s="28" t="s">
        <v>5668</v>
      </c>
      <c r="F136" s="28" t="s">
        <v>5630</v>
      </c>
      <c r="G136" s="28" t="s">
        <v>5669</v>
      </c>
      <c r="H136" s="27" t="s">
        <v>5670</v>
      </c>
      <c r="I136" s="28" t="s">
        <v>5671</v>
      </c>
      <c r="J136" s="27"/>
    </row>
    <row r="137" customFormat="false" ht="15" hidden="false" customHeight="true" outlineLevel="0" collapsed="false">
      <c r="A137" s="27" t="s">
        <v>1232</v>
      </c>
      <c r="B137" s="27" t="s">
        <v>458</v>
      </c>
      <c r="C137" s="28" t="s">
        <v>1233</v>
      </c>
      <c r="D137" s="28" t="s">
        <v>5667</v>
      </c>
      <c r="E137" s="28" t="s">
        <v>5668</v>
      </c>
      <c r="F137" s="28" t="s">
        <v>5630</v>
      </c>
      <c r="G137" s="28" t="s">
        <v>5669</v>
      </c>
      <c r="H137" s="27" t="s">
        <v>5670</v>
      </c>
      <c r="I137" s="28" t="s">
        <v>5671</v>
      </c>
      <c r="J137" s="27"/>
    </row>
    <row r="138" customFormat="false" ht="15" hidden="false" customHeight="true" outlineLevel="0" collapsed="false">
      <c r="A138" s="27" t="s">
        <v>1234</v>
      </c>
      <c r="B138" s="27" t="s">
        <v>458</v>
      </c>
      <c r="C138" s="28" t="s">
        <v>1235</v>
      </c>
      <c r="D138" s="28" t="s">
        <v>5682</v>
      </c>
      <c r="E138" s="28" t="s">
        <v>5683</v>
      </c>
      <c r="F138" s="28" t="s">
        <v>5640</v>
      </c>
      <c r="G138" s="28" t="s">
        <v>5669</v>
      </c>
      <c r="H138" s="27" t="s">
        <v>5670</v>
      </c>
      <c r="I138" s="28" t="s">
        <v>5671</v>
      </c>
      <c r="J138" s="27"/>
    </row>
    <row r="139" customFormat="false" ht="15" hidden="false" customHeight="true" outlineLevel="0" collapsed="false">
      <c r="A139" s="27" t="s">
        <v>1236</v>
      </c>
      <c r="B139" s="27" t="s">
        <v>458</v>
      </c>
      <c r="C139" s="28" t="s">
        <v>1237</v>
      </c>
      <c r="D139" s="28" t="s">
        <v>5682</v>
      </c>
      <c r="E139" s="28" t="s">
        <v>5683</v>
      </c>
      <c r="F139" s="28" t="s">
        <v>5640</v>
      </c>
      <c r="G139" s="28" t="s">
        <v>5669</v>
      </c>
      <c r="H139" s="27" t="s">
        <v>5670</v>
      </c>
      <c r="I139" s="28" t="s">
        <v>5671</v>
      </c>
      <c r="J139" s="27"/>
    </row>
    <row r="140" customFormat="false" ht="15" hidden="false" customHeight="true" outlineLevel="0" collapsed="false">
      <c r="A140" s="27" t="s">
        <v>1238</v>
      </c>
      <c r="B140" s="27" t="s">
        <v>458</v>
      </c>
      <c r="C140" s="28" t="s">
        <v>1239</v>
      </c>
      <c r="D140" s="28" t="s">
        <v>5682</v>
      </c>
      <c r="E140" s="28" t="s">
        <v>5683</v>
      </c>
      <c r="F140" s="28" t="s">
        <v>5640</v>
      </c>
      <c r="G140" s="28" t="s">
        <v>5669</v>
      </c>
      <c r="H140" s="27" t="s">
        <v>5670</v>
      </c>
      <c r="I140" s="28" t="s">
        <v>5671</v>
      </c>
      <c r="J140" s="27"/>
    </row>
    <row r="141" customFormat="false" ht="15" hidden="false" customHeight="true" outlineLevel="0" collapsed="false">
      <c r="A141" s="27" t="s">
        <v>1240</v>
      </c>
      <c r="B141" s="27" t="s">
        <v>458</v>
      </c>
      <c r="C141" s="28" t="s">
        <v>1241</v>
      </c>
      <c r="D141" s="28" t="s">
        <v>5667</v>
      </c>
      <c r="E141" s="28" t="s">
        <v>5668</v>
      </c>
      <c r="F141" s="28" t="s">
        <v>5630</v>
      </c>
      <c r="G141" s="28" t="s">
        <v>5669</v>
      </c>
      <c r="H141" s="27" t="s">
        <v>5670</v>
      </c>
      <c r="I141" s="28" t="s">
        <v>5671</v>
      </c>
      <c r="J141" s="27"/>
    </row>
    <row r="142" customFormat="false" ht="15" hidden="false" customHeight="true" outlineLevel="0" collapsed="false">
      <c r="A142" s="27" t="s">
        <v>1244</v>
      </c>
      <c r="B142" s="27" t="s">
        <v>458</v>
      </c>
      <c r="C142" s="28" t="s">
        <v>1245</v>
      </c>
      <c r="D142" s="28" t="s">
        <v>5682</v>
      </c>
      <c r="E142" s="28" t="s">
        <v>5683</v>
      </c>
      <c r="F142" s="28" t="s">
        <v>5640</v>
      </c>
      <c r="G142" s="28" t="s">
        <v>5669</v>
      </c>
      <c r="H142" s="27" t="s">
        <v>5670</v>
      </c>
      <c r="I142" s="28" t="s">
        <v>5671</v>
      </c>
      <c r="J142" s="27"/>
    </row>
    <row r="143" customFormat="false" ht="15" hidden="false" customHeight="true" outlineLevel="0" collapsed="false">
      <c r="A143" s="27" t="s">
        <v>1248</v>
      </c>
      <c r="B143" s="27" t="s">
        <v>458</v>
      </c>
      <c r="C143" s="28" t="s">
        <v>1249</v>
      </c>
      <c r="D143" s="28" t="s">
        <v>5674</v>
      </c>
      <c r="E143" s="28" t="s">
        <v>5675</v>
      </c>
      <c r="F143" s="28" t="s">
        <v>5630</v>
      </c>
      <c r="G143" s="28" t="s">
        <v>5669</v>
      </c>
      <c r="H143" s="27" t="s">
        <v>5670</v>
      </c>
      <c r="I143" s="28" t="s">
        <v>5671</v>
      </c>
      <c r="J143" s="27"/>
    </row>
    <row r="144" customFormat="false" ht="15" hidden="false" customHeight="true" outlineLevel="0" collapsed="false">
      <c r="A144" s="27" t="s">
        <v>1250</v>
      </c>
      <c r="B144" s="27" t="s">
        <v>458</v>
      </c>
      <c r="C144" s="28" t="s">
        <v>1251</v>
      </c>
      <c r="D144" s="28" t="s">
        <v>5682</v>
      </c>
      <c r="E144" s="28" t="s">
        <v>5683</v>
      </c>
      <c r="F144" s="28" t="s">
        <v>5640</v>
      </c>
      <c r="G144" s="28" t="s">
        <v>5669</v>
      </c>
      <c r="H144" s="27" t="s">
        <v>5670</v>
      </c>
      <c r="I144" s="28" t="s">
        <v>5671</v>
      </c>
      <c r="J144" s="27"/>
    </row>
    <row r="145" customFormat="false" ht="15" hidden="false" customHeight="true" outlineLevel="0" collapsed="false">
      <c r="A145" s="27" t="s">
        <v>1252</v>
      </c>
      <c r="B145" s="27" t="s">
        <v>458</v>
      </c>
      <c r="C145" s="28" t="s">
        <v>1253</v>
      </c>
      <c r="D145" s="28" t="s">
        <v>5692</v>
      </c>
      <c r="E145" s="28" t="s">
        <v>5693</v>
      </c>
      <c r="F145" s="28" t="s">
        <v>5640</v>
      </c>
      <c r="G145" s="28" t="s">
        <v>5669</v>
      </c>
      <c r="H145" s="27" t="s">
        <v>5670</v>
      </c>
      <c r="I145" s="28" t="s">
        <v>5671</v>
      </c>
      <c r="J145" s="27"/>
    </row>
    <row r="146" customFormat="false" ht="15" hidden="false" customHeight="true" outlineLevel="0" collapsed="false">
      <c r="A146" s="27" t="s">
        <v>1255</v>
      </c>
      <c r="B146" s="27" t="s">
        <v>458</v>
      </c>
      <c r="C146" s="28" t="s">
        <v>1256</v>
      </c>
      <c r="D146" s="28" t="s">
        <v>5680</v>
      </c>
      <c r="E146" s="28" t="s">
        <v>5681</v>
      </c>
      <c r="F146" s="28" t="s">
        <v>5640</v>
      </c>
      <c r="G146" s="28" t="s">
        <v>5669</v>
      </c>
      <c r="H146" s="27" t="s">
        <v>5670</v>
      </c>
      <c r="I146" s="28" t="s">
        <v>5671</v>
      </c>
      <c r="J146" s="27"/>
    </row>
    <row r="147" customFormat="false" ht="15" hidden="false" customHeight="true" outlineLevel="0" collapsed="false">
      <c r="A147" s="27" t="s">
        <v>1262</v>
      </c>
      <c r="B147" s="27" t="s">
        <v>465</v>
      </c>
      <c r="C147" s="28" t="s">
        <v>1263</v>
      </c>
      <c r="D147" s="28" t="s">
        <v>5694</v>
      </c>
      <c r="E147" s="28" t="s">
        <v>5695</v>
      </c>
      <c r="F147" s="28" t="s">
        <v>5640</v>
      </c>
      <c r="G147" s="28" t="s">
        <v>5696</v>
      </c>
      <c r="H147" s="27" t="s">
        <v>5670</v>
      </c>
      <c r="I147" s="28" t="s">
        <v>5697</v>
      </c>
      <c r="J147" s="27"/>
    </row>
    <row r="148" customFormat="false" ht="15" hidden="false" customHeight="true" outlineLevel="0" collapsed="false">
      <c r="A148" s="27" t="s">
        <v>1266</v>
      </c>
      <c r="B148" s="27" t="s">
        <v>465</v>
      </c>
      <c r="C148" s="28" t="s">
        <v>1267</v>
      </c>
      <c r="D148" s="28" t="s">
        <v>5694</v>
      </c>
      <c r="E148" s="28" t="s">
        <v>5695</v>
      </c>
      <c r="F148" s="28" t="s">
        <v>5640</v>
      </c>
      <c r="G148" s="28" t="s">
        <v>5696</v>
      </c>
      <c r="H148" s="27" t="s">
        <v>5670</v>
      </c>
      <c r="I148" s="28" t="s">
        <v>5697</v>
      </c>
      <c r="J148" s="27"/>
    </row>
    <row r="149" customFormat="false" ht="15" hidden="false" customHeight="true" outlineLevel="0" collapsed="false">
      <c r="A149" s="27" t="s">
        <v>1268</v>
      </c>
      <c r="B149" s="27" t="s">
        <v>465</v>
      </c>
      <c r="C149" s="28" t="s">
        <v>1269</v>
      </c>
      <c r="D149" s="28" t="s">
        <v>5694</v>
      </c>
      <c r="E149" s="28" t="s">
        <v>5695</v>
      </c>
      <c r="F149" s="28" t="s">
        <v>5640</v>
      </c>
      <c r="G149" s="28" t="s">
        <v>5696</v>
      </c>
      <c r="H149" s="27" t="s">
        <v>5670</v>
      </c>
      <c r="I149" s="28" t="s">
        <v>5697</v>
      </c>
      <c r="J149" s="27"/>
    </row>
    <row r="150" customFormat="false" ht="15" hidden="false" customHeight="true" outlineLevel="0" collapsed="false">
      <c r="A150" s="27" t="s">
        <v>1271</v>
      </c>
      <c r="B150" s="27" t="s">
        <v>465</v>
      </c>
      <c r="C150" s="28" t="s">
        <v>1272</v>
      </c>
      <c r="D150" s="28" t="s">
        <v>5679</v>
      </c>
      <c r="E150" s="28" t="s">
        <v>5656</v>
      </c>
      <c r="F150" s="28" t="s">
        <v>5640</v>
      </c>
      <c r="G150" s="28" t="s">
        <v>5696</v>
      </c>
      <c r="H150" s="27" t="s">
        <v>5670</v>
      </c>
      <c r="I150" s="28" t="s">
        <v>5697</v>
      </c>
      <c r="J150" s="27"/>
    </row>
    <row r="151" customFormat="false" ht="15" hidden="false" customHeight="true" outlineLevel="0" collapsed="false">
      <c r="A151" s="27" t="s">
        <v>1273</v>
      </c>
      <c r="B151" s="27" t="s">
        <v>465</v>
      </c>
      <c r="C151" s="28" t="s">
        <v>1274</v>
      </c>
      <c r="D151" s="28" t="s">
        <v>5679</v>
      </c>
      <c r="E151" s="28" t="s">
        <v>5656</v>
      </c>
      <c r="F151" s="28" t="s">
        <v>5640</v>
      </c>
      <c r="G151" s="28" t="s">
        <v>5696</v>
      </c>
      <c r="H151" s="27" t="s">
        <v>5670</v>
      </c>
      <c r="I151" s="28" t="s">
        <v>5697</v>
      </c>
      <c r="J151" s="27"/>
    </row>
    <row r="152" customFormat="false" ht="15" hidden="false" customHeight="true" outlineLevel="0" collapsed="false">
      <c r="A152" s="27" t="s">
        <v>1275</v>
      </c>
      <c r="B152" s="27" t="s">
        <v>465</v>
      </c>
      <c r="C152" s="28" t="s">
        <v>1276</v>
      </c>
      <c r="D152" s="28" t="s">
        <v>5635</v>
      </c>
      <c r="E152" s="28" t="s">
        <v>5636</v>
      </c>
      <c r="F152" s="28" t="s">
        <v>5640</v>
      </c>
      <c r="G152" s="28" t="s">
        <v>5696</v>
      </c>
      <c r="H152" s="27" t="s">
        <v>5670</v>
      </c>
      <c r="I152" s="28" t="s">
        <v>5697</v>
      </c>
      <c r="J152" s="27"/>
    </row>
    <row r="153" customFormat="false" ht="15" hidden="false" customHeight="true" outlineLevel="0" collapsed="false">
      <c r="A153" s="27" t="s">
        <v>1279</v>
      </c>
      <c r="B153" s="27" t="s">
        <v>465</v>
      </c>
      <c r="C153" s="28" t="s">
        <v>1280</v>
      </c>
      <c r="D153" s="28" t="s">
        <v>5679</v>
      </c>
      <c r="E153" s="28" t="s">
        <v>5656</v>
      </c>
      <c r="F153" s="28" t="s">
        <v>5640</v>
      </c>
      <c r="G153" s="28" t="s">
        <v>5696</v>
      </c>
      <c r="H153" s="27" t="s">
        <v>5670</v>
      </c>
      <c r="I153" s="28" t="s">
        <v>5697</v>
      </c>
      <c r="J153" s="27"/>
    </row>
    <row r="154" customFormat="false" ht="15" hidden="false" customHeight="true" outlineLevel="0" collapsed="false">
      <c r="A154" s="27" t="s">
        <v>1282</v>
      </c>
      <c r="B154" s="27" t="s">
        <v>465</v>
      </c>
      <c r="C154" s="27" t="s">
        <v>1283</v>
      </c>
      <c r="D154" s="28" t="s">
        <v>5679</v>
      </c>
      <c r="E154" s="28" t="s">
        <v>5656</v>
      </c>
      <c r="F154" s="28" t="s">
        <v>5640</v>
      </c>
      <c r="G154" s="28" t="s">
        <v>5696</v>
      </c>
      <c r="H154" s="27" t="s">
        <v>5670</v>
      </c>
      <c r="I154" s="28" t="s">
        <v>5697</v>
      </c>
      <c r="J154" s="27"/>
    </row>
    <row r="155" customFormat="false" ht="15" hidden="false" customHeight="true" outlineLevel="0" collapsed="false">
      <c r="A155" s="27" t="s">
        <v>1286</v>
      </c>
      <c r="B155" s="27" t="s">
        <v>465</v>
      </c>
      <c r="C155" s="28" t="s">
        <v>1287</v>
      </c>
      <c r="D155" s="28" t="s">
        <v>5698</v>
      </c>
      <c r="E155" s="28" t="s">
        <v>5686</v>
      </c>
      <c r="F155" s="28" t="s">
        <v>5640</v>
      </c>
      <c r="G155" s="28" t="s">
        <v>5696</v>
      </c>
      <c r="H155" s="27" t="s">
        <v>5670</v>
      </c>
      <c r="I155" s="28" t="s">
        <v>5697</v>
      </c>
      <c r="J155" s="27"/>
    </row>
    <row r="156" customFormat="false" ht="15" hidden="false" customHeight="true" outlineLevel="0" collapsed="false">
      <c r="A156" s="27" t="s">
        <v>1290</v>
      </c>
      <c r="B156" s="27" t="s">
        <v>465</v>
      </c>
      <c r="C156" s="28" t="s">
        <v>1291</v>
      </c>
      <c r="D156" s="28" t="s">
        <v>5699</v>
      </c>
      <c r="E156" s="28" t="s">
        <v>5700</v>
      </c>
      <c r="F156" s="28" t="s">
        <v>5640</v>
      </c>
      <c r="G156" s="28" t="s">
        <v>5696</v>
      </c>
      <c r="H156" s="27" t="s">
        <v>5670</v>
      </c>
      <c r="I156" s="28" t="s">
        <v>5697</v>
      </c>
      <c r="J156" s="27"/>
    </row>
    <row r="157" customFormat="false" ht="15" hidden="false" customHeight="true" outlineLevel="0" collapsed="false">
      <c r="A157" s="27" t="s">
        <v>1293</v>
      </c>
      <c r="B157" s="27" t="s">
        <v>465</v>
      </c>
      <c r="C157" s="28" t="s">
        <v>1294</v>
      </c>
      <c r="D157" s="28" t="s">
        <v>5701</v>
      </c>
      <c r="E157" s="28" t="s">
        <v>5702</v>
      </c>
      <c r="F157" s="28" t="s">
        <v>5640</v>
      </c>
      <c r="G157" s="28" t="s">
        <v>5696</v>
      </c>
      <c r="H157" s="27" t="s">
        <v>5670</v>
      </c>
      <c r="I157" s="28" t="s">
        <v>5697</v>
      </c>
      <c r="J157" s="27"/>
    </row>
    <row r="158" customFormat="false" ht="15" hidden="false" customHeight="true" outlineLevel="0" collapsed="false">
      <c r="A158" s="27" t="s">
        <v>1297</v>
      </c>
      <c r="B158" s="27" t="s">
        <v>465</v>
      </c>
      <c r="C158" s="28" t="s">
        <v>1298</v>
      </c>
      <c r="D158" s="28" t="s">
        <v>5699</v>
      </c>
      <c r="E158" s="28" t="s">
        <v>5700</v>
      </c>
      <c r="F158" s="28" t="s">
        <v>5640</v>
      </c>
      <c r="G158" s="28" t="s">
        <v>5696</v>
      </c>
      <c r="H158" s="27" t="s">
        <v>5670</v>
      </c>
      <c r="I158" s="28" t="s">
        <v>5697</v>
      </c>
      <c r="J158" s="27"/>
    </row>
    <row r="159" customFormat="false" ht="15" hidden="false" customHeight="true" outlineLevel="0" collapsed="false">
      <c r="A159" s="27" t="s">
        <v>1300</v>
      </c>
      <c r="B159" s="27" t="s">
        <v>465</v>
      </c>
      <c r="C159" s="28" t="s">
        <v>1301</v>
      </c>
      <c r="D159" s="28" t="s">
        <v>5703</v>
      </c>
      <c r="E159" s="28" t="s">
        <v>5704</v>
      </c>
      <c r="F159" s="28" t="s">
        <v>5630</v>
      </c>
      <c r="G159" s="28" t="s">
        <v>5696</v>
      </c>
      <c r="H159" s="27" t="s">
        <v>5670</v>
      </c>
      <c r="I159" s="28" t="s">
        <v>5697</v>
      </c>
      <c r="J159" s="27"/>
    </row>
    <row r="160" customFormat="false" ht="15" hidden="false" customHeight="true" outlineLevel="0" collapsed="false">
      <c r="A160" s="27" t="s">
        <v>1303</v>
      </c>
      <c r="B160" s="27" t="s">
        <v>465</v>
      </c>
      <c r="C160" s="28" t="s">
        <v>1304</v>
      </c>
      <c r="D160" s="28" t="s">
        <v>5703</v>
      </c>
      <c r="E160" s="28" t="s">
        <v>5704</v>
      </c>
      <c r="F160" s="28" t="s">
        <v>5630</v>
      </c>
      <c r="G160" s="28" t="s">
        <v>5696</v>
      </c>
      <c r="H160" s="27" t="s">
        <v>5670</v>
      </c>
      <c r="I160" s="28" t="s">
        <v>5697</v>
      </c>
      <c r="J160" s="27"/>
    </row>
    <row r="161" customFormat="false" ht="15" hidden="false" customHeight="true" outlineLevel="0" collapsed="false">
      <c r="A161" s="27" t="s">
        <v>1306</v>
      </c>
      <c r="B161" s="27" t="s">
        <v>465</v>
      </c>
      <c r="C161" s="28" t="s">
        <v>1307</v>
      </c>
      <c r="D161" s="28" t="s">
        <v>5692</v>
      </c>
      <c r="E161" s="28" t="s">
        <v>5693</v>
      </c>
      <c r="F161" s="28" t="s">
        <v>5640</v>
      </c>
      <c r="G161" s="28" t="s">
        <v>5696</v>
      </c>
      <c r="H161" s="27" t="s">
        <v>5670</v>
      </c>
      <c r="I161" s="28" t="s">
        <v>5697</v>
      </c>
      <c r="J161" s="27"/>
    </row>
    <row r="162" customFormat="false" ht="15" hidden="false" customHeight="true" outlineLevel="0" collapsed="false">
      <c r="A162" s="27" t="s">
        <v>1310</v>
      </c>
      <c r="B162" s="27" t="s">
        <v>465</v>
      </c>
      <c r="C162" s="27" t="s">
        <v>1311</v>
      </c>
      <c r="D162" s="28" t="s">
        <v>5667</v>
      </c>
      <c r="E162" s="28" t="s">
        <v>5668</v>
      </c>
      <c r="F162" s="28" t="s">
        <v>5640</v>
      </c>
      <c r="G162" s="28" t="s">
        <v>5696</v>
      </c>
      <c r="H162" s="27" t="s">
        <v>5670</v>
      </c>
      <c r="I162" s="28" t="s">
        <v>5697</v>
      </c>
      <c r="J162" s="27"/>
    </row>
    <row r="163" customFormat="false" ht="15" hidden="false" customHeight="true" outlineLevel="0" collapsed="false">
      <c r="A163" s="27" t="s">
        <v>1325</v>
      </c>
      <c r="B163" s="27" t="s">
        <v>471</v>
      </c>
      <c r="C163" s="28" t="s">
        <v>1326</v>
      </c>
      <c r="D163" s="28" t="s">
        <v>5705</v>
      </c>
      <c r="E163" s="28" t="s">
        <v>5639</v>
      </c>
      <c r="F163" s="28" t="s">
        <v>5640</v>
      </c>
      <c r="G163" s="28" t="s">
        <v>5706</v>
      </c>
      <c r="H163" s="27" t="s">
        <v>5707</v>
      </c>
      <c r="I163" s="28" t="s">
        <v>5697</v>
      </c>
      <c r="J163" s="27"/>
    </row>
    <row r="164" customFormat="false" ht="15" hidden="false" customHeight="true" outlineLevel="0" collapsed="false">
      <c r="A164" s="27" t="s">
        <v>1328</v>
      </c>
      <c r="B164" s="27" t="s">
        <v>471</v>
      </c>
      <c r="C164" s="28" t="s">
        <v>1329</v>
      </c>
      <c r="D164" s="28" t="s">
        <v>5705</v>
      </c>
      <c r="E164" s="28" t="s">
        <v>5639</v>
      </c>
      <c r="F164" s="28" t="s">
        <v>5640</v>
      </c>
      <c r="G164" s="28" t="s">
        <v>5706</v>
      </c>
      <c r="H164" s="27" t="s">
        <v>5707</v>
      </c>
      <c r="I164" s="28" t="s">
        <v>5697</v>
      </c>
      <c r="J164" s="27"/>
    </row>
    <row r="165" customFormat="false" ht="15" hidden="false" customHeight="true" outlineLevel="0" collapsed="false">
      <c r="A165" s="27" t="s">
        <v>1330</v>
      </c>
      <c r="B165" s="27" t="s">
        <v>471</v>
      </c>
      <c r="C165" s="28" t="s">
        <v>1331</v>
      </c>
      <c r="D165" s="28" t="s">
        <v>5679</v>
      </c>
      <c r="E165" s="28" t="s">
        <v>5656</v>
      </c>
      <c r="F165" s="28" t="s">
        <v>5640</v>
      </c>
      <c r="G165" s="28" t="s">
        <v>5706</v>
      </c>
      <c r="H165" s="27" t="s">
        <v>5707</v>
      </c>
      <c r="I165" s="28" t="s">
        <v>5697</v>
      </c>
      <c r="J165" s="27"/>
    </row>
    <row r="166" customFormat="false" ht="15" hidden="false" customHeight="true" outlineLevel="0" collapsed="false">
      <c r="A166" s="27" t="s">
        <v>1333</v>
      </c>
      <c r="B166" s="27" t="s">
        <v>471</v>
      </c>
      <c r="C166" s="28" t="s">
        <v>1334</v>
      </c>
      <c r="D166" s="28" t="s">
        <v>5708</v>
      </c>
      <c r="E166" s="28" t="s">
        <v>5639</v>
      </c>
      <c r="F166" s="28" t="s">
        <v>5640</v>
      </c>
      <c r="G166" s="28" t="s">
        <v>5706</v>
      </c>
      <c r="H166" s="27" t="s">
        <v>5707</v>
      </c>
      <c r="I166" s="28" t="s">
        <v>5697</v>
      </c>
      <c r="J166" s="27"/>
    </row>
    <row r="167" customFormat="false" ht="15" hidden="false" customHeight="true" outlineLevel="0" collapsed="false">
      <c r="A167" s="27" t="s">
        <v>1336</v>
      </c>
      <c r="B167" s="27" t="s">
        <v>471</v>
      </c>
      <c r="C167" s="28" t="s">
        <v>1337</v>
      </c>
      <c r="D167" s="28" t="s">
        <v>5705</v>
      </c>
      <c r="E167" s="28" t="s">
        <v>5639</v>
      </c>
      <c r="F167" s="28" t="s">
        <v>5640</v>
      </c>
      <c r="G167" s="28" t="s">
        <v>5706</v>
      </c>
      <c r="H167" s="27" t="s">
        <v>5707</v>
      </c>
      <c r="I167" s="28" t="s">
        <v>5697</v>
      </c>
      <c r="J167" s="27"/>
    </row>
    <row r="168" customFormat="false" ht="15" hidden="false" customHeight="true" outlineLevel="0" collapsed="false">
      <c r="A168" s="27" t="s">
        <v>1339</v>
      </c>
      <c r="B168" s="27" t="s">
        <v>471</v>
      </c>
      <c r="C168" s="28" t="s">
        <v>1340</v>
      </c>
      <c r="D168" s="28" t="s">
        <v>5705</v>
      </c>
      <c r="E168" s="28" t="s">
        <v>5639</v>
      </c>
      <c r="F168" s="28" t="s">
        <v>5640</v>
      </c>
      <c r="G168" s="28" t="s">
        <v>5706</v>
      </c>
      <c r="H168" s="27" t="s">
        <v>5707</v>
      </c>
      <c r="I168" s="28" t="s">
        <v>5697</v>
      </c>
      <c r="J168" s="27"/>
    </row>
    <row r="169" customFormat="false" ht="15" hidden="false" customHeight="true" outlineLevel="0" collapsed="false">
      <c r="A169" s="27" t="s">
        <v>1342</v>
      </c>
      <c r="B169" s="27" t="s">
        <v>471</v>
      </c>
      <c r="C169" s="28" t="s">
        <v>1343</v>
      </c>
      <c r="D169" s="28" t="s">
        <v>5705</v>
      </c>
      <c r="E169" s="28" t="s">
        <v>5639</v>
      </c>
      <c r="F169" s="28" t="s">
        <v>5640</v>
      </c>
      <c r="G169" s="28" t="s">
        <v>5706</v>
      </c>
      <c r="H169" s="27" t="s">
        <v>5707</v>
      </c>
      <c r="I169" s="28" t="s">
        <v>5697</v>
      </c>
      <c r="J169" s="27"/>
    </row>
    <row r="170" customFormat="false" ht="15" hidden="false" customHeight="true" outlineLevel="0" collapsed="false">
      <c r="A170" s="27" t="s">
        <v>1345</v>
      </c>
      <c r="B170" s="27" t="s">
        <v>471</v>
      </c>
      <c r="C170" s="28" t="s">
        <v>1346</v>
      </c>
      <c r="D170" s="28" t="s">
        <v>5705</v>
      </c>
      <c r="E170" s="28" t="s">
        <v>5639</v>
      </c>
      <c r="F170" s="28" t="s">
        <v>5640</v>
      </c>
      <c r="G170" s="28" t="s">
        <v>5706</v>
      </c>
      <c r="H170" s="27" t="s">
        <v>5707</v>
      </c>
      <c r="I170" s="28" t="s">
        <v>5697</v>
      </c>
      <c r="J170" s="27"/>
    </row>
    <row r="171" customFormat="false" ht="15" hidden="false" customHeight="true" outlineLevel="0" collapsed="false">
      <c r="A171" s="27" t="s">
        <v>1348</v>
      </c>
      <c r="B171" s="27" t="s">
        <v>471</v>
      </c>
      <c r="C171" s="28" t="s">
        <v>1349</v>
      </c>
      <c r="D171" s="28" t="s">
        <v>5709</v>
      </c>
      <c r="E171" s="28" t="s">
        <v>5639</v>
      </c>
      <c r="F171" s="28" t="s">
        <v>5640</v>
      </c>
      <c r="G171" s="28" t="s">
        <v>5706</v>
      </c>
      <c r="H171" s="27" t="s">
        <v>5707</v>
      </c>
      <c r="I171" s="28" t="s">
        <v>5697</v>
      </c>
      <c r="J171" s="27"/>
    </row>
    <row r="172" customFormat="false" ht="15" hidden="false" customHeight="true" outlineLevel="0" collapsed="false">
      <c r="A172" s="27" t="s">
        <v>1351</v>
      </c>
      <c r="B172" s="27" t="s">
        <v>471</v>
      </c>
      <c r="C172" s="28" t="s">
        <v>1352</v>
      </c>
      <c r="D172" s="28" t="s">
        <v>5679</v>
      </c>
      <c r="E172" s="28" t="s">
        <v>5656</v>
      </c>
      <c r="F172" s="28" t="s">
        <v>5640</v>
      </c>
      <c r="G172" s="28" t="s">
        <v>5706</v>
      </c>
      <c r="H172" s="27" t="s">
        <v>5707</v>
      </c>
      <c r="I172" s="28" t="s">
        <v>5697</v>
      </c>
      <c r="J172" s="27"/>
    </row>
    <row r="173" customFormat="false" ht="15" hidden="false" customHeight="true" outlineLevel="0" collapsed="false">
      <c r="A173" s="27" t="s">
        <v>1353</v>
      </c>
      <c r="B173" s="27" t="s">
        <v>471</v>
      </c>
      <c r="C173" s="28" t="s">
        <v>1354</v>
      </c>
      <c r="D173" s="28" t="s">
        <v>5705</v>
      </c>
      <c r="E173" s="28" t="s">
        <v>5639</v>
      </c>
      <c r="F173" s="28" t="s">
        <v>5640</v>
      </c>
      <c r="G173" s="28" t="s">
        <v>5706</v>
      </c>
      <c r="H173" s="27" t="s">
        <v>5707</v>
      </c>
      <c r="I173" s="28" t="s">
        <v>5697</v>
      </c>
      <c r="J173" s="27"/>
    </row>
    <row r="174" customFormat="false" ht="15" hidden="false" customHeight="true" outlineLevel="0" collapsed="false">
      <c r="A174" s="27" t="s">
        <v>1355</v>
      </c>
      <c r="B174" s="27" t="s">
        <v>471</v>
      </c>
      <c r="C174" s="28" t="s">
        <v>1356</v>
      </c>
      <c r="D174" s="28" t="s">
        <v>5705</v>
      </c>
      <c r="E174" s="28" t="s">
        <v>5639</v>
      </c>
      <c r="F174" s="28" t="s">
        <v>5640</v>
      </c>
      <c r="G174" s="28" t="s">
        <v>5706</v>
      </c>
      <c r="H174" s="27" t="s">
        <v>5707</v>
      </c>
      <c r="I174" s="28" t="s">
        <v>5697</v>
      </c>
      <c r="J174" s="27"/>
    </row>
    <row r="175" customFormat="false" ht="15" hidden="false" customHeight="true" outlineLevel="0" collapsed="false">
      <c r="A175" s="27" t="s">
        <v>1358</v>
      </c>
      <c r="B175" s="27" t="s">
        <v>471</v>
      </c>
      <c r="C175" s="28" t="s">
        <v>1359</v>
      </c>
      <c r="D175" s="28" t="s">
        <v>5679</v>
      </c>
      <c r="E175" s="28" t="s">
        <v>5656</v>
      </c>
      <c r="F175" s="28" t="s">
        <v>5640</v>
      </c>
      <c r="G175" s="28" t="s">
        <v>5706</v>
      </c>
      <c r="H175" s="27" t="s">
        <v>5707</v>
      </c>
      <c r="I175" s="28" t="s">
        <v>5697</v>
      </c>
      <c r="J175" s="27"/>
    </row>
    <row r="176" customFormat="false" ht="15" hidden="false" customHeight="true" outlineLevel="0" collapsed="false">
      <c r="A176" s="27" t="s">
        <v>1361</v>
      </c>
      <c r="B176" s="27" t="s">
        <v>471</v>
      </c>
      <c r="C176" s="28" t="s">
        <v>1362</v>
      </c>
      <c r="D176" s="28" t="s">
        <v>5708</v>
      </c>
      <c r="E176" s="28" t="s">
        <v>5639</v>
      </c>
      <c r="F176" s="28" t="s">
        <v>5640</v>
      </c>
      <c r="G176" s="28" t="s">
        <v>5706</v>
      </c>
      <c r="H176" s="27" t="s">
        <v>5707</v>
      </c>
      <c r="I176" s="28" t="s">
        <v>5697</v>
      </c>
      <c r="J176" s="27"/>
    </row>
    <row r="177" customFormat="false" ht="15" hidden="false" customHeight="true" outlineLevel="0" collapsed="false">
      <c r="A177" s="27" t="s">
        <v>1363</v>
      </c>
      <c r="B177" s="27" t="s">
        <v>471</v>
      </c>
      <c r="C177" s="28" t="s">
        <v>1364</v>
      </c>
      <c r="D177" s="28" t="s">
        <v>5679</v>
      </c>
      <c r="E177" s="28" t="s">
        <v>5656</v>
      </c>
      <c r="F177" s="28" t="s">
        <v>5640</v>
      </c>
      <c r="G177" s="28" t="s">
        <v>5706</v>
      </c>
      <c r="H177" s="27" t="s">
        <v>5707</v>
      </c>
      <c r="I177" s="28" t="s">
        <v>5697</v>
      </c>
      <c r="J177" s="27"/>
    </row>
    <row r="178" customFormat="false" ht="15" hidden="false" customHeight="true" outlineLevel="0" collapsed="false">
      <c r="A178" s="27" t="s">
        <v>1366</v>
      </c>
      <c r="B178" s="27" t="s">
        <v>471</v>
      </c>
      <c r="C178" s="28" t="s">
        <v>1367</v>
      </c>
      <c r="D178" s="28" t="s">
        <v>5708</v>
      </c>
      <c r="E178" s="28" t="s">
        <v>5639</v>
      </c>
      <c r="F178" s="28" t="s">
        <v>5640</v>
      </c>
      <c r="G178" s="28" t="s">
        <v>5706</v>
      </c>
      <c r="H178" s="27" t="s">
        <v>5707</v>
      </c>
      <c r="I178" s="28" t="s">
        <v>5697</v>
      </c>
      <c r="J178" s="27"/>
    </row>
    <row r="179" customFormat="false" ht="15" hidden="false" customHeight="true" outlineLevel="0" collapsed="false">
      <c r="A179" s="27" t="s">
        <v>1369</v>
      </c>
      <c r="B179" s="27" t="s">
        <v>471</v>
      </c>
      <c r="C179" s="28" t="s">
        <v>1370</v>
      </c>
      <c r="D179" s="28" t="s">
        <v>5709</v>
      </c>
      <c r="E179" s="28" t="s">
        <v>5639</v>
      </c>
      <c r="F179" s="28" t="s">
        <v>5640</v>
      </c>
      <c r="G179" s="28" t="s">
        <v>5706</v>
      </c>
      <c r="H179" s="27" t="s">
        <v>5707</v>
      </c>
      <c r="I179" s="28" t="s">
        <v>5697</v>
      </c>
      <c r="J179" s="27"/>
    </row>
    <row r="180" customFormat="false" ht="15" hidden="false" customHeight="true" outlineLevel="0" collapsed="false">
      <c r="A180" s="27" t="s">
        <v>1371</v>
      </c>
      <c r="B180" s="27" t="s">
        <v>471</v>
      </c>
      <c r="C180" s="28" t="s">
        <v>1372</v>
      </c>
      <c r="D180" s="28" t="s">
        <v>5679</v>
      </c>
      <c r="E180" s="28" t="s">
        <v>5656</v>
      </c>
      <c r="F180" s="28" t="s">
        <v>5640</v>
      </c>
      <c r="G180" s="28" t="s">
        <v>5706</v>
      </c>
      <c r="H180" s="27" t="s">
        <v>5707</v>
      </c>
      <c r="I180" s="28" t="s">
        <v>5697</v>
      </c>
      <c r="J180" s="27"/>
    </row>
    <row r="181" customFormat="false" ht="15" hidden="false" customHeight="true" outlineLevel="0" collapsed="false">
      <c r="A181" s="27" t="s">
        <v>1374</v>
      </c>
      <c r="B181" s="27" t="s">
        <v>471</v>
      </c>
      <c r="C181" s="28" t="s">
        <v>1375</v>
      </c>
      <c r="D181" s="28" t="s">
        <v>5709</v>
      </c>
      <c r="E181" s="28" t="s">
        <v>5639</v>
      </c>
      <c r="F181" s="28" t="s">
        <v>5640</v>
      </c>
      <c r="G181" s="28" t="s">
        <v>5706</v>
      </c>
      <c r="H181" s="27" t="s">
        <v>5707</v>
      </c>
      <c r="I181" s="28" t="s">
        <v>5697</v>
      </c>
      <c r="J181" s="27"/>
    </row>
    <row r="182" customFormat="false" ht="15" hidden="false" customHeight="true" outlineLevel="0" collapsed="false">
      <c r="A182" s="27" t="s">
        <v>1376</v>
      </c>
      <c r="B182" s="27" t="s">
        <v>471</v>
      </c>
      <c r="C182" s="28" t="s">
        <v>1377</v>
      </c>
      <c r="D182" s="28" t="s">
        <v>5709</v>
      </c>
      <c r="E182" s="28" t="s">
        <v>5639</v>
      </c>
      <c r="F182" s="28" t="s">
        <v>5640</v>
      </c>
      <c r="G182" s="28" t="s">
        <v>5706</v>
      </c>
      <c r="H182" s="27" t="s">
        <v>5707</v>
      </c>
      <c r="I182" s="28" t="s">
        <v>5697</v>
      </c>
      <c r="J182" s="27"/>
    </row>
    <row r="183" customFormat="false" ht="15" hidden="false" customHeight="true" outlineLevel="0" collapsed="false">
      <c r="A183" s="27" t="s">
        <v>1378</v>
      </c>
      <c r="B183" s="27" t="s">
        <v>471</v>
      </c>
      <c r="C183" s="28" t="s">
        <v>1379</v>
      </c>
      <c r="D183" s="28" t="s">
        <v>5679</v>
      </c>
      <c r="E183" s="28" t="s">
        <v>5656</v>
      </c>
      <c r="F183" s="28" t="s">
        <v>5640</v>
      </c>
      <c r="G183" s="28" t="s">
        <v>5706</v>
      </c>
      <c r="H183" s="27" t="s">
        <v>5707</v>
      </c>
      <c r="I183" s="28" t="s">
        <v>5697</v>
      </c>
      <c r="J183" s="27"/>
    </row>
    <row r="184" customFormat="false" ht="15" hidden="false" customHeight="true" outlineLevel="0" collapsed="false">
      <c r="A184" s="27" t="s">
        <v>1381</v>
      </c>
      <c r="B184" s="27" t="s">
        <v>471</v>
      </c>
      <c r="C184" s="28" t="s">
        <v>1382</v>
      </c>
      <c r="D184" s="28" t="s">
        <v>5705</v>
      </c>
      <c r="E184" s="28" t="s">
        <v>5639</v>
      </c>
      <c r="F184" s="28" t="s">
        <v>5640</v>
      </c>
      <c r="G184" s="28" t="s">
        <v>5706</v>
      </c>
      <c r="H184" s="27" t="s">
        <v>5707</v>
      </c>
      <c r="I184" s="28" t="s">
        <v>5697</v>
      </c>
      <c r="J184" s="27"/>
    </row>
    <row r="185" customFormat="false" ht="15" hidden="false" customHeight="true" outlineLevel="0" collapsed="false">
      <c r="A185" s="27" t="s">
        <v>1383</v>
      </c>
      <c r="B185" s="27" t="s">
        <v>471</v>
      </c>
      <c r="C185" s="28" t="s">
        <v>1384</v>
      </c>
      <c r="D185" s="28" t="s">
        <v>5705</v>
      </c>
      <c r="E185" s="28" t="s">
        <v>5639</v>
      </c>
      <c r="F185" s="28" t="s">
        <v>5640</v>
      </c>
      <c r="G185" s="28" t="s">
        <v>5706</v>
      </c>
      <c r="H185" s="27" t="s">
        <v>5707</v>
      </c>
      <c r="I185" s="28" t="s">
        <v>5697</v>
      </c>
      <c r="J185" s="27"/>
    </row>
    <row r="186" customFormat="false" ht="15" hidden="false" customHeight="true" outlineLevel="0" collapsed="false">
      <c r="A186" s="27" t="s">
        <v>1385</v>
      </c>
      <c r="B186" s="27" t="s">
        <v>471</v>
      </c>
      <c r="C186" s="28" t="s">
        <v>1386</v>
      </c>
      <c r="D186" s="28" t="s">
        <v>5709</v>
      </c>
      <c r="E186" s="28" t="s">
        <v>5639</v>
      </c>
      <c r="F186" s="28" t="s">
        <v>5640</v>
      </c>
      <c r="G186" s="28" t="s">
        <v>5706</v>
      </c>
      <c r="H186" s="27" t="s">
        <v>5707</v>
      </c>
      <c r="I186" s="28" t="s">
        <v>5697</v>
      </c>
      <c r="J186" s="27"/>
    </row>
    <row r="187" customFormat="false" ht="15" hidden="false" customHeight="true" outlineLevel="0" collapsed="false">
      <c r="A187" s="27" t="s">
        <v>1387</v>
      </c>
      <c r="B187" s="27" t="s">
        <v>471</v>
      </c>
      <c r="C187" s="28" t="s">
        <v>1388</v>
      </c>
      <c r="D187" s="28" t="s">
        <v>5701</v>
      </c>
      <c r="E187" s="28" t="s">
        <v>5702</v>
      </c>
      <c r="F187" s="28" t="s">
        <v>5640</v>
      </c>
      <c r="G187" s="28" t="s">
        <v>5706</v>
      </c>
      <c r="H187" s="27" t="s">
        <v>5707</v>
      </c>
      <c r="I187" s="28" t="s">
        <v>5697</v>
      </c>
      <c r="J187" s="27"/>
    </row>
    <row r="188" customFormat="false" ht="15" hidden="false" customHeight="true" outlineLevel="0" collapsed="false">
      <c r="A188" s="27" t="s">
        <v>1389</v>
      </c>
      <c r="B188" s="27" t="s">
        <v>471</v>
      </c>
      <c r="C188" s="28" t="s">
        <v>1390</v>
      </c>
      <c r="D188" s="28" t="s">
        <v>5709</v>
      </c>
      <c r="E188" s="28" t="s">
        <v>5639</v>
      </c>
      <c r="F188" s="28" t="s">
        <v>5640</v>
      </c>
      <c r="G188" s="28" t="s">
        <v>5706</v>
      </c>
      <c r="H188" s="27" t="s">
        <v>5707</v>
      </c>
      <c r="I188" s="28" t="s">
        <v>5697</v>
      </c>
      <c r="J188" s="27"/>
    </row>
    <row r="189" customFormat="false" ht="15" hidden="false" customHeight="true" outlineLevel="0" collapsed="false">
      <c r="A189" s="27" t="s">
        <v>1391</v>
      </c>
      <c r="B189" s="27" t="s">
        <v>471</v>
      </c>
      <c r="C189" s="28" t="s">
        <v>1392</v>
      </c>
      <c r="D189" s="28" t="s">
        <v>5709</v>
      </c>
      <c r="E189" s="28" t="s">
        <v>5639</v>
      </c>
      <c r="F189" s="28" t="s">
        <v>5640</v>
      </c>
      <c r="G189" s="28" t="s">
        <v>5706</v>
      </c>
      <c r="H189" s="27" t="s">
        <v>5707</v>
      </c>
      <c r="I189" s="28" t="s">
        <v>5697</v>
      </c>
      <c r="J189" s="27"/>
    </row>
    <row r="190" customFormat="false" ht="15" hidden="false" customHeight="true" outlineLevel="0" collapsed="false">
      <c r="A190" s="27" t="s">
        <v>1394</v>
      </c>
      <c r="B190" s="27" t="s">
        <v>471</v>
      </c>
      <c r="C190" s="28" t="s">
        <v>1395</v>
      </c>
      <c r="D190" s="28" t="s">
        <v>5679</v>
      </c>
      <c r="E190" s="28" t="s">
        <v>5656</v>
      </c>
      <c r="F190" s="28" t="s">
        <v>5640</v>
      </c>
      <c r="G190" s="28" t="s">
        <v>5706</v>
      </c>
      <c r="H190" s="27" t="s">
        <v>5707</v>
      </c>
      <c r="I190" s="28" t="s">
        <v>5697</v>
      </c>
      <c r="J190" s="27"/>
    </row>
    <row r="191" customFormat="false" ht="15" hidden="false" customHeight="true" outlineLevel="0" collapsed="false">
      <c r="A191" s="27" t="s">
        <v>1396</v>
      </c>
      <c r="B191" s="27" t="s">
        <v>471</v>
      </c>
      <c r="C191" s="28" t="s">
        <v>1397</v>
      </c>
      <c r="D191" s="28" t="s">
        <v>5705</v>
      </c>
      <c r="E191" s="28" t="s">
        <v>5639</v>
      </c>
      <c r="F191" s="28" t="s">
        <v>5640</v>
      </c>
      <c r="G191" s="28" t="s">
        <v>5706</v>
      </c>
      <c r="H191" s="27" t="s">
        <v>5707</v>
      </c>
      <c r="I191" s="28" t="s">
        <v>5697</v>
      </c>
      <c r="J191" s="27"/>
    </row>
    <row r="192" customFormat="false" ht="15" hidden="false" customHeight="true" outlineLevel="0" collapsed="false">
      <c r="A192" s="27" t="s">
        <v>1398</v>
      </c>
      <c r="B192" s="27" t="s">
        <v>471</v>
      </c>
      <c r="C192" s="28" t="s">
        <v>1399</v>
      </c>
      <c r="D192" s="28" t="s">
        <v>5701</v>
      </c>
      <c r="E192" s="28" t="s">
        <v>5702</v>
      </c>
      <c r="F192" s="28" t="s">
        <v>5640</v>
      </c>
      <c r="G192" s="28" t="s">
        <v>5706</v>
      </c>
      <c r="H192" s="27" t="s">
        <v>5707</v>
      </c>
      <c r="I192" s="28" t="s">
        <v>5697</v>
      </c>
      <c r="J192" s="27"/>
    </row>
    <row r="193" customFormat="false" ht="15" hidden="false" customHeight="true" outlineLevel="0" collapsed="false">
      <c r="A193" s="27" t="s">
        <v>1400</v>
      </c>
      <c r="B193" s="27" t="s">
        <v>471</v>
      </c>
      <c r="C193" s="28" t="s">
        <v>1401</v>
      </c>
      <c r="D193" s="28" t="s">
        <v>5701</v>
      </c>
      <c r="E193" s="28" t="s">
        <v>5702</v>
      </c>
      <c r="F193" s="28" t="s">
        <v>5640</v>
      </c>
      <c r="G193" s="28" t="s">
        <v>5706</v>
      </c>
      <c r="H193" s="27" t="s">
        <v>5707</v>
      </c>
      <c r="I193" s="28" t="s">
        <v>5697</v>
      </c>
      <c r="J193" s="27"/>
    </row>
    <row r="194" customFormat="false" ht="15" hidden="false" customHeight="true" outlineLevel="0" collapsed="false">
      <c r="A194" s="27" t="s">
        <v>1402</v>
      </c>
      <c r="B194" s="27" t="s">
        <v>471</v>
      </c>
      <c r="C194" s="28" t="s">
        <v>1403</v>
      </c>
      <c r="D194" s="28" t="s">
        <v>5709</v>
      </c>
      <c r="E194" s="28" t="s">
        <v>5639</v>
      </c>
      <c r="F194" s="28" t="s">
        <v>5640</v>
      </c>
      <c r="G194" s="28" t="s">
        <v>5706</v>
      </c>
      <c r="H194" s="27" t="s">
        <v>5707</v>
      </c>
      <c r="I194" s="28" t="s">
        <v>5697</v>
      </c>
      <c r="J194" s="27"/>
    </row>
    <row r="195" customFormat="false" ht="15" hidden="false" customHeight="true" outlineLevel="0" collapsed="false">
      <c r="A195" s="27" t="s">
        <v>1404</v>
      </c>
      <c r="B195" s="27" t="s">
        <v>471</v>
      </c>
      <c r="C195" s="28" t="s">
        <v>1405</v>
      </c>
      <c r="D195" s="28" t="s">
        <v>5701</v>
      </c>
      <c r="E195" s="28" t="s">
        <v>5702</v>
      </c>
      <c r="F195" s="28" t="s">
        <v>5640</v>
      </c>
      <c r="G195" s="28" t="s">
        <v>5706</v>
      </c>
      <c r="H195" s="27" t="s">
        <v>5707</v>
      </c>
      <c r="I195" s="28" t="s">
        <v>5697</v>
      </c>
      <c r="J195" s="27"/>
    </row>
    <row r="196" customFormat="false" ht="15" hidden="false" customHeight="true" outlineLevel="0" collapsed="false">
      <c r="A196" s="27" t="s">
        <v>1406</v>
      </c>
      <c r="B196" s="27" t="s">
        <v>471</v>
      </c>
      <c r="C196" s="28" t="s">
        <v>1407</v>
      </c>
      <c r="D196" s="28" t="s">
        <v>5701</v>
      </c>
      <c r="E196" s="28" t="s">
        <v>5702</v>
      </c>
      <c r="F196" s="28" t="s">
        <v>5640</v>
      </c>
      <c r="G196" s="28" t="s">
        <v>5706</v>
      </c>
      <c r="H196" s="27" t="s">
        <v>5707</v>
      </c>
      <c r="I196" s="28" t="s">
        <v>5697</v>
      </c>
      <c r="J196" s="27"/>
    </row>
    <row r="197" customFormat="false" ht="15" hidden="false" customHeight="true" outlineLevel="0" collapsed="false">
      <c r="A197" s="27" t="s">
        <v>1408</v>
      </c>
      <c r="B197" s="27" t="s">
        <v>471</v>
      </c>
      <c r="C197" s="28" t="s">
        <v>1409</v>
      </c>
      <c r="D197" s="28" t="s">
        <v>5679</v>
      </c>
      <c r="E197" s="28" t="s">
        <v>5656</v>
      </c>
      <c r="F197" s="28" t="s">
        <v>5640</v>
      </c>
      <c r="G197" s="28" t="s">
        <v>5706</v>
      </c>
      <c r="H197" s="27" t="s">
        <v>5707</v>
      </c>
      <c r="I197" s="28" t="s">
        <v>5697</v>
      </c>
      <c r="J197" s="27"/>
    </row>
    <row r="198" customFormat="false" ht="15" hidden="false" customHeight="true" outlineLevel="0" collapsed="false">
      <c r="A198" s="27" t="s">
        <v>1410</v>
      </c>
      <c r="B198" s="27" t="s">
        <v>471</v>
      </c>
      <c r="C198" s="28" t="s">
        <v>1411</v>
      </c>
      <c r="D198" s="28" t="s">
        <v>5701</v>
      </c>
      <c r="E198" s="28" t="s">
        <v>5702</v>
      </c>
      <c r="F198" s="28" t="s">
        <v>5640</v>
      </c>
      <c r="G198" s="28" t="s">
        <v>5706</v>
      </c>
      <c r="H198" s="27" t="s">
        <v>5707</v>
      </c>
      <c r="I198" s="28" t="s">
        <v>5697</v>
      </c>
      <c r="J198" s="27"/>
    </row>
    <row r="199" customFormat="false" ht="15" hidden="false" customHeight="true" outlineLevel="0" collapsed="false">
      <c r="A199" s="27" t="s">
        <v>1413</v>
      </c>
      <c r="B199" s="27" t="s">
        <v>471</v>
      </c>
      <c r="C199" s="28" t="s">
        <v>1414</v>
      </c>
      <c r="D199" s="28" t="s">
        <v>5705</v>
      </c>
      <c r="E199" s="28" t="s">
        <v>5639</v>
      </c>
      <c r="F199" s="28" t="s">
        <v>5640</v>
      </c>
      <c r="G199" s="28" t="s">
        <v>5706</v>
      </c>
      <c r="H199" s="27" t="s">
        <v>5707</v>
      </c>
      <c r="I199" s="28" t="s">
        <v>5697</v>
      </c>
      <c r="J199" s="27"/>
    </row>
    <row r="200" customFormat="false" ht="15" hidden="false" customHeight="true" outlineLevel="0" collapsed="false">
      <c r="A200" s="27" t="s">
        <v>1415</v>
      </c>
      <c r="B200" s="27" t="s">
        <v>471</v>
      </c>
      <c r="C200" s="28" t="s">
        <v>1416</v>
      </c>
      <c r="D200" s="28" t="s">
        <v>5701</v>
      </c>
      <c r="E200" s="28" t="s">
        <v>5702</v>
      </c>
      <c r="F200" s="28" t="s">
        <v>5640</v>
      </c>
      <c r="G200" s="28" t="s">
        <v>5706</v>
      </c>
      <c r="H200" s="27" t="s">
        <v>5707</v>
      </c>
      <c r="I200" s="28" t="s">
        <v>5697</v>
      </c>
      <c r="J200" s="27"/>
    </row>
    <row r="201" customFormat="false" ht="15" hidden="false" customHeight="true" outlineLevel="0" collapsed="false">
      <c r="A201" s="27" t="s">
        <v>1417</v>
      </c>
      <c r="B201" s="27" t="s">
        <v>471</v>
      </c>
      <c r="C201" s="28" t="s">
        <v>1418</v>
      </c>
      <c r="D201" s="28" t="s">
        <v>5709</v>
      </c>
      <c r="E201" s="28" t="s">
        <v>5639</v>
      </c>
      <c r="F201" s="28" t="s">
        <v>5640</v>
      </c>
      <c r="G201" s="28" t="s">
        <v>5706</v>
      </c>
      <c r="H201" s="27" t="s">
        <v>5707</v>
      </c>
      <c r="I201" s="28" t="s">
        <v>5697</v>
      </c>
      <c r="J201" s="27"/>
    </row>
    <row r="202" customFormat="false" ht="15" hidden="false" customHeight="true" outlineLevel="0" collapsed="false">
      <c r="A202" s="27" t="s">
        <v>1419</v>
      </c>
      <c r="B202" s="27" t="s">
        <v>471</v>
      </c>
      <c r="C202" s="28" t="s">
        <v>1420</v>
      </c>
      <c r="D202" s="28" t="s">
        <v>5710</v>
      </c>
      <c r="E202" s="28" t="s">
        <v>5711</v>
      </c>
      <c r="F202" s="28" t="s">
        <v>5640</v>
      </c>
      <c r="G202" s="28" t="s">
        <v>5706</v>
      </c>
      <c r="H202" s="27" t="s">
        <v>5707</v>
      </c>
      <c r="I202" s="28" t="s">
        <v>5697</v>
      </c>
      <c r="J202" s="27"/>
    </row>
    <row r="203" customFormat="false" ht="15" hidden="false" customHeight="true" outlineLevel="0" collapsed="false">
      <c r="A203" s="27" t="s">
        <v>1421</v>
      </c>
      <c r="B203" s="27" t="s">
        <v>471</v>
      </c>
      <c r="C203" s="28" t="s">
        <v>1422</v>
      </c>
      <c r="D203" s="28" t="s">
        <v>5705</v>
      </c>
      <c r="E203" s="28" t="s">
        <v>5639</v>
      </c>
      <c r="F203" s="28" t="s">
        <v>5640</v>
      </c>
      <c r="G203" s="28" t="s">
        <v>5706</v>
      </c>
      <c r="H203" s="27" t="s">
        <v>5707</v>
      </c>
      <c r="I203" s="28" t="s">
        <v>5697</v>
      </c>
      <c r="J203" s="27"/>
    </row>
    <row r="204" customFormat="false" ht="15" hidden="false" customHeight="true" outlineLevel="0" collapsed="false">
      <c r="A204" s="27" t="s">
        <v>1423</v>
      </c>
      <c r="B204" s="27" t="s">
        <v>471</v>
      </c>
      <c r="C204" s="28" t="s">
        <v>1424</v>
      </c>
      <c r="D204" s="28" t="s">
        <v>5705</v>
      </c>
      <c r="E204" s="28" t="s">
        <v>5639</v>
      </c>
      <c r="F204" s="28" t="s">
        <v>5640</v>
      </c>
      <c r="G204" s="28" t="s">
        <v>5706</v>
      </c>
      <c r="H204" s="27" t="s">
        <v>5707</v>
      </c>
      <c r="I204" s="28" t="s">
        <v>5697</v>
      </c>
      <c r="J204" s="27"/>
    </row>
    <row r="205" customFormat="false" ht="15" hidden="false" customHeight="true" outlineLevel="0" collapsed="false">
      <c r="A205" s="27" t="s">
        <v>1425</v>
      </c>
      <c r="B205" s="27" t="s">
        <v>471</v>
      </c>
      <c r="C205" s="28" t="s">
        <v>1426</v>
      </c>
      <c r="D205" s="28" t="s">
        <v>5705</v>
      </c>
      <c r="E205" s="28" t="s">
        <v>5639</v>
      </c>
      <c r="F205" s="28" t="s">
        <v>5640</v>
      </c>
      <c r="G205" s="28" t="s">
        <v>5706</v>
      </c>
      <c r="H205" s="27" t="s">
        <v>5707</v>
      </c>
      <c r="I205" s="28" t="s">
        <v>5697</v>
      </c>
      <c r="J205" s="27"/>
    </row>
    <row r="206" customFormat="false" ht="15" hidden="false" customHeight="true" outlineLevel="0" collapsed="false">
      <c r="A206" s="27" t="s">
        <v>1427</v>
      </c>
      <c r="B206" s="27" t="s">
        <v>471</v>
      </c>
      <c r="C206" s="28" t="s">
        <v>1428</v>
      </c>
      <c r="D206" s="28" t="s">
        <v>5679</v>
      </c>
      <c r="E206" s="28" t="s">
        <v>5656</v>
      </c>
      <c r="F206" s="28" t="s">
        <v>5640</v>
      </c>
      <c r="G206" s="28" t="s">
        <v>5706</v>
      </c>
      <c r="H206" s="27" t="s">
        <v>5707</v>
      </c>
      <c r="I206" s="28" t="s">
        <v>5697</v>
      </c>
      <c r="J206" s="27"/>
    </row>
    <row r="207" customFormat="false" ht="15" hidden="false" customHeight="true" outlineLevel="0" collapsed="false">
      <c r="A207" s="27" t="s">
        <v>1429</v>
      </c>
      <c r="B207" s="27" t="s">
        <v>471</v>
      </c>
      <c r="C207" s="28" t="s">
        <v>1430</v>
      </c>
      <c r="D207" s="28" t="s">
        <v>5705</v>
      </c>
      <c r="E207" s="28" t="s">
        <v>5639</v>
      </c>
      <c r="F207" s="28" t="s">
        <v>5640</v>
      </c>
      <c r="G207" s="28" t="s">
        <v>5706</v>
      </c>
      <c r="H207" s="27" t="s">
        <v>5707</v>
      </c>
      <c r="I207" s="28" t="s">
        <v>5697</v>
      </c>
      <c r="J207" s="27"/>
    </row>
    <row r="208" customFormat="false" ht="15" hidden="false" customHeight="true" outlineLevel="0" collapsed="false">
      <c r="A208" s="27" t="s">
        <v>1432</v>
      </c>
      <c r="B208" s="27" t="s">
        <v>471</v>
      </c>
      <c r="C208" s="28" t="s">
        <v>1433</v>
      </c>
      <c r="D208" s="28" t="s">
        <v>5701</v>
      </c>
      <c r="E208" s="28" t="s">
        <v>5702</v>
      </c>
      <c r="F208" s="28" t="s">
        <v>5640</v>
      </c>
      <c r="G208" s="28" t="s">
        <v>5706</v>
      </c>
      <c r="H208" s="27" t="s">
        <v>5707</v>
      </c>
      <c r="I208" s="28" t="s">
        <v>5697</v>
      </c>
      <c r="J208" s="27"/>
    </row>
    <row r="209" customFormat="false" ht="15" hidden="false" customHeight="true" outlineLevel="0" collapsed="false">
      <c r="A209" s="27" t="s">
        <v>1434</v>
      </c>
      <c r="B209" s="27" t="s">
        <v>471</v>
      </c>
      <c r="C209" s="28" t="s">
        <v>1435</v>
      </c>
      <c r="D209" s="28" t="s">
        <v>5705</v>
      </c>
      <c r="E209" s="28" t="s">
        <v>5639</v>
      </c>
      <c r="F209" s="28" t="s">
        <v>5640</v>
      </c>
      <c r="G209" s="28" t="s">
        <v>5706</v>
      </c>
      <c r="H209" s="27" t="s">
        <v>5707</v>
      </c>
      <c r="I209" s="28" t="s">
        <v>5697</v>
      </c>
      <c r="J209" s="27"/>
    </row>
    <row r="210" customFormat="false" ht="15" hidden="false" customHeight="true" outlineLevel="0" collapsed="false">
      <c r="A210" s="27" t="s">
        <v>1436</v>
      </c>
      <c r="B210" s="27" t="s">
        <v>471</v>
      </c>
      <c r="C210" s="28" t="s">
        <v>1437</v>
      </c>
      <c r="D210" s="28" t="s">
        <v>5705</v>
      </c>
      <c r="E210" s="28" t="s">
        <v>5639</v>
      </c>
      <c r="F210" s="28" t="s">
        <v>5640</v>
      </c>
      <c r="G210" s="28" t="s">
        <v>5706</v>
      </c>
      <c r="H210" s="27" t="s">
        <v>5707</v>
      </c>
      <c r="I210" s="28" t="s">
        <v>5697</v>
      </c>
      <c r="J210" s="27"/>
    </row>
    <row r="211" customFormat="false" ht="15" hidden="false" customHeight="true" outlineLevel="0" collapsed="false">
      <c r="A211" s="27" t="s">
        <v>1444</v>
      </c>
      <c r="B211" s="27" t="s">
        <v>471</v>
      </c>
      <c r="C211" s="28" t="s">
        <v>1445</v>
      </c>
      <c r="D211" s="28" t="s">
        <v>5705</v>
      </c>
      <c r="E211" s="28" t="s">
        <v>5639</v>
      </c>
      <c r="F211" s="28" t="s">
        <v>5640</v>
      </c>
      <c r="G211" s="28" t="s">
        <v>5706</v>
      </c>
      <c r="H211" s="27" t="s">
        <v>5707</v>
      </c>
      <c r="I211" s="28" t="s">
        <v>5697</v>
      </c>
      <c r="J211" s="27"/>
    </row>
    <row r="212" customFormat="false" ht="15" hidden="false" customHeight="true" outlineLevel="0" collapsed="false">
      <c r="A212" s="27" t="s">
        <v>1446</v>
      </c>
      <c r="B212" s="27" t="s">
        <v>471</v>
      </c>
      <c r="C212" s="28" t="s">
        <v>1447</v>
      </c>
      <c r="D212" s="28" t="s">
        <v>5705</v>
      </c>
      <c r="E212" s="28" t="s">
        <v>5639</v>
      </c>
      <c r="F212" s="28" t="s">
        <v>5640</v>
      </c>
      <c r="G212" s="28" t="s">
        <v>5706</v>
      </c>
      <c r="H212" s="27" t="s">
        <v>5707</v>
      </c>
      <c r="I212" s="28" t="s">
        <v>5697</v>
      </c>
      <c r="J212" s="27"/>
    </row>
    <row r="213" customFormat="false" ht="15" hidden="false" customHeight="true" outlineLevel="0" collapsed="false">
      <c r="A213" s="27" t="s">
        <v>1448</v>
      </c>
      <c r="B213" s="27" t="s">
        <v>471</v>
      </c>
      <c r="C213" s="28" t="s">
        <v>1449</v>
      </c>
      <c r="D213" s="28" t="s">
        <v>5679</v>
      </c>
      <c r="E213" s="28" t="s">
        <v>5656</v>
      </c>
      <c r="F213" s="28" t="s">
        <v>5640</v>
      </c>
      <c r="G213" s="28" t="s">
        <v>5706</v>
      </c>
      <c r="H213" s="27" t="s">
        <v>5707</v>
      </c>
      <c r="I213" s="28" t="s">
        <v>5697</v>
      </c>
      <c r="J213" s="27"/>
    </row>
    <row r="214" customFormat="false" ht="15" hidden="false" customHeight="true" outlineLevel="0" collapsed="false">
      <c r="A214" s="27" t="s">
        <v>1450</v>
      </c>
      <c r="B214" s="27" t="s">
        <v>471</v>
      </c>
      <c r="C214" s="28" t="s">
        <v>1451</v>
      </c>
      <c r="D214" s="28" t="s">
        <v>5679</v>
      </c>
      <c r="E214" s="28" t="s">
        <v>5656</v>
      </c>
      <c r="F214" s="28" t="s">
        <v>5640</v>
      </c>
      <c r="G214" s="28" t="s">
        <v>5706</v>
      </c>
      <c r="H214" s="27" t="s">
        <v>5707</v>
      </c>
      <c r="I214" s="28" t="s">
        <v>5697</v>
      </c>
      <c r="J214" s="27"/>
    </row>
    <row r="215" customFormat="false" ht="15" hidden="false" customHeight="true" outlineLevel="0" collapsed="false">
      <c r="A215" s="27" t="s">
        <v>1453</v>
      </c>
      <c r="B215" s="27" t="s">
        <v>471</v>
      </c>
      <c r="C215" s="28" t="s">
        <v>1454</v>
      </c>
      <c r="D215" s="28" t="s">
        <v>5679</v>
      </c>
      <c r="E215" s="28" t="s">
        <v>5656</v>
      </c>
      <c r="F215" s="28" t="s">
        <v>5640</v>
      </c>
      <c r="G215" s="28" t="s">
        <v>5706</v>
      </c>
      <c r="H215" s="27" t="s">
        <v>5707</v>
      </c>
      <c r="I215" s="28" t="s">
        <v>5697</v>
      </c>
      <c r="J215" s="27"/>
    </row>
    <row r="216" customFormat="false" ht="15" hidden="false" customHeight="true" outlineLevel="0" collapsed="false">
      <c r="A216" s="27" t="s">
        <v>1455</v>
      </c>
      <c r="B216" s="27" t="s">
        <v>471</v>
      </c>
      <c r="C216" s="28" t="s">
        <v>1456</v>
      </c>
      <c r="D216" s="28" t="s">
        <v>5701</v>
      </c>
      <c r="E216" s="28" t="s">
        <v>5702</v>
      </c>
      <c r="F216" s="28" t="s">
        <v>5640</v>
      </c>
      <c r="G216" s="28" t="s">
        <v>5706</v>
      </c>
      <c r="H216" s="27" t="s">
        <v>5707</v>
      </c>
      <c r="I216" s="28" t="s">
        <v>5697</v>
      </c>
      <c r="J216" s="27"/>
    </row>
    <row r="217" customFormat="false" ht="15" hidden="false" customHeight="true" outlineLevel="0" collapsed="false">
      <c r="A217" s="27" t="s">
        <v>1457</v>
      </c>
      <c r="B217" s="27" t="s">
        <v>471</v>
      </c>
      <c r="C217" s="28" t="s">
        <v>1458</v>
      </c>
      <c r="D217" s="28" t="s">
        <v>5710</v>
      </c>
      <c r="E217" s="28" t="s">
        <v>5711</v>
      </c>
      <c r="F217" s="28" t="s">
        <v>5640</v>
      </c>
      <c r="G217" s="28" t="s">
        <v>5706</v>
      </c>
      <c r="H217" s="27" t="s">
        <v>5707</v>
      </c>
      <c r="I217" s="28" t="s">
        <v>5697</v>
      </c>
      <c r="J217" s="27"/>
    </row>
    <row r="218" customFormat="false" ht="15" hidden="false" customHeight="true" outlineLevel="0" collapsed="false">
      <c r="A218" s="27" t="s">
        <v>1459</v>
      </c>
      <c r="B218" s="27" t="s">
        <v>471</v>
      </c>
      <c r="C218" s="28" t="s">
        <v>1460</v>
      </c>
      <c r="D218" s="28" t="s">
        <v>5705</v>
      </c>
      <c r="E218" s="28" t="s">
        <v>5639</v>
      </c>
      <c r="F218" s="28" t="s">
        <v>5640</v>
      </c>
      <c r="G218" s="28" t="s">
        <v>5706</v>
      </c>
      <c r="H218" s="27" t="s">
        <v>5707</v>
      </c>
      <c r="I218" s="28" t="s">
        <v>5697</v>
      </c>
      <c r="J218" s="27"/>
    </row>
    <row r="219" customFormat="false" ht="15" hidden="false" customHeight="true" outlineLevel="0" collapsed="false">
      <c r="A219" s="27" t="s">
        <v>1461</v>
      </c>
      <c r="B219" s="27" t="s">
        <v>471</v>
      </c>
      <c r="C219" s="28" t="s">
        <v>1462</v>
      </c>
      <c r="D219" s="28" t="s">
        <v>5709</v>
      </c>
      <c r="E219" s="28" t="s">
        <v>5639</v>
      </c>
      <c r="F219" s="28" t="s">
        <v>5640</v>
      </c>
      <c r="G219" s="28" t="s">
        <v>5706</v>
      </c>
      <c r="H219" s="27" t="s">
        <v>5707</v>
      </c>
      <c r="I219" s="28" t="s">
        <v>5697</v>
      </c>
      <c r="J219" s="27"/>
    </row>
    <row r="220" customFormat="false" ht="15" hidden="false" customHeight="true" outlineLevel="0" collapsed="false">
      <c r="A220" s="27" t="s">
        <v>1463</v>
      </c>
      <c r="B220" s="27" t="s">
        <v>471</v>
      </c>
      <c r="C220" s="28" t="s">
        <v>1464</v>
      </c>
      <c r="D220" s="28" t="s">
        <v>5705</v>
      </c>
      <c r="E220" s="28" t="s">
        <v>5639</v>
      </c>
      <c r="F220" s="28" t="s">
        <v>5640</v>
      </c>
      <c r="G220" s="28" t="s">
        <v>5706</v>
      </c>
      <c r="H220" s="27" t="s">
        <v>5707</v>
      </c>
      <c r="I220" s="28" t="s">
        <v>5697</v>
      </c>
      <c r="J220" s="27"/>
    </row>
    <row r="221" customFormat="false" ht="15" hidden="false" customHeight="true" outlineLevel="0" collapsed="false">
      <c r="A221" s="27" t="s">
        <v>1470</v>
      </c>
      <c r="B221" s="27" t="s">
        <v>478</v>
      </c>
      <c r="C221" s="28" t="s">
        <v>1471</v>
      </c>
      <c r="D221" s="28" t="s">
        <v>5712</v>
      </c>
      <c r="E221" s="28" t="s">
        <v>5713</v>
      </c>
      <c r="F221" s="28" t="s">
        <v>5630</v>
      </c>
      <c r="G221" s="28" t="s">
        <v>5714</v>
      </c>
      <c r="H221" s="27" t="s">
        <v>5715</v>
      </c>
      <c r="I221" s="28" t="s">
        <v>5716</v>
      </c>
      <c r="J221" s="27"/>
    </row>
    <row r="222" customFormat="false" ht="15" hidden="false" customHeight="true" outlineLevel="0" collapsed="false">
      <c r="A222" s="27" t="s">
        <v>1473</v>
      </c>
      <c r="B222" s="27" t="s">
        <v>478</v>
      </c>
      <c r="C222" s="28" t="s">
        <v>1474</v>
      </c>
      <c r="D222" s="28" t="s">
        <v>5712</v>
      </c>
      <c r="E222" s="28" t="s">
        <v>5713</v>
      </c>
      <c r="F222" s="28" t="s">
        <v>5630</v>
      </c>
      <c r="G222" s="28" t="s">
        <v>5714</v>
      </c>
      <c r="H222" s="27" t="s">
        <v>5715</v>
      </c>
      <c r="I222" s="28" t="s">
        <v>5716</v>
      </c>
      <c r="J222" s="27"/>
    </row>
    <row r="223" customFormat="false" ht="15" hidden="false" customHeight="true" outlineLevel="0" collapsed="false">
      <c r="A223" s="27" t="s">
        <v>1476</v>
      </c>
      <c r="B223" s="27" t="s">
        <v>478</v>
      </c>
      <c r="C223" s="28" t="s">
        <v>1477</v>
      </c>
      <c r="D223" s="28" t="s">
        <v>5717</v>
      </c>
      <c r="E223" s="28" t="s">
        <v>5718</v>
      </c>
      <c r="F223" s="28" t="s">
        <v>5640</v>
      </c>
      <c r="G223" s="28" t="s">
        <v>5714</v>
      </c>
      <c r="H223" s="27" t="s">
        <v>5715</v>
      </c>
      <c r="I223" s="28" t="s">
        <v>5716</v>
      </c>
      <c r="J223" s="27"/>
    </row>
    <row r="224" customFormat="false" ht="15" hidden="false" customHeight="true" outlineLevel="0" collapsed="false">
      <c r="A224" s="27" t="s">
        <v>1479</v>
      </c>
      <c r="B224" s="27" t="s">
        <v>478</v>
      </c>
      <c r="C224" s="28" t="s">
        <v>1480</v>
      </c>
      <c r="D224" s="28" t="s">
        <v>5712</v>
      </c>
      <c r="E224" s="28" t="s">
        <v>5713</v>
      </c>
      <c r="F224" s="28" t="s">
        <v>5630</v>
      </c>
      <c r="G224" s="28" t="s">
        <v>5714</v>
      </c>
      <c r="H224" s="27" t="s">
        <v>5715</v>
      </c>
      <c r="I224" s="28" t="s">
        <v>5716</v>
      </c>
      <c r="J224" s="27"/>
    </row>
    <row r="225" customFormat="false" ht="15" hidden="false" customHeight="true" outlineLevel="0" collapsed="false">
      <c r="A225" s="27" t="s">
        <v>1482</v>
      </c>
      <c r="B225" s="27" t="s">
        <v>478</v>
      </c>
      <c r="C225" s="28" t="s">
        <v>1483</v>
      </c>
      <c r="D225" s="28" t="s">
        <v>5712</v>
      </c>
      <c r="E225" s="28" t="s">
        <v>5713</v>
      </c>
      <c r="F225" s="28" t="s">
        <v>5630</v>
      </c>
      <c r="G225" s="28" t="s">
        <v>5714</v>
      </c>
      <c r="H225" s="27" t="s">
        <v>5715</v>
      </c>
      <c r="I225" s="28" t="s">
        <v>5716</v>
      </c>
      <c r="J225" s="27"/>
    </row>
    <row r="226" customFormat="false" ht="15" hidden="false" customHeight="true" outlineLevel="0" collapsed="false">
      <c r="A226" s="27" t="s">
        <v>1485</v>
      </c>
      <c r="B226" s="27" t="s">
        <v>478</v>
      </c>
      <c r="C226" s="28" t="s">
        <v>1486</v>
      </c>
      <c r="D226" s="28" t="s">
        <v>5712</v>
      </c>
      <c r="E226" s="28" t="s">
        <v>5713</v>
      </c>
      <c r="F226" s="28" t="s">
        <v>5630</v>
      </c>
      <c r="G226" s="28" t="s">
        <v>5714</v>
      </c>
      <c r="H226" s="27" t="s">
        <v>5715</v>
      </c>
      <c r="I226" s="28" t="s">
        <v>5716</v>
      </c>
      <c r="J226" s="27"/>
    </row>
    <row r="227" customFormat="false" ht="15" hidden="false" customHeight="true" outlineLevel="0" collapsed="false">
      <c r="A227" s="27" t="s">
        <v>1488</v>
      </c>
      <c r="B227" s="27" t="s">
        <v>478</v>
      </c>
      <c r="C227" s="28" t="s">
        <v>1489</v>
      </c>
      <c r="D227" s="28" t="s">
        <v>5680</v>
      </c>
      <c r="E227" s="28" t="s">
        <v>5681</v>
      </c>
      <c r="F227" s="28" t="s">
        <v>5640</v>
      </c>
      <c r="G227" s="28" t="s">
        <v>5714</v>
      </c>
      <c r="H227" s="27" t="s">
        <v>5715</v>
      </c>
      <c r="I227" s="28" t="s">
        <v>5716</v>
      </c>
      <c r="J227" s="27"/>
    </row>
    <row r="228" customFormat="false" ht="15" hidden="false" customHeight="true" outlineLevel="0" collapsed="false">
      <c r="A228" s="27" t="s">
        <v>1491</v>
      </c>
      <c r="B228" s="27" t="s">
        <v>478</v>
      </c>
      <c r="C228" s="28" t="s">
        <v>1492</v>
      </c>
      <c r="D228" s="28" t="s">
        <v>5712</v>
      </c>
      <c r="E228" s="28" t="s">
        <v>5713</v>
      </c>
      <c r="F228" s="28" t="s">
        <v>5630</v>
      </c>
      <c r="G228" s="28" t="s">
        <v>5714</v>
      </c>
      <c r="H228" s="27" t="s">
        <v>5715</v>
      </c>
      <c r="I228" s="28" t="s">
        <v>5716</v>
      </c>
      <c r="J228" s="27"/>
    </row>
    <row r="229" customFormat="false" ht="15" hidden="false" customHeight="true" outlineLevel="0" collapsed="false">
      <c r="A229" s="27" t="s">
        <v>1494</v>
      </c>
      <c r="B229" s="27" t="s">
        <v>478</v>
      </c>
      <c r="C229" s="28" t="s">
        <v>1495</v>
      </c>
      <c r="D229" s="28" t="s">
        <v>5719</v>
      </c>
      <c r="E229" s="28" t="s">
        <v>5639</v>
      </c>
      <c r="F229" s="28" t="s">
        <v>5640</v>
      </c>
      <c r="G229" s="28" t="s">
        <v>5714</v>
      </c>
      <c r="H229" s="27" t="s">
        <v>5715</v>
      </c>
      <c r="I229" s="28" t="s">
        <v>5716</v>
      </c>
      <c r="J229" s="27"/>
    </row>
    <row r="230" customFormat="false" ht="15" hidden="false" customHeight="true" outlineLevel="0" collapsed="false">
      <c r="A230" s="27" t="s">
        <v>1497</v>
      </c>
      <c r="B230" s="27" t="s">
        <v>478</v>
      </c>
      <c r="C230" s="28" t="s">
        <v>1498</v>
      </c>
      <c r="D230" s="28" t="s">
        <v>5680</v>
      </c>
      <c r="E230" s="28" t="s">
        <v>5681</v>
      </c>
      <c r="F230" s="28" t="s">
        <v>5640</v>
      </c>
      <c r="G230" s="28" t="s">
        <v>5714</v>
      </c>
      <c r="H230" s="27" t="s">
        <v>5715</v>
      </c>
      <c r="I230" s="28" t="s">
        <v>5716</v>
      </c>
      <c r="J230" s="27"/>
    </row>
    <row r="231" customFormat="false" ht="15" hidden="false" customHeight="true" outlineLevel="0" collapsed="false">
      <c r="A231" s="27" t="s">
        <v>1500</v>
      </c>
      <c r="B231" s="27" t="s">
        <v>478</v>
      </c>
      <c r="C231" s="28" t="s">
        <v>1501</v>
      </c>
      <c r="D231" s="28" t="s">
        <v>5712</v>
      </c>
      <c r="E231" s="28" t="s">
        <v>5713</v>
      </c>
      <c r="F231" s="28" t="s">
        <v>5630</v>
      </c>
      <c r="G231" s="28" t="s">
        <v>5714</v>
      </c>
      <c r="H231" s="27" t="s">
        <v>5715</v>
      </c>
      <c r="I231" s="28" t="s">
        <v>5716</v>
      </c>
      <c r="J231" s="27"/>
    </row>
    <row r="232" customFormat="false" ht="15" hidden="false" customHeight="true" outlineLevel="0" collapsed="false">
      <c r="A232" s="27" t="s">
        <v>1503</v>
      </c>
      <c r="B232" s="27" t="s">
        <v>478</v>
      </c>
      <c r="C232" s="28" t="s">
        <v>1504</v>
      </c>
      <c r="D232" s="28" t="s">
        <v>5712</v>
      </c>
      <c r="E232" s="28" t="s">
        <v>5713</v>
      </c>
      <c r="F232" s="28" t="s">
        <v>5630</v>
      </c>
      <c r="G232" s="28" t="s">
        <v>5714</v>
      </c>
      <c r="H232" s="27" t="s">
        <v>5715</v>
      </c>
      <c r="I232" s="28" t="s">
        <v>5716</v>
      </c>
      <c r="J232" s="27"/>
    </row>
    <row r="233" customFormat="false" ht="15" hidden="false" customHeight="true" outlineLevel="0" collapsed="false">
      <c r="A233" s="27" t="s">
        <v>1506</v>
      </c>
      <c r="B233" s="27" t="s">
        <v>478</v>
      </c>
      <c r="C233" s="28" t="s">
        <v>1507</v>
      </c>
      <c r="D233" s="28" t="s">
        <v>5712</v>
      </c>
      <c r="E233" s="28" t="s">
        <v>5713</v>
      </c>
      <c r="F233" s="28" t="s">
        <v>5630</v>
      </c>
      <c r="G233" s="28" t="s">
        <v>5714</v>
      </c>
      <c r="H233" s="27" t="s">
        <v>5715</v>
      </c>
      <c r="I233" s="28" t="s">
        <v>5716</v>
      </c>
      <c r="J233" s="27"/>
    </row>
    <row r="234" customFormat="false" ht="15" hidden="false" customHeight="true" outlineLevel="0" collapsed="false">
      <c r="A234" s="27" t="s">
        <v>1509</v>
      </c>
      <c r="B234" s="27" t="s">
        <v>478</v>
      </c>
      <c r="C234" s="28" t="s">
        <v>1510</v>
      </c>
      <c r="D234" s="28" t="s">
        <v>5680</v>
      </c>
      <c r="E234" s="28" t="s">
        <v>5681</v>
      </c>
      <c r="F234" s="28" t="s">
        <v>5640</v>
      </c>
      <c r="G234" s="28" t="s">
        <v>5714</v>
      </c>
      <c r="H234" s="27" t="s">
        <v>5715</v>
      </c>
      <c r="I234" s="28" t="s">
        <v>5716</v>
      </c>
      <c r="J234" s="27"/>
    </row>
    <row r="235" customFormat="false" ht="15" hidden="false" customHeight="true" outlineLevel="0" collapsed="false">
      <c r="A235" s="27" t="s">
        <v>1512</v>
      </c>
      <c r="B235" s="27" t="s">
        <v>478</v>
      </c>
      <c r="C235" s="28" t="s">
        <v>1513</v>
      </c>
      <c r="D235" s="28" t="s">
        <v>5717</v>
      </c>
      <c r="E235" s="28" t="s">
        <v>5718</v>
      </c>
      <c r="F235" s="28" t="s">
        <v>5640</v>
      </c>
      <c r="G235" s="28" t="s">
        <v>5714</v>
      </c>
      <c r="H235" s="27" t="s">
        <v>5715</v>
      </c>
      <c r="I235" s="28" t="s">
        <v>5716</v>
      </c>
      <c r="J235" s="27"/>
    </row>
    <row r="236" customFormat="false" ht="15" hidden="false" customHeight="true" outlineLevel="0" collapsed="false">
      <c r="A236" s="27" t="s">
        <v>1515</v>
      </c>
      <c r="B236" s="27" t="s">
        <v>478</v>
      </c>
      <c r="C236" s="28" t="s">
        <v>1516</v>
      </c>
      <c r="D236" s="28" t="s">
        <v>5720</v>
      </c>
      <c r="E236" s="28" t="s">
        <v>5639</v>
      </c>
      <c r="F236" s="28" t="s">
        <v>5640</v>
      </c>
      <c r="G236" s="28" t="s">
        <v>5714</v>
      </c>
      <c r="H236" s="27" t="s">
        <v>5715</v>
      </c>
      <c r="I236" s="28" t="s">
        <v>5716</v>
      </c>
      <c r="J236" s="27"/>
    </row>
    <row r="237" customFormat="false" ht="15" hidden="false" customHeight="true" outlineLevel="0" collapsed="false">
      <c r="A237" s="27" t="s">
        <v>1518</v>
      </c>
      <c r="B237" s="27" t="s">
        <v>478</v>
      </c>
      <c r="C237" s="28" t="s">
        <v>1519</v>
      </c>
      <c r="D237" s="28" t="s">
        <v>5712</v>
      </c>
      <c r="E237" s="28" t="s">
        <v>5713</v>
      </c>
      <c r="F237" s="28" t="s">
        <v>5630</v>
      </c>
      <c r="G237" s="28" t="s">
        <v>5714</v>
      </c>
      <c r="H237" s="27" t="s">
        <v>5715</v>
      </c>
      <c r="I237" s="28" t="s">
        <v>5716</v>
      </c>
      <c r="J237" s="27"/>
    </row>
    <row r="238" customFormat="false" ht="15" hidden="false" customHeight="true" outlineLevel="0" collapsed="false">
      <c r="A238" s="27" t="s">
        <v>1521</v>
      </c>
      <c r="B238" s="27" t="s">
        <v>478</v>
      </c>
      <c r="C238" s="28" t="s">
        <v>1522</v>
      </c>
      <c r="D238" s="28" t="s">
        <v>5712</v>
      </c>
      <c r="E238" s="28" t="s">
        <v>5713</v>
      </c>
      <c r="F238" s="28" t="s">
        <v>5630</v>
      </c>
      <c r="G238" s="28" t="s">
        <v>5714</v>
      </c>
      <c r="H238" s="27" t="s">
        <v>5715</v>
      </c>
      <c r="I238" s="28" t="s">
        <v>5716</v>
      </c>
      <c r="J238" s="27"/>
    </row>
    <row r="239" customFormat="false" ht="15" hidden="false" customHeight="true" outlineLevel="0" collapsed="false">
      <c r="A239" s="27" t="s">
        <v>1524</v>
      </c>
      <c r="B239" s="27" t="s">
        <v>478</v>
      </c>
      <c r="C239" s="28" t="s">
        <v>1525</v>
      </c>
      <c r="D239" s="28" t="s">
        <v>5698</v>
      </c>
      <c r="E239" s="28" t="s">
        <v>5686</v>
      </c>
      <c r="F239" s="28" t="s">
        <v>5640</v>
      </c>
      <c r="G239" s="28" t="s">
        <v>5714</v>
      </c>
      <c r="H239" s="27" t="s">
        <v>5715</v>
      </c>
      <c r="I239" s="28" t="s">
        <v>5716</v>
      </c>
      <c r="J239" s="27"/>
    </row>
    <row r="240" customFormat="false" ht="15" hidden="false" customHeight="true" outlineLevel="0" collapsed="false">
      <c r="A240" s="27" t="s">
        <v>1527</v>
      </c>
      <c r="B240" s="27" t="s">
        <v>478</v>
      </c>
      <c r="C240" s="28" t="s">
        <v>1528</v>
      </c>
      <c r="D240" s="28" t="s">
        <v>5712</v>
      </c>
      <c r="E240" s="28" t="s">
        <v>5713</v>
      </c>
      <c r="F240" s="28" t="s">
        <v>5630</v>
      </c>
      <c r="G240" s="28" t="s">
        <v>5714</v>
      </c>
      <c r="H240" s="27" t="s">
        <v>5715</v>
      </c>
      <c r="I240" s="28" t="s">
        <v>5716</v>
      </c>
      <c r="J240" s="27"/>
    </row>
    <row r="241" customFormat="false" ht="15" hidden="false" customHeight="true" outlineLevel="0" collapsed="false">
      <c r="A241" s="27" t="s">
        <v>1530</v>
      </c>
      <c r="B241" s="27" t="s">
        <v>478</v>
      </c>
      <c r="C241" s="28" t="s">
        <v>1531</v>
      </c>
      <c r="D241" s="28" t="s">
        <v>5721</v>
      </c>
      <c r="E241" s="28" t="s">
        <v>5722</v>
      </c>
      <c r="F241" s="28" t="s">
        <v>5640</v>
      </c>
      <c r="G241" s="28" t="s">
        <v>5714</v>
      </c>
      <c r="H241" s="27" t="s">
        <v>5715</v>
      </c>
      <c r="I241" s="28" t="s">
        <v>5716</v>
      </c>
      <c r="J241" s="27"/>
    </row>
    <row r="242" customFormat="false" ht="15" hidden="false" customHeight="true" outlineLevel="0" collapsed="false">
      <c r="A242" s="27" t="s">
        <v>1534</v>
      </c>
      <c r="B242" s="27" t="s">
        <v>478</v>
      </c>
      <c r="C242" s="28" t="s">
        <v>1535</v>
      </c>
      <c r="D242" s="28" t="s">
        <v>5712</v>
      </c>
      <c r="E242" s="28" t="s">
        <v>5713</v>
      </c>
      <c r="F242" s="28" t="s">
        <v>5630</v>
      </c>
      <c r="G242" s="28" t="s">
        <v>5714</v>
      </c>
      <c r="H242" s="27" t="s">
        <v>5715</v>
      </c>
      <c r="I242" s="28" t="s">
        <v>5716</v>
      </c>
      <c r="J242" s="27"/>
    </row>
    <row r="243" customFormat="false" ht="15" hidden="false" customHeight="true" outlineLevel="0" collapsed="false">
      <c r="A243" s="27" t="s">
        <v>1537</v>
      </c>
      <c r="B243" s="27" t="s">
        <v>478</v>
      </c>
      <c r="C243" s="28" t="s">
        <v>1538</v>
      </c>
      <c r="D243" s="28" t="s">
        <v>5712</v>
      </c>
      <c r="E243" s="28" t="s">
        <v>5713</v>
      </c>
      <c r="F243" s="28" t="s">
        <v>5630</v>
      </c>
      <c r="G243" s="28" t="s">
        <v>5714</v>
      </c>
      <c r="H243" s="27" t="s">
        <v>5715</v>
      </c>
      <c r="I243" s="28" t="s">
        <v>5716</v>
      </c>
      <c r="J243" s="27"/>
    </row>
    <row r="244" customFormat="false" ht="15" hidden="false" customHeight="true" outlineLevel="0" collapsed="false">
      <c r="A244" s="27" t="s">
        <v>1543</v>
      </c>
      <c r="B244" s="27" t="s">
        <v>478</v>
      </c>
      <c r="C244" s="28" t="s">
        <v>1544</v>
      </c>
      <c r="D244" s="28" t="s">
        <v>5712</v>
      </c>
      <c r="E244" s="28" t="s">
        <v>5713</v>
      </c>
      <c r="F244" s="28" t="s">
        <v>5630</v>
      </c>
      <c r="G244" s="28" t="s">
        <v>5714</v>
      </c>
      <c r="H244" s="27" t="s">
        <v>5715</v>
      </c>
      <c r="I244" s="28" t="s">
        <v>5716</v>
      </c>
      <c r="J244" s="27"/>
    </row>
    <row r="245" customFormat="false" ht="15" hidden="false" customHeight="true" outlineLevel="0" collapsed="false">
      <c r="A245" s="27" t="s">
        <v>1548</v>
      </c>
      <c r="B245" s="27" t="s">
        <v>478</v>
      </c>
      <c r="C245" s="28" t="s">
        <v>1549</v>
      </c>
      <c r="D245" s="28" t="s">
        <v>5712</v>
      </c>
      <c r="E245" s="28" t="s">
        <v>5713</v>
      </c>
      <c r="F245" s="28" t="s">
        <v>5630</v>
      </c>
      <c r="G245" s="28" t="s">
        <v>5714</v>
      </c>
      <c r="H245" s="27" t="s">
        <v>5715</v>
      </c>
      <c r="I245" s="28" t="s">
        <v>5716</v>
      </c>
      <c r="J245" s="27"/>
    </row>
    <row r="246" customFormat="false" ht="15" hidden="false" customHeight="true" outlineLevel="0" collapsed="false">
      <c r="A246" s="27" t="s">
        <v>1551</v>
      </c>
      <c r="B246" s="27" t="s">
        <v>478</v>
      </c>
      <c r="C246" s="28" t="s">
        <v>1552</v>
      </c>
      <c r="D246" s="28" t="s">
        <v>5698</v>
      </c>
      <c r="E246" s="28" t="s">
        <v>5686</v>
      </c>
      <c r="F246" s="28" t="s">
        <v>5640</v>
      </c>
      <c r="G246" s="28" t="s">
        <v>5714</v>
      </c>
      <c r="H246" s="27" t="s">
        <v>5715</v>
      </c>
      <c r="I246" s="28" t="s">
        <v>5716</v>
      </c>
      <c r="J246" s="27"/>
    </row>
    <row r="247" customFormat="false" ht="15" hidden="false" customHeight="true" outlineLevel="0" collapsed="false">
      <c r="A247" s="27" t="s">
        <v>1554</v>
      </c>
      <c r="B247" s="27" t="s">
        <v>478</v>
      </c>
      <c r="C247" s="28" t="s">
        <v>1555</v>
      </c>
      <c r="D247" s="28" t="s">
        <v>5723</v>
      </c>
      <c r="E247" s="28" t="s">
        <v>5656</v>
      </c>
      <c r="F247" s="28" t="s">
        <v>5640</v>
      </c>
      <c r="G247" s="28" t="s">
        <v>5714</v>
      </c>
      <c r="H247" s="27" t="s">
        <v>5715</v>
      </c>
      <c r="I247" s="28" t="s">
        <v>5716</v>
      </c>
      <c r="J247" s="27"/>
    </row>
    <row r="248" customFormat="false" ht="15" hidden="false" customHeight="true" outlineLevel="0" collapsed="false">
      <c r="A248" s="27" t="s">
        <v>1558</v>
      </c>
      <c r="B248" s="27" t="s">
        <v>478</v>
      </c>
      <c r="C248" s="28" t="s">
        <v>1559</v>
      </c>
      <c r="D248" s="28" t="s">
        <v>5712</v>
      </c>
      <c r="E248" s="28" t="s">
        <v>5713</v>
      </c>
      <c r="F248" s="28" t="s">
        <v>5630</v>
      </c>
      <c r="G248" s="28" t="s">
        <v>5714</v>
      </c>
      <c r="H248" s="27" t="s">
        <v>5715</v>
      </c>
      <c r="I248" s="28" t="s">
        <v>5716</v>
      </c>
      <c r="J248" s="27"/>
    </row>
    <row r="249" customFormat="false" ht="15" hidden="false" customHeight="true" outlineLevel="0" collapsed="false">
      <c r="A249" s="27" t="s">
        <v>1561</v>
      </c>
      <c r="B249" s="27" t="s">
        <v>478</v>
      </c>
      <c r="C249" s="28" t="s">
        <v>1562</v>
      </c>
      <c r="D249" s="28" t="s">
        <v>5712</v>
      </c>
      <c r="E249" s="28" t="s">
        <v>5713</v>
      </c>
      <c r="F249" s="28" t="s">
        <v>5630</v>
      </c>
      <c r="G249" s="28" t="s">
        <v>5714</v>
      </c>
      <c r="H249" s="27" t="s">
        <v>5715</v>
      </c>
      <c r="I249" s="28" t="s">
        <v>5716</v>
      </c>
      <c r="J249" s="27"/>
    </row>
    <row r="250" customFormat="false" ht="15" hidden="false" customHeight="true" outlineLevel="0" collapsed="false">
      <c r="A250" s="27" t="s">
        <v>1564</v>
      </c>
      <c r="B250" s="27" t="s">
        <v>478</v>
      </c>
      <c r="C250" s="28" t="s">
        <v>1565</v>
      </c>
      <c r="D250" s="28" t="s">
        <v>5712</v>
      </c>
      <c r="E250" s="28" t="s">
        <v>5713</v>
      </c>
      <c r="F250" s="28" t="s">
        <v>5630</v>
      </c>
      <c r="G250" s="28" t="s">
        <v>5714</v>
      </c>
      <c r="H250" s="27" t="s">
        <v>5715</v>
      </c>
      <c r="I250" s="28" t="s">
        <v>5716</v>
      </c>
      <c r="J250" s="27"/>
    </row>
    <row r="251" customFormat="false" ht="15" hidden="false" customHeight="true" outlineLevel="0" collapsed="false">
      <c r="A251" s="27" t="s">
        <v>1567</v>
      </c>
      <c r="B251" s="27" t="s">
        <v>478</v>
      </c>
      <c r="C251" s="28" t="s">
        <v>1568</v>
      </c>
      <c r="D251" s="28" t="s">
        <v>5709</v>
      </c>
      <c r="E251" s="28" t="s">
        <v>5639</v>
      </c>
      <c r="F251" s="28" t="s">
        <v>5640</v>
      </c>
      <c r="G251" s="28" t="s">
        <v>5714</v>
      </c>
      <c r="H251" s="27" t="s">
        <v>5715</v>
      </c>
      <c r="I251" s="28" t="s">
        <v>5716</v>
      </c>
      <c r="J251" s="27"/>
    </row>
    <row r="252" customFormat="false" ht="15" hidden="false" customHeight="true" outlineLevel="0" collapsed="false">
      <c r="A252" s="27" t="s">
        <v>1570</v>
      </c>
      <c r="B252" s="27" t="s">
        <v>478</v>
      </c>
      <c r="C252" s="28" t="s">
        <v>1571</v>
      </c>
      <c r="D252" s="28" t="s">
        <v>5720</v>
      </c>
      <c r="E252" s="28" t="s">
        <v>5639</v>
      </c>
      <c r="F252" s="28" t="s">
        <v>5640</v>
      </c>
      <c r="G252" s="28" t="s">
        <v>5714</v>
      </c>
      <c r="H252" s="27" t="s">
        <v>5715</v>
      </c>
      <c r="I252" s="28" t="s">
        <v>5716</v>
      </c>
      <c r="J252" s="27"/>
    </row>
    <row r="253" customFormat="false" ht="15" hidden="false" customHeight="true" outlineLevel="0" collapsed="false">
      <c r="A253" s="27" t="s">
        <v>1573</v>
      </c>
      <c r="B253" s="27" t="s">
        <v>478</v>
      </c>
      <c r="C253" s="28" t="s">
        <v>1574</v>
      </c>
      <c r="D253" s="28" t="s">
        <v>5712</v>
      </c>
      <c r="E253" s="28" t="s">
        <v>5713</v>
      </c>
      <c r="F253" s="28" t="s">
        <v>5630</v>
      </c>
      <c r="G253" s="28" t="s">
        <v>5714</v>
      </c>
      <c r="H253" s="27" t="s">
        <v>5715</v>
      </c>
      <c r="I253" s="28" t="s">
        <v>5716</v>
      </c>
      <c r="J253" s="27"/>
    </row>
    <row r="254" customFormat="false" ht="15" hidden="false" customHeight="true" outlineLevel="0" collapsed="false">
      <c r="A254" s="27" t="s">
        <v>1576</v>
      </c>
      <c r="B254" s="27" t="s">
        <v>478</v>
      </c>
      <c r="C254" s="28" t="s">
        <v>1577</v>
      </c>
      <c r="D254" s="28" t="s">
        <v>5680</v>
      </c>
      <c r="E254" s="28" t="s">
        <v>5681</v>
      </c>
      <c r="F254" s="28" t="s">
        <v>5640</v>
      </c>
      <c r="G254" s="28" t="s">
        <v>5714</v>
      </c>
      <c r="H254" s="27" t="s">
        <v>5715</v>
      </c>
      <c r="I254" s="28" t="s">
        <v>5716</v>
      </c>
      <c r="J254" s="27"/>
    </row>
    <row r="255" customFormat="false" ht="15" hidden="false" customHeight="true" outlineLevel="0" collapsed="false">
      <c r="A255" s="27" t="s">
        <v>1581</v>
      </c>
      <c r="B255" s="27" t="s">
        <v>478</v>
      </c>
      <c r="C255" s="28" t="s">
        <v>1582</v>
      </c>
      <c r="D255" s="28" t="s">
        <v>5724</v>
      </c>
      <c r="E255" s="28" t="s">
        <v>5725</v>
      </c>
      <c r="F255" s="28" t="s">
        <v>5640</v>
      </c>
      <c r="G255" s="28" t="s">
        <v>5714</v>
      </c>
      <c r="H255" s="27" t="s">
        <v>5715</v>
      </c>
      <c r="I255" s="28" t="s">
        <v>5716</v>
      </c>
      <c r="J255" s="27"/>
    </row>
    <row r="256" customFormat="false" ht="15" hidden="false" customHeight="true" outlineLevel="0" collapsed="false">
      <c r="A256" s="27" t="s">
        <v>1585</v>
      </c>
      <c r="B256" s="27" t="s">
        <v>478</v>
      </c>
      <c r="C256" s="28" t="s">
        <v>1586</v>
      </c>
      <c r="D256" s="28" t="s">
        <v>5726</v>
      </c>
      <c r="E256" s="28" t="s">
        <v>5639</v>
      </c>
      <c r="F256" s="28" t="s">
        <v>5640</v>
      </c>
      <c r="G256" s="28" t="s">
        <v>5714</v>
      </c>
      <c r="H256" s="27" t="s">
        <v>5715</v>
      </c>
      <c r="I256" s="28" t="s">
        <v>5716</v>
      </c>
      <c r="J256" s="27"/>
    </row>
    <row r="257" customFormat="false" ht="15" hidden="false" customHeight="true" outlineLevel="0" collapsed="false">
      <c r="A257" s="27" t="s">
        <v>1588</v>
      </c>
      <c r="B257" s="27" t="s">
        <v>478</v>
      </c>
      <c r="C257" s="28" t="s">
        <v>1589</v>
      </c>
      <c r="D257" s="28" t="s">
        <v>5727</v>
      </c>
      <c r="E257" s="28" t="s">
        <v>5639</v>
      </c>
      <c r="F257" s="28" t="s">
        <v>5640</v>
      </c>
      <c r="G257" s="28" t="s">
        <v>5714</v>
      </c>
      <c r="H257" s="27" t="s">
        <v>5715</v>
      </c>
      <c r="I257" s="28" t="s">
        <v>5716</v>
      </c>
      <c r="J257" s="27"/>
    </row>
    <row r="258" customFormat="false" ht="15" hidden="false" customHeight="true" outlineLevel="0" collapsed="false">
      <c r="A258" s="27" t="s">
        <v>1591</v>
      </c>
      <c r="B258" s="27" t="s">
        <v>478</v>
      </c>
      <c r="C258" s="28" t="s">
        <v>1592</v>
      </c>
      <c r="D258" s="28" t="s">
        <v>5698</v>
      </c>
      <c r="E258" s="28" t="s">
        <v>5686</v>
      </c>
      <c r="F258" s="28" t="s">
        <v>5640</v>
      </c>
      <c r="G258" s="28" t="s">
        <v>5714</v>
      </c>
      <c r="H258" s="27" t="s">
        <v>5715</v>
      </c>
      <c r="I258" s="28" t="s">
        <v>5716</v>
      </c>
      <c r="J258" s="27"/>
    </row>
    <row r="259" customFormat="false" ht="15" hidden="false" customHeight="true" outlineLevel="0" collapsed="false">
      <c r="A259" s="27" t="s">
        <v>1594</v>
      </c>
      <c r="B259" s="27" t="s">
        <v>478</v>
      </c>
      <c r="C259" s="28" t="s">
        <v>1595</v>
      </c>
      <c r="D259" s="28" t="s">
        <v>5712</v>
      </c>
      <c r="E259" s="28" t="s">
        <v>5713</v>
      </c>
      <c r="F259" s="28" t="s">
        <v>5630</v>
      </c>
      <c r="G259" s="28" t="s">
        <v>5714</v>
      </c>
      <c r="H259" s="27" t="s">
        <v>5715</v>
      </c>
      <c r="I259" s="28" t="s">
        <v>5716</v>
      </c>
      <c r="J259" s="27"/>
    </row>
    <row r="260" customFormat="false" ht="15" hidden="false" customHeight="true" outlineLevel="0" collapsed="false">
      <c r="A260" s="27" t="s">
        <v>1597</v>
      </c>
      <c r="B260" s="27" t="s">
        <v>478</v>
      </c>
      <c r="C260" s="28" t="s">
        <v>1598</v>
      </c>
      <c r="D260" s="28" t="s">
        <v>5698</v>
      </c>
      <c r="E260" s="28" t="s">
        <v>5686</v>
      </c>
      <c r="F260" s="28" t="s">
        <v>5640</v>
      </c>
      <c r="G260" s="28" t="s">
        <v>5714</v>
      </c>
      <c r="H260" s="27" t="s">
        <v>5715</v>
      </c>
      <c r="I260" s="28" t="s">
        <v>5716</v>
      </c>
      <c r="J260" s="27"/>
    </row>
    <row r="261" customFormat="false" ht="15" hidden="false" customHeight="true" outlineLevel="0" collapsed="false">
      <c r="A261" s="27" t="s">
        <v>1600</v>
      </c>
      <c r="B261" s="27" t="s">
        <v>478</v>
      </c>
      <c r="C261" s="28" t="s">
        <v>1601</v>
      </c>
      <c r="D261" s="28" t="s">
        <v>5720</v>
      </c>
      <c r="E261" s="28" t="s">
        <v>5639</v>
      </c>
      <c r="F261" s="28" t="s">
        <v>5640</v>
      </c>
      <c r="G261" s="28" t="s">
        <v>5714</v>
      </c>
      <c r="H261" s="27" t="s">
        <v>5715</v>
      </c>
      <c r="I261" s="28" t="s">
        <v>5716</v>
      </c>
      <c r="J261" s="27"/>
    </row>
    <row r="262" customFormat="false" ht="15" hidden="false" customHeight="true" outlineLevel="0" collapsed="false">
      <c r="A262" s="27" t="s">
        <v>1603</v>
      </c>
      <c r="B262" s="27" t="s">
        <v>478</v>
      </c>
      <c r="C262" s="28" t="s">
        <v>1604</v>
      </c>
      <c r="D262" s="28" t="s">
        <v>5720</v>
      </c>
      <c r="E262" s="28" t="s">
        <v>5639</v>
      </c>
      <c r="F262" s="28" t="s">
        <v>5640</v>
      </c>
      <c r="G262" s="28" t="s">
        <v>5714</v>
      </c>
      <c r="H262" s="27" t="s">
        <v>5715</v>
      </c>
      <c r="I262" s="28" t="s">
        <v>5716</v>
      </c>
      <c r="J262" s="27"/>
    </row>
    <row r="263" customFormat="false" ht="15" hidden="false" customHeight="true" outlineLevel="0" collapsed="false">
      <c r="A263" s="27" t="s">
        <v>1607</v>
      </c>
      <c r="B263" s="27" t="s">
        <v>478</v>
      </c>
      <c r="C263" s="28" t="s">
        <v>1608</v>
      </c>
      <c r="D263" s="28" t="s">
        <v>5720</v>
      </c>
      <c r="E263" s="28" t="s">
        <v>5639</v>
      </c>
      <c r="F263" s="28" t="s">
        <v>5640</v>
      </c>
      <c r="G263" s="28" t="s">
        <v>5714</v>
      </c>
      <c r="H263" s="27" t="s">
        <v>5715</v>
      </c>
      <c r="I263" s="28" t="s">
        <v>5716</v>
      </c>
      <c r="J263" s="27"/>
    </row>
    <row r="264" customFormat="false" ht="15" hidden="false" customHeight="true" outlineLevel="0" collapsed="false">
      <c r="A264" s="27" t="s">
        <v>1610</v>
      </c>
      <c r="B264" s="27" t="s">
        <v>478</v>
      </c>
      <c r="C264" s="28" t="s">
        <v>1611</v>
      </c>
      <c r="D264" s="28" t="s">
        <v>5712</v>
      </c>
      <c r="E264" s="28" t="s">
        <v>5713</v>
      </c>
      <c r="F264" s="28" t="s">
        <v>5630</v>
      </c>
      <c r="G264" s="28" t="s">
        <v>5714</v>
      </c>
      <c r="H264" s="27" t="s">
        <v>5715</v>
      </c>
      <c r="I264" s="28" t="s">
        <v>5716</v>
      </c>
      <c r="J264" s="27"/>
    </row>
    <row r="265" customFormat="false" ht="15" hidden="false" customHeight="true" outlineLevel="0" collapsed="false">
      <c r="A265" s="27" t="s">
        <v>1614</v>
      </c>
      <c r="B265" s="27" t="s">
        <v>478</v>
      </c>
      <c r="C265" s="28" t="s">
        <v>1615</v>
      </c>
      <c r="D265" s="28" t="s">
        <v>5712</v>
      </c>
      <c r="E265" s="28" t="s">
        <v>5713</v>
      </c>
      <c r="F265" s="28" t="s">
        <v>5630</v>
      </c>
      <c r="G265" s="28" t="s">
        <v>5714</v>
      </c>
      <c r="H265" s="27" t="s">
        <v>5715</v>
      </c>
      <c r="I265" s="28" t="s">
        <v>5716</v>
      </c>
      <c r="J265" s="27"/>
    </row>
    <row r="266" customFormat="false" ht="15" hidden="false" customHeight="true" outlineLevel="0" collapsed="false">
      <c r="A266" s="27" t="s">
        <v>1617</v>
      </c>
      <c r="B266" s="27" t="s">
        <v>478</v>
      </c>
      <c r="C266" s="28" t="s">
        <v>1618</v>
      </c>
      <c r="D266" s="28" t="s">
        <v>5727</v>
      </c>
      <c r="E266" s="28" t="s">
        <v>5639</v>
      </c>
      <c r="F266" s="28" t="s">
        <v>5640</v>
      </c>
      <c r="G266" s="28" t="s">
        <v>5714</v>
      </c>
      <c r="H266" s="27" t="s">
        <v>5715</v>
      </c>
      <c r="I266" s="28" t="s">
        <v>5716</v>
      </c>
      <c r="J266" s="27"/>
    </row>
    <row r="267" customFormat="false" ht="15" hidden="false" customHeight="true" outlineLevel="0" collapsed="false">
      <c r="A267" s="27" t="s">
        <v>1620</v>
      </c>
      <c r="B267" s="27" t="s">
        <v>478</v>
      </c>
      <c r="C267" s="28" t="s">
        <v>1621</v>
      </c>
      <c r="D267" s="28" t="s">
        <v>5698</v>
      </c>
      <c r="E267" s="28" t="s">
        <v>5686</v>
      </c>
      <c r="F267" s="28" t="s">
        <v>5640</v>
      </c>
      <c r="G267" s="28" t="s">
        <v>5714</v>
      </c>
      <c r="H267" s="27" t="s">
        <v>5715</v>
      </c>
      <c r="I267" s="28" t="s">
        <v>5716</v>
      </c>
      <c r="J267" s="27"/>
    </row>
    <row r="268" customFormat="false" ht="15" hidden="false" customHeight="true" outlineLevel="0" collapsed="false">
      <c r="A268" s="27" t="s">
        <v>1623</v>
      </c>
      <c r="B268" s="27" t="s">
        <v>478</v>
      </c>
      <c r="C268" s="28" t="s">
        <v>1624</v>
      </c>
      <c r="D268" s="28" t="s">
        <v>5698</v>
      </c>
      <c r="E268" s="28" t="s">
        <v>5686</v>
      </c>
      <c r="F268" s="28" t="s">
        <v>5640</v>
      </c>
      <c r="G268" s="28" t="s">
        <v>5714</v>
      </c>
      <c r="H268" s="27" t="s">
        <v>5715</v>
      </c>
      <c r="I268" s="28" t="s">
        <v>5716</v>
      </c>
      <c r="J268" s="27"/>
    </row>
    <row r="269" customFormat="false" ht="15" hidden="false" customHeight="true" outlineLevel="0" collapsed="false">
      <c r="A269" s="27" t="s">
        <v>1628</v>
      </c>
      <c r="B269" s="27" t="s">
        <v>478</v>
      </c>
      <c r="C269" s="28" t="s">
        <v>1629</v>
      </c>
      <c r="D269" s="28" t="s">
        <v>5728</v>
      </c>
      <c r="E269" s="28" t="s">
        <v>5639</v>
      </c>
      <c r="F269" s="28" t="s">
        <v>5640</v>
      </c>
      <c r="G269" s="28" t="s">
        <v>5714</v>
      </c>
      <c r="H269" s="27" t="s">
        <v>5715</v>
      </c>
      <c r="I269" s="28" t="s">
        <v>5716</v>
      </c>
      <c r="J269" s="27"/>
    </row>
    <row r="270" customFormat="false" ht="15" hidden="false" customHeight="true" outlineLevel="0" collapsed="false">
      <c r="A270" s="27" t="s">
        <v>1632</v>
      </c>
      <c r="B270" s="27" t="s">
        <v>478</v>
      </c>
      <c r="C270" s="28" t="s">
        <v>1633</v>
      </c>
      <c r="D270" s="28" t="s">
        <v>5727</v>
      </c>
      <c r="E270" s="28" t="s">
        <v>5639</v>
      </c>
      <c r="F270" s="28" t="s">
        <v>5640</v>
      </c>
      <c r="G270" s="28" t="s">
        <v>5714</v>
      </c>
      <c r="H270" s="27" t="s">
        <v>5715</v>
      </c>
      <c r="I270" s="28" t="s">
        <v>5716</v>
      </c>
      <c r="J270" s="27"/>
    </row>
    <row r="271" customFormat="false" ht="15" hidden="false" customHeight="true" outlineLevel="0" collapsed="false">
      <c r="A271" s="27" t="s">
        <v>1635</v>
      </c>
      <c r="B271" s="27" t="s">
        <v>478</v>
      </c>
      <c r="C271" s="28" t="s">
        <v>1636</v>
      </c>
      <c r="D271" s="28" t="s">
        <v>5717</v>
      </c>
      <c r="E271" s="28" t="s">
        <v>5718</v>
      </c>
      <c r="F271" s="28" t="s">
        <v>5640</v>
      </c>
      <c r="G271" s="28" t="s">
        <v>5714</v>
      </c>
      <c r="H271" s="27" t="s">
        <v>5715</v>
      </c>
      <c r="I271" s="28" t="s">
        <v>5716</v>
      </c>
      <c r="J271" s="27"/>
    </row>
    <row r="272" customFormat="false" ht="15" hidden="false" customHeight="true" outlineLevel="0" collapsed="false">
      <c r="A272" s="27" t="s">
        <v>1638</v>
      </c>
      <c r="B272" s="27" t="s">
        <v>478</v>
      </c>
      <c r="C272" s="28" t="s">
        <v>1639</v>
      </c>
      <c r="D272" s="28" t="s">
        <v>5729</v>
      </c>
      <c r="E272" s="28" t="s">
        <v>5656</v>
      </c>
      <c r="F272" s="28" t="s">
        <v>5640</v>
      </c>
      <c r="G272" s="28" t="s">
        <v>5714</v>
      </c>
      <c r="H272" s="27" t="s">
        <v>5715</v>
      </c>
      <c r="I272" s="28" t="s">
        <v>5716</v>
      </c>
      <c r="J272" s="27"/>
    </row>
    <row r="273" customFormat="false" ht="15" hidden="false" customHeight="true" outlineLevel="0" collapsed="false">
      <c r="A273" s="27" t="s">
        <v>1642</v>
      </c>
      <c r="B273" s="27" t="s">
        <v>478</v>
      </c>
      <c r="C273" s="28" t="s">
        <v>1643</v>
      </c>
      <c r="D273" s="28" t="s">
        <v>5710</v>
      </c>
      <c r="E273" s="28" t="s">
        <v>5711</v>
      </c>
      <c r="F273" s="28" t="s">
        <v>5640</v>
      </c>
      <c r="G273" s="28" t="s">
        <v>5714</v>
      </c>
      <c r="H273" s="27" t="s">
        <v>5715</v>
      </c>
      <c r="I273" s="28" t="s">
        <v>5716</v>
      </c>
      <c r="J273" s="27"/>
    </row>
    <row r="274" customFormat="false" ht="15" hidden="false" customHeight="true" outlineLevel="0" collapsed="false">
      <c r="A274" s="27" t="s">
        <v>1645</v>
      </c>
      <c r="B274" s="27" t="s">
        <v>478</v>
      </c>
      <c r="C274" s="28" t="s">
        <v>1646</v>
      </c>
      <c r="D274" s="28" t="s">
        <v>5698</v>
      </c>
      <c r="E274" s="28" t="s">
        <v>5686</v>
      </c>
      <c r="F274" s="28" t="s">
        <v>5640</v>
      </c>
      <c r="G274" s="28" t="s">
        <v>5714</v>
      </c>
      <c r="H274" s="27" t="s">
        <v>5715</v>
      </c>
      <c r="I274" s="28" t="s">
        <v>5716</v>
      </c>
      <c r="J274" s="27"/>
    </row>
    <row r="275" customFormat="false" ht="15" hidden="false" customHeight="true" outlineLevel="0" collapsed="false">
      <c r="A275" s="27" t="s">
        <v>1648</v>
      </c>
      <c r="B275" s="27" t="s">
        <v>478</v>
      </c>
      <c r="C275" s="28" t="s">
        <v>1649</v>
      </c>
      <c r="D275" s="28" t="s">
        <v>5727</v>
      </c>
      <c r="E275" s="28" t="s">
        <v>5639</v>
      </c>
      <c r="F275" s="28" t="s">
        <v>5640</v>
      </c>
      <c r="G275" s="28" t="s">
        <v>5714</v>
      </c>
      <c r="H275" s="27" t="s">
        <v>5715</v>
      </c>
      <c r="I275" s="28" t="s">
        <v>5716</v>
      </c>
      <c r="J275" s="27"/>
    </row>
    <row r="276" customFormat="false" ht="15" hidden="false" customHeight="true" outlineLevel="0" collapsed="false">
      <c r="A276" s="27" t="s">
        <v>1651</v>
      </c>
      <c r="B276" s="27" t="s">
        <v>478</v>
      </c>
      <c r="C276" s="28" t="s">
        <v>1652</v>
      </c>
      <c r="D276" s="28" t="s">
        <v>5698</v>
      </c>
      <c r="E276" s="28" t="s">
        <v>5686</v>
      </c>
      <c r="F276" s="28" t="s">
        <v>5640</v>
      </c>
      <c r="G276" s="28" t="s">
        <v>5714</v>
      </c>
      <c r="H276" s="27" t="s">
        <v>5715</v>
      </c>
      <c r="I276" s="28" t="s">
        <v>5716</v>
      </c>
      <c r="J276" s="27"/>
    </row>
    <row r="277" customFormat="false" ht="15" hidden="false" customHeight="true" outlineLevel="0" collapsed="false">
      <c r="A277" s="27" t="s">
        <v>1654</v>
      </c>
      <c r="B277" s="27" t="s">
        <v>478</v>
      </c>
      <c r="C277" s="28" t="s">
        <v>1655</v>
      </c>
      <c r="D277" s="28" t="s">
        <v>5712</v>
      </c>
      <c r="E277" s="28" t="s">
        <v>5713</v>
      </c>
      <c r="F277" s="28" t="s">
        <v>5630</v>
      </c>
      <c r="G277" s="28" t="s">
        <v>5714</v>
      </c>
      <c r="H277" s="27" t="s">
        <v>5715</v>
      </c>
      <c r="I277" s="28" t="s">
        <v>5716</v>
      </c>
      <c r="J277" s="27"/>
    </row>
    <row r="278" customFormat="false" ht="15" hidden="false" customHeight="true" outlineLevel="0" collapsed="false">
      <c r="A278" s="27" t="s">
        <v>1658</v>
      </c>
      <c r="B278" s="27" t="s">
        <v>478</v>
      </c>
      <c r="C278" s="28" t="s">
        <v>1659</v>
      </c>
      <c r="D278" s="28" t="s">
        <v>5710</v>
      </c>
      <c r="E278" s="28" t="s">
        <v>5711</v>
      </c>
      <c r="F278" s="28" t="s">
        <v>5640</v>
      </c>
      <c r="G278" s="28" t="s">
        <v>5714</v>
      </c>
      <c r="H278" s="27" t="s">
        <v>5715</v>
      </c>
      <c r="I278" s="28" t="s">
        <v>5716</v>
      </c>
      <c r="J278" s="27"/>
    </row>
    <row r="279" customFormat="false" ht="15" hidden="false" customHeight="true" outlineLevel="0" collapsed="false">
      <c r="A279" s="27" t="s">
        <v>1661</v>
      </c>
      <c r="B279" s="27" t="s">
        <v>478</v>
      </c>
      <c r="C279" s="28" t="s">
        <v>1662</v>
      </c>
      <c r="D279" s="28" t="s">
        <v>5710</v>
      </c>
      <c r="E279" s="28" t="s">
        <v>5711</v>
      </c>
      <c r="F279" s="28" t="s">
        <v>5640</v>
      </c>
      <c r="G279" s="28" t="s">
        <v>5714</v>
      </c>
      <c r="H279" s="27" t="s">
        <v>5715</v>
      </c>
      <c r="I279" s="28" t="s">
        <v>5716</v>
      </c>
      <c r="J279" s="27"/>
    </row>
    <row r="280" customFormat="false" ht="15" hidden="false" customHeight="true" outlineLevel="0" collapsed="false">
      <c r="A280" s="27" t="s">
        <v>1664</v>
      </c>
      <c r="B280" s="27" t="s">
        <v>478</v>
      </c>
      <c r="C280" s="28" t="s">
        <v>1665</v>
      </c>
      <c r="D280" s="28" t="s">
        <v>5728</v>
      </c>
      <c r="E280" s="28" t="s">
        <v>5639</v>
      </c>
      <c r="F280" s="28" t="s">
        <v>5640</v>
      </c>
      <c r="G280" s="28" t="s">
        <v>5714</v>
      </c>
      <c r="H280" s="27" t="s">
        <v>5715</v>
      </c>
      <c r="I280" s="28" t="s">
        <v>5716</v>
      </c>
      <c r="J280" s="27"/>
    </row>
    <row r="281" customFormat="false" ht="15" hidden="false" customHeight="true" outlineLevel="0" collapsed="false">
      <c r="A281" s="27" t="s">
        <v>1667</v>
      </c>
      <c r="B281" s="27" t="s">
        <v>478</v>
      </c>
      <c r="C281" s="28" t="s">
        <v>1668</v>
      </c>
      <c r="D281" s="28" t="s">
        <v>5698</v>
      </c>
      <c r="E281" s="28" t="s">
        <v>5686</v>
      </c>
      <c r="F281" s="28" t="s">
        <v>5640</v>
      </c>
      <c r="G281" s="28" t="s">
        <v>5714</v>
      </c>
      <c r="H281" s="27" t="s">
        <v>5715</v>
      </c>
      <c r="I281" s="28" t="s">
        <v>5716</v>
      </c>
      <c r="J281" s="27"/>
    </row>
    <row r="282" customFormat="false" ht="15" hidden="false" customHeight="true" outlineLevel="0" collapsed="false">
      <c r="A282" s="27" t="s">
        <v>1670</v>
      </c>
      <c r="B282" s="27" t="s">
        <v>478</v>
      </c>
      <c r="C282" s="28" t="s">
        <v>1671</v>
      </c>
      <c r="D282" s="28" t="s">
        <v>5712</v>
      </c>
      <c r="E282" s="28" t="s">
        <v>5713</v>
      </c>
      <c r="F282" s="28" t="s">
        <v>5630</v>
      </c>
      <c r="G282" s="28" t="s">
        <v>5714</v>
      </c>
      <c r="H282" s="27" t="s">
        <v>5715</v>
      </c>
      <c r="I282" s="28" t="s">
        <v>5716</v>
      </c>
      <c r="J282" s="27"/>
    </row>
    <row r="283" customFormat="false" ht="15" hidden="false" customHeight="true" outlineLevel="0" collapsed="false">
      <c r="A283" s="27" t="s">
        <v>1674</v>
      </c>
      <c r="B283" s="27" t="s">
        <v>478</v>
      </c>
      <c r="C283" s="28" t="s">
        <v>1675</v>
      </c>
      <c r="D283" s="28" t="s">
        <v>5728</v>
      </c>
      <c r="E283" s="28" t="s">
        <v>5639</v>
      </c>
      <c r="F283" s="28" t="s">
        <v>5640</v>
      </c>
      <c r="G283" s="28" t="s">
        <v>5714</v>
      </c>
      <c r="H283" s="27" t="s">
        <v>5715</v>
      </c>
      <c r="I283" s="28" t="s">
        <v>5716</v>
      </c>
      <c r="J283" s="27"/>
    </row>
    <row r="284" customFormat="false" ht="15" hidden="false" customHeight="true" outlineLevel="0" collapsed="false">
      <c r="A284" s="27" t="s">
        <v>1679</v>
      </c>
      <c r="B284" s="27" t="s">
        <v>478</v>
      </c>
      <c r="C284" s="28" t="s">
        <v>1680</v>
      </c>
      <c r="D284" s="28" t="s">
        <v>5728</v>
      </c>
      <c r="E284" s="28" t="s">
        <v>5639</v>
      </c>
      <c r="F284" s="28" t="s">
        <v>5640</v>
      </c>
      <c r="G284" s="28" t="s">
        <v>5714</v>
      </c>
      <c r="H284" s="27" t="s">
        <v>5715</v>
      </c>
      <c r="I284" s="28" t="s">
        <v>5716</v>
      </c>
      <c r="J284" s="27"/>
    </row>
    <row r="285" customFormat="false" ht="15" hidden="false" customHeight="true" outlineLevel="0" collapsed="false">
      <c r="A285" s="27" t="s">
        <v>1682</v>
      </c>
      <c r="B285" s="27" t="s">
        <v>478</v>
      </c>
      <c r="C285" s="28" t="s">
        <v>1683</v>
      </c>
      <c r="D285" s="28" t="s">
        <v>5712</v>
      </c>
      <c r="E285" s="28" t="s">
        <v>5713</v>
      </c>
      <c r="F285" s="28" t="s">
        <v>5630</v>
      </c>
      <c r="G285" s="28" t="s">
        <v>5714</v>
      </c>
      <c r="H285" s="27" t="s">
        <v>5715</v>
      </c>
      <c r="I285" s="28" t="s">
        <v>5716</v>
      </c>
      <c r="J285" s="27"/>
    </row>
    <row r="286" customFormat="false" ht="15" hidden="false" customHeight="true" outlineLevel="0" collapsed="false">
      <c r="A286" s="27" t="s">
        <v>1685</v>
      </c>
      <c r="B286" s="27" t="s">
        <v>478</v>
      </c>
      <c r="C286" s="28" t="s">
        <v>1686</v>
      </c>
      <c r="D286" s="28" t="s">
        <v>5698</v>
      </c>
      <c r="E286" s="28" t="s">
        <v>5686</v>
      </c>
      <c r="F286" s="28" t="s">
        <v>5640</v>
      </c>
      <c r="G286" s="28" t="s">
        <v>5714</v>
      </c>
      <c r="H286" s="27" t="s">
        <v>5715</v>
      </c>
      <c r="I286" s="28" t="s">
        <v>5716</v>
      </c>
      <c r="J286" s="27"/>
    </row>
    <row r="287" customFormat="false" ht="15" hidden="false" customHeight="true" outlineLevel="0" collapsed="false">
      <c r="A287" s="27" t="s">
        <v>1688</v>
      </c>
      <c r="B287" s="27" t="s">
        <v>478</v>
      </c>
      <c r="C287" s="28" t="s">
        <v>1689</v>
      </c>
      <c r="D287" s="28" t="s">
        <v>5728</v>
      </c>
      <c r="E287" s="28" t="s">
        <v>5639</v>
      </c>
      <c r="F287" s="28" t="s">
        <v>5640</v>
      </c>
      <c r="G287" s="28" t="s">
        <v>5714</v>
      </c>
      <c r="H287" s="27" t="s">
        <v>5715</v>
      </c>
      <c r="I287" s="28" t="s">
        <v>5716</v>
      </c>
      <c r="J287" s="27"/>
    </row>
    <row r="288" customFormat="false" ht="15" hidden="false" customHeight="true" outlineLevel="0" collapsed="false">
      <c r="A288" s="27" t="s">
        <v>1691</v>
      </c>
      <c r="B288" s="27" t="s">
        <v>478</v>
      </c>
      <c r="C288" s="28" t="s">
        <v>1692</v>
      </c>
      <c r="D288" s="28" t="s">
        <v>5698</v>
      </c>
      <c r="E288" s="28" t="s">
        <v>5686</v>
      </c>
      <c r="F288" s="28" t="s">
        <v>5640</v>
      </c>
      <c r="G288" s="28" t="s">
        <v>5714</v>
      </c>
      <c r="H288" s="27" t="s">
        <v>5715</v>
      </c>
      <c r="I288" s="28" t="s">
        <v>5716</v>
      </c>
      <c r="J288" s="27"/>
    </row>
    <row r="289" customFormat="false" ht="15" hidden="false" customHeight="true" outlineLevel="0" collapsed="false">
      <c r="A289" s="27" t="s">
        <v>1694</v>
      </c>
      <c r="B289" s="27" t="s">
        <v>478</v>
      </c>
      <c r="C289" s="28" t="s">
        <v>1695</v>
      </c>
      <c r="D289" s="28" t="s">
        <v>5728</v>
      </c>
      <c r="E289" s="28" t="s">
        <v>5639</v>
      </c>
      <c r="F289" s="28" t="s">
        <v>5640</v>
      </c>
      <c r="G289" s="28" t="s">
        <v>5714</v>
      </c>
      <c r="H289" s="27" t="s">
        <v>5715</v>
      </c>
      <c r="I289" s="28" t="s">
        <v>5716</v>
      </c>
      <c r="J289" s="27"/>
    </row>
    <row r="290" customFormat="false" ht="15" hidden="false" customHeight="true" outlineLevel="0" collapsed="false">
      <c r="A290" s="27" t="s">
        <v>1697</v>
      </c>
      <c r="B290" s="27" t="s">
        <v>478</v>
      </c>
      <c r="C290" s="28" t="s">
        <v>1698</v>
      </c>
      <c r="D290" s="28" t="s">
        <v>5730</v>
      </c>
      <c r="E290" s="28" t="s">
        <v>5731</v>
      </c>
      <c r="F290" s="28" t="s">
        <v>5640</v>
      </c>
      <c r="G290" s="28" t="s">
        <v>5714</v>
      </c>
      <c r="H290" s="27" t="s">
        <v>5715</v>
      </c>
      <c r="I290" s="28" t="s">
        <v>5716</v>
      </c>
      <c r="J290" s="27"/>
    </row>
    <row r="291" customFormat="false" ht="15" hidden="false" customHeight="true" outlineLevel="0" collapsed="false">
      <c r="A291" s="27" t="s">
        <v>1700</v>
      </c>
      <c r="B291" s="27" t="s">
        <v>478</v>
      </c>
      <c r="C291" s="28" t="s">
        <v>1701</v>
      </c>
      <c r="D291" s="28" t="s">
        <v>5728</v>
      </c>
      <c r="E291" s="28" t="s">
        <v>5639</v>
      </c>
      <c r="F291" s="28" t="s">
        <v>5640</v>
      </c>
      <c r="G291" s="28" t="s">
        <v>5714</v>
      </c>
      <c r="H291" s="27" t="s">
        <v>5715</v>
      </c>
      <c r="I291" s="28" t="s">
        <v>5716</v>
      </c>
      <c r="J291" s="27"/>
    </row>
    <row r="292" customFormat="false" ht="15" hidden="false" customHeight="true" outlineLevel="0" collapsed="false">
      <c r="A292" s="27" t="s">
        <v>1703</v>
      </c>
      <c r="B292" s="27" t="s">
        <v>478</v>
      </c>
      <c r="C292" s="28" t="s">
        <v>1704</v>
      </c>
      <c r="D292" s="28" t="s">
        <v>5712</v>
      </c>
      <c r="E292" s="28" t="s">
        <v>5713</v>
      </c>
      <c r="F292" s="28" t="s">
        <v>5630</v>
      </c>
      <c r="G292" s="28" t="s">
        <v>5714</v>
      </c>
      <c r="H292" s="27" t="s">
        <v>5715</v>
      </c>
      <c r="I292" s="28" t="s">
        <v>5716</v>
      </c>
      <c r="J292" s="27"/>
    </row>
    <row r="293" customFormat="false" ht="15" hidden="false" customHeight="true" outlineLevel="0" collapsed="false">
      <c r="A293" s="27" t="s">
        <v>1707</v>
      </c>
      <c r="B293" s="27" t="s">
        <v>478</v>
      </c>
      <c r="C293" s="28" t="s">
        <v>1708</v>
      </c>
      <c r="D293" s="28" t="s">
        <v>5698</v>
      </c>
      <c r="E293" s="28" t="s">
        <v>5686</v>
      </c>
      <c r="F293" s="28" t="s">
        <v>5640</v>
      </c>
      <c r="G293" s="28" t="s">
        <v>5714</v>
      </c>
      <c r="H293" s="27" t="s">
        <v>5715</v>
      </c>
      <c r="I293" s="28" t="s">
        <v>5716</v>
      </c>
      <c r="J293" s="27"/>
    </row>
    <row r="294" customFormat="false" ht="15" hidden="false" customHeight="true" outlineLevel="0" collapsed="false">
      <c r="A294" s="27" t="s">
        <v>1710</v>
      </c>
      <c r="B294" s="27" t="s">
        <v>478</v>
      </c>
      <c r="C294" s="28" t="s">
        <v>1711</v>
      </c>
      <c r="D294" s="28" t="s">
        <v>5680</v>
      </c>
      <c r="E294" s="28" t="s">
        <v>5681</v>
      </c>
      <c r="F294" s="28" t="s">
        <v>5640</v>
      </c>
      <c r="G294" s="28" t="s">
        <v>5714</v>
      </c>
      <c r="H294" s="27" t="s">
        <v>5715</v>
      </c>
      <c r="I294" s="28" t="s">
        <v>5716</v>
      </c>
      <c r="J294" s="27"/>
    </row>
    <row r="295" customFormat="false" ht="15" hidden="false" customHeight="true" outlineLevel="0" collapsed="false">
      <c r="A295" s="27" t="s">
        <v>1713</v>
      </c>
      <c r="B295" s="27" t="s">
        <v>478</v>
      </c>
      <c r="C295" s="28" t="s">
        <v>1714</v>
      </c>
      <c r="D295" s="28" t="s">
        <v>5732</v>
      </c>
      <c r="E295" s="28" t="s">
        <v>5639</v>
      </c>
      <c r="F295" s="28" t="s">
        <v>5640</v>
      </c>
      <c r="G295" s="28" t="s">
        <v>5714</v>
      </c>
      <c r="H295" s="27" t="s">
        <v>5715</v>
      </c>
      <c r="I295" s="28" t="s">
        <v>5716</v>
      </c>
      <c r="J295" s="27"/>
    </row>
    <row r="296" customFormat="false" ht="15" hidden="false" customHeight="true" outlineLevel="0" collapsed="false">
      <c r="A296" s="27" t="s">
        <v>1716</v>
      </c>
      <c r="B296" s="27" t="s">
        <v>478</v>
      </c>
      <c r="C296" s="28" t="s">
        <v>1717</v>
      </c>
      <c r="D296" s="28" t="s">
        <v>5712</v>
      </c>
      <c r="E296" s="28" t="s">
        <v>5713</v>
      </c>
      <c r="F296" s="28" t="s">
        <v>5630</v>
      </c>
      <c r="G296" s="28" t="s">
        <v>5714</v>
      </c>
      <c r="H296" s="27" t="s">
        <v>5715</v>
      </c>
      <c r="I296" s="28" t="s">
        <v>5716</v>
      </c>
      <c r="J296" s="27"/>
    </row>
    <row r="297" customFormat="false" ht="15" hidden="false" customHeight="true" outlineLevel="0" collapsed="false">
      <c r="A297" s="27" t="s">
        <v>1719</v>
      </c>
      <c r="B297" s="27" t="s">
        <v>478</v>
      </c>
      <c r="C297" s="28" t="s">
        <v>1720</v>
      </c>
      <c r="D297" s="28" t="s">
        <v>5728</v>
      </c>
      <c r="E297" s="28" t="s">
        <v>5639</v>
      </c>
      <c r="F297" s="28" t="s">
        <v>5640</v>
      </c>
      <c r="G297" s="28" t="s">
        <v>5714</v>
      </c>
      <c r="H297" s="27" t="s">
        <v>5715</v>
      </c>
      <c r="I297" s="28" t="s">
        <v>5716</v>
      </c>
      <c r="J297" s="27"/>
    </row>
    <row r="298" customFormat="false" ht="15" hidden="false" customHeight="true" outlineLevel="0" collapsed="false">
      <c r="A298" s="27" t="s">
        <v>1722</v>
      </c>
      <c r="B298" s="27" t="s">
        <v>478</v>
      </c>
      <c r="C298" s="28" t="s">
        <v>1723</v>
      </c>
      <c r="D298" s="28" t="s">
        <v>5727</v>
      </c>
      <c r="E298" s="28" t="s">
        <v>5639</v>
      </c>
      <c r="F298" s="28" t="s">
        <v>5640</v>
      </c>
      <c r="G298" s="28" t="s">
        <v>5714</v>
      </c>
      <c r="H298" s="27" t="s">
        <v>5715</v>
      </c>
      <c r="I298" s="28" t="s">
        <v>5716</v>
      </c>
      <c r="J298" s="27"/>
    </row>
    <row r="299" customFormat="false" ht="15" hidden="false" customHeight="true" outlineLevel="0" collapsed="false">
      <c r="A299" s="27" t="s">
        <v>1725</v>
      </c>
      <c r="B299" s="27" t="s">
        <v>478</v>
      </c>
      <c r="C299" s="28" t="s">
        <v>1726</v>
      </c>
      <c r="D299" s="28" t="s">
        <v>5730</v>
      </c>
      <c r="E299" s="28" t="s">
        <v>5731</v>
      </c>
      <c r="F299" s="28" t="s">
        <v>5640</v>
      </c>
      <c r="G299" s="28" t="s">
        <v>5714</v>
      </c>
      <c r="H299" s="27" t="s">
        <v>5715</v>
      </c>
      <c r="I299" s="28" t="s">
        <v>5716</v>
      </c>
      <c r="J299" s="27"/>
    </row>
    <row r="300" customFormat="false" ht="15" hidden="false" customHeight="true" outlineLevel="0" collapsed="false">
      <c r="A300" s="27" t="s">
        <v>1728</v>
      </c>
      <c r="B300" s="27" t="s">
        <v>478</v>
      </c>
      <c r="C300" s="28" t="s">
        <v>1729</v>
      </c>
      <c r="D300" s="28" t="s">
        <v>5729</v>
      </c>
      <c r="E300" s="28" t="s">
        <v>5656</v>
      </c>
      <c r="F300" s="28" t="s">
        <v>5640</v>
      </c>
      <c r="G300" s="28" t="s">
        <v>5714</v>
      </c>
      <c r="H300" s="27" t="s">
        <v>5715</v>
      </c>
      <c r="I300" s="28" t="s">
        <v>5716</v>
      </c>
      <c r="J300" s="27"/>
    </row>
    <row r="301" customFormat="false" ht="15" hidden="false" customHeight="true" outlineLevel="0" collapsed="false">
      <c r="A301" s="27" t="s">
        <v>1731</v>
      </c>
      <c r="B301" s="27" t="s">
        <v>478</v>
      </c>
      <c r="C301" s="28" t="s">
        <v>1732</v>
      </c>
      <c r="D301" s="28" t="s">
        <v>5732</v>
      </c>
      <c r="E301" s="28" t="s">
        <v>5639</v>
      </c>
      <c r="F301" s="28" t="s">
        <v>5640</v>
      </c>
      <c r="G301" s="28" t="s">
        <v>5714</v>
      </c>
      <c r="H301" s="27" t="s">
        <v>5715</v>
      </c>
      <c r="I301" s="28" t="s">
        <v>5716</v>
      </c>
      <c r="J301" s="27"/>
    </row>
    <row r="302" customFormat="false" ht="15" hidden="false" customHeight="true" outlineLevel="0" collapsed="false">
      <c r="A302" s="27" t="s">
        <v>1734</v>
      </c>
      <c r="B302" s="27" t="s">
        <v>478</v>
      </c>
      <c r="C302" s="28" t="s">
        <v>1735</v>
      </c>
      <c r="D302" s="28" t="s">
        <v>5712</v>
      </c>
      <c r="E302" s="28" t="s">
        <v>5713</v>
      </c>
      <c r="F302" s="28" t="s">
        <v>5630</v>
      </c>
      <c r="G302" s="28" t="s">
        <v>5714</v>
      </c>
      <c r="H302" s="27" t="s">
        <v>5715</v>
      </c>
      <c r="I302" s="28" t="s">
        <v>5716</v>
      </c>
      <c r="J302" s="27"/>
    </row>
    <row r="303" customFormat="false" ht="15" hidden="false" customHeight="true" outlineLevel="0" collapsed="false">
      <c r="A303" s="27" t="s">
        <v>1737</v>
      </c>
      <c r="B303" s="27" t="s">
        <v>478</v>
      </c>
      <c r="C303" s="28" t="s">
        <v>1738</v>
      </c>
      <c r="D303" s="28" t="s">
        <v>5717</v>
      </c>
      <c r="E303" s="28" t="s">
        <v>5718</v>
      </c>
      <c r="F303" s="28" t="s">
        <v>5640</v>
      </c>
      <c r="G303" s="28" t="s">
        <v>5714</v>
      </c>
      <c r="H303" s="27" t="s">
        <v>5715</v>
      </c>
      <c r="I303" s="28" t="s">
        <v>5716</v>
      </c>
      <c r="J303" s="27"/>
    </row>
    <row r="304" customFormat="false" ht="15" hidden="false" customHeight="true" outlineLevel="0" collapsed="false">
      <c r="A304" s="27" t="s">
        <v>1740</v>
      </c>
      <c r="B304" s="27" t="s">
        <v>478</v>
      </c>
      <c r="C304" s="28" t="s">
        <v>1741</v>
      </c>
      <c r="D304" s="28" t="s">
        <v>5692</v>
      </c>
      <c r="E304" s="28" t="s">
        <v>5693</v>
      </c>
      <c r="F304" s="28" t="s">
        <v>5640</v>
      </c>
      <c r="G304" s="28" t="s">
        <v>5714</v>
      </c>
      <c r="H304" s="27" t="s">
        <v>5715</v>
      </c>
      <c r="I304" s="28" t="s">
        <v>5716</v>
      </c>
      <c r="J304" s="27"/>
    </row>
    <row r="305" customFormat="false" ht="15" hidden="false" customHeight="true" outlineLevel="0" collapsed="false">
      <c r="A305" s="27" t="s">
        <v>1743</v>
      </c>
      <c r="B305" s="27" t="s">
        <v>478</v>
      </c>
      <c r="C305" s="28" t="s">
        <v>1744</v>
      </c>
      <c r="D305" s="28" t="s">
        <v>5709</v>
      </c>
      <c r="E305" s="28" t="s">
        <v>5639</v>
      </c>
      <c r="F305" s="28" t="s">
        <v>5640</v>
      </c>
      <c r="G305" s="28" t="s">
        <v>5714</v>
      </c>
      <c r="H305" s="27" t="s">
        <v>5715</v>
      </c>
      <c r="I305" s="28" t="s">
        <v>5716</v>
      </c>
      <c r="J305" s="27"/>
    </row>
    <row r="306" customFormat="false" ht="15" hidden="false" customHeight="true" outlineLevel="0" collapsed="false">
      <c r="A306" s="27" t="s">
        <v>1759</v>
      </c>
      <c r="B306" s="27" t="s">
        <v>487</v>
      </c>
      <c r="C306" s="28" t="s">
        <v>1760</v>
      </c>
      <c r="D306" s="28" t="s">
        <v>5682</v>
      </c>
      <c r="E306" s="28" t="s">
        <v>5683</v>
      </c>
      <c r="F306" s="28" t="s">
        <v>5640</v>
      </c>
      <c r="G306" s="28" t="s">
        <v>5733</v>
      </c>
      <c r="H306" s="27" t="s">
        <v>5632</v>
      </c>
      <c r="I306" s="28" t="s">
        <v>5734</v>
      </c>
      <c r="J306" s="27"/>
    </row>
    <row r="307" customFormat="false" ht="15" hidden="false" customHeight="true" outlineLevel="0" collapsed="false">
      <c r="A307" s="27" t="s">
        <v>1762</v>
      </c>
      <c r="B307" s="27" t="s">
        <v>487</v>
      </c>
      <c r="C307" s="28" t="s">
        <v>1763</v>
      </c>
      <c r="D307" s="28" t="s">
        <v>5682</v>
      </c>
      <c r="E307" s="28" t="s">
        <v>5683</v>
      </c>
      <c r="F307" s="28" t="s">
        <v>5640</v>
      </c>
      <c r="G307" s="28" t="s">
        <v>5733</v>
      </c>
      <c r="H307" s="27" t="s">
        <v>5632</v>
      </c>
      <c r="I307" s="28" t="s">
        <v>5734</v>
      </c>
      <c r="J307" s="28" t="s">
        <v>5735</v>
      </c>
    </row>
    <row r="308" customFormat="false" ht="15" hidden="false" customHeight="true" outlineLevel="0" collapsed="false">
      <c r="A308" s="27" t="s">
        <v>1765</v>
      </c>
      <c r="B308" s="27" t="s">
        <v>487</v>
      </c>
      <c r="C308" s="27" t="s">
        <v>1766</v>
      </c>
      <c r="D308" s="28" t="s">
        <v>5682</v>
      </c>
      <c r="E308" s="28" t="s">
        <v>5683</v>
      </c>
      <c r="F308" s="28" t="s">
        <v>5640</v>
      </c>
      <c r="G308" s="28" t="s">
        <v>5733</v>
      </c>
      <c r="H308" s="27" t="s">
        <v>5632</v>
      </c>
      <c r="I308" s="28" t="s">
        <v>5734</v>
      </c>
      <c r="J308" s="27"/>
    </row>
    <row r="309" customFormat="false" ht="15" hidden="false" customHeight="true" outlineLevel="0" collapsed="false">
      <c r="A309" s="27" t="s">
        <v>1768</v>
      </c>
      <c r="B309" s="27" t="s">
        <v>487</v>
      </c>
      <c r="C309" s="28" t="s">
        <v>1769</v>
      </c>
      <c r="D309" s="28" t="s">
        <v>5736</v>
      </c>
      <c r="E309" s="28" t="s">
        <v>5737</v>
      </c>
      <c r="F309" s="28" t="s">
        <v>5630</v>
      </c>
      <c r="G309" s="28" t="s">
        <v>5733</v>
      </c>
      <c r="H309" s="27" t="s">
        <v>5632</v>
      </c>
      <c r="I309" s="28" t="s">
        <v>5734</v>
      </c>
      <c r="J309" s="27"/>
    </row>
    <row r="310" customFormat="false" ht="15" hidden="false" customHeight="true" outlineLevel="0" collapsed="false">
      <c r="A310" s="27" t="s">
        <v>1771</v>
      </c>
      <c r="B310" s="27" t="s">
        <v>487</v>
      </c>
      <c r="C310" s="28" t="s">
        <v>1772</v>
      </c>
      <c r="D310" s="28" t="s">
        <v>5682</v>
      </c>
      <c r="E310" s="28" t="s">
        <v>5683</v>
      </c>
      <c r="F310" s="28" t="s">
        <v>5640</v>
      </c>
      <c r="G310" s="28" t="s">
        <v>5733</v>
      </c>
      <c r="H310" s="27" t="s">
        <v>5632</v>
      </c>
      <c r="I310" s="28" t="s">
        <v>5734</v>
      </c>
      <c r="J310" s="27"/>
    </row>
    <row r="311" customFormat="false" ht="15" hidden="false" customHeight="true" outlineLevel="0" collapsed="false">
      <c r="A311" s="27" t="s">
        <v>1774</v>
      </c>
      <c r="B311" s="27" t="s">
        <v>487</v>
      </c>
      <c r="C311" s="28" t="s">
        <v>1775</v>
      </c>
      <c r="D311" s="28" t="s">
        <v>5736</v>
      </c>
      <c r="E311" s="28" t="s">
        <v>5737</v>
      </c>
      <c r="F311" s="28" t="s">
        <v>5630</v>
      </c>
      <c r="G311" s="28" t="s">
        <v>5733</v>
      </c>
      <c r="H311" s="27" t="s">
        <v>5632</v>
      </c>
      <c r="I311" s="28" t="s">
        <v>5734</v>
      </c>
      <c r="J311" s="27"/>
    </row>
    <row r="312" customFormat="false" ht="15" hidden="false" customHeight="true" outlineLevel="0" collapsed="false">
      <c r="A312" s="27" t="s">
        <v>1777</v>
      </c>
      <c r="B312" s="27" t="s">
        <v>487</v>
      </c>
      <c r="C312" s="28" t="s">
        <v>1778</v>
      </c>
      <c r="D312" s="28" t="s">
        <v>5736</v>
      </c>
      <c r="E312" s="28" t="s">
        <v>5737</v>
      </c>
      <c r="F312" s="28" t="s">
        <v>5630</v>
      </c>
      <c r="G312" s="28" t="s">
        <v>5733</v>
      </c>
      <c r="H312" s="27" t="s">
        <v>5632</v>
      </c>
      <c r="I312" s="28" t="s">
        <v>5734</v>
      </c>
      <c r="J312" s="27"/>
    </row>
    <row r="313" customFormat="false" ht="15" hidden="false" customHeight="true" outlineLevel="0" collapsed="false">
      <c r="A313" s="27" t="s">
        <v>1780</v>
      </c>
      <c r="B313" s="27" t="s">
        <v>487</v>
      </c>
      <c r="C313" s="28" t="s">
        <v>1781</v>
      </c>
      <c r="D313" s="28" t="s">
        <v>5736</v>
      </c>
      <c r="E313" s="28" t="s">
        <v>5737</v>
      </c>
      <c r="F313" s="28" t="s">
        <v>5630</v>
      </c>
      <c r="G313" s="28" t="s">
        <v>5733</v>
      </c>
      <c r="H313" s="27" t="s">
        <v>5632</v>
      </c>
      <c r="I313" s="28" t="s">
        <v>5734</v>
      </c>
      <c r="J313" s="27"/>
    </row>
    <row r="314" customFormat="false" ht="15" hidden="false" customHeight="true" outlineLevel="0" collapsed="false">
      <c r="A314" s="27" t="s">
        <v>1783</v>
      </c>
      <c r="B314" s="27" t="s">
        <v>487</v>
      </c>
      <c r="C314" s="28" t="s">
        <v>1784</v>
      </c>
      <c r="D314" s="28" t="s">
        <v>5738</v>
      </c>
      <c r="E314" s="28" t="s">
        <v>5688</v>
      </c>
      <c r="F314" s="28" t="s">
        <v>5640</v>
      </c>
      <c r="G314" s="28" t="s">
        <v>5733</v>
      </c>
      <c r="H314" s="27" t="s">
        <v>5632</v>
      </c>
      <c r="I314" s="28" t="s">
        <v>5734</v>
      </c>
      <c r="J314" s="27"/>
    </row>
    <row r="315" customFormat="false" ht="15" hidden="false" customHeight="true" outlineLevel="0" collapsed="false">
      <c r="A315" s="27" t="s">
        <v>1786</v>
      </c>
      <c r="B315" s="27" t="s">
        <v>487</v>
      </c>
      <c r="C315" s="27" t="s">
        <v>1787</v>
      </c>
      <c r="D315" s="28" t="s">
        <v>5736</v>
      </c>
      <c r="E315" s="28" t="s">
        <v>5737</v>
      </c>
      <c r="F315" s="28" t="s">
        <v>5630</v>
      </c>
      <c r="G315" s="28" t="s">
        <v>5733</v>
      </c>
      <c r="H315" s="27" t="s">
        <v>5632</v>
      </c>
      <c r="I315" s="28" t="s">
        <v>5734</v>
      </c>
      <c r="J315" s="27"/>
    </row>
    <row r="316" customFormat="false" ht="15" hidden="false" customHeight="true" outlineLevel="0" collapsed="false">
      <c r="A316" s="27" t="s">
        <v>1789</v>
      </c>
      <c r="B316" s="27" t="s">
        <v>487</v>
      </c>
      <c r="C316" s="27" t="s">
        <v>1790</v>
      </c>
      <c r="D316" s="28" t="s">
        <v>5736</v>
      </c>
      <c r="E316" s="28" t="s">
        <v>5737</v>
      </c>
      <c r="F316" s="28" t="s">
        <v>5630</v>
      </c>
      <c r="G316" s="28" t="s">
        <v>5733</v>
      </c>
      <c r="H316" s="27" t="s">
        <v>5632</v>
      </c>
      <c r="I316" s="28" t="s">
        <v>5734</v>
      </c>
      <c r="J316" s="27"/>
    </row>
    <row r="317" customFormat="false" ht="15" hidden="false" customHeight="true" outlineLevel="0" collapsed="false">
      <c r="A317" s="27" t="s">
        <v>1792</v>
      </c>
      <c r="B317" s="27" t="s">
        <v>487</v>
      </c>
      <c r="C317" s="27" t="s">
        <v>1793</v>
      </c>
      <c r="D317" s="28" t="s">
        <v>5736</v>
      </c>
      <c r="E317" s="28" t="s">
        <v>5737</v>
      </c>
      <c r="F317" s="28" t="s">
        <v>5630</v>
      </c>
      <c r="G317" s="28" t="s">
        <v>5733</v>
      </c>
      <c r="H317" s="27" t="s">
        <v>5632</v>
      </c>
      <c r="I317" s="28" t="s">
        <v>5734</v>
      </c>
      <c r="J317" s="27"/>
    </row>
    <row r="318" customFormat="false" ht="15" hidden="false" customHeight="true" outlineLevel="0" collapsed="false">
      <c r="A318" s="27" t="s">
        <v>1795</v>
      </c>
      <c r="B318" s="27" t="s">
        <v>487</v>
      </c>
      <c r="C318" s="27" t="s">
        <v>1796</v>
      </c>
      <c r="D318" s="28" t="s">
        <v>5736</v>
      </c>
      <c r="E318" s="28" t="s">
        <v>5737</v>
      </c>
      <c r="F318" s="28" t="s">
        <v>5630</v>
      </c>
      <c r="G318" s="28" t="s">
        <v>5733</v>
      </c>
      <c r="H318" s="27" t="s">
        <v>5632</v>
      </c>
      <c r="I318" s="28" t="s">
        <v>5734</v>
      </c>
      <c r="J318" s="27"/>
    </row>
    <row r="319" customFormat="false" ht="15" hidden="false" customHeight="true" outlineLevel="0" collapsed="false">
      <c r="A319" s="27" t="s">
        <v>1798</v>
      </c>
      <c r="B319" s="27" t="s">
        <v>487</v>
      </c>
      <c r="C319" s="28" t="s">
        <v>1799</v>
      </c>
      <c r="D319" s="28" t="s">
        <v>5628</v>
      </c>
      <c r="E319" s="28" t="s">
        <v>5629</v>
      </c>
      <c r="F319" s="28" t="s">
        <v>5640</v>
      </c>
      <c r="G319" s="28" t="s">
        <v>5733</v>
      </c>
      <c r="H319" s="27" t="s">
        <v>5632</v>
      </c>
      <c r="I319" s="28" t="s">
        <v>5734</v>
      </c>
      <c r="J319" s="27"/>
    </row>
    <row r="320" customFormat="false" ht="15" hidden="false" customHeight="true" outlineLevel="0" collapsed="false">
      <c r="A320" s="27" t="s">
        <v>1801</v>
      </c>
      <c r="B320" s="27" t="s">
        <v>487</v>
      </c>
      <c r="C320" s="28" t="s">
        <v>1802</v>
      </c>
      <c r="D320" s="28" t="s">
        <v>5736</v>
      </c>
      <c r="E320" s="28" t="s">
        <v>5737</v>
      </c>
      <c r="F320" s="28" t="s">
        <v>5630</v>
      </c>
      <c r="G320" s="28" t="s">
        <v>5733</v>
      </c>
      <c r="H320" s="27" t="s">
        <v>5632</v>
      </c>
      <c r="I320" s="28" t="s">
        <v>5734</v>
      </c>
      <c r="J320" s="28" t="s">
        <v>5739</v>
      </c>
    </row>
    <row r="321" customFormat="false" ht="15" hidden="false" customHeight="true" outlineLevel="0" collapsed="false">
      <c r="A321" s="27" t="s">
        <v>1804</v>
      </c>
      <c r="B321" s="27" t="s">
        <v>487</v>
      </c>
      <c r="C321" s="27" t="s">
        <v>1805</v>
      </c>
      <c r="D321" s="28" t="s">
        <v>5740</v>
      </c>
      <c r="E321" s="28" t="s">
        <v>5639</v>
      </c>
      <c r="F321" s="28" t="s">
        <v>5640</v>
      </c>
      <c r="G321" s="28" t="s">
        <v>5733</v>
      </c>
      <c r="H321" s="27" t="s">
        <v>5632</v>
      </c>
      <c r="I321" s="28" t="s">
        <v>5734</v>
      </c>
      <c r="J321" s="27"/>
    </row>
    <row r="322" customFormat="false" ht="15" hidden="false" customHeight="true" outlineLevel="0" collapsed="false">
      <c r="A322" s="27" t="s">
        <v>1809</v>
      </c>
      <c r="B322" s="27" t="s">
        <v>487</v>
      </c>
      <c r="C322" s="28" t="s">
        <v>1228</v>
      </c>
      <c r="D322" s="28" t="s">
        <v>5102</v>
      </c>
      <c r="E322" s="28" t="s">
        <v>5644</v>
      </c>
      <c r="F322" s="28" t="s">
        <v>5102</v>
      </c>
      <c r="G322" s="28" t="s">
        <v>5733</v>
      </c>
      <c r="H322" s="27" t="s">
        <v>5632</v>
      </c>
      <c r="I322" s="28" t="s">
        <v>5734</v>
      </c>
      <c r="J322" s="28" t="s">
        <v>5741</v>
      </c>
    </row>
    <row r="323" customFormat="false" ht="15" hidden="false" customHeight="true" outlineLevel="0" collapsed="false">
      <c r="A323" s="27" t="s">
        <v>1811</v>
      </c>
      <c r="B323" s="27" t="s">
        <v>487</v>
      </c>
      <c r="C323" s="28" t="s">
        <v>1812</v>
      </c>
      <c r="D323" s="28" t="s">
        <v>5691</v>
      </c>
      <c r="E323" s="28" t="s">
        <v>5639</v>
      </c>
      <c r="F323" s="28" t="s">
        <v>5640</v>
      </c>
      <c r="G323" s="28" t="s">
        <v>5733</v>
      </c>
      <c r="H323" s="27" t="s">
        <v>5632</v>
      </c>
      <c r="I323" s="28" t="s">
        <v>5734</v>
      </c>
      <c r="J323" s="27"/>
    </row>
    <row r="324" customFormat="false" ht="15" hidden="false" customHeight="true" outlineLevel="0" collapsed="false">
      <c r="A324" s="27" t="s">
        <v>1814</v>
      </c>
      <c r="B324" s="27" t="s">
        <v>487</v>
      </c>
      <c r="C324" s="28" t="s">
        <v>1815</v>
      </c>
      <c r="D324" s="28" t="s">
        <v>5682</v>
      </c>
      <c r="E324" s="28" t="s">
        <v>5683</v>
      </c>
      <c r="F324" s="28" t="s">
        <v>5640</v>
      </c>
      <c r="G324" s="28" t="s">
        <v>5733</v>
      </c>
      <c r="H324" s="27" t="s">
        <v>5632</v>
      </c>
      <c r="I324" s="28" t="s">
        <v>5734</v>
      </c>
      <c r="J324" s="27"/>
    </row>
    <row r="325" customFormat="false" ht="15" hidden="false" customHeight="true" outlineLevel="0" collapsed="false">
      <c r="A325" s="27" t="s">
        <v>1817</v>
      </c>
      <c r="B325" s="27" t="s">
        <v>487</v>
      </c>
      <c r="C325" s="27" t="s">
        <v>1818</v>
      </c>
      <c r="D325" s="28" t="s">
        <v>5682</v>
      </c>
      <c r="E325" s="28" t="s">
        <v>5683</v>
      </c>
      <c r="F325" s="28" t="s">
        <v>5640</v>
      </c>
      <c r="G325" s="28" t="s">
        <v>5733</v>
      </c>
      <c r="H325" s="27" t="s">
        <v>5632</v>
      </c>
      <c r="I325" s="28" t="s">
        <v>5734</v>
      </c>
      <c r="J325" s="27"/>
    </row>
    <row r="326" customFormat="false" ht="15" hidden="false" customHeight="true" outlineLevel="0" collapsed="false">
      <c r="A326" s="27" t="s">
        <v>1820</v>
      </c>
      <c r="B326" s="27" t="s">
        <v>487</v>
      </c>
      <c r="C326" s="28" t="s">
        <v>1821</v>
      </c>
      <c r="D326" s="28" t="s">
        <v>5682</v>
      </c>
      <c r="E326" s="28" t="s">
        <v>5683</v>
      </c>
      <c r="F326" s="28" t="s">
        <v>5640</v>
      </c>
      <c r="G326" s="28" t="s">
        <v>5733</v>
      </c>
      <c r="H326" s="27" t="s">
        <v>5632</v>
      </c>
      <c r="I326" s="28" t="s">
        <v>5734</v>
      </c>
      <c r="J326" s="27"/>
    </row>
    <row r="327" customFormat="false" ht="15" hidden="false" customHeight="true" outlineLevel="0" collapsed="false">
      <c r="A327" s="27" t="s">
        <v>1823</v>
      </c>
      <c r="B327" s="27" t="s">
        <v>487</v>
      </c>
      <c r="C327" s="28" t="s">
        <v>1824</v>
      </c>
      <c r="D327" s="28" t="s">
        <v>5682</v>
      </c>
      <c r="E327" s="28" t="s">
        <v>5683</v>
      </c>
      <c r="F327" s="28" t="s">
        <v>5640</v>
      </c>
      <c r="G327" s="28" t="s">
        <v>5733</v>
      </c>
      <c r="H327" s="27" t="s">
        <v>5632</v>
      </c>
      <c r="I327" s="28" t="s">
        <v>5734</v>
      </c>
      <c r="J327" s="27"/>
    </row>
    <row r="328" customFormat="false" ht="15" hidden="false" customHeight="true" outlineLevel="0" collapsed="false">
      <c r="A328" s="27" t="s">
        <v>1826</v>
      </c>
      <c r="B328" s="27" t="s">
        <v>487</v>
      </c>
      <c r="C328" s="28" t="s">
        <v>1827</v>
      </c>
      <c r="D328" s="28" t="s">
        <v>5682</v>
      </c>
      <c r="E328" s="28" t="s">
        <v>5683</v>
      </c>
      <c r="F328" s="28" t="s">
        <v>5640</v>
      </c>
      <c r="G328" s="28" t="s">
        <v>5733</v>
      </c>
      <c r="H328" s="27" t="s">
        <v>5632</v>
      </c>
      <c r="I328" s="28" t="s">
        <v>5734</v>
      </c>
      <c r="J328" s="27"/>
    </row>
    <row r="329" customFormat="false" ht="15" hidden="false" customHeight="true" outlineLevel="0" collapsed="false">
      <c r="A329" s="27" t="s">
        <v>1829</v>
      </c>
      <c r="B329" s="27" t="s">
        <v>487</v>
      </c>
      <c r="C329" s="28" t="s">
        <v>1830</v>
      </c>
      <c r="D329" s="28" t="s">
        <v>5724</v>
      </c>
      <c r="E329" s="28" t="s">
        <v>5725</v>
      </c>
      <c r="F329" s="28" t="s">
        <v>5640</v>
      </c>
      <c r="G329" s="28" t="s">
        <v>5733</v>
      </c>
      <c r="H329" s="27" t="s">
        <v>5632</v>
      </c>
      <c r="I329" s="28" t="s">
        <v>5734</v>
      </c>
      <c r="J329" s="27"/>
    </row>
    <row r="330" customFormat="false" ht="15" hidden="false" customHeight="true" outlineLevel="0" collapsed="false">
      <c r="A330" s="27" t="s">
        <v>1832</v>
      </c>
      <c r="B330" s="27" t="s">
        <v>487</v>
      </c>
      <c r="C330" s="28" t="s">
        <v>1833</v>
      </c>
      <c r="D330" s="28" t="s">
        <v>5742</v>
      </c>
      <c r="E330" s="28" t="s">
        <v>5743</v>
      </c>
      <c r="F330" s="28" t="s">
        <v>5640</v>
      </c>
      <c r="G330" s="28" t="s">
        <v>5733</v>
      </c>
      <c r="H330" s="27" t="s">
        <v>5632</v>
      </c>
      <c r="I330" s="28" t="s">
        <v>5734</v>
      </c>
      <c r="J330" s="27"/>
    </row>
    <row r="331" customFormat="false" ht="15" hidden="false" customHeight="true" outlineLevel="0" collapsed="false">
      <c r="A331" s="27" t="s">
        <v>1835</v>
      </c>
      <c r="B331" s="27" t="s">
        <v>487</v>
      </c>
      <c r="C331" s="27" t="s">
        <v>1836</v>
      </c>
      <c r="D331" s="28" t="s">
        <v>5682</v>
      </c>
      <c r="E331" s="28" t="s">
        <v>5683</v>
      </c>
      <c r="F331" s="28" t="s">
        <v>5640</v>
      </c>
      <c r="G331" s="28" t="s">
        <v>5733</v>
      </c>
      <c r="H331" s="27" t="s">
        <v>5632</v>
      </c>
      <c r="I331" s="28" t="s">
        <v>5734</v>
      </c>
      <c r="J331" s="27"/>
    </row>
    <row r="332" customFormat="false" ht="15" hidden="false" customHeight="true" outlineLevel="0" collapsed="false">
      <c r="A332" s="27" t="s">
        <v>1838</v>
      </c>
      <c r="B332" s="27" t="s">
        <v>487</v>
      </c>
      <c r="C332" s="27" t="s">
        <v>1839</v>
      </c>
      <c r="D332" s="28" t="s">
        <v>5682</v>
      </c>
      <c r="E332" s="28" t="s">
        <v>5683</v>
      </c>
      <c r="F332" s="28" t="s">
        <v>5640</v>
      </c>
      <c r="G332" s="28" t="s">
        <v>5733</v>
      </c>
      <c r="H332" s="27" t="s">
        <v>5632</v>
      </c>
      <c r="I332" s="28" t="s">
        <v>5734</v>
      </c>
      <c r="J332" s="27"/>
    </row>
    <row r="333" customFormat="false" ht="15" hidden="false" customHeight="true" outlineLevel="0" collapsed="false">
      <c r="A333" s="27" t="s">
        <v>1841</v>
      </c>
      <c r="B333" s="27" t="s">
        <v>487</v>
      </c>
      <c r="C333" s="28" t="s">
        <v>1842</v>
      </c>
      <c r="D333" s="28" t="s">
        <v>5682</v>
      </c>
      <c r="E333" s="28" t="s">
        <v>5683</v>
      </c>
      <c r="F333" s="28" t="s">
        <v>5640</v>
      </c>
      <c r="G333" s="28" t="s">
        <v>5733</v>
      </c>
      <c r="H333" s="27" t="s">
        <v>5632</v>
      </c>
      <c r="I333" s="28" t="s">
        <v>5734</v>
      </c>
      <c r="J333" s="27"/>
    </row>
    <row r="334" customFormat="false" ht="15" hidden="false" customHeight="true" outlineLevel="0" collapsed="false">
      <c r="A334" s="27" t="s">
        <v>1844</v>
      </c>
      <c r="B334" s="27" t="s">
        <v>487</v>
      </c>
      <c r="C334" s="28" t="s">
        <v>1845</v>
      </c>
      <c r="D334" s="28" t="s">
        <v>5682</v>
      </c>
      <c r="E334" s="28" t="s">
        <v>5683</v>
      </c>
      <c r="F334" s="28" t="s">
        <v>5640</v>
      </c>
      <c r="G334" s="28" t="s">
        <v>5733</v>
      </c>
      <c r="H334" s="27" t="s">
        <v>5632</v>
      </c>
      <c r="I334" s="28" t="s">
        <v>5734</v>
      </c>
      <c r="J334" s="27"/>
    </row>
    <row r="335" customFormat="false" ht="15" hidden="false" customHeight="true" outlineLevel="0" collapsed="false">
      <c r="A335" s="27" t="s">
        <v>1847</v>
      </c>
      <c r="B335" s="27" t="s">
        <v>487</v>
      </c>
      <c r="C335" s="27" t="s">
        <v>1848</v>
      </c>
      <c r="D335" s="28" t="s">
        <v>5682</v>
      </c>
      <c r="E335" s="28" t="s">
        <v>5683</v>
      </c>
      <c r="F335" s="28" t="s">
        <v>5640</v>
      </c>
      <c r="G335" s="28" t="s">
        <v>5733</v>
      </c>
      <c r="H335" s="27" t="s">
        <v>5632</v>
      </c>
      <c r="I335" s="28" t="s">
        <v>5734</v>
      </c>
      <c r="J335" s="27"/>
    </row>
    <row r="336" customFormat="false" ht="15" hidden="false" customHeight="true" outlineLevel="0" collapsed="false">
      <c r="A336" s="27" t="s">
        <v>1852</v>
      </c>
      <c r="B336" s="27" t="s">
        <v>487</v>
      </c>
      <c r="C336" s="28" t="s">
        <v>1853</v>
      </c>
      <c r="D336" s="28" t="s">
        <v>5682</v>
      </c>
      <c r="E336" s="28" t="s">
        <v>5683</v>
      </c>
      <c r="F336" s="28" t="s">
        <v>5640</v>
      </c>
      <c r="G336" s="28" t="s">
        <v>5733</v>
      </c>
      <c r="H336" s="27" t="s">
        <v>5632</v>
      </c>
      <c r="I336" s="28" t="s">
        <v>5734</v>
      </c>
      <c r="J336" s="27"/>
    </row>
    <row r="337" customFormat="false" ht="15" hidden="false" customHeight="true" outlineLevel="0" collapsed="false">
      <c r="A337" s="27" t="s">
        <v>1855</v>
      </c>
      <c r="B337" s="27" t="s">
        <v>487</v>
      </c>
      <c r="C337" s="28" t="s">
        <v>1856</v>
      </c>
      <c r="D337" s="28" t="s">
        <v>5655</v>
      </c>
      <c r="E337" s="28" t="s">
        <v>5656</v>
      </c>
      <c r="F337" s="28" t="s">
        <v>5640</v>
      </c>
      <c r="G337" s="28" t="s">
        <v>5733</v>
      </c>
      <c r="H337" s="27" t="s">
        <v>5632</v>
      </c>
      <c r="I337" s="28" t="s">
        <v>5734</v>
      </c>
      <c r="J337" s="27"/>
    </row>
    <row r="338" customFormat="false" ht="15" hidden="false" customHeight="true" outlineLevel="0" collapsed="false">
      <c r="A338" s="27" t="s">
        <v>1866</v>
      </c>
      <c r="B338" s="27" t="s">
        <v>493</v>
      </c>
      <c r="C338" s="28" t="s">
        <v>1867</v>
      </c>
      <c r="D338" s="28" t="s">
        <v>5694</v>
      </c>
      <c r="E338" s="28" t="s">
        <v>5695</v>
      </c>
      <c r="F338" s="28" t="s">
        <v>5630</v>
      </c>
      <c r="G338" s="28" t="s">
        <v>5744</v>
      </c>
      <c r="H338" s="27" t="s">
        <v>5745</v>
      </c>
      <c r="I338" s="28" t="s">
        <v>5734</v>
      </c>
      <c r="J338" s="28" t="s">
        <v>5735</v>
      </c>
    </row>
    <row r="339" customFormat="false" ht="15" hidden="false" customHeight="true" outlineLevel="0" collapsed="false">
      <c r="A339" s="27" t="s">
        <v>1869</v>
      </c>
      <c r="B339" s="27" t="s">
        <v>493</v>
      </c>
      <c r="C339" s="28" t="s">
        <v>1870</v>
      </c>
      <c r="D339" s="28" t="s">
        <v>5694</v>
      </c>
      <c r="E339" s="28" t="s">
        <v>5695</v>
      </c>
      <c r="F339" s="28" t="s">
        <v>5630</v>
      </c>
      <c r="G339" s="28" t="s">
        <v>5744</v>
      </c>
      <c r="H339" s="27" t="s">
        <v>5745</v>
      </c>
      <c r="I339" s="28" t="s">
        <v>5734</v>
      </c>
      <c r="J339" s="27"/>
    </row>
    <row r="340" customFormat="false" ht="15" hidden="false" customHeight="true" outlineLevel="0" collapsed="false">
      <c r="A340" s="27" t="s">
        <v>1872</v>
      </c>
      <c r="B340" s="27" t="s">
        <v>493</v>
      </c>
      <c r="C340" s="28" t="s">
        <v>1873</v>
      </c>
      <c r="D340" s="28" t="s">
        <v>5694</v>
      </c>
      <c r="E340" s="28" t="s">
        <v>5695</v>
      </c>
      <c r="F340" s="28" t="s">
        <v>5630</v>
      </c>
      <c r="G340" s="28" t="s">
        <v>5744</v>
      </c>
      <c r="H340" s="27" t="s">
        <v>5745</v>
      </c>
      <c r="I340" s="28" t="s">
        <v>5734</v>
      </c>
      <c r="J340" s="27"/>
    </row>
    <row r="341" customFormat="false" ht="15" hidden="false" customHeight="true" outlineLevel="0" collapsed="false">
      <c r="A341" s="27" t="s">
        <v>1875</v>
      </c>
      <c r="B341" s="27" t="s">
        <v>493</v>
      </c>
      <c r="C341" s="28" t="s">
        <v>1876</v>
      </c>
      <c r="D341" s="28" t="s">
        <v>5694</v>
      </c>
      <c r="E341" s="28" t="s">
        <v>5695</v>
      </c>
      <c r="F341" s="28" t="s">
        <v>5630</v>
      </c>
      <c r="G341" s="28" t="s">
        <v>5744</v>
      </c>
      <c r="H341" s="27" t="s">
        <v>5745</v>
      </c>
      <c r="I341" s="28" t="s">
        <v>5734</v>
      </c>
      <c r="J341" s="27"/>
    </row>
    <row r="342" customFormat="false" ht="15" hidden="false" customHeight="true" outlineLevel="0" collapsed="false">
      <c r="A342" s="27" t="s">
        <v>1878</v>
      </c>
      <c r="B342" s="27" t="s">
        <v>493</v>
      </c>
      <c r="C342" s="28" t="s">
        <v>1879</v>
      </c>
      <c r="D342" s="28" t="s">
        <v>5694</v>
      </c>
      <c r="E342" s="28" t="s">
        <v>5695</v>
      </c>
      <c r="F342" s="28" t="s">
        <v>5630</v>
      </c>
      <c r="G342" s="28" t="s">
        <v>5744</v>
      </c>
      <c r="H342" s="27" t="s">
        <v>5745</v>
      </c>
      <c r="I342" s="28" t="s">
        <v>5734</v>
      </c>
      <c r="J342" s="27"/>
    </row>
    <row r="343" customFormat="false" ht="15" hidden="false" customHeight="true" outlineLevel="0" collapsed="false">
      <c r="A343" s="27" t="s">
        <v>1881</v>
      </c>
      <c r="B343" s="27" t="s">
        <v>493</v>
      </c>
      <c r="C343" s="28" t="s">
        <v>1882</v>
      </c>
      <c r="D343" s="28" t="s">
        <v>5694</v>
      </c>
      <c r="E343" s="28" t="s">
        <v>5695</v>
      </c>
      <c r="F343" s="28" t="s">
        <v>5630</v>
      </c>
      <c r="G343" s="28" t="s">
        <v>5744</v>
      </c>
      <c r="H343" s="27" t="s">
        <v>5745</v>
      </c>
      <c r="I343" s="28" t="s">
        <v>5734</v>
      </c>
      <c r="J343" s="27"/>
    </row>
    <row r="344" customFormat="false" ht="15" hidden="false" customHeight="true" outlineLevel="0" collapsed="false">
      <c r="A344" s="27" t="s">
        <v>1884</v>
      </c>
      <c r="B344" s="27" t="s">
        <v>493</v>
      </c>
      <c r="C344" s="28" t="s">
        <v>1885</v>
      </c>
      <c r="D344" s="28" t="s">
        <v>5694</v>
      </c>
      <c r="E344" s="28" t="s">
        <v>5695</v>
      </c>
      <c r="F344" s="28" t="s">
        <v>5630</v>
      </c>
      <c r="G344" s="28" t="s">
        <v>5744</v>
      </c>
      <c r="H344" s="27" t="s">
        <v>5745</v>
      </c>
      <c r="I344" s="28" t="s">
        <v>5734</v>
      </c>
      <c r="J344" s="27"/>
    </row>
    <row r="345" customFormat="false" ht="15" hidden="false" customHeight="true" outlineLevel="0" collapsed="false">
      <c r="A345" s="27" t="s">
        <v>1888</v>
      </c>
      <c r="B345" s="27" t="s">
        <v>493</v>
      </c>
      <c r="C345" s="28" t="s">
        <v>1889</v>
      </c>
      <c r="D345" s="28" t="s">
        <v>5694</v>
      </c>
      <c r="E345" s="28" t="s">
        <v>5695</v>
      </c>
      <c r="F345" s="28" t="s">
        <v>5630</v>
      </c>
      <c r="G345" s="28" t="s">
        <v>5744</v>
      </c>
      <c r="H345" s="27" t="s">
        <v>5745</v>
      </c>
      <c r="I345" s="28" t="s">
        <v>5734</v>
      </c>
      <c r="J345" s="27"/>
    </row>
    <row r="346" customFormat="false" ht="15" hidden="false" customHeight="true" outlineLevel="0" collapsed="false">
      <c r="A346" s="27" t="s">
        <v>1892</v>
      </c>
      <c r="B346" s="27" t="s">
        <v>493</v>
      </c>
      <c r="C346" s="28" t="s">
        <v>1893</v>
      </c>
      <c r="D346" s="28" t="s">
        <v>5694</v>
      </c>
      <c r="E346" s="28" t="s">
        <v>5695</v>
      </c>
      <c r="F346" s="28" t="s">
        <v>5630</v>
      </c>
      <c r="G346" s="28" t="s">
        <v>5744</v>
      </c>
      <c r="H346" s="27" t="s">
        <v>5745</v>
      </c>
      <c r="I346" s="28" t="s">
        <v>5734</v>
      </c>
      <c r="J346" s="27"/>
    </row>
    <row r="347" customFormat="false" ht="15" hidden="false" customHeight="true" outlineLevel="0" collapsed="false">
      <c r="A347" s="27" t="s">
        <v>1896</v>
      </c>
      <c r="B347" s="27" t="s">
        <v>493</v>
      </c>
      <c r="C347" s="28" t="s">
        <v>1897</v>
      </c>
      <c r="D347" s="28" t="s">
        <v>5694</v>
      </c>
      <c r="E347" s="28" t="s">
        <v>5695</v>
      </c>
      <c r="F347" s="28" t="s">
        <v>5630</v>
      </c>
      <c r="G347" s="28" t="s">
        <v>5744</v>
      </c>
      <c r="H347" s="27" t="s">
        <v>5745</v>
      </c>
      <c r="I347" s="28" t="s">
        <v>5734</v>
      </c>
      <c r="J347" s="27"/>
    </row>
    <row r="348" customFormat="false" ht="15" hidden="false" customHeight="true" outlineLevel="0" collapsed="false">
      <c r="A348" s="27" t="s">
        <v>1899</v>
      </c>
      <c r="B348" s="27" t="s">
        <v>493</v>
      </c>
      <c r="C348" s="28" t="s">
        <v>1900</v>
      </c>
      <c r="D348" s="28" t="s">
        <v>5746</v>
      </c>
      <c r="E348" s="28" t="s">
        <v>5644</v>
      </c>
      <c r="F348" s="28" t="s">
        <v>5102</v>
      </c>
      <c r="G348" s="28" t="s">
        <v>5744</v>
      </c>
      <c r="H348" s="27" t="s">
        <v>5745</v>
      </c>
      <c r="I348" s="28" t="s">
        <v>5734</v>
      </c>
      <c r="J348" s="27"/>
    </row>
    <row r="349" customFormat="false" ht="15" hidden="false" customHeight="true" outlineLevel="0" collapsed="false">
      <c r="A349" s="27" t="s">
        <v>1909</v>
      </c>
      <c r="B349" s="27" t="s">
        <v>502</v>
      </c>
      <c r="C349" s="28" t="s">
        <v>1910</v>
      </c>
      <c r="D349" s="28" t="s">
        <v>5747</v>
      </c>
      <c r="E349" s="28" t="s">
        <v>5748</v>
      </c>
      <c r="F349" s="28" t="s">
        <v>5630</v>
      </c>
      <c r="G349" s="28" t="s">
        <v>5749</v>
      </c>
      <c r="H349" s="27" t="s">
        <v>5632</v>
      </c>
      <c r="I349" s="28" t="s">
        <v>5671</v>
      </c>
      <c r="J349" s="27"/>
    </row>
    <row r="350" customFormat="false" ht="15" hidden="false" customHeight="true" outlineLevel="0" collapsed="false">
      <c r="A350" s="27" t="s">
        <v>1912</v>
      </c>
      <c r="B350" s="27" t="s">
        <v>502</v>
      </c>
      <c r="C350" s="28" t="s">
        <v>1913</v>
      </c>
      <c r="D350" s="28" t="s">
        <v>5747</v>
      </c>
      <c r="E350" s="28" t="s">
        <v>5748</v>
      </c>
      <c r="F350" s="28" t="s">
        <v>5630</v>
      </c>
      <c r="G350" s="28" t="s">
        <v>5749</v>
      </c>
      <c r="H350" s="27" t="s">
        <v>5632</v>
      </c>
      <c r="I350" s="28" t="s">
        <v>5671</v>
      </c>
      <c r="J350" s="27"/>
    </row>
    <row r="351" customFormat="false" ht="15" hidden="false" customHeight="true" outlineLevel="0" collapsed="false">
      <c r="A351" s="27" t="s">
        <v>1915</v>
      </c>
      <c r="B351" s="27" t="s">
        <v>502</v>
      </c>
      <c r="C351" s="28" t="s">
        <v>1916</v>
      </c>
      <c r="D351" s="28" t="s">
        <v>5747</v>
      </c>
      <c r="E351" s="28" t="s">
        <v>5748</v>
      </c>
      <c r="F351" s="28" t="s">
        <v>5630</v>
      </c>
      <c r="G351" s="28" t="s">
        <v>5749</v>
      </c>
      <c r="H351" s="27" t="s">
        <v>5632</v>
      </c>
      <c r="I351" s="28" t="s">
        <v>5671</v>
      </c>
      <c r="J351" s="28" t="s">
        <v>5739</v>
      </c>
    </row>
    <row r="352" customFormat="false" ht="15" hidden="false" customHeight="true" outlineLevel="0" collapsed="false">
      <c r="A352" s="27" t="s">
        <v>1917</v>
      </c>
      <c r="B352" s="27" t="s">
        <v>502</v>
      </c>
      <c r="C352" s="28" t="s">
        <v>1918</v>
      </c>
      <c r="D352" s="28" t="s">
        <v>5747</v>
      </c>
      <c r="E352" s="28" t="s">
        <v>5748</v>
      </c>
      <c r="F352" s="28" t="s">
        <v>5630</v>
      </c>
      <c r="G352" s="28" t="s">
        <v>5749</v>
      </c>
      <c r="H352" s="27" t="s">
        <v>5632</v>
      </c>
      <c r="I352" s="28" t="s">
        <v>5671</v>
      </c>
      <c r="J352" s="27"/>
    </row>
    <row r="353" customFormat="false" ht="15" hidden="false" customHeight="true" outlineLevel="0" collapsed="false">
      <c r="A353" s="27" t="s">
        <v>1920</v>
      </c>
      <c r="B353" s="27" t="s">
        <v>502</v>
      </c>
      <c r="C353" s="28" t="s">
        <v>1921</v>
      </c>
      <c r="D353" s="28" t="s">
        <v>5747</v>
      </c>
      <c r="E353" s="28" t="s">
        <v>5748</v>
      </c>
      <c r="F353" s="28" t="s">
        <v>5630</v>
      </c>
      <c r="G353" s="28" t="s">
        <v>5749</v>
      </c>
      <c r="H353" s="27" t="s">
        <v>5632</v>
      </c>
      <c r="I353" s="28" t="s">
        <v>5671</v>
      </c>
      <c r="J353" s="28" t="s">
        <v>5741</v>
      </c>
    </row>
    <row r="354" customFormat="false" ht="15" hidden="false" customHeight="true" outlineLevel="0" collapsed="false">
      <c r="A354" s="27" t="s">
        <v>1923</v>
      </c>
      <c r="B354" s="27" t="s">
        <v>502</v>
      </c>
      <c r="C354" s="28" t="s">
        <v>1924</v>
      </c>
      <c r="D354" s="28" t="s">
        <v>5747</v>
      </c>
      <c r="E354" s="28" t="s">
        <v>5748</v>
      </c>
      <c r="F354" s="28" t="s">
        <v>5630</v>
      </c>
      <c r="G354" s="28" t="s">
        <v>5749</v>
      </c>
      <c r="H354" s="27" t="s">
        <v>5632</v>
      </c>
      <c r="I354" s="28" t="s">
        <v>5671</v>
      </c>
      <c r="J354" s="27"/>
    </row>
    <row r="355" customFormat="false" ht="15" hidden="false" customHeight="true" outlineLevel="0" collapsed="false">
      <c r="A355" s="27" t="s">
        <v>1925</v>
      </c>
      <c r="B355" s="27" t="s">
        <v>502</v>
      </c>
      <c r="C355" s="28" t="s">
        <v>1926</v>
      </c>
      <c r="D355" s="28" t="s">
        <v>5747</v>
      </c>
      <c r="E355" s="28" t="s">
        <v>5748</v>
      </c>
      <c r="F355" s="28" t="s">
        <v>5630</v>
      </c>
      <c r="G355" s="28" t="s">
        <v>5749</v>
      </c>
      <c r="H355" s="27" t="s">
        <v>5632</v>
      </c>
      <c r="I355" s="28" t="s">
        <v>5671</v>
      </c>
      <c r="J355" s="27"/>
    </row>
    <row r="356" customFormat="false" ht="15" hidden="false" customHeight="true" outlineLevel="0" collapsed="false">
      <c r="A356" s="27" t="s">
        <v>1928</v>
      </c>
      <c r="B356" s="27" t="s">
        <v>502</v>
      </c>
      <c r="C356" s="28" t="s">
        <v>1929</v>
      </c>
      <c r="D356" s="28" t="s">
        <v>5747</v>
      </c>
      <c r="E356" s="28" t="s">
        <v>5748</v>
      </c>
      <c r="F356" s="28" t="s">
        <v>5630</v>
      </c>
      <c r="G356" s="28" t="s">
        <v>5749</v>
      </c>
      <c r="H356" s="27" t="s">
        <v>5632</v>
      </c>
      <c r="I356" s="28" t="s">
        <v>5671</v>
      </c>
      <c r="J356" s="27"/>
    </row>
    <row r="357" customFormat="false" ht="15" hidden="false" customHeight="true" outlineLevel="0" collapsed="false">
      <c r="A357" s="27" t="s">
        <v>1931</v>
      </c>
      <c r="B357" s="27" t="s">
        <v>502</v>
      </c>
      <c r="C357" s="28" t="s">
        <v>1932</v>
      </c>
      <c r="D357" s="28" t="s">
        <v>5747</v>
      </c>
      <c r="E357" s="28" t="s">
        <v>5748</v>
      </c>
      <c r="F357" s="28" t="s">
        <v>5630</v>
      </c>
      <c r="G357" s="28" t="s">
        <v>5749</v>
      </c>
      <c r="H357" s="27" t="s">
        <v>5632</v>
      </c>
      <c r="I357" s="28" t="s">
        <v>5671</v>
      </c>
      <c r="J357" s="27"/>
    </row>
    <row r="358" customFormat="false" ht="15" hidden="false" customHeight="true" outlineLevel="0" collapsed="false">
      <c r="A358" s="27" t="s">
        <v>1934</v>
      </c>
      <c r="B358" s="27" t="s">
        <v>502</v>
      </c>
      <c r="C358" s="28" t="s">
        <v>1935</v>
      </c>
      <c r="D358" s="28" t="s">
        <v>5747</v>
      </c>
      <c r="E358" s="28" t="s">
        <v>5748</v>
      </c>
      <c r="F358" s="28" t="s">
        <v>5630</v>
      </c>
      <c r="G358" s="28" t="s">
        <v>5749</v>
      </c>
      <c r="H358" s="27" t="s">
        <v>5632</v>
      </c>
      <c r="I358" s="28" t="s">
        <v>5671</v>
      </c>
      <c r="J358" s="27"/>
    </row>
    <row r="359" customFormat="false" ht="15" hidden="false" customHeight="true" outlineLevel="0" collapsed="false">
      <c r="A359" s="27" t="s">
        <v>1936</v>
      </c>
      <c r="B359" s="27" t="s">
        <v>502</v>
      </c>
      <c r="C359" s="28" t="s">
        <v>1937</v>
      </c>
      <c r="D359" s="28" t="s">
        <v>5747</v>
      </c>
      <c r="E359" s="28" t="s">
        <v>5748</v>
      </c>
      <c r="F359" s="28" t="s">
        <v>5630</v>
      </c>
      <c r="G359" s="28" t="s">
        <v>5749</v>
      </c>
      <c r="H359" s="27" t="s">
        <v>5632</v>
      </c>
      <c r="I359" s="28" t="s">
        <v>5671</v>
      </c>
      <c r="J359" s="27"/>
    </row>
    <row r="360" customFormat="false" ht="15" hidden="false" customHeight="true" outlineLevel="0" collapsed="false">
      <c r="A360" s="27" t="s">
        <v>1939</v>
      </c>
      <c r="B360" s="27" t="s">
        <v>502</v>
      </c>
      <c r="C360" s="28" t="s">
        <v>1940</v>
      </c>
      <c r="D360" s="28" t="s">
        <v>5747</v>
      </c>
      <c r="E360" s="28" t="s">
        <v>5748</v>
      </c>
      <c r="F360" s="28" t="s">
        <v>5630</v>
      </c>
      <c r="G360" s="28" t="s">
        <v>5749</v>
      </c>
      <c r="H360" s="27" t="s">
        <v>5632</v>
      </c>
      <c r="I360" s="28" t="s">
        <v>5671</v>
      </c>
      <c r="J360" s="27"/>
    </row>
    <row r="361" customFormat="false" ht="15" hidden="false" customHeight="true" outlineLevel="0" collapsed="false">
      <c r="A361" s="27" t="s">
        <v>1942</v>
      </c>
      <c r="B361" s="27" t="s">
        <v>502</v>
      </c>
      <c r="C361" s="28" t="s">
        <v>1943</v>
      </c>
      <c r="D361" s="28" t="s">
        <v>5747</v>
      </c>
      <c r="E361" s="28" t="s">
        <v>5748</v>
      </c>
      <c r="F361" s="28" t="s">
        <v>5630</v>
      </c>
      <c r="G361" s="28" t="s">
        <v>5749</v>
      </c>
      <c r="H361" s="27" t="s">
        <v>5632</v>
      </c>
      <c r="I361" s="28" t="s">
        <v>5671</v>
      </c>
      <c r="J361" s="27"/>
    </row>
    <row r="362" customFormat="false" ht="15" hidden="false" customHeight="true" outlineLevel="0" collapsed="false">
      <c r="A362" s="27" t="s">
        <v>1945</v>
      </c>
      <c r="B362" s="27" t="s">
        <v>502</v>
      </c>
      <c r="C362" s="28" t="s">
        <v>1946</v>
      </c>
      <c r="D362" s="28" t="s">
        <v>5747</v>
      </c>
      <c r="E362" s="28" t="s">
        <v>5748</v>
      </c>
      <c r="F362" s="28" t="s">
        <v>5630</v>
      </c>
      <c r="G362" s="28" t="s">
        <v>5749</v>
      </c>
      <c r="H362" s="27" t="s">
        <v>5632</v>
      </c>
      <c r="I362" s="28" t="s">
        <v>5671</v>
      </c>
      <c r="J362" s="27"/>
    </row>
    <row r="363" customFormat="false" ht="15" hidden="false" customHeight="true" outlineLevel="0" collapsed="false">
      <c r="A363" s="27" t="s">
        <v>1947</v>
      </c>
      <c r="B363" s="27" t="s">
        <v>502</v>
      </c>
      <c r="C363" s="28" t="s">
        <v>1948</v>
      </c>
      <c r="D363" s="28" t="s">
        <v>5747</v>
      </c>
      <c r="E363" s="28" t="s">
        <v>5748</v>
      </c>
      <c r="F363" s="28" t="s">
        <v>5630</v>
      </c>
      <c r="G363" s="28" t="s">
        <v>5749</v>
      </c>
      <c r="H363" s="27" t="s">
        <v>5632</v>
      </c>
      <c r="I363" s="28" t="s">
        <v>5671</v>
      </c>
      <c r="J363" s="27"/>
    </row>
    <row r="364" customFormat="false" ht="15" hidden="false" customHeight="true" outlineLevel="0" collapsed="false">
      <c r="A364" s="27" t="s">
        <v>1949</v>
      </c>
      <c r="B364" s="27" t="s">
        <v>502</v>
      </c>
      <c r="C364" s="28" t="s">
        <v>1950</v>
      </c>
      <c r="D364" s="28" t="s">
        <v>5747</v>
      </c>
      <c r="E364" s="28" t="s">
        <v>5748</v>
      </c>
      <c r="F364" s="28" t="s">
        <v>5630</v>
      </c>
      <c r="G364" s="28" t="s">
        <v>5749</v>
      </c>
      <c r="H364" s="27" t="s">
        <v>5632</v>
      </c>
      <c r="I364" s="28" t="s">
        <v>5671</v>
      </c>
      <c r="J364" s="27"/>
    </row>
    <row r="365" customFormat="false" ht="15" hidden="false" customHeight="true" outlineLevel="0" collapsed="false">
      <c r="A365" s="27" t="s">
        <v>1951</v>
      </c>
      <c r="B365" s="27" t="s">
        <v>502</v>
      </c>
      <c r="C365" s="28" t="s">
        <v>1061</v>
      </c>
      <c r="D365" s="28" t="s">
        <v>5667</v>
      </c>
      <c r="E365" s="28" t="s">
        <v>5668</v>
      </c>
      <c r="F365" s="28" t="s">
        <v>5640</v>
      </c>
      <c r="G365" s="28" t="s">
        <v>5749</v>
      </c>
      <c r="H365" s="27" t="s">
        <v>5632</v>
      </c>
      <c r="I365" s="28" t="s">
        <v>5671</v>
      </c>
      <c r="J365" s="27"/>
    </row>
    <row r="366" customFormat="false" ht="15" hidden="false" customHeight="true" outlineLevel="0" collapsed="false">
      <c r="A366" s="27" t="s">
        <v>1956</v>
      </c>
      <c r="B366" s="27" t="s">
        <v>502</v>
      </c>
      <c r="C366" s="28" t="s">
        <v>1957</v>
      </c>
      <c r="D366" s="28" t="s">
        <v>5750</v>
      </c>
      <c r="E366" s="28" t="s">
        <v>5751</v>
      </c>
      <c r="F366" s="28" t="s">
        <v>5640</v>
      </c>
      <c r="G366" s="28" t="s">
        <v>5749</v>
      </c>
      <c r="H366" s="27" t="s">
        <v>5632</v>
      </c>
      <c r="I366" s="28" t="s">
        <v>5671</v>
      </c>
      <c r="J366" s="27"/>
    </row>
    <row r="367" customFormat="false" ht="15" hidden="false" customHeight="true" outlineLevel="0" collapsed="false">
      <c r="A367" s="27" t="s">
        <v>1959</v>
      </c>
      <c r="B367" s="27" t="s">
        <v>502</v>
      </c>
      <c r="C367" s="28" t="s">
        <v>1960</v>
      </c>
      <c r="D367" s="28" t="s">
        <v>5750</v>
      </c>
      <c r="E367" s="28" t="s">
        <v>5751</v>
      </c>
      <c r="F367" s="28" t="s">
        <v>5640</v>
      </c>
      <c r="G367" s="28" t="s">
        <v>5749</v>
      </c>
      <c r="H367" s="27" t="s">
        <v>5632</v>
      </c>
      <c r="I367" s="28" t="s">
        <v>5671</v>
      </c>
      <c r="J367" s="27"/>
    </row>
    <row r="368" customFormat="false" ht="15" hidden="false" customHeight="true" outlineLevel="0" collapsed="false">
      <c r="A368" s="27" t="s">
        <v>1962</v>
      </c>
      <c r="B368" s="27" t="s">
        <v>502</v>
      </c>
      <c r="C368" s="28" t="s">
        <v>1963</v>
      </c>
      <c r="D368" s="28" t="s">
        <v>5747</v>
      </c>
      <c r="E368" s="28" t="s">
        <v>5748</v>
      </c>
      <c r="F368" s="28" t="s">
        <v>5630</v>
      </c>
      <c r="G368" s="28" t="s">
        <v>5749</v>
      </c>
      <c r="H368" s="27" t="s">
        <v>5632</v>
      </c>
      <c r="I368" s="28" t="s">
        <v>5671</v>
      </c>
      <c r="J368" s="27"/>
    </row>
    <row r="369" customFormat="false" ht="15" hidden="false" customHeight="true" outlineLevel="0" collapsed="false">
      <c r="A369" s="27" t="s">
        <v>1965</v>
      </c>
      <c r="B369" s="27" t="s">
        <v>502</v>
      </c>
      <c r="C369" s="28" t="s">
        <v>1966</v>
      </c>
      <c r="D369" s="28" t="s">
        <v>5747</v>
      </c>
      <c r="E369" s="28" t="s">
        <v>5748</v>
      </c>
      <c r="F369" s="28" t="s">
        <v>5630</v>
      </c>
      <c r="G369" s="28" t="s">
        <v>5749</v>
      </c>
      <c r="H369" s="27" t="s">
        <v>5632</v>
      </c>
      <c r="I369" s="28" t="s">
        <v>5671</v>
      </c>
      <c r="J369" s="27"/>
    </row>
    <row r="370" customFormat="false" ht="15" hidden="false" customHeight="true" outlineLevel="0" collapsed="false">
      <c r="A370" s="27" t="s">
        <v>1970</v>
      </c>
      <c r="B370" s="27" t="s">
        <v>502</v>
      </c>
      <c r="C370" s="28" t="s">
        <v>1971</v>
      </c>
      <c r="D370" s="28" t="s">
        <v>5747</v>
      </c>
      <c r="E370" s="28" t="s">
        <v>5748</v>
      </c>
      <c r="F370" s="28" t="s">
        <v>5630</v>
      </c>
      <c r="G370" s="28" t="s">
        <v>5749</v>
      </c>
      <c r="H370" s="27" t="s">
        <v>5632</v>
      </c>
      <c r="I370" s="28" t="s">
        <v>5671</v>
      </c>
      <c r="J370" s="27"/>
    </row>
    <row r="371" customFormat="false" ht="15" hidden="false" customHeight="true" outlineLevel="0" collapsed="false">
      <c r="A371" s="27" t="s">
        <v>1973</v>
      </c>
      <c r="B371" s="27" t="s">
        <v>502</v>
      </c>
      <c r="C371" s="28" t="s">
        <v>1974</v>
      </c>
      <c r="D371" s="28" t="s">
        <v>5752</v>
      </c>
      <c r="E371" s="28" t="s">
        <v>5650</v>
      </c>
      <c r="F371" s="28" t="s">
        <v>5640</v>
      </c>
      <c r="G371" s="28" t="s">
        <v>5749</v>
      </c>
      <c r="H371" s="27" t="s">
        <v>5632</v>
      </c>
      <c r="I371" s="28" t="s">
        <v>5671</v>
      </c>
      <c r="J371" s="28" t="s">
        <v>5753</v>
      </c>
    </row>
    <row r="372" customFormat="false" ht="15" hidden="false" customHeight="true" outlineLevel="0" collapsed="false">
      <c r="A372" s="27" t="s">
        <v>1976</v>
      </c>
      <c r="B372" s="27" t="s">
        <v>502</v>
      </c>
      <c r="C372" s="28" t="s">
        <v>1977</v>
      </c>
      <c r="D372" s="28" t="s">
        <v>5754</v>
      </c>
      <c r="E372" s="28" t="s">
        <v>5639</v>
      </c>
      <c r="F372" s="28" t="s">
        <v>5640</v>
      </c>
      <c r="G372" s="28" t="s">
        <v>5749</v>
      </c>
      <c r="H372" s="27" t="s">
        <v>5632</v>
      </c>
      <c r="I372" s="28" t="s">
        <v>5671</v>
      </c>
      <c r="J372" s="27"/>
    </row>
    <row r="373" customFormat="false" ht="15" hidden="false" customHeight="true" outlineLevel="0" collapsed="false">
      <c r="A373" s="27" t="s">
        <v>1979</v>
      </c>
      <c r="B373" s="27" t="s">
        <v>502</v>
      </c>
      <c r="C373" s="28" t="s">
        <v>1980</v>
      </c>
      <c r="D373" s="28" t="s">
        <v>5755</v>
      </c>
      <c r="E373" s="28" t="s">
        <v>5711</v>
      </c>
      <c r="F373" s="28" t="s">
        <v>5640</v>
      </c>
      <c r="G373" s="28" t="s">
        <v>5749</v>
      </c>
      <c r="H373" s="27" t="s">
        <v>5632</v>
      </c>
      <c r="I373" s="28" t="s">
        <v>5671</v>
      </c>
      <c r="J373" s="27"/>
    </row>
    <row r="374" customFormat="false" ht="15" hidden="false" customHeight="true" outlineLevel="0" collapsed="false">
      <c r="A374" s="27" t="s">
        <v>1981</v>
      </c>
      <c r="B374" s="27" t="s">
        <v>502</v>
      </c>
      <c r="C374" s="28" t="s">
        <v>1982</v>
      </c>
      <c r="D374" s="28" t="s">
        <v>5754</v>
      </c>
      <c r="E374" s="28" t="s">
        <v>5639</v>
      </c>
      <c r="F374" s="28" t="s">
        <v>5640</v>
      </c>
      <c r="G374" s="28" t="s">
        <v>5749</v>
      </c>
      <c r="H374" s="27" t="s">
        <v>5632</v>
      </c>
      <c r="I374" s="28" t="s">
        <v>5671</v>
      </c>
      <c r="J374" s="27"/>
    </row>
    <row r="375" customFormat="false" ht="15" hidden="false" customHeight="true" outlineLevel="0" collapsed="false">
      <c r="A375" s="27" t="s">
        <v>1984</v>
      </c>
      <c r="B375" s="27" t="s">
        <v>502</v>
      </c>
      <c r="C375" s="28" t="s">
        <v>1985</v>
      </c>
      <c r="D375" s="28" t="s">
        <v>5754</v>
      </c>
      <c r="E375" s="28" t="s">
        <v>5639</v>
      </c>
      <c r="F375" s="28" t="s">
        <v>5640</v>
      </c>
      <c r="G375" s="28" t="s">
        <v>5749</v>
      </c>
      <c r="H375" s="27" t="s">
        <v>5632</v>
      </c>
      <c r="I375" s="28" t="s">
        <v>5671</v>
      </c>
      <c r="J375" s="27"/>
    </row>
    <row r="376" customFormat="false" ht="15" hidden="false" customHeight="true" outlineLevel="0" collapsed="false">
      <c r="A376" s="27" t="s">
        <v>1987</v>
      </c>
      <c r="B376" s="27" t="s">
        <v>502</v>
      </c>
      <c r="C376" s="28" t="s">
        <v>1988</v>
      </c>
      <c r="D376" s="28" t="s">
        <v>5754</v>
      </c>
      <c r="E376" s="28" t="s">
        <v>5639</v>
      </c>
      <c r="F376" s="28" t="s">
        <v>5640</v>
      </c>
      <c r="G376" s="28" t="s">
        <v>5749</v>
      </c>
      <c r="H376" s="27" t="s">
        <v>5632</v>
      </c>
      <c r="I376" s="28" t="s">
        <v>5671</v>
      </c>
      <c r="J376" s="27"/>
    </row>
    <row r="377" customFormat="false" ht="15" hidden="false" customHeight="true" outlineLevel="0" collapsed="false">
      <c r="A377" s="27" t="s">
        <v>1989</v>
      </c>
      <c r="B377" s="27" t="s">
        <v>502</v>
      </c>
      <c r="C377" s="28" t="s">
        <v>1990</v>
      </c>
      <c r="D377" s="28" t="s">
        <v>5754</v>
      </c>
      <c r="E377" s="28" t="s">
        <v>5639</v>
      </c>
      <c r="F377" s="28" t="s">
        <v>5640</v>
      </c>
      <c r="G377" s="28" t="s">
        <v>5749</v>
      </c>
      <c r="H377" s="27" t="s">
        <v>5632</v>
      </c>
      <c r="I377" s="28" t="s">
        <v>5671</v>
      </c>
      <c r="J377" s="27"/>
    </row>
    <row r="378" customFormat="false" ht="15" hidden="false" customHeight="true" outlineLevel="0" collapsed="false">
      <c r="A378" s="27" t="s">
        <v>1991</v>
      </c>
      <c r="B378" s="27" t="s">
        <v>502</v>
      </c>
      <c r="C378" s="28" t="s">
        <v>1992</v>
      </c>
      <c r="D378" s="28" t="s">
        <v>5747</v>
      </c>
      <c r="E378" s="28" t="s">
        <v>5748</v>
      </c>
      <c r="F378" s="28" t="s">
        <v>5630</v>
      </c>
      <c r="G378" s="28" t="s">
        <v>5749</v>
      </c>
      <c r="H378" s="27" t="s">
        <v>5632</v>
      </c>
      <c r="I378" s="28" t="s">
        <v>5671</v>
      </c>
      <c r="J378" s="27"/>
    </row>
    <row r="379" customFormat="false" ht="15" hidden="false" customHeight="true" outlineLevel="0" collapsed="false">
      <c r="A379" s="27" t="s">
        <v>1994</v>
      </c>
      <c r="B379" s="27" t="s">
        <v>502</v>
      </c>
      <c r="C379" s="28" t="s">
        <v>1995</v>
      </c>
      <c r="D379" s="28" t="s">
        <v>5710</v>
      </c>
      <c r="E379" s="28" t="s">
        <v>5711</v>
      </c>
      <c r="F379" s="28" t="s">
        <v>5640</v>
      </c>
      <c r="G379" s="28" t="s">
        <v>5749</v>
      </c>
      <c r="H379" s="27" t="s">
        <v>5632</v>
      </c>
      <c r="I379" s="28" t="s">
        <v>5671</v>
      </c>
      <c r="J379" s="27"/>
    </row>
    <row r="380" customFormat="false" ht="15" hidden="false" customHeight="true" outlineLevel="0" collapsed="false">
      <c r="A380" s="27" t="s">
        <v>2002</v>
      </c>
      <c r="B380" s="27" t="s">
        <v>502</v>
      </c>
      <c r="C380" s="28" t="s">
        <v>2003</v>
      </c>
      <c r="D380" s="28" t="s">
        <v>5750</v>
      </c>
      <c r="E380" s="28" t="s">
        <v>5751</v>
      </c>
      <c r="F380" s="28" t="s">
        <v>5640</v>
      </c>
      <c r="G380" s="28" t="s">
        <v>5749</v>
      </c>
      <c r="H380" s="27" t="s">
        <v>5632</v>
      </c>
      <c r="I380" s="28" t="s">
        <v>5671</v>
      </c>
      <c r="J380" s="27"/>
    </row>
    <row r="381" customFormat="false" ht="15" hidden="false" customHeight="true" outlineLevel="0" collapsed="false">
      <c r="A381" s="27" t="s">
        <v>2005</v>
      </c>
      <c r="B381" s="27" t="s">
        <v>502</v>
      </c>
      <c r="C381" s="28" t="s">
        <v>2006</v>
      </c>
      <c r="D381" s="28" t="s">
        <v>5750</v>
      </c>
      <c r="E381" s="28" t="s">
        <v>5751</v>
      </c>
      <c r="F381" s="28" t="s">
        <v>5640</v>
      </c>
      <c r="G381" s="28" t="s">
        <v>5749</v>
      </c>
      <c r="H381" s="27" t="s">
        <v>5632</v>
      </c>
      <c r="I381" s="28" t="s">
        <v>5671</v>
      </c>
      <c r="J381" s="27"/>
    </row>
    <row r="382" customFormat="false" ht="15" hidden="false" customHeight="true" outlineLevel="0" collapsed="false">
      <c r="A382" s="27" t="s">
        <v>2008</v>
      </c>
      <c r="B382" s="27" t="s">
        <v>502</v>
      </c>
      <c r="C382" s="28" t="s">
        <v>2009</v>
      </c>
      <c r="D382" s="28" t="s">
        <v>5747</v>
      </c>
      <c r="E382" s="28" t="s">
        <v>5748</v>
      </c>
      <c r="F382" s="28" t="s">
        <v>5630</v>
      </c>
      <c r="G382" s="28" t="s">
        <v>5749</v>
      </c>
      <c r="H382" s="27" t="s">
        <v>5632</v>
      </c>
      <c r="I382" s="28" t="s">
        <v>5671</v>
      </c>
      <c r="J382" s="27"/>
    </row>
    <row r="383" customFormat="false" ht="15" hidden="false" customHeight="true" outlineLevel="0" collapsed="false">
      <c r="A383" s="27" t="s">
        <v>2011</v>
      </c>
      <c r="B383" s="27" t="s">
        <v>502</v>
      </c>
      <c r="C383" s="28" t="s">
        <v>2012</v>
      </c>
      <c r="D383" s="28" t="s">
        <v>5653</v>
      </c>
      <c r="E383" s="28" t="s">
        <v>5654</v>
      </c>
      <c r="F383" s="28" t="s">
        <v>5640</v>
      </c>
      <c r="G383" s="28" t="s">
        <v>5749</v>
      </c>
      <c r="H383" s="27" t="s">
        <v>5632</v>
      </c>
      <c r="I383" s="28" t="s">
        <v>5671</v>
      </c>
      <c r="J383" s="27"/>
    </row>
    <row r="384" customFormat="false" ht="15" hidden="false" customHeight="true" outlineLevel="0" collapsed="false">
      <c r="A384" s="27" t="s">
        <v>2014</v>
      </c>
      <c r="B384" s="27" t="s">
        <v>502</v>
      </c>
      <c r="C384" s="28" t="s">
        <v>2015</v>
      </c>
      <c r="D384" s="28" t="s">
        <v>5747</v>
      </c>
      <c r="E384" s="28" t="s">
        <v>5748</v>
      </c>
      <c r="F384" s="28" t="s">
        <v>5630</v>
      </c>
      <c r="G384" s="28" t="s">
        <v>5749</v>
      </c>
      <c r="H384" s="27" t="s">
        <v>5632</v>
      </c>
      <c r="I384" s="28" t="s">
        <v>5671</v>
      </c>
      <c r="J384" s="27"/>
    </row>
    <row r="385" customFormat="false" ht="15" hidden="false" customHeight="true" outlineLevel="0" collapsed="false">
      <c r="A385" s="27" t="s">
        <v>2016</v>
      </c>
      <c r="B385" s="27" t="s">
        <v>502</v>
      </c>
      <c r="C385" s="28" t="s">
        <v>2017</v>
      </c>
      <c r="D385" s="28" t="s">
        <v>5747</v>
      </c>
      <c r="E385" s="28" t="s">
        <v>5748</v>
      </c>
      <c r="F385" s="28" t="s">
        <v>5630</v>
      </c>
      <c r="G385" s="28" t="s">
        <v>5749</v>
      </c>
      <c r="H385" s="27" t="s">
        <v>5632</v>
      </c>
      <c r="I385" s="28" t="s">
        <v>5671</v>
      </c>
      <c r="J385" s="27"/>
    </row>
    <row r="386" customFormat="false" ht="15" hidden="false" customHeight="true" outlineLevel="0" collapsed="false">
      <c r="A386" s="27" t="s">
        <v>2019</v>
      </c>
      <c r="B386" s="27" t="s">
        <v>502</v>
      </c>
      <c r="C386" s="28" t="s">
        <v>2020</v>
      </c>
      <c r="D386" s="28" t="s">
        <v>5747</v>
      </c>
      <c r="E386" s="28" t="s">
        <v>5748</v>
      </c>
      <c r="F386" s="28" t="s">
        <v>5630</v>
      </c>
      <c r="G386" s="28" t="s">
        <v>5749</v>
      </c>
      <c r="H386" s="27" t="s">
        <v>5632</v>
      </c>
      <c r="I386" s="28" t="s">
        <v>5671</v>
      </c>
      <c r="J386" s="27"/>
    </row>
    <row r="387" customFormat="false" ht="15" hidden="false" customHeight="true" outlineLevel="0" collapsed="false">
      <c r="A387" s="27" t="s">
        <v>2021</v>
      </c>
      <c r="B387" s="27" t="s">
        <v>502</v>
      </c>
      <c r="C387" s="28" t="s">
        <v>2022</v>
      </c>
      <c r="D387" s="28" t="s">
        <v>5747</v>
      </c>
      <c r="E387" s="28" t="s">
        <v>5748</v>
      </c>
      <c r="F387" s="28" t="s">
        <v>5630</v>
      </c>
      <c r="G387" s="28" t="s">
        <v>5749</v>
      </c>
      <c r="H387" s="27" t="s">
        <v>5632</v>
      </c>
      <c r="I387" s="28" t="s">
        <v>5671</v>
      </c>
      <c r="J387" s="27"/>
    </row>
    <row r="388" customFormat="false" ht="15" hidden="false" customHeight="true" outlineLevel="0" collapsed="false">
      <c r="A388" s="27" t="s">
        <v>2023</v>
      </c>
      <c r="B388" s="27" t="s">
        <v>502</v>
      </c>
      <c r="C388" s="28" t="s">
        <v>2024</v>
      </c>
      <c r="D388" s="28" t="s">
        <v>5653</v>
      </c>
      <c r="E388" s="28" t="s">
        <v>5654</v>
      </c>
      <c r="F388" s="28" t="s">
        <v>5640</v>
      </c>
      <c r="G388" s="28" t="s">
        <v>5749</v>
      </c>
      <c r="H388" s="27" t="s">
        <v>5632</v>
      </c>
      <c r="I388" s="28" t="s">
        <v>5671</v>
      </c>
      <c r="J388" s="27"/>
    </row>
    <row r="389" customFormat="false" ht="15" hidden="false" customHeight="true" outlineLevel="0" collapsed="false">
      <c r="A389" s="27" t="s">
        <v>2026</v>
      </c>
      <c r="B389" s="27" t="s">
        <v>502</v>
      </c>
      <c r="C389" s="28" t="s">
        <v>2027</v>
      </c>
      <c r="D389" s="28" t="s">
        <v>5747</v>
      </c>
      <c r="E389" s="28" t="s">
        <v>5748</v>
      </c>
      <c r="F389" s="28" t="s">
        <v>5630</v>
      </c>
      <c r="G389" s="28" t="s">
        <v>5749</v>
      </c>
      <c r="H389" s="27" t="s">
        <v>5632</v>
      </c>
      <c r="I389" s="28" t="s">
        <v>5671</v>
      </c>
      <c r="J389" s="27"/>
    </row>
    <row r="390" customFormat="false" ht="15" hidden="false" customHeight="true" outlineLevel="0" collapsed="false">
      <c r="A390" s="27" t="s">
        <v>2029</v>
      </c>
      <c r="B390" s="27" t="s">
        <v>502</v>
      </c>
      <c r="C390" s="28" t="s">
        <v>2030</v>
      </c>
      <c r="D390" s="28" t="s">
        <v>5754</v>
      </c>
      <c r="E390" s="28" t="s">
        <v>5639</v>
      </c>
      <c r="F390" s="28" t="s">
        <v>5640</v>
      </c>
      <c r="G390" s="28" t="s">
        <v>5749</v>
      </c>
      <c r="H390" s="27" t="s">
        <v>5632</v>
      </c>
      <c r="I390" s="28" t="s">
        <v>5671</v>
      </c>
      <c r="J390" s="27"/>
    </row>
    <row r="391" customFormat="false" ht="15" hidden="false" customHeight="true" outlineLevel="0" collapsed="false">
      <c r="A391" s="27" t="s">
        <v>2033</v>
      </c>
      <c r="B391" s="27" t="s">
        <v>502</v>
      </c>
      <c r="C391" s="28" t="s">
        <v>2034</v>
      </c>
      <c r="D391" s="28" t="s">
        <v>5754</v>
      </c>
      <c r="E391" s="28" t="s">
        <v>5639</v>
      </c>
      <c r="F391" s="28" t="s">
        <v>5640</v>
      </c>
      <c r="G391" s="28" t="s">
        <v>5749</v>
      </c>
      <c r="H391" s="27" t="s">
        <v>5632</v>
      </c>
      <c r="I391" s="28" t="s">
        <v>5671</v>
      </c>
      <c r="J391" s="28" t="s">
        <v>5753</v>
      </c>
    </row>
    <row r="392" customFormat="false" ht="15" hidden="false" customHeight="true" outlineLevel="0" collapsed="false">
      <c r="A392" s="27" t="s">
        <v>2036</v>
      </c>
      <c r="B392" s="27" t="s">
        <v>502</v>
      </c>
      <c r="C392" s="28" t="s">
        <v>2037</v>
      </c>
      <c r="D392" s="28" t="s">
        <v>5754</v>
      </c>
      <c r="E392" s="28" t="s">
        <v>5639</v>
      </c>
      <c r="F392" s="28" t="s">
        <v>5640</v>
      </c>
      <c r="G392" s="28" t="s">
        <v>5749</v>
      </c>
      <c r="H392" s="27" t="s">
        <v>5632</v>
      </c>
      <c r="I392" s="28" t="s">
        <v>5671</v>
      </c>
      <c r="J392" s="27"/>
    </row>
    <row r="393" customFormat="false" ht="15" hidden="false" customHeight="true" outlineLevel="0" collapsed="false">
      <c r="A393" s="27" t="s">
        <v>2039</v>
      </c>
      <c r="B393" s="27" t="s">
        <v>502</v>
      </c>
      <c r="C393" s="28" t="s">
        <v>2040</v>
      </c>
      <c r="D393" s="28" t="s">
        <v>5756</v>
      </c>
      <c r="E393" s="28" t="s">
        <v>5751</v>
      </c>
      <c r="F393" s="28" t="s">
        <v>5640</v>
      </c>
      <c r="G393" s="28" t="s">
        <v>5749</v>
      </c>
      <c r="H393" s="27" t="s">
        <v>5632</v>
      </c>
      <c r="I393" s="28" t="s">
        <v>5671</v>
      </c>
      <c r="J393" s="27"/>
    </row>
    <row r="394" customFormat="false" ht="15" hidden="false" customHeight="true" outlineLevel="0" collapsed="false">
      <c r="A394" s="27" t="s">
        <v>2041</v>
      </c>
      <c r="B394" s="27" t="s">
        <v>502</v>
      </c>
      <c r="C394" s="28" t="s">
        <v>2042</v>
      </c>
      <c r="D394" s="28" t="s">
        <v>5747</v>
      </c>
      <c r="E394" s="28" t="s">
        <v>5748</v>
      </c>
      <c r="F394" s="28" t="s">
        <v>5630</v>
      </c>
      <c r="G394" s="28" t="s">
        <v>5749</v>
      </c>
      <c r="H394" s="27" t="s">
        <v>5632</v>
      </c>
      <c r="I394" s="28" t="s">
        <v>5671</v>
      </c>
      <c r="J394" s="27"/>
    </row>
    <row r="395" customFormat="false" ht="15" hidden="false" customHeight="true" outlineLevel="0" collapsed="false">
      <c r="A395" s="27" t="s">
        <v>2044</v>
      </c>
      <c r="B395" s="27" t="s">
        <v>502</v>
      </c>
      <c r="C395" s="28" t="s">
        <v>2045</v>
      </c>
      <c r="D395" s="28" t="s">
        <v>5754</v>
      </c>
      <c r="E395" s="28" t="s">
        <v>5639</v>
      </c>
      <c r="F395" s="28" t="s">
        <v>5640</v>
      </c>
      <c r="G395" s="28" t="s">
        <v>5749</v>
      </c>
      <c r="H395" s="27" t="s">
        <v>5632</v>
      </c>
      <c r="I395" s="28" t="s">
        <v>5671</v>
      </c>
      <c r="J395" s="27"/>
    </row>
    <row r="396" customFormat="false" ht="15" hidden="false" customHeight="true" outlineLevel="0" collapsed="false">
      <c r="A396" s="27" t="s">
        <v>2046</v>
      </c>
      <c r="B396" s="27" t="s">
        <v>502</v>
      </c>
      <c r="C396" s="28" t="s">
        <v>2047</v>
      </c>
      <c r="D396" s="28" t="s">
        <v>5754</v>
      </c>
      <c r="E396" s="28" t="s">
        <v>5639</v>
      </c>
      <c r="F396" s="28" t="s">
        <v>5640</v>
      </c>
      <c r="G396" s="28" t="s">
        <v>5749</v>
      </c>
      <c r="H396" s="27" t="s">
        <v>5632</v>
      </c>
      <c r="I396" s="28" t="s">
        <v>5671</v>
      </c>
      <c r="J396" s="27"/>
    </row>
    <row r="397" customFormat="false" ht="15" hidden="false" customHeight="true" outlineLevel="0" collapsed="false">
      <c r="A397" s="27" t="s">
        <v>2049</v>
      </c>
      <c r="B397" s="27" t="s">
        <v>502</v>
      </c>
      <c r="C397" s="28" t="s">
        <v>2050</v>
      </c>
      <c r="D397" s="28" t="s">
        <v>5754</v>
      </c>
      <c r="E397" s="28" t="s">
        <v>5639</v>
      </c>
      <c r="F397" s="28" t="s">
        <v>5640</v>
      </c>
      <c r="G397" s="28" t="s">
        <v>5749</v>
      </c>
      <c r="H397" s="27" t="s">
        <v>5632</v>
      </c>
      <c r="I397" s="28" t="s">
        <v>5671</v>
      </c>
      <c r="J397" s="27"/>
    </row>
    <row r="398" customFormat="false" ht="15" hidden="false" customHeight="true" outlineLevel="0" collapsed="false">
      <c r="A398" s="27" t="s">
        <v>2053</v>
      </c>
      <c r="B398" s="27" t="s">
        <v>502</v>
      </c>
      <c r="C398" s="28" t="s">
        <v>2054</v>
      </c>
      <c r="D398" s="28" t="s">
        <v>5710</v>
      </c>
      <c r="E398" s="28" t="s">
        <v>5711</v>
      </c>
      <c r="F398" s="28" t="s">
        <v>5640</v>
      </c>
      <c r="G398" s="28" t="s">
        <v>5749</v>
      </c>
      <c r="H398" s="27" t="s">
        <v>5632</v>
      </c>
      <c r="I398" s="28" t="s">
        <v>5671</v>
      </c>
      <c r="J398" s="27"/>
    </row>
    <row r="399" customFormat="false" ht="15" hidden="false" customHeight="true" outlineLevel="0" collapsed="false">
      <c r="A399" s="27" t="s">
        <v>2056</v>
      </c>
      <c r="B399" s="27" t="s">
        <v>502</v>
      </c>
      <c r="C399" s="28" t="s">
        <v>2057</v>
      </c>
      <c r="D399" s="28" t="s">
        <v>5747</v>
      </c>
      <c r="E399" s="28" t="s">
        <v>5748</v>
      </c>
      <c r="F399" s="28" t="s">
        <v>5630</v>
      </c>
      <c r="G399" s="28" t="s">
        <v>5749</v>
      </c>
      <c r="H399" s="27" t="s">
        <v>5632</v>
      </c>
      <c r="I399" s="28" t="s">
        <v>5671</v>
      </c>
      <c r="J399" s="27"/>
    </row>
    <row r="400" customFormat="false" ht="15" hidden="false" customHeight="true" outlineLevel="0" collapsed="false">
      <c r="A400" s="27" t="s">
        <v>2059</v>
      </c>
      <c r="B400" s="27" t="s">
        <v>502</v>
      </c>
      <c r="C400" s="28" t="s">
        <v>2060</v>
      </c>
      <c r="D400" s="28" t="s">
        <v>5747</v>
      </c>
      <c r="E400" s="28" t="s">
        <v>5748</v>
      </c>
      <c r="F400" s="28" t="s">
        <v>5630</v>
      </c>
      <c r="G400" s="28" t="s">
        <v>5749</v>
      </c>
      <c r="H400" s="27" t="s">
        <v>5632</v>
      </c>
      <c r="I400" s="28" t="s">
        <v>5671</v>
      </c>
      <c r="J400" s="27"/>
    </row>
    <row r="401" customFormat="false" ht="15" hidden="false" customHeight="true" outlineLevel="0" collapsed="false">
      <c r="A401" s="27" t="s">
        <v>2061</v>
      </c>
      <c r="B401" s="27" t="s">
        <v>502</v>
      </c>
      <c r="C401" s="28" t="s">
        <v>2062</v>
      </c>
      <c r="D401" s="28" t="s">
        <v>5750</v>
      </c>
      <c r="E401" s="28" t="s">
        <v>5751</v>
      </c>
      <c r="F401" s="28" t="s">
        <v>5640</v>
      </c>
      <c r="G401" s="28" t="s">
        <v>5749</v>
      </c>
      <c r="H401" s="27" t="s">
        <v>5632</v>
      </c>
      <c r="I401" s="28" t="s">
        <v>5671</v>
      </c>
      <c r="J401" s="27"/>
    </row>
    <row r="402" customFormat="false" ht="15" hidden="false" customHeight="true" outlineLevel="0" collapsed="false">
      <c r="A402" s="27" t="s">
        <v>2065</v>
      </c>
      <c r="B402" s="27" t="s">
        <v>502</v>
      </c>
      <c r="C402" s="28" t="s">
        <v>2066</v>
      </c>
      <c r="D402" s="28" t="s">
        <v>5747</v>
      </c>
      <c r="E402" s="28" t="s">
        <v>5748</v>
      </c>
      <c r="F402" s="28" t="s">
        <v>5630</v>
      </c>
      <c r="G402" s="28" t="s">
        <v>5749</v>
      </c>
      <c r="H402" s="27" t="s">
        <v>5632</v>
      </c>
      <c r="I402" s="28" t="s">
        <v>5671</v>
      </c>
      <c r="J402" s="27"/>
    </row>
    <row r="403" customFormat="false" ht="15" hidden="false" customHeight="true" outlineLevel="0" collapsed="false">
      <c r="A403" s="27" t="s">
        <v>2067</v>
      </c>
      <c r="B403" s="27" t="s">
        <v>502</v>
      </c>
      <c r="C403" s="28" t="s">
        <v>2068</v>
      </c>
      <c r="D403" s="28" t="s">
        <v>5747</v>
      </c>
      <c r="E403" s="28" t="s">
        <v>5748</v>
      </c>
      <c r="F403" s="28" t="s">
        <v>5630</v>
      </c>
      <c r="G403" s="28" t="s">
        <v>5749</v>
      </c>
      <c r="H403" s="27" t="s">
        <v>5632</v>
      </c>
      <c r="I403" s="28" t="s">
        <v>5671</v>
      </c>
      <c r="J403" s="27"/>
    </row>
    <row r="404" customFormat="false" ht="15" hidden="false" customHeight="true" outlineLevel="0" collapsed="false">
      <c r="A404" s="27" t="s">
        <v>2070</v>
      </c>
      <c r="B404" s="27" t="s">
        <v>502</v>
      </c>
      <c r="C404" s="28" t="s">
        <v>2071</v>
      </c>
      <c r="D404" s="28" t="s">
        <v>5747</v>
      </c>
      <c r="E404" s="28" t="s">
        <v>5748</v>
      </c>
      <c r="F404" s="28" t="s">
        <v>5630</v>
      </c>
      <c r="G404" s="28" t="s">
        <v>5749</v>
      </c>
      <c r="H404" s="27" t="s">
        <v>5632</v>
      </c>
      <c r="I404" s="28" t="s">
        <v>5671</v>
      </c>
      <c r="J404" s="27"/>
    </row>
    <row r="405" customFormat="false" ht="15" hidden="false" customHeight="true" outlineLevel="0" collapsed="false">
      <c r="A405" s="27" t="s">
        <v>2073</v>
      </c>
      <c r="B405" s="27" t="s">
        <v>502</v>
      </c>
      <c r="C405" s="28" t="s">
        <v>2074</v>
      </c>
      <c r="D405" s="28" t="s">
        <v>5747</v>
      </c>
      <c r="E405" s="28" t="s">
        <v>5748</v>
      </c>
      <c r="F405" s="28" t="s">
        <v>5630</v>
      </c>
      <c r="G405" s="28" t="s">
        <v>5749</v>
      </c>
      <c r="H405" s="27" t="s">
        <v>5632</v>
      </c>
      <c r="I405" s="28" t="s">
        <v>5671</v>
      </c>
      <c r="J405" s="27"/>
    </row>
    <row r="406" customFormat="false" ht="15" hidden="false" customHeight="true" outlineLevel="0" collapsed="false">
      <c r="A406" s="27" t="s">
        <v>2076</v>
      </c>
      <c r="B406" s="27" t="s">
        <v>502</v>
      </c>
      <c r="C406" s="28" t="s">
        <v>2077</v>
      </c>
      <c r="D406" s="28" t="s">
        <v>5750</v>
      </c>
      <c r="E406" s="28" t="s">
        <v>5751</v>
      </c>
      <c r="F406" s="28" t="s">
        <v>5640</v>
      </c>
      <c r="G406" s="28" t="s">
        <v>5749</v>
      </c>
      <c r="H406" s="27" t="s">
        <v>5632</v>
      </c>
      <c r="I406" s="28" t="s">
        <v>5671</v>
      </c>
      <c r="J406" s="27"/>
    </row>
    <row r="407" customFormat="false" ht="15" hidden="false" customHeight="true" outlineLevel="0" collapsed="false">
      <c r="A407" s="27" t="s">
        <v>2081</v>
      </c>
      <c r="B407" s="27" t="s">
        <v>502</v>
      </c>
      <c r="C407" s="28" t="s">
        <v>1228</v>
      </c>
      <c r="D407" s="28" t="s">
        <v>5102</v>
      </c>
      <c r="E407" s="28" t="s">
        <v>5644</v>
      </c>
      <c r="F407" s="28" t="s">
        <v>5102</v>
      </c>
      <c r="G407" s="28" t="s">
        <v>5749</v>
      </c>
      <c r="H407" s="27" t="s">
        <v>5632</v>
      </c>
      <c r="I407" s="28" t="s">
        <v>5671</v>
      </c>
      <c r="J407" s="28" t="s">
        <v>5741</v>
      </c>
    </row>
    <row r="408" customFormat="false" ht="15" hidden="false" customHeight="true" outlineLevel="0" collapsed="false">
      <c r="A408" s="27" t="s">
        <v>2083</v>
      </c>
      <c r="B408" s="27" t="s">
        <v>502</v>
      </c>
      <c r="C408" s="28" t="s">
        <v>2084</v>
      </c>
      <c r="D408" s="28" t="s">
        <v>5747</v>
      </c>
      <c r="E408" s="28" t="s">
        <v>5748</v>
      </c>
      <c r="F408" s="28" t="s">
        <v>5630</v>
      </c>
      <c r="G408" s="28" t="s">
        <v>5749</v>
      </c>
      <c r="H408" s="27" t="s">
        <v>5632</v>
      </c>
      <c r="I408" s="28" t="s">
        <v>5671</v>
      </c>
      <c r="J408" s="27"/>
    </row>
    <row r="409" customFormat="false" ht="15" hidden="false" customHeight="true" outlineLevel="0" collapsed="false">
      <c r="A409" s="27" t="s">
        <v>2085</v>
      </c>
      <c r="B409" s="27" t="s">
        <v>502</v>
      </c>
      <c r="C409" s="28" t="s">
        <v>2086</v>
      </c>
      <c r="D409" s="28" t="s">
        <v>5750</v>
      </c>
      <c r="E409" s="28" t="s">
        <v>5751</v>
      </c>
      <c r="F409" s="28" t="s">
        <v>5640</v>
      </c>
      <c r="G409" s="28" t="s">
        <v>5749</v>
      </c>
      <c r="H409" s="27" t="s">
        <v>5632</v>
      </c>
      <c r="I409" s="28" t="s">
        <v>5671</v>
      </c>
      <c r="J409" s="27"/>
    </row>
    <row r="410" customFormat="false" ht="15" hidden="false" customHeight="true" outlineLevel="0" collapsed="false">
      <c r="A410" s="27" t="s">
        <v>2087</v>
      </c>
      <c r="B410" s="27" t="s">
        <v>502</v>
      </c>
      <c r="C410" s="28" t="s">
        <v>2088</v>
      </c>
      <c r="D410" s="28" t="s">
        <v>5757</v>
      </c>
      <c r="E410" s="28" t="s">
        <v>5639</v>
      </c>
      <c r="F410" s="28" t="s">
        <v>5640</v>
      </c>
      <c r="G410" s="28" t="s">
        <v>5749</v>
      </c>
      <c r="H410" s="27" t="s">
        <v>5632</v>
      </c>
      <c r="I410" s="28" t="s">
        <v>5671</v>
      </c>
      <c r="J410" s="27"/>
    </row>
    <row r="411" customFormat="false" ht="15" hidden="false" customHeight="true" outlineLevel="0" collapsed="false">
      <c r="A411" s="27" t="s">
        <v>2090</v>
      </c>
      <c r="B411" s="27" t="s">
        <v>502</v>
      </c>
      <c r="C411" s="28" t="s">
        <v>2091</v>
      </c>
      <c r="D411" s="28" t="s">
        <v>5705</v>
      </c>
      <c r="E411" s="28" t="s">
        <v>5639</v>
      </c>
      <c r="F411" s="28" t="s">
        <v>5640</v>
      </c>
      <c r="G411" s="28" t="s">
        <v>5749</v>
      </c>
      <c r="H411" s="27" t="s">
        <v>5632</v>
      </c>
      <c r="I411" s="28" t="s">
        <v>5671</v>
      </c>
      <c r="J411" s="27"/>
    </row>
    <row r="412" customFormat="false" ht="15" hidden="false" customHeight="true" outlineLevel="0" collapsed="false">
      <c r="A412" s="27" t="s">
        <v>2102</v>
      </c>
      <c r="B412" s="27" t="s">
        <v>509</v>
      </c>
      <c r="C412" s="28" t="s">
        <v>2103</v>
      </c>
      <c r="D412" s="28" t="s">
        <v>5758</v>
      </c>
      <c r="E412" s="28" t="s">
        <v>5759</v>
      </c>
      <c r="F412" s="28" t="s">
        <v>5630</v>
      </c>
      <c r="G412" s="28" t="s">
        <v>5760</v>
      </c>
      <c r="H412" s="27" t="s">
        <v>5745</v>
      </c>
      <c r="I412" s="28" t="s">
        <v>5734</v>
      </c>
      <c r="J412" s="27"/>
    </row>
    <row r="413" customFormat="false" ht="15" hidden="false" customHeight="true" outlineLevel="0" collapsed="false">
      <c r="A413" s="27" t="s">
        <v>2105</v>
      </c>
      <c r="B413" s="27" t="s">
        <v>509</v>
      </c>
      <c r="C413" s="28" t="s">
        <v>2106</v>
      </c>
      <c r="D413" s="28" t="s">
        <v>5761</v>
      </c>
      <c r="E413" s="28" t="s">
        <v>5759</v>
      </c>
      <c r="F413" s="28" t="s">
        <v>5630</v>
      </c>
      <c r="G413" s="28" t="s">
        <v>5760</v>
      </c>
      <c r="H413" s="27" t="s">
        <v>5745</v>
      </c>
      <c r="I413" s="28" t="s">
        <v>5734</v>
      </c>
      <c r="J413" s="27"/>
    </row>
    <row r="414" customFormat="false" ht="15" hidden="false" customHeight="true" outlineLevel="0" collapsed="false">
      <c r="A414" s="27" t="s">
        <v>2108</v>
      </c>
      <c r="B414" s="27" t="s">
        <v>509</v>
      </c>
      <c r="C414" s="28" t="s">
        <v>2109</v>
      </c>
      <c r="D414" s="28" t="s">
        <v>5761</v>
      </c>
      <c r="E414" s="28" t="s">
        <v>5759</v>
      </c>
      <c r="F414" s="28" t="s">
        <v>5630</v>
      </c>
      <c r="G414" s="28" t="s">
        <v>5760</v>
      </c>
      <c r="H414" s="27" t="s">
        <v>5745</v>
      </c>
      <c r="I414" s="28" t="s">
        <v>5734</v>
      </c>
      <c r="J414" s="27"/>
    </row>
    <row r="415" customFormat="false" ht="15" hidden="false" customHeight="true" outlineLevel="0" collapsed="false">
      <c r="A415" s="27" t="s">
        <v>2111</v>
      </c>
      <c r="B415" s="27" t="s">
        <v>509</v>
      </c>
      <c r="C415" s="28" t="s">
        <v>2112</v>
      </c>
      <c r="D415" s="28" t="s">
        <v>5758</v>
      </c>
      <c r="E415" s="28" t="s">
        <v>5759</v>
      </c>
      <c r="F415" s="28" t="s">
        <v>5630</v>
      </c>
      <c r="G415" s="28" t="s">
        <v>5760</v>
      </c>
      <c r="H415" s="27" t="s">
        <v>5745</v>
      </c>
      <c r="I415" s="28" t="s">
        <v>5734</v>
      </c>
      <c r="J415" s="27"/>
    </row>
    <row r="416" customFormat="false" ht="15" hidden="false" customHeight="true" outlineLevel="0" collapsed="false">
      <c r="A416" s="27" t="s">
        <v>2114</v>
      </c>
      <c r="B416" s="27" t="s">
        <v>509</v>
      </c>
      <c r="C416" s="28" t="s">
        <v>2115</v>
      </c>
      <c r="D416" s="28" t="s">
        <v>5758</v>
      </c>
      <c r="E416" s="28" t="s">
        <v>5759</v>
      </c>
      <c r="F416" s="28" t="s">
        <v>5630</v>
      </c>
      <c r="G416" s="28" t="s">
        <v>5760</v>
      </c>
      <c r="H416" s="27" t="s">
        <v>5745</v>
      </c>
      <c r="I416" s="28" t="s">
        <v>5734</v>
      </c>
      <c r="J416" s="27"/>
    </row>
    <row r="417" customFormat="false" ht="15" hidden="false" customHeight="true" outlineLevel="0" collapsed="false">
      <c r="A417" s="27" t="s">
        <v>2117</v>
      </c>
      <c r="B417" s="27" t="s">
        <v>509</v>
      </c>
      <c r="C417" s="28" t="s">
        <v>2118</v>
      </c>
      <c r="D417" s="28" t="s">
        <v>5758</v>
      </c>
      <c r="E417" s="28" t="s">
        <v>5759</v>
      </c>
      <c r="F417" s="28" t="s">
        <v>5630</v>
      </c>
      <c r="G417" s="28" t="s">
        <v>5760</v>
      </c>
      <c r="H417" s="27" t="s">
        <v>5745</v>
      </c>
      <c r="I417" s="28" t="s">
        <v>5734</v>
      </c>
      <c r="J417" s="27"/>
    </row>
    <row r="418" customFormat="false" ht="15" hidden="false" customHeight="true" outlineLevel="0" collapsed="false">
      <c r="A418" s="27" t="s">
        <v>2120</v>
      </c>
      <c r="B418" s="27" t="s">
        <v>509</v>
      </c>
      <c r="C418" s="28" t="s">
        <v>2121</v>
      </c>
      <c r="D418" s="28" t="s">
        <v>5758</v>
      </c>
      <c r="E418" s="28" t="s">
        <v>5759</v>
      </c>
      <c r="F418" s="28" t="s">
        <v>5630</v>
      </c>
      <c r="G418" s="28" t="s">
        <v>5760</v>
      </c>
      <c r="H418" s="27" t="s">
        <v>5745</v>
      </c>
      <c r="I418" s="28" t="s">
        <v>5734</v>
      </c>
      <c r="J418" s="27"/>
    </row>
    <row r="419" customFormat="false" ht="15" hidden="false" customHeight="true" outlineLevel="0" collapsed="false">
      <c r="A419" s="27" t="s">
        <v>2123</v>
      </c>
      <c r="B419" s="27" t="s">
        <v>509</v>
      </c>
      <c r="C419" s="28" t="s">
        <v>2124</v>
      </c>
      <c r="D419" s="28" t="s">
        <v>5758</v>
      </c>
      <c r="E419" s="28" t="s">
        <v>5759</v>
      </c>
      <c r="F419" s="28" t="s">
        <v>5630</v>
      </c>
      <c r="G419" s="28" t="s">
        <v>5760</v>
      </c>
      <c r="H419" s="27" t="s">
        <v>5745</v>
      </c>
      <c r="I419" s="28" t="s">
        <v>5734</v>
      </c>
      <c r="J419" s="27"/>
    </row>
    <row r="420" customFormat="false" ht="15" hidden="false" customHeight="true" outlineLevel="0" collapsed="false">
      <c r="A420" s="27" t="s">
        <v>2126</v>
      </c>
      <c r="B420" s="27" t="s">
        <v>509</v>
      </c>
      <c r="C420" s="28" t="s">
        <v>2127</v>
      </c>
      <c r="D420" s="28" t="s">
        <v>5758</v>
      </c>
      <c r="E420" s="28" t="s">
        <v>5759</v>
      </c>
      <c r="F420" s="28" t="s">
        <v>5630</v>
      </c>
      <c r="G420" s="28" t="s">
        <v>5760</v>
      </c>
      <c r="H420" s="27" t="s">
        <v>5745</v>
      </c>
      <c r="I420" s="28" t="s">
        <v>5734</v>
      </c>
      <c r="J420" s="27"/>
    </row>
    <row r="421" customFormat="false" ht="15" hidden="false" customHeight="true" outlineLevel="0" collapsed="false">
      <c r="A421" s="27" t="s">
        <v>2129</v>
      </c>
      <c r="B421" s="27" t="s">
        <v>509</v>
      </c>
      <c r="C421" s="28" t="s">
        <v>2130</v>
      </c>
      <c r="D421" s="28" t="s">
        <v>5758</v>
      </c>
      <c r="E421" s="28" t="s">
        <v>5759</v>
      </c>
      <c r="F421" s="28" t="s">
        <v>5630</v>
      </c>
      <c r="G421" s="28" t="s">
        <v>5760</v>
      </c>
      <c r="H421" s="27" t="s">
        <v>5745</v>
      </c>
      <c r="I421" s="28" t="s">
        <v>5734</v>
      </c>
      <c r="J421" s="27"/>
    </row>
    <row r="422" customFormat="false" ht="15" hidden="false" customHeight="true" outlineLevel="0" collapsed="false">
      <c r="A422" s="27" t="s">
        <v>2132</v>
      </c>
      <c r="B422" s="27" t="s">
        <v>509</v>
      </c>
      <c r="C422" s="28" t="s">
        <v>2133</v>
      </c>
      <c r="D422" s="28" t="s">
        <v>5758</v>
      </c>
      <c r="E422" s="28" t="s">
        <v>5759</v>
      </c>
      <c r="F422" s="28" t="s">
        <v>5630</v>
      </c>
      <c r="G422" s="28" t="s">
        <v>5760</v>
      </c>
      <c r="H422" s="27" t="s">
        <v>5745</v>
      </c>
      <c r="I422" s="28" t="s">
        <v>5734</v>
      </c>
      <c r="J422" s="27"/>
    </row>
    <row r="423" customFormat="false" ht="15" hidden="false" customHeight="true" outlineLevel="0" collapsed="false">
      <c r="A423" s="27" t="s">
        <v>2135</v>
      </c>
      <c r="B423" s="27" t="s">
        <v>509</v>
      </c>
      <c r="C423" s="28" t="s">
        <v>2136</v>
      </c>
      <c r="D423" s="28" t="s">
        <v>5761</v>
      </c>
      <c r="E423" s="28" t="s">
        <v>5759</v>
      </c>
      <c r="F423" s="28" t="s">
        <v>5630</v>
      </c>
      <c r="G423" s="28" t="s">
        <v>5760</v>
      </c>
      <c r="H423" s="27" t="s">
        <v>5745</v>
      </c>
      <c r="I423" s="28" t="s">
        <v>5734</v>
      </c>
      <c r="J423" s="27"/>
    </row>
    <row r="424" customFormat="false" ht="15" hidden="false" customHeight="true" outlineLevel="0" collapsed="false">
      <c r="A424" s="27" t="s">
        <v>2139</v>
      </c>
      <c r="B424" s="27" t="s">
        <v>509</v>
      </c>
      <c r="C424" s="28" t="s">
        <v>2140</v>
      </c>
      <c r="D424" s="28" t="s">
        <v>5758</v>
      </c>
      <c r="E424" s="28" t="s">
        <v>5759</v>
      </c>
      <c r="F424" s="28" t="s">
        <v>5630</v>
      </c>
      <c r="G424" s="28" t="s">
        <v>5760</v>
      </c>
      <c r="H424" s="27" t="s">
        <v>5745</v>
      </c>
      <c r="I424" s="28" t="s">
        <v>5734</v>
      </c>
      <c r="J424" s="27"/>
    </row>
    <row r="425" customFormat="false" ht="15" hidden="false" customHeight="true" outlineLevel="0" collapsed="false">
      <c r="A425" s="27" t="s">
        <v>2142</v>
      </c>
      <c r="B425" s="27" t="s">
        <v>509</v>
      </c>
      <c r="C425" s="28" t="s">
        <v>2143</v>
      </c>
      <c r="D425" s="28" t="s">
        <v>5761</v>
      </c>
      <c r="E425" s="28" t="s">
        <v>5759</v>
      </c>
      <c r="F425" s="28" t="s">
        <v>5630</v>
      </c>
      <c r="G425" s="28" t="s">
        <v>5760</v>
      </c>
      <c r="H425" s="27" t="s">
        <v>5745</v>
      </c>
      <c r="I425" s="28" t="s">
        <v>5734</v>
      </c>
      <c r="J425" s="27"/>
    </row>
    <row r="426" customFormat="false" ht="15" hidden="false" customHeight="true" outlineLevel="0" collapsed="false">
      <c r="A426" s="27" t="s">
        <v>2145</v>
      </c>
      <c r="B426" s="27" t="s">
        <v>509</v>
      </c>
      <c r="C426" s="28" t="s">
        <v>2146</v>
      </c>
      <c r="D426" s="28" t="s">
        <v>5758</v>
      </c>
      <c r="E426" s="28" t="s">
        <v>5759</v>
      </c>
      <c r="F426" s="28" t="s">
        <v>5630</v>
      </c>
      <c r="G426" s="28" t="s">
        <v>5760</v>
      </c>
      <c r="H426" s="27" t="s">
        <v>5745</v>
      </c>
      <c r="I426" s="28" t="s">
        <v>5734</v>
      </c>
      <c r="J426" s="27"/>
    </row>
    <row r="427" customFormat="false" ht="15" hidden="false" customHeight="true" outlineLevel="0" collapsed="false">
      <c r="A427" s="27" t="s">
        <v>2148</v>
      </c>
      <c r="B427" s="27" t="s">
        <v>509</v>
      </c>
      <c r="C427" s="28" t="s">
        <v>2149</v>
      </c>
      <c r="D427" s="28" t="s">
        <v>5758</v>
      </c>
      <c r="E427" s="28" t="s">
        <v>5759</v>
      </c>
      <c r="F427" s="28" t="s">
        <v>5630</v>
      </c>
      <c r="G427" s="28" t="s">
        <v>5760</v>
      </c>
      <c r="H427" s="27" t="s">
        <v>5745</v>
      </c>
      <c r="I427" s="28" t="s">
        <v>5734</v>
      </c>
      <c r="J427" s="28" t="s">
        <v>5741</v>
      </c>
    </row>
    <row r="428" customFormat="false" ht="15" hidden="false" customHeight="true" outlineLevel="0" collapsed="false">
      <c r="A428" s="27" t="s">
        <v>2151</v>
      </c>
      <c r="B428" s="27" t="s">
        <v>509</v>
      </c>
      <c r="C428" s="28" t="s">
        <v>2152</v>
      </c>
      <c r="D428" s="28" t="s">
        <v>5758</v>
      </c>
      <c r="E428" s="28" t="s">
        <v>5759</v>
      </c>
      <c r="F428" s="28" t="s">
        <v>5630</v>
      </c>
      <c r="G428" s="28" t="s">
        <v>5760</v>
      </c>
      <c r="H428" s="27" t="s">
        <v>5745</v>
      </c>
      <c r="I428" s="28" t="s">
        <v>5734</v>
      </c>
      <c r="J428" s="27"/>
    </row>
    <row r="429" customFormat="false" ht="15" hidden="false" customHeight="true" outlineLevel="0" collapsed="false">
      <c r="A429" s="27" t="s">
        <v>2154</v>
      </c>
      <c r="B429" s="27" t="s">
        <v>509</v>
      </c>
      <c r="C429" s="28" t="s">
        <v>2155</v>
      </c>
      <c r="D429" s="28" t="s">
        <v>5758</v>
      </c>
      <c r="E429" s="28" t="s">
        <v>5759</v>
      </c>
      <c r="F429" s="28" t="s">
        <v>5630</v>
      </c>
      <c r="G429" s="28" t="s">
        <v>5760</v>
      </c>
      <c r="H429" s="27" t="s">
        <v>5745</v>
      </c>
      <c r="I429" s="28" t="s">
        <v>5734</v>
      </c>
      <c r="J429" s="27"/>
    </row>
    <row r="430" customFormat="false" ht="15" hidden="false" customHeight="true" outlineLevel="0" collapsed="false">
      <c r="A430" s="27" t="s">
        <v>2157</v>
      </c>
      <c r="B430" s="27" t="s">
        <v>509</v>
      </c>
      <c r="C430" s="28" t="s">
        <v>2158</v>
      </c>
      <c r="D430" s="28" t="s">
        <v>5758</v>
      </c>
      <c r="E430" s="28" t="s">
        <v>5759</v>
      </c>
      <c r="F430" s="28" t="s">
        <v>5630</v>
      </c>
      <c r="G430" s="28" t="s">
        <v>5760</v>
      </c>
      <c r="H430" s="27" t="s">
        <v>5745</v>
      </c>
      <c r="I430" s="28" t="s">
        <v>5734</v>
      </c>
      <c r="J430" s="27"/>
    </row>
    <row r="431" customFormat="false" ht="15" hidden="false" customHeight="true" outlineLevel="0" collapsed="false">
      <c r="A431" s="27" t="s">
        <v>2160</v>
      </c>
      <c r="B431" s="27" t="s">
        <v>509</v>
      </c>
      <c r="C431" s="28" t="s">
        <v>2161</v>
      </c>
      <c r="D431" s="28" t="s">
        <v>5758</v>
      </c>
      <c r="E431" s="28" t="s">
        <v>5759</v>
      </c>
      <c r="F431" s="28" t="s">
        <v>5630</v>
      </c>
      <c r="G431" s="28" t="s">
        <v>5760</v>
      </c>
      <c r="H431" s="27" t="s">
        <v>5745</v>
      </c>
      <c r="I431" s="28" t="s">
        <v>5734</v>
      </c>
      <c r="J431" s="27"/>
    </row>
    <row r="432" customFormat="false" ht="15" hidden="false" customHeight="true" outlineLevel="0" collapsed="false">
      <c r="A432" s="27" t="s">
        <v>2163</v>
      </c>
      <c r="B432" s="27" t="s">
        <v>509</v>
      </c>
      <c r="C432" s="28" t="s">
        <v>2164</v>
      </c>
      <c r="D432" s="28" t="s">
        <v>5761</v>
      </c>
      <c r="E432" s="28" t="s">
        <v>5759</v>
      </c>
      <c r="F432" s="28" t="s">
        <v>5630</v>
      </c>
      <c r="G432" s="28" t="s">
        <v>5760</v>
      </c>
      <c r="H432" s="27" t="s">
        <v>5745</v>
      </c>
      <c r="I432" s="28" t="s">
        <v>5734</v>
      </c>
      <c r="J432" s="27"/>
    </row>
    <row r="433" customFormat="false" ht="15" hidden="false" customHeight="true" outlineLevel="0" collapsed="false">
      <c r="A433" s="27" t="s">
        <v>2166</v>
      </c>
      <c r="B433" s="27" t="s">
        <v>509</v>
      </c>
      <c r="C433" s="28" t="s">
        <v>2167</v>
      </c>
      <c r="D433" s="28" t="s">
        <v>5758</v>
      </c>
      <c r="E433" s="28" t="s">
        <v>5759</v>
      </c>
      <c r="F433" s="28" t="s">
        <v>5630</v>
      </c>
      <c r="G433" s="28" t="s">
        <v>5760</v>
      </c>
      <c r="H433" s="27" t="s">
        <v>5745</v>
      </c>
      <c r="I433" s="28" t="s">
        <v>5734</v>
      </c>
      <c r="J433" s="27"/>
    </row>
    <row r="434" customFormat="false" ht="15" hidden="false" customHeight="true" outlineLevel="0" collapsed="false">
      <c r="A434" s="27" t="s">
        <v>2169</v>
      </c>
      <c r="B434" s="27" t="s">
        <v>509</v>
      </c>
      <c r="C434" s="28" t="s">
        <v>2170</v>
      </c>
      <c r="D434" s="28" t="s">
        <v>5758</v>
      </c>
      <c r="E434" s="28" t="s">
        <v>5759</v>
      </c>
      <c r="F434" s="28" t="s">
        <v>5630</v>
      </c>
      <c r="G434" s="28" t="s">
        <v>5760</v>
      </c>
      <c r="H434" s="27" t="s">
        <v>5745</v>
      </c>
      <c r="I434" s="28" t="s">
        <v>5734</v>
      </c>
      <c r="J434" s="27"/>
    </row>
    <row r="435" customFormat="false" ht="15" hidden="false" customHeight="true" outlineLevel="0" collapsed="false">
      <c r="A435" s="27" t="s">
        <v>2172</v>
      </c>
      <c r="B435" s="27" t="s">
        <v>509</v>
      </c>
      <c r="C435" s="28" t="s">
        <v>2173</v>
      </c>
      <c r="D435" s="28" t="s">
        <v>5758</v>
      </c>
      <c r="E435" s="28" t="s">
        <v>5759</v>
      </c>
      <c r="F435" s="28" t="s">
        <v>5630</v>
      </c>
      <c r="G435" s="28" t="s">
        <v>5760</v>
      </c>
      <c r="H435" s="27" t="s">
        <v>5745</v>
      </c>
      <c r="I435" s="28" t="s">
        <v>5734</v>
      </c>
      <c r="J435" s="27"/>
    </row>
    <row r="436" customFormat="false" ht="15" hidden="false" customHeight="true" outlineLevel="0" collapsed="false">
      <c r="A436" s="27" t="s">
        <v>2175</v>
      </c>
      <c r="B436" s="27" t="s">
        <v>509</v>
      </c>
      <c r="C436" s="28" t="s">
        <v>2176</v>
      </c>
      <c r="D436" s="28" t="s">
        <v>5762</v>
      </c>
      <c r="E436" s="28" t="s">
        <v>5763</v>
      </c>
      <c r="F436" s="28" t="s">
        <v>5630</v>
      </c>
      <c r="G436" s="28" t="s">
        <v>5760</v>
      </c>
      <c r="H436" s="27" t="s">
        <v>5745</v>
      </c>
      <c r="I436" s="28" t="s">
        <v>5734</v>
      </c>
      <c r="J436" s="27"/>
    </row>
    <row r="437" customFormat="false" ht="15" hidden="false" customHeight="true" outlineLevel="0" collapsed="false">
      <c r="A437" s="27" t="s">
        <v>2178</v>
      </c>
      <c r="B437" s="27" t="s">
        <v>509</v>
      </c>
      <c r="C437" s="28" t="s">
        <v>2179</v>
      </c>
      <c r="D437" s="28" t="s">
        <v>5758</v>
      </c>
      <c r="E437" s="28" t="s">
        <v>5759</v>
      </c>
      <c r="F437" s="28" t="s">
        <v>5630</v>
      </c>
      <c r="G437" s="28" t="s">
        <v>5760</v>
      </c>
      <c r="H437" s="27" t="s">
        <v>5745</v>
      </c>
      <c r="I437" s="28" t="s">
        <v>5734</v>
      </c>
      <c r="J437" s="27"/>
    </row>
    <row r="438" customFormat="false" ht="15" hidden="false" customHeight="true" outlineLevel="0" collapsed="false">
      <c r="A438" s="27" t="s">
        <v>2181</v>
      </c>
      <c r="B438" s="27" t="s">
        <v>509</v>
      </c>
      <c r="C438" s="28" t="s">
        <v>2182</v>
      </c>
      <c r="D438" s="28" t="s">
        <v>5701</v>
      </c>
      <c r="E438" s="28" t="s">
        <v>5702</v>
      </c>
      <c r="F438" s="28" t="s">
        <v>5640</v>
      </c>
      <c r="G438" s="28" t="s">
        <v>5760</v>
      </c>
      <c r="H438" s="27" t="s">
        <v>5745</v>
      </c>
      <c r="I438" s="28" t="s">
        <v>5734</v>
      </c>
      <c r="J438" s="27"/>
    </row>
    <row r="439" customFormat="false" ht="15" hidden="false" customHeight="true" outlineLevel="0" collapsed="false">
      <c r="A439" s="27" t="s">
        <v>2184</v>
      </c>
      <c r="B439" s="27" t="s">
        <v>509</v>
      </c>
      <c r="C439" s="28" t="s">
        <v>2185</v>
      </c>
      <c r="D439" s="28" t="s">
        <v>5764</v>
      </c>
      <c r="E439" s="28" t="s">
        <v>5765</v>
      </c>
      <c r="F439" s="28" t="s">
        <v>5630</v>
      </c>
      <c r="G439" s="28" t="s">
        <v>5760</v>
      </c>
      <c r="H439" s="27" t="s">
        <v>5745</v>
      </c>
      <c r="I439" s="28" t="s">
        <v>5734</v>
      </c>
      <c r="J439" s="27"/>
    </row>
    <row r="440" customFormat="false" ht="15" hidden="false" customHeight="true" outlineLevel="0" collapsed="false">
      <c r="A440" s="27" t="s">
        <v>2194</v>
      </c>
      <c r="B440" s="27" t="s">
        <v>515</v>
      </c>
      <c r="C440" s="28" t="s">
        <v>2195</v>
      </c>
      <c r="D440" s="28" t="s">
        <v>5766</v>
      </c>
      <c r="E440" s="28" t="s">
        <v>5767</v>
      </c>
      <c r="F440" s="28" t="s">
        <v>5630</v>
      </c>
      <c r="G440" s="28" t="s">
        <v>5768</v>
      </c>
      <c r="H440" s="27" t="s">
        <v>5769</v>
      </c>
      <c r="I440" s="28" t="s">
        <v>5697</v>
      </c>
      <c r="J440" s="27"/>
    </row>
    <row r="441" customFormat="false" ht="15" hidden="false" customHeight="true" outlineLevel="0" collapsed="false">
      <c r="A441" s="27" t="s">
        <v>2197</v>
      </c>
      <c r="B441" s="27" t="s">
        <v>515</v>
      </c>
      <c r="C441" s="28" t="s">
        <v>2198</v>
      </c>
      <c r="D441" s="28" t="s">
        <v>5766</v>
      </c>
      <c r="E441" s="28" t="s">
        <v>5767</v>
      </c>
      <c r="F441" s="28" t="s">
        <v>5630</v>
      </c>
      <c r="G441" s="28" t="s">
        <v>5768</v>
      </c>
      <c r="H441" s="27" t="s">
        <v>5769</v>
      </c>
      <c r="I441" s="28" t="s">
        <v>5697</v>
      </c>
      <c r="J441" s="27"/>
    </row>
    <row r="442" customFormat="false" ht="15" hidden="false" customHeight="true" outlineLevel="0" collapsed="false">
      <c r="A442" s="27" t="s">
        <v>2200</v>
      </c>
      <c r="B442" s="27" t="s">
        <v>515</v>
      </c>
      <c r="C442" s="28" t="s">
        <v>2201</v>
      </c>
      <c r="D442" s="28" t="s">
        <v>5766</v>
      </c>
      <c r="E442" s="28" t="s">
        <v>5767</v>
      </c>
      <c r="F442" s="28" t="s">
        <v>5630</v>
      </c>
      <c r="G442" s="28" t="s">
        <v>5768</v>
      </c>
      <c r="H442" s="27" t="s">
        <v>5769</v>
      </c>
      <c r="I442" s="28" t="s">
        <v>5697</v>
      </c>
      <c r="J442" s="27"/>
    </row>
    <row r="443" customFormat="false" ht="15" hidden="false" customHeight="true" outlineLevel="0" collapsed="false">
      <c r="A443" s="27" t="s">
        <v>2203</v>
      </c>
      <c r="B443" s="27" t="s">
        <v>515</v>
      </c>
      <c r="C443" s="28" t="s">
        <v>2204</v>
      </c>
      <c r="D443" s="28" t="s">
        <v>5766</v>
      </c>
      <c r="E443" s="28" t="s">
        <v>5767</v>
      </c>
      <c r="F443" s="28" t="s">
        <v>5630</v>
      </c>
      <c r="G443" s="28" t="s">
        <v>5768</v>
      </c>
      <c r="H443" s="27" t="s">
        <v>5769</v>
      </c>
      <c r="I443" s="28" t="s">
        <v>5697</v>
      </c>
      <c r="J443" s="27"/>
    </row>
    <row r="444" customFormat="false" ht="15" hidden="false" customHeight="true" outlineLevel="0" collapsed="false">
      <c r="A444" s="27" t="s">
        <v>2206</v>
      </c>
      <c r="B444" s="27" t="s">
        <v>515</v>
      </c>
      <c r="C444" s="28" t="s">
        <v>2207</v>
      </c>
      <c r="D444" s="28" t="s">
        <v>5766</v>
      </c>
      <c r="E444" s="28" t="s">
        <v>5767</v>
      </c>
      <c r="F444" s="28" t="s">
        <v>5630</v>
      </c>
      <c r="G444" s="28" t="s">
        <v>5768</v>
      </c>
      <c r="H444" s="27" t="s">
        <v>5769</v>
      </c>
      <c r="I444" s="28" t="s">
        <v>5697</v>
      </c>
      <c r="J444" s="27"/>
    </row>
    <row r="445" customFormat="false" ht="15" hidden="false" customHeight="true" outlineLevel="0" collapsed="false">
      <c r="A445" s="27" t="s">
        <v>2209</v>
      </c>
      <c r="B445" s="27" t="s">
        <v>515</v>
      </c>
      <c r="C445" s="28" t="s">
        <v>2210</v>
      </c>
      <c r="D445" s="28" t="s">
        <v>5766</v>
      </c>
      <c r="E445" s="28" t="s">
        <v>5767</v>
      </c>
      <c r="F445" s="28" t="s">
        <v>5630</v>
      </c>
      <c r="G445" s="28" t="s">
        <v>5768</v>
      </c>
      <c r="H445" s="27" t="s">
        <v>5769</v>
      </c>
      <c r="I445" s="28" t="s">
        <v>5697</v>
      </c>
      <c r="J445" s="27"/>
    </row>
    <row r="446" customFormat="false" ht="15" hidden="false" customHeight="true" outlineLevel="0" collapsed="false">
      <c r="A446" s="27" t="s">
        <v>2212</v>
      </c>
      <c r="B446" s="27" t="s">
        <v>515</v>
      </c>
      <c r="C446" s="28" t="s">
        <v>2213</v>
      </c>
      <c r="D446" s="28" t="s">
        <v>5766</v>
      </c>
      <c r="E446" s="28" t="s">
        <v>5767</v>
      </c>
      <c r="F446" s="28" t="s">
        <v>5630</v>
      </c>
      <c r="G446" s="28" t="s">
        <v>5768</v>
      </c>
      <c r="H446" s="27" t="s">
        <v>5769</v>
      </c>
      <c r="I446" s="28" t="s">
        <v>5697</v>
      </c>
      <c r="J446" s="27"/>
    </row>
    <row r="447" customFormat="false" ht="15" hidden="false" customHeight="true" outlineLevel="0" collapsed="false">
      <c r="A447" s="27" t="s">
        <v>2215</v>
      </c>
      <c r="B447" s="27" t="s">
        <v>515</v>
      </c>
      <c r="C447" s="28" t="s">
        <v>2216</v>
      </c>
      <c r="D447" s="28" t="s">
        <v>5766</v>
      </c>
      <c r="E447" s="28" t="s">
        <v>5767</v>
      </c>
      <c r="F447" s="28" t="s">
        <v>5630</v>
      </c>
      <c r="G447" s="28" t="s">
        <v>5768</v>
      </c>
      <c r="H447" s="27" t="s">
        <v>5769</v>
      </c>
      <c r="I447" s="28" t="s">
        <v>5697</v>
      </c>
      <c r="J447" s="27"/>
    </row>
    <row r="448" customFormat="false" ht="15" hidden="false" customHeight="true" outlineLevel="0" collapsed="false">
      <c r="A448" s="27" t="s">
        <v>2218</v>
      </c>
      <c r="B448" s="27" t="s">
        <v>515</v>
      </c>
      <c r="C448" s="28" t="s">
        <v>1974</v>
      </c>
      <c r="D448" s="28" t="s">
        <v>5770</v>
      </c>
      <c r="E448" s="28" t="s">
        <v>5771</v>
      </c>
      <c r="F448" s="28" t="s">
        <v>5640</v>
      </c>
      <c r="G448" s="28" t="s">
        <v>5768</v>
      </c>
      <c r="H448" s="27" t="s">
        <v>5769</v>
      </c>
      <c r="I448" s="28" t="s">
        <v>5697</v>
      </c>
      <c r="J448" s="27"/>
    </row>
    <row r="449" customFormat="false" ht="15" hidden="false" customHeight="true" outlineLevel="0" collapsed="false">
      <c r="A449" s="27" t="s">
        <v>2220</v>
      </c>
      <c r="B449" s="27" t="s">
        <v>515</v>
      </c>
      <c r="C449" s="28" t="s">
        <v>2221</v>
      </c>
      <c r="D449" s="28" t="s">
        <v>5766</v>
      </c>
      <c r="E449" s="28" t="s">
        <v>5767</v>
      </c>
      <c r="F449" s="28" t="s">
        <v>5630</v>
      </c>
      <c r="G449" s="28" t="s">
        <v>5768</v>
      </c>
      <c r="H449" s="27" t="s">
        <v>5769</v>
      </c>
      <c r="I449" s="28" t="s">
        <v>5697</v>
      </c>
      <c r="J449" s="27"/>
    </row>
    <row r="450" customFormat="false" ht="15" hidden="false" customHeight="true" outlineLevel="0" collapsed="false">
      <c r="A450" s="27" t="s">
        <v>2223</v>
      </c>
      <c r="B450" s="27" t="s">
        <v>515</v>
      </c>
      <c r="C450" s="28" t="s">
        <v>2224</v>
      </c>
      <c r="D450" s="28" t="s">
        <v>5766</v>
      </c>
      <c r="E450" s="28" t="s">
        <v>5767</v>
      </c>
      <c r="F450" s="28" t="s">
        <v>5630</v>
      </c>
      <c r="G450" s="28" t="s">
        <v>5768</v>
      </c>
      <c r="H450" s="27" t="s">
        <v>5769</v>
      </c>
      <c r="I450" s="28" t="s">
        <v>5697</v>
      </c>
      <c r="J450" s="27"/>
    </row>
    <row r="451" customFormat="false" ht="15" hidden="false" customHeight="true" outlineLevel="0" collapsed="false">
      <c r="A451" s="27" t="s">
        <v>2226</v>
      </c>
      <c r="B451" s="27" t="s">
        <v>515</v>
      </c>
      <c r="C451" s="28" t="s">
        <v>2227</v>
      </c>
      <c r="D451" s="28" t="s">
        <v>5766</v>
      </c>
      <c r="E451" s="28" t="s">
        <v>5767</v>
      </c>
      <c r="F451" s="28" t="s">
        <v>5630</v>
      </c>
      <c r="G451" s="28" t="s">
        <v>5768</v>
      </c>
      <c r="H451" s="27" t="s">
        <v>5769</v>
      </c>
      <c r="I451" s="28" t="s">
        <v>5697</v>
      </c>
      <c r="J451" s="27"/>
    </row>
    <row r="452" customFormat="false" ht="15" hidden="false" customHeight="true" outlineLevel="0" collapsed="false">
      <c r="A452" s="27" t="s">
        <v>2229</v>
      </c>
      <c r="B452" s="27" t="s">
        <v>515</v>
      </c>
      <c r="C452" s="28" t="s">
        <v>2230</v>
      </c>
      <c r="D452" s="28" t="s">
        <v>5766</v>
      </c>
      <c r="E452" s="28" t="s">
        <v>5767</v>
      </c>
      <c r="F452" s="28" t="s">
        <v>5630</v>
      </c>
      <c r="G452" s="28" t="s">
        <v>5768</v>
      </c>
      <c r="H452" s="27" t="s">
        <v>5769</v>
      </c>
      <c r="I452" s="28" t="s">
        <v>5697</v>
      </c>
      <c r="J452" s="27"/>
    </row>
    <row r="453" customFormat="false" ht="15" hidden="false" customHeight="true" outlineLevel="0" collapsed="false">
      <c r="A453" s="27" t="s">
        <v>2232</v>
      </c>
      <c r="B453" s="27" t="s">
        <v>515</v>
      </c>
      <c r="C453" s="28" t="s">
        <v>2233</v>
      </c>
      <c r="D453" s="28" t="s">
        <v>5766</v>
      </c>
      <c r="E453" s="28" t="s">
        <v>5767</v>
      </c>
      <c r="F453" s="28" t="s">
        <v>5630</v>
      </c>
      <c r="G453" s="28" t="s">
        <v>5768</v>
      </c>
      <c r="H453" s="27" t="s">
        <v>5769</v>
      </c>
      <c r="I453" s="28" t="s">
        <v>5697</v>
      </c>
      <c r="J453" s="27"/>
    </row>
    <row r="454" customFormat="false" ht="15" hidden="false" customHeight="true" outlineLevel="0" collapsed="false">
      <c r="A454" s="27" t="s">
        <v>2235</v>
      </c>
      <c r="B454" s="27" t="s">
        <v>515</v>
      </c>
      <c r="C454" s="28" t="s">
        <v>2236</v>
      </c>
      <c r="D454" s="28" t="s">
        <v>5766</v>
      </c>
      <c r="E454" s="28" t="s">
        <v>5767</v>
      </c>
      <c r="F454" s="28" t="s">
        <v>5630</v>
      </c>
      <c r="G454" s="28" t="s">
        <v>5768</v>
      </c>
      <c r="H454" s="27" t="s">
        <v>5769</v>
      </c>
      <c r="I454" s="28" t="s">
        <v>5697</v>
      </c>
      <c r="J454" s="27"/>
    </row>
    <row r="455" customFormat="false" ht="15" hidden="false" customHeight="true" outlineLevel="0" collapsed="false">
      <c r="A455" s="27" t="s">
        <v>2238</v>
      </c>
      <c r="B455" s="27" t="s">
        <v>515</v>
      </c>
      <c r="C455" s="28" t="s">
        <v>2239</v>
      </c>
      <c r="D455" s="28" t="s">
        <v>5766</v>
      </c>
      <c r="E455" s="28" t="s">
        <v>5767</v>
      </c>
      <c r="F455" s="28" t="s">
        <v>5630</v>
      </c>
      <c r="G455" s="28" t="s">
        <v>5768</v>
      </c>
      <c r="H455" s="27" t="s">
        <v>5769</v>
      </c>
      <c r="I455" s="28" t="s">
        <v>5697</v>
      </c>
      <c r="J455" s="27"/>
    </row>
    <row r="456" customFormat="false" ht="15" hidden="false" customHeight="true" outlineLevel="0" collapsed="false">
      <c r="A456" s="27" t="s">
        <v>2241</v>
      </c>
      <c r="B456" s="27" t="s">
        <v>515</v>
      </c>
      <c r="C456" s="28" t="s">
        <v>2242</v>
      </c>
      <c r="D456" s="28" t="s">
        <v>5766</v>
      </c>
      <c r="E456" s="28" t="s">
        <v>5767</v>
      </c>
      <c r="F456" s="28" t="s">
        <v>5630</v>
      </c>
      <c r="G456" s="28" t="s">
        <v>5768</v>
      </c>
      <c r="H456" s="27" t="s">
        <v>5769</v>
      </c>
      <c r="I456" s="28" t="s">
        <v>5697</v>
      </c>
      <c r="J456" s="27"/>
    </row>
    <row r="457" customFormat="false" ht="15" hidden="false" customHeight="true" outlineLevel="0" collapsed="false">
      <c r="A457" s="27" t="s">
        <v>2244</v>
      </c>
      <c r="B457" s="27" t="s">
        <v>515</v>
      </c>
      <c r="C457" s="28" t="s">
        <v>2245</v>
      </c>
      <c r="D457" s="28" t="s">
        <v>5766</v>
      </c>
      <c r="E457" s="28" t="s">
        <v>5767</v>
      </c>
      <c r="F457" s="28" t="s">
        <v>5630</v>
      </c>
      <c r="G457" s="28" t="s">
        <v>5768</v>
      </c>
      <c r="H457" s="27" t="s">
        <v>5769</v>
      </c>
      <c r="I457" s="28" t="s">
        <v>5697</v>
      </c>
      <c r="J457" s="27"/>
    </row>
    <row r="458" customFormat="false" ht="15" hidden="false" customHeight="true" outlineLevel="0" collapsed="false">
      <c r="A458" s="27" t="s">
        <v>2247</v>
      </c>
      <c r="B458" s="27" t="s">
        <v>515</v>
      </c>
      <c r="C458" s="28" t="s">
        <v>2248</v>
      </c>
      <c r="D458" s="28" t="s">
        <v>5766</v>
      </c>
      <c r="E458" s="28" t="s">
        <v>5767</v>
      </c>
      <c r="F458" s="28" t="s">
        <v>5630</v>
      </c>
      <c r="G458" s="28" t="s">
        <v>5768</v>
      </c>
      <c r="H458" s="27" t="s">
        <v>5769</v>
      </c>
      <c r="I458" s="28" t="s">
        <v>5697</v>
      </c>
      <c r="J458" s="27"/>
    </row>
    <row r="459" customFormat="false" ht="15" hidden="false" customHeight="true" outlineLevel="0" collapsed="false">
      <c r="A459" s="27" t="s">
        <v>2250</v>
      </c>
      <c r="B459" s="27" t="s">
        <v>515</v>
      </c>
      <c r="C459" s="28" t="s">
        <v>2251</v>
      </c>
      <c r="D459" s="28" t="s">
        <v>5766</v>
      </c>
      <c r="E459" s="28" t="s">
        <v>5767</v>
      </c>
      <c r="F459" s="28" t="s">
        <v>5630</v>
      </c>
      <c r="G459" s="28" t="s">
        <v>5768</v>
      </c>
      <c r="H459" s="27" t="s">
        <v>5769</v>
      </c>
      <c r="I459" s="28" t="s">
        <v>5697</v>
      </c>
      <c r="J459" s="27"/>
    </row>
    <row r="460" customFormat="false" ht="15" hidden="false" customHeight="true" outlineLevel="0" collapsed="false">
      <c r="A460" s="27" t="s">
        <v>2253</v>
      </c>
      <c r="B460" s="27" t="s">
        <v>515</v>
      </c>
      <c r="C460" s="28" t="s">
        <v>2254</v>
      </c>
      <c r="D460" s="28" t="s">
        <v>5766</v>
      </c>
      <c r="E460" s="28" t="s">
        <v>5767</v>
      </c>
      <c r="F460" s="28" t="s">
        <v>5630</v>
      </c>
      <c r="G460" s="28" t="s">
        <v>5768</v>
      </c>
      <c r="H460" s="27" t="s">
        <v>5769</v>
      </c>
      <c r="I460" s="28" t="s">
        <v>5697</v>
      </c>
      <c r="J460" s="27"/>
    </row>
    <row r="461" customFormat="false" ht="15" hidden="false" customHeight="true" outlineLevel="0" collapsed="false">
      <c r="A461" s="27" t="s">
        <v>2259</v>
      </c>
      <c r="B461" s="27" t="s">
        <v>515</v>
      </c>
      <c r="C461" s="28" t="s">
        <v>2260</v>
      </c>
      <c r="D461" s="28" t="s">
        <v>5766</v>
      </c>
      <c r="E461" s="28" t="s">
        <v>5767</v>
      </c>
      <c r="F461" s="28" t="s">
        <v>5630</v>
      </c>
      <c r="G461" s="28" t="s">
        <v>5768</v>
      </c>
      <c r="H461" s="27" t="s">
        <v>5769</v>
      </c>
      <c r="I461" s="28" t="s">
        <v>5697</v>
      </c>
      <c r="J461" s="27"/>
    </row>
    <row r="462" customFormat="false" ht="15" hidden="false" customHeight="true" outlineLevel="0" collapsed="false">
      <c r="A462" s="27" t="s">
        <v>2262</v>
      </c>
      <c r="B462" s="27" t="s">
        <v>515</v>
      </c>
      <c r="C462" s="28" t="s">
        <v>2263</v>
      </c>
      <c r="D462" s="28" t="s">
        <v>5766</v>
      </c>
      <c r="E462" s="28" t="s">
        <v>5767</v>
      </c>
      <c r="F462" s="28" t="s">
        <v>5630</v>
      </c>
      <c r="G462" s="28" t="s">
        <v>5768</v>
      </c>
      <c r="H462" s="27" t="s">
        <v>5769</v>
      </c>
      <c r="I462" s="28" t="s">
        <v>5697</v>
      </c>
      <c r="J462" s="27"/>
    </row>
    <row r="463" customFormat="false" ht="15" hidden="false" customHeight="true" outlineLevel="0" collapsed="false">
      <c r="A463" s="27" t="s">
        <v>2265</v>
      </c>
      <c r="B463" s="27" t="s">
        <v>515</v>
      </c>
      <c r="C463" s="28" t="s">
        <v>2266</v>
      </c>
      <c r="D463" s="28" t="s">
        <v>5766</v>
      </c>
      <c r="E463" s="28" t="s">
        <v>5767</v>
      </c>
      <c r="F463" s="28" t="s">
        <v>5630</v>
      </c>
      <c r="G463" s="28" t="s">
        <v>5768</v>
      </c>
      <c r="H463" s="27" t="s">
        <v>5769</v>
      </c>
      <c r="I463" s="28" t="s">
        <v>5697</v>
      </c>
      <c r="J463" s="27"/>
    </row>
    <row r="464" customFormat="false" ht="15" hidden="false" customHeight="true" outlineLevel="0" collapsed="false">
      <c r="A464" s="27" t="s">
        <v>2268</v>
      </c>
      <c r="B464" s="27" t="s">
        <v>515</v>
      </c>
      <c r="C464" s="28" t="s">
        <v>2269</v>
      </c>
      <c r="D464" s="28" t="s">
        <v>5766</v>
      </c>
      <c r="E464" s="28" t="s">
        <v>5767</v>
      </c>
      <c r="F464" s="28" t="s">
        <v>5630</v>
      </c>
      <c r="G464" s="28" t="s">
        <v>5768</v>
      </c>
      <c r="H464" s="27" t="s">
        <v>5769</v>
      </c>
      <c r="I464" s="28" t="s">
        <v>5697</v>
      </c>
      <c r="J464" s="27"/>
    </row>
    <row r="465" customFormat="false" ht="15" hidden="false" customHeight="true" outlineLevel="0" collapsed="false">
      <c r="A465" s="27" t="s">
        <v>2271</v>
      </c>
      <c r="B465" s="27" t="s">
        <v>515</v>
      </c>
      <c r="C465" s="28" t="s">
        <v>2272</v>
      </c>
      <c r="D465" s="28" t="s">
        <v>5766</v>
      </c>
      <c r="E465" s="28" t="s">
        <v>5767</v>
      </c>
      <c r="F465" s="28" t="s">
        <v>5630</v>
      </c>
      <c r="G465" s="28" t="s">
        <v>5768</v>
      </c>
      <c r="H465" s="27" t="s">
        <v>5769</v>
      </c>
      <c r="I465" s="28" t="s">
        <v>5697</v>
      </c>
      <c r="J465" s="27"/>
    </row>
    <row r="466" customFormat="false" ht="15" hidden="false" customHeight="true" outlineLevel="0" collapsed="false">
      <c r="A466" s="27" t="s">
        <v>2274</v>
      </c>
      <c r="B466" s="27" t="s">
        <v>515</v>
      </c>
      <c r="C466" s="28" t="s">
        <v>2275</v>
      </c>
      <c r="D466" s="28" t="s">
        <v>5766</v>
      </c>
      <c r="E466" s="28" t="s">
        <v>5767</v>
      </c>
      <c r="F466" s="28" t="s">
        <v>5630</v>
      </c>
      <c r="G466" s="28" t="s">
        <v>5768</v>
      </c>
      <c r="H466" s="27" t="s">
        <v>5769</v>
      </c>
      <c r="I466" s="28" t="s">
        <v>5697</v>
      </c>
      <c r="J466" s="27"/>
    </row>
    <row r="467" customFormat="false" ht="15" hidden="false" customHeight="true" outlineLevel="0" collapsed="false">
      <c r="A467" s="27" t="s">
        <v>2277</v>
      </c>
      <c r="B467" s="27" t="s">
        <v>515</v>
      </c>
      <c r="C467" s="28" t="s">
        <v>2278</v>
      </c>
      <c r="D467" s="28" t="s">
        <v>5766</v>
      </c>
      <c r="E467" s="28" t="s">
        <v>5767</v>
      </c>
      <c r="F467" s="28" t="s">
        <v>5630</v>
      </c>
      <c r="G467" s="28" t="s">
        <v>5768</v>
      </c>
      <c r="H467" s="27" t="s">
        <v>5769</v>
      </c>
      <c r="I467" s="28" t="s">
        <v>5697</v>
      </c>
      <c r="J467" s="27"/>
    </row>
    <row r="468" customFormat="false" ht="15" hidden="false" customHeight="true" outlineLevel="0" collapsed="false">
      <c r="A468" s="27" t="s">
        <v>2280</v>
      </c>
      <c r="B468" s="27" t="s">
        <v>515</v>
      </c>
      <c r="C468" s="28" t="s">
        <v>2281</v>
      </c>
      <c r="D468" s="28" t="s">
        <v>5766</v>
      </c>
      <c r="E468" s="28" t="s">
        <v>5767</v>
      </c>
      <c r="F468" s="28" t="s">
        <v>5630</v>
      </c>
      <c r="G468" s="28" t="s">
        <v>5768</v>
      </c>
      <c r="H468" s="27" t="s">
        <v>5769</v>
      </c>
      <c r="I468" s="28" t="s">
        <v>5697</v>
      </c>
      <c r="J468" s="27"/>
    </row>
    <row r="469" customFormat="false" ht="15" hidden="false" customHeight="true" outlineLevel="0" collapsed="false">
      <c r="A469" s="27" t="s">
        <v>2284</v>
      </c>
      <c r="B469" s="27" t="s">
        <v>515</v>
      </c>
      <c r="C469" s="28" t="s">
        <v>2285</v>
      </c>
      <c r="D469" s="28" t="s">
        <v>5766</v>
      </c>
      <c r="E469" s="28" t="s">
        <v>5767</v>
      </c>
      <c r="F469" s="28" t="s">
        <v>5630</v>
      </c>
      <c r="G469" s="28" t="s">
        <v>5768</v>
      </c>
      <c r="H469" s="27" t="s">
        <v>5769</v>
      </c>
      <c r="I469" s="28" t="s">
        <v>5697</v>
      </c>
      <c r="J469" s="27"/>
    </row>
    <row r="470" customFormat="false" ht="15" hidden="false" customHeight="true" outlineLevel="0" collapsed="false">
      <c r="A470" s="27" t="s">
        <v>2287</v>
      </c>
      <c r="B470" s="27" t="s">
        <v>515</v>
      </c>
      <c r="C470" s="28" t="s">
        <v>2288</v>
      </c>
      <c r="D470" s="28" t="s">
        <v>5766</v>
      </c>
      <c r="E470" s="28" t="s">
        <v>5767</v>
      </c>
      <c r="F470" s="28" t="s">
        <v>5630</v>
      </c>
      <c r="G470" s="28" t="s">
        <v>5768</v>
      </c>
      <c r="H470" s="27" t="s">
        <v>5769</v>
      </c>
      <c r="I470" s="28" t="s">
        <v>5697</v>
      </c>
      <c r="J470" s="27"/>
    </row>
    <row r="471" customFormat="false" ht="15" hidden="false" customHeight="true" outlineLevel="0" collapsed="false">
      <c r="A471" s="27" t="s">
        <v>2290</v>
      </c>
      <c r="B471" s="27" t="s">
        <v>515</v>
      </c>
      <c r="C471" s="28" t="s">
        <v>2291</v>
      </c>
      <c r="D471" s="28" t="s">
        <v>5766</v>
      </c>
      <c r="E471" s="28" t="s">
        <v>5767</v>
      </c>
      <c r="F471" s="28" t="s">
        <v>5630</v>
      </c>
      <c r="G471" s="28" t="s">
        <v>5768</v>
      </c>
      <c r="H471" s="27" t="s">
        <v>5769</v>
      </c>
      <c r="I471" s="28" t="s">
        <v>5697</v>
      </c>
      <c r="J471" s="27"/>
    </row>
    <row r="472" customFormat="false" ht="15" hidden="false" customHeight="true" outlineLevel="0" collapsed="false">
      <c r="A472" s="27" t="s">
        <v>2293</v>
      </c>
      <c r="B472" s="27" t="s">
        <v>515</v>
      </c>
      <c r="C472" s="28" t="s">
        <v>2294</v>
      </c>
      <c r="D472" s="28" t="s">
        <v>5766</v>
      </c>
      <c r="E472" s="28" t="s">
        <v>5767</v>
      </c>
      <c r="F472" s="28" t="s">
        <v>5630</v>
      </c>
      <c r="G472" s="28" t="s">
        <v>5768</v>
      </c>
      <c r="H472" s="27" t="s">
        <v>5769</v>
      </c>
      <c r="I472" s="28" t="s">
        <v>5697</v>
      </c>
      <c r="J472" s="27"/>
    </row>
    <row r="473" customFormat="false" ht="15" hidden="false" customHeight="true" outlineLevel="0" collapsed="false">
      <c r="A473" s="27" t="s">
        <v>2296</v>
      </c>
      <c r="B473" s="27" t="s">
        <v>515</v>
      </c>
      <c r="C473" s="28" t="s">
        <v>2297</v>
      </c>
      <c r="D473" s="28" t="s">
        <v>5766</v>
      </c>
      <c r="E473" s="28" t="s">
        <v>5767</v>
      </c>
      <c r="F473" s="28" t="s">
        <v>5630</v>
      </c>
      <c r="G473" s="28" t="s">
        <v>5768</v>
      </c>
      <c r="H473" s="27" t="s">
        <v>5769</v>
      </c>
      <c r="I473" s="28" t="s">
        <v>5697</v>
      </c>
      <c r="J473" s="27"/>
    </row>
    <row r="474" customFormat="false" ht="15" hidden="false" customHeight="true" outlineLevel="0" collapsed="false">
      <c r="A474" s="27" t="s">
        <v>2300</v>
      </c>
      <c r="B474" s="27" t="s">
        <v>515</v>
      </c>
      <c r="C474" s="28" t="s">
        <v>2301</v>
      </c>
      <c r="D474" s="28" t="s">
        <v>5766</v>
      </c>
      <c r="E474" s="28" t="s">
        <v>5767</v>
      </c>
      <c r="F474" s="28" t="s">
        <v>5630</v>
      </c>
      <c r="G474" s="28" t="s">
        <v>5768</v>
      </c>
      <c r="H474" s="27" t="s">
        <v>5769</v>
      </c>
      <c r="I474" s="28" t="s">
        <v>5697</v>
      </c>
      <c r="J474" s="27"/>
    </row>
    <row r="475" customFormat="false" ht="15" hidden="false" customHeight="true" outlineLevel="0" collapsed="false">
      <c r="A475" s="27" t="s">
        <v>2306</v>
      </c>
      <c r="B475" s="27" t="s">
        <v>515</v>
      </c>
      <c r="C475" s="28" t="s">
        <v>2307</v>
      </c>
      <c r="D475" s="28" t="s">
        <v>5766</v>
      </c>
      <c r="E475" s="28" t="s">
        <v>5767</v>
      </c>
      <c r="F475" s="28" t="s">
        <v>5630</v>
      </c>
      <c r="G475" s="28" t="s">
        <v>5768</v>
      </c>
      <c r="H475" s="27" t="s">
        <v>5769</v>
      </c>
      <c r="I475" s="28" t="s">
        <v>5697</v>
      </c>
      <c r="J475" s="27"/>
    </row>
    <row r="476" customFormat="false" ht="15" hidden="false" customHeight="true" outlineLevel="0" collapsed="false">
      <c r="A476" s="27" t="s">
        <v>2309</v>
      </c>
      <c r="B476" s="27" t="s">
        <v>515</v>
      </c>
      <c r="C476" s="27" t="s">
        <v>2310</v>
      </c>
      <c r="D476" s="28" t="s">
        <v>5766</v>
      </c>
      <c r="E476" s="28" t="s">
        <v>5767</v>
      </c>
      <c r="F476" s="28" t="s">
        <v>5630</v>
      </c>
      <c r="G476" s="28" t="s">
        <v>5768</v>
      </c>
      <c r="H476" s="27" t="s">
        <v>5769</v>
      </c>
      <c r="I476" s="28" t="s">
        <v>5697</v>
      </c>
      <c r="J476" s="28" t="s">
        <v>5690</v>
      </c>
    </row>
    <row r="477" customFormat="false" ht="15" hidden="false" customHeight="true" outlineLevel="0" collapsed="false">
      <c r="A477" s="27" t="s">
        <v>2312</v>
      </c>
      <c r="B477" s="27" t="s">
        <v>515</v>
      </c>
      <c r="C477" s="27" t="s">
        <v>2313</v>
      </c>
      <c r="D477" s="28" t="s">
        <v>5766</v>
      </c>
      <c r="E477" s="28" t="s">
        <v>5767</v>
      </c>
      <c r="F477" s="28" t="s">
        <v>5630</v>
      </c>
      <c r="G477" s="28" t="s">
        <v>5768</v>
      </c>
      <c r="H477" s="27" t="s">
        <v>5769</v>
      </c>
      <c r="I477" s="28" t="s">
        <v>5697</v>
      </c>
      <c r="J477" s="27"/>
    </row>
    <row r="478" customFormat="false" ht="15" hidden="false" customHeight="true" outlineLevel="0" collapsed="false">
      <c r="A478" s="27" t="s">
        <v>2315</v>
      </c>
      <c r="B478" s="27" t="s">
        <v>515</v>
      </c>
      <c r="C478" s="28" t="s">
        <v>2316</v>
      </c>
      <c r="D478" s="28" t="s">
        <v>5766</v>
      </c>
      <c r="E478" s="28" t="s">
        <v>5767</v>
      </c>
      <c r="F478" s="28" t="s">
        <v>5630</v>
      </c>
      <c r="G478" s="28" t="s">
        <v>5768</v>
      </c>
      <c r="H478" s="27" t="s">
        <v>5769</v>
      </c>
      <c r="I478" s="28" t="s">
        <v>5697</v>
      </c>
      <c r="J478" s="27"/>
    </row>
    <row r="479" customFormat="false" ht="15" hidden="false" customHeight="true" outlineLevel="0" collapsed="false">
      <c r="A479" s="27" t="s">
        <v>2322</v>
      </c>
      <c r="B479" s="27" t="s">
        <v>515</v>
      </c>
      <c r="C479" s="28" t="s">
        <v>2323</v>
      </c>
      <c r="D479" s="28" t="s">
        <v>5766</v>
      </c>
      <c r="E479" s="28" t="s">
        <v>5767</v>
      </c>
      <c r="F479" s="28" t="s">
        <v>5630</v>
      </c>
      <c r="G479" s="28" t="s">
        <v>5768</v>
      </c>
      <c r="H479" s="27" t="s">
        <v>5769</v>
      </c>
      <c r="I479" s="28" t="s">
        <v>5697</v>
      </c>
      <c r="J479" s="27"/>
    </row>
    <row r="480" customFormat="false" ht="15" hidden="false" customHeight="true" outlineLevel="0" collapsed="false">
      <c r="A480" s="27" t="s">
        <v>2325</v>
      </c>
      <c r="B480" s="27" t="s">
        <v>515</v>
      </c>
      <c r="C480" s="28" t="s">
        <v>2326</v>
      </c>
      <c r="D480" s="28" t="s">
        <v>5766</v>
      </c>
      <c r="E480" s="28" t="s">
        <v>5767</v>
      </c>
      <c r="F480" s="28" t="s">
        <v>5630</v>
      </c>
      <c r="G480" s="28" t="s">
        <v>5768</v>
      </c>
      <c r="H480" s="27" t="s">
        <v>5769</v>
      </c>
      <c r="I480" s="28" t="s">
        <v>5697</v>
      </c>
      <c r="J480" s="27"/>
    </row>
    <row r="481" customFormat="false" ht="15" hidden="false" customHeight="true" outlineLevel="0" collapsed="false">
      <c r="A481" s="27" t="s">
        <v>2328</v>
      </c>
      <c r="B481" s="27" t="s">
        <v>515</v>
      </c>
      <c r="C481" s="28" t="s">
        <v>2329</v>
      </c>
      <c r="D481" s="28" t="s">
        <v>5766</v>
      </c>
      <c r="E481" s="28" t="s">
        <v>5767</v>
      </c>
      <c r="F481" s="28" t="s">
        <v>5630</v>
      </c>
      <c r="G481" s="28" t="s">
        <v>5768</v>
      </c>
      <c r="H481" s="27" t="s">
        <v>5769</v>
      </c>
      <c r="I481" s="28" t="s">
        <v>5697</v>
      </c>
      <c r="J481" s="27"/>
    </row>
    <row r="482" customFormat="false" ht="15" hidden="false" customHeight="true" outlineLevel="0" collapsed="false">
      <c r="A482" s="27" t="s">
        <v>2331</v>
      </c>
      <c r="B482" s="27" t="s">
        <v>515</v>
      </c>
      <c r="C482" s="28" t="s">
        <v>2332</v>
      </c>
      <c r="D482" s="28" t="s">
        <v>5766</v>
      </c>
      <c r="E482" s="28" t="s">
        <v>5767</v>
      </c>
      <c r="F482" s="28" t="s">
        <v>5630</v>
      </c>
      <c r="G482" s="28" t="s">
        <v>5768</v>
      </c>
      <c r="H482" s="27" t="s">
        <v>5769</v>
      </c>
      <c r="I482" s="28" t="s">
        <v>5697</v>
      </c>
      <c r="J482" s="27"/>
    </row>
    <row r="483" customFormat="false" ht="15" hidden="false" customHeight="true" outlineLevel="0" collapsed="false">
      <c r="A483" s="27" t="s">
        <v>2338</v>
      </c>
      <c r="B483" s="27" t="s">
        <v>515</v>
      </c>
      <c r="C483" s="28" t="s">
        <v>2339</v>
      </c>
      <c r="D483" s="28" t="s">
        <v>5766</v>
      </c>
      <c r="E483" s="28" t="s">
        <v>5767</v>
      </c>
      <c r="F483" s="28" t="s">
        <v>5630</v>
      </c>
      <c r="G483" s="28" t="s">
        <v>5768</v>
      </c>
      <c r="H483" s="27" t="s">
        <v>5769</v>
      </c>
      <c r="I483" s="28" t="s">
        <v>5697</v>
      </c>
      <c r="J483" s="27"/>
    </row>
    <row r="484" customFormat="false" ht="15" hidden="false" customHeight="true" outlineLevel="0" collapsed="false">
      <c r="A484" s="27" t="s">
        <v>2341</v>
      </c>
      <c r="B484" s="27" t="s">
        <v>515</v>
      </c>
      <c r="C484" s="28" t="s">
        <v>2342</v>
      </c>
      <c r="D484" s="28" t="s">
        <v>5766</v>
      </c>
      <c r="E484" s="28" t="s">
        <v>5767</v>
      </c>
      <c r="F484" s="28" t="s">
        <v>5630</v>
      </c>
      <c r="G484" s="28" t="s">
        <v>5768</v>
      </c>
      <c r="H484" s="27" t="s">
        <v>5769</v>
      </c>
      <c r="I484" s="28" t="s">
        <v>5697</v>
      </c>
      <c r="J484" s="27"/>
    </row>
    <row r="485" customFormat="false" ht="15" hidden="false" customHeight="true" outlineLevel="0" collapsed="false">
      <c r="A485" s="27" t="s">
        <v>2345</v>
      </c>
      <c r="B485" s="27" t="s">
        <v>515</v>
      </c>
      <c r="C485" s="28" t="s">
        <v>2346</v>
      </c>
      <c r="D485" s="28" t="s">
        <v>5766</v>
      </c>
      <c r="E485" s="28" t="s">
        <v>5767</v>
      </c>
      <c r="F485" s="28" t="s">
        <v>5630</v>
      </c>
      <c r="G485" s="28" t="s">
        <v>5768</v>
      </c>
      <c r="H485" s="27" t="s">
        <v>5769</v>
      </c>
      <c r="I485" s="28" t="s">
        <v>5697</v>
      </c>
      <c r="J485" s="27"/>
    </row>
    <row r="486" customFormat="false" ht="15" hidden="false" customHeight="true" outlineLevel="0" collapsed="false">
      <c r="A486" s="27" t="s">
        <v>2348</v>
      </c>
      <c r="B486" s="27" t="s">
        <v>515</v>
      </c>
      <c r="C486" s="28" t="s">
        <v>2349</v>
      </c>
      <c r="D486" s="28" t="s">
        <v>5766</v>
      </c>
      <c r="E486" s="28" t="s">
        <v>5767</v>
      </c>
      <c r="F486" s="28" t="s">
        <v>5630</v>
      </c>
      <c r="G486" s="28" t="s">
        <v>5768</v>
      </c>
      <c r="H486" s="27" t="s">
        <v>5769</v>
      </c>
      <c r="I486" s="28" t="s">
        <v>5697</v>
      </c>
      <c r="J486" s="27"/>
    </row>
    <row r="487" customFormat="false" ht="15" hidden="false" customHeight="true" outlineLevel="0" collapsed="false">
      <c r="A487" s="27" t="s">
        <v>2351</v>
      </c>
      <c r="B487" s="27" t="s">
        <v>515</v>
      </c>
      <c r="C487" s="28" t="s">
        <v>2352</v>
      </c>
      <c r="D487" s="28" t="s">
        <v>5766</v>
      </c>
      <c r="E487" s="28" t="s">
        <v>5767</v>
      </c>
      <c r="F487" s="28" t="s">
        <v>5630</v>
      </c>
      <c r="G487" s="28" t="s">
        <v>5768</v>
      </c>
      <c r="H487" s="27" t="s">
        <v>5769</v>
      </c>
      <c r="I487" s="28" t="s">
        <v>5697</v>
      </c>
      <c r="J487" s="27"/>
    </row>
    <row r="488" customFormat="false" ht="15" hidden="false" customHeight="true" outlineLevel="0" collapsed="false">
      <c r="A488" s="27" t="s">
        <v>2357</v>
      </c>
      <c r="B488" s="27" t="s">
        <v>515</v>
      </c>
      <c r="C488" s="27" t="s">
        <v>2358</v>
      </c>
      <c r="D488" s="28" t="s">
        <v>5766</v>
      </c>
      <c r="E488" s="28" t="s">
        <v>5767</v>
      </c>
      <c r="F488" s="28" t="s">
        <v>5630</v>
      </c>
      <c r="G488" s="28" t="s">
        <v>5768</v>
      </c>
      <c r="H488" s="27" t="s">
        <v>5769</v>
      </c>
      <c r="I488" s="28" t="s">
        <v>5697</v>
      </c>
      <c r="J488" s="27"/>
    </row>
    <row r="489" customFormat="false" ht="15" hidden="false" customHeight="true" outlineLevel="0" collapsed="false">
      <c r="A489" s="27" t="s">
        <v>2361</v>
      </c>
      <c r="B489" s="27" t="s">
        <v>515</v>
      </c>
      <c r="C489" s="28" t="s">
        <v>2362</v>
      </c>
      <c r="D489" s="28" t="s">
        <v>5766</v>
      </c>
      <c r="E489" s="28" t="s">
        <v>5767</v>
      </c>
      <c r="F489" s="28" t="s">
        <v>5630</v>
      </c>
      <c r="G489" s="28" t="s">
        <v>5768</v>
      </c>
      <c r="H489" s="27" t="s">
        <v>5769</v>
      </c>
      <c r="I489" s="28" t="s">
        <v>5697</v>
      </c>
      <c r="J489" s="27"/>
    </row>
    <row r="490" customFormat="false" ht="15" hidden="false" customHeight="true" outlineLevel="0" collapsed="false">
      <c r="A490" s="27" t="s">
        <v>2364</v>
      </c>
      <c r="B490" s="27" t="s">
        <v>515</v>
      </c>
      <c r="C490" s="28" t="s">
        <v>2365</v>
      </c>
      <c r="D490" s="28" t="s">
        <v>5766</v>
      </c>
      <c r="E490" s="28" t="s">
        <v>5767</v>
      </c>
      <c r="F490" s="28" t="s">
        <v>5630</v>
      </c>
      <c r="G490" s="28" t="s">
        <v>5768</v>
      </c>
      <c r="H490" s="27" t="s">
        <v>5769</v>
      </c>
      <c r="I490" s="28" t="s">
        <v>5697</v>
      </c>
      <c r="J490" s="27"/>
    </row>
    <row r="491" customFormat="false" ht="15" hidden="false" customHeight="true" outlineLevel="0" collapsed="false">
      <c r="A491" s="27" t="s">
        <v>2368</v>
      </c>
      <c r="B491" s="27" t="s">
        <v>515</v>
      </c>
      <c r="C491" s="28" t="s">
        <v>2369</v>
      </c>
      <c r="D491" s="28" t="s">
        <v>5766</v>
      </c>
      <c r="E491" s="28" t="s">
        <v>5767</v>
      </c>
      <c r="F491" s="28" t="s">
        <v>5630</v>
      </c>
      <c r="G491" s="28" t="s">
        <v>5768</v>
      </c>
      <c r="H491" s="27" t="s">
        <v>5769</v>
      </c>
      <c r="I491" s="28" t="s">
        <v>5697</v>
      </c>
      <c r="J491" s="27"/>
    </row>
    <row r="492" customFormat="false" ht="15" hidden="false" customHeight="true" outlineLevel="0" collapsed="false">
      <c r="A492" s="27" t="s">
        <v>2371</v>
      </c>
      <c r="B492" s="27" t="s">
        <v>515</v>
      </c>
      <c r="C492" s="28" t="s">
        <v>2372</v>
      </c>
      <c r="D492" s="28" t="s">
        <v>5766</v>
      </c>
      <c r="E492" s="28" t="s">
        <v>5767</v>
      </c>
      <c r="F492" s="28" t="s">
        <v>5630</v>
      </c>
      <c r="G492" s="28" t="s">
        <v>5768</v>
      </c>
      <c r="H492" s="27" t="s">
        <v>5769</v>
      </c>
      <c r="I492" s="28" t="s">
        <v>5697</v>
      </c>
      <c r="J492" s="27"/>
    </row>
    <row r="493" customFormat="false" ht="15" hidden="false" customHeight="true" outlineLevel="0" collapsed="false">
      <c r="A493" s="27" t="s">
        <v>2374</v>
      </c>
      <c r="B493" s="27" t="s">
        <v>515</v>
      </c>
      <c r="C493" s="28" t="s">
        <v>2375</v>
      </c>
      <c r="D493" s="28" t="s">
        <v>5766</v>
      </c>
      <c r="E493" s="28" t="s">
        <v>5767</v>
      </c>
      <c r="F493" s="28" t="s">
        <v>5630</v>
      </c>
      <c r="G493" s="28" t="s">
        <v>5768</v>
      </c>
      <c r="H493" s="27" t="s">
        <v>5769</v>
      </c>
      <c r="I493" s="28" t="s">
        <v>5697</v>
      </c>
      <c r="J493" s="27"/>
    </row>
    <row r="494" customFormat="false" ht="15" hidden="false" customHeight="true" outlineLevel="0" collapsed="false">
      <c r="A494" s="27" t="s">
        <v>2377</v>
      </c>
      <c r="B494" s="27" t="s">
        <v>515</v>
      </c>
      <c r="C494" s="28" t="s">
        <v>2378</v>
      </c>
      <c r="D494" s="28" t="s">
        <v>5766</v>
      </c>
      <c r="E494" s="28" t="s">
        <v>5767</v>
      </c>
      <c r="F494" s="28" t="s">
        <v>5630</v>
      </c>
      <c r="G494" s="28" t="s">
        <v>5768</v>
      </c>
      <c r="H494" s="27" t="s">
        <v>5769</v>
      </c>
      <c r="I494" s="28" t="s">
        <v>5697</v>
      </c>
      <c r="J494" s="27"/>
    </row>
    <row r="495" customFormat="false" ht="15" hidden="false" customHeight="true" outlineLevel="0" collapsed="false">
      <c r="A495" s="27" t="s">
        <v>2380</v>
      </c>
      <c r="B495" s="27" t="s">
        <v>515</v>
      </c>
      <c r="C495" s="28" t="s">
        <v>2381</v>
      </c>
      <c r="D495" s="28" t="s">
        <v>5766</v>
      </c>
      <c r="E495" s="28" t="s">
        <v>5767</v>
      </c>
      <c r="F495" s="28" t="s">
        <v>5630</v>
      </c>
      <c r="G495" s="28" t="s">
        <v>5768</v>
      </c>
      <c r="H495" s="27" t="s">
        <v>5769</v>
      </c>
      <c r="I495" s="28" t="s">
        <v>5697</v>
      </c>
      <c r="J495" s="27"/>
    </row>
    <row r="496" customFormat="false" ht="15" hidden="false" customHeight="true" outlineLevel="0" collapsed="false">
      <c r="A496" s="27" t="s">
        <v>2383</v>
      </c>
      <c r="B496" s="27" t="s">
        <v>515</v>
      </c>
      <c r="C496" s="28" t="s">
        <v>2384</v>
      </c>
      <c r="D496" s="28" t="s">
        <v>5766</v>
      </c>
      <c r="E496" s="28" t="s">
        <v>5767</v>
      </c>
      <c r="F496" s="28" t="s">
        <v>5630</v>
      </c>
      <c r="G496" s="28" t="s">
        <v>5768</v>
      </c>
      <c r="H496" s="27" t="s">
        <v>5769</v>
      </c>
      <c r="I496" s="28" t="s">
        <v>5697</v>
      </c>
      <c r="J496" s="27"/>
    </row>
    <row r="497" customFormat="false" ht="15" hidden="false" customHeight="true" outlineLevel="0" collapsed="false">
      <c r="A497" s="27" t="s">
        <v>2390</v>
      </c>
      <c r="B497" s="27" t="s">
        <v>515</v>
      </c>
      <c r="C497" s="28" t="s">
        <v>2391</v>
      </c>
      <c r="D497" s="28" t="s">
        <v>5766</v>
      </c>
      <c r="E497" s="28" t="s">
        <v>5767</v>
      </c>
      <c r="F497" s="28" t="s">
        <v>5630</v>
      </c>
      <c r="G497" s="28" t="s">
        <v>5768</v>
      </c>
      <c r="H497" s="27" t="s">
        <v>5769</v>
      </c>
      <c r="I497" s="28" t="s">
        <v>5697</v>
      </c>
      <c r="J497" s="27"/>
    </row>
    <row r="498" customFormat="false" ht="15" hidden="false" customHeight="true" outlineLevel="0" collapsed="false">
      <c r="A498" s="27" t="s">
        <v>2393</v>
      </c>
      <c r="B498" s="27" t="s">
        <v>515</v>
      </c>
      <c r="C498" s="28" t="s">
        <v>2394</v>
      </c>
      <c r="D498" s="28" t="s">
        <v>5766</v>
      </c>
      <c r="E498" s="28" t="s">
        <v>5767</v>
      </c>
      <c r="F498" s="28" t="s">
        <v>5630</v>
      </c>
      <c r="G498" s="28" t="s">
        <v>5768</v>
      </c>
      <c r="H498" s="27" t="s">
        <v>5769</v>
      </c>
      <c r="I498" s="28" t="s">
        <v>5697</v>
      </c>
      <c r="J498" s="27"/>
    </row>
    <row r="499" customFormat="false" ht="15" hidden="false" customHeight="true" outlineLevel="0" collapsed="false">
      <c r="A499" s="27" t="s">
        <v>2395</v>
      </c>
      <c r="B499" s="27" t="s">
        <v>515</v>
      </c>
      <c r="C499" s="28" t="s">
        <v>2396</v>
      </c>
      <c r="D499" s="28" t="s">
        <v>5766</v>
      </c>
      <c r="E499" s="28" t="s">
        <v>5767</v>
      </c>
      <c r="F499" s="28" t="s">
        <v>5630</v>
      </c>
      <c r="G499" s="28" t="s">
        <v>5768</v>
      </c>
      <c r="H499" s="27" t="s">
        <v>5769</v>
      </c>
      <c r="I499" s="28" t="s">
        <v>5697</v>
      </c>
      <c r="J499" s="27"/>
    </row>
    <row r="500" customFormat="false" ht="15" hidden="false" customHeight="true" outlineLevel="0" collapsed="false">
      <c r="A500" s="27" t="s">
        <v>2399</v>
      </c>
      <c r="B500" s="27" t="s">
        <v>515</v>
      </c>
      <c r="C500" s="28" t="s">
        <v>2400</v>
      </c>
      <c r="D500" s="28" t="s">
        <v>5766</v>
      </c>
      <c r="E500" s="28" t="s">
        <v>5767</v>
      </c>
      <c r="F500" s="28" t="s">
        <v>5630</v>
      </c>
      <c r="G500" s="28" t="s">
        <v>5768</v>
      </c>
      <c r="H500" s="27" t="s">
        <v>5769</v>
      </c>
      <c r="I500" s="28" t="s">
        <v>5697</v>
      </c>
      <c r="J500" s="27"/>
    </row>
    <row r="501" customFormat="false" ht="15" hidden="false" customHeight="true" outlineLevel="0" collapsed="false">
      <c r="A501" s="27" t="s">
        <v>2401</v>
      </c>
      <c r="B501" s="27" t="s">
        <v>515</v>
      </c>
      <c r="C501" s="28" t="s">
        <v>2402</v>
      </c>
      <c r="D501" s="28" t="s">
        <v>5766</v>
      </c>
      <c r="E501" s="28" t="s">
        <v>5767</v>
      </c>
      <c r="F501" s="28" t="s">
        <v>5630</v>
      </c>
      <c r="G501" s="28" t="s">
        <v>5768</v>
      </c>
      <c r="H501" s="27" t="s">
        <v>5769</v>
      </c>
      <c r="I501" s="28" t="s">
        <v>5697</v>
      </c>
      <c r="J501" s="27"/>
    </row>
    <row r="502" customFormat="false" ht="15" hidden="false" customHeight="true" outlineLevel="0" collapsed="false">
      <c r="A502" s="27" t="s">
        <v>2410</v>
      </c>
      <c r="B502" s="27" t="s">
        <v>523</v>
      </c>
      <c r="C502" s="28" t="s">
        <v>2411</v>
      </c>
      <c r="D502" s="28" t="s">
        <v>5772</v>
      </c>
      <c r="E502" s="27" t="s">
        <v>5773</v>
      </c>
      <c r="F502" s="28" t="s">
        <v>5630</v>
      </c>
      <c r="G502" s="27" t="s">
        <v>5774</v>
      </c>
      <c r="H502" s="27" t="s">
        <v>5715</v>
      </c>
      <c r="I502" s="28" t="s">
        <v>5716</v>
      </c>
      <c r="J502" s="27"/>
    </row>
    <row r="503" customFormat="false" ht="15" hidden="false" customHeight="true" outlineLevel="0" collapsed="false">
      <c r="A503" s="27" t="s">
        <v>2416</v>
      </c>
      <c r="B503" s="27" t="s">
        <v>523</v>
      </c>
      <c r="C503" s="28" t="s">
        <v>2417</v>
      </c>
      <c r="D503" s="28" t="s">
        <v>5772</v>
      </c>
      <c r="E503" s="27" t="s">
        <v>5773</v>
      </c>
      <c r="F503" s="28" t="s">
        <v>5630</v>
      </c>
      <c r="G503" s="27" t="s">
        <v>5774</v>
      </c>
      <c r="H503" s="27" t="s">
        <v>5715</v>
      </c>
      <c r="I503" s="28" t="s">
        <v>5716</v>
      </c>
      <c r="J503" s="27"/>
    </row>
    <row r="504" customFormat="false" ht="15" hidden="false" customHeight="true" outlineLevel="0" collapsed="false">
      <c r="A504" s="27" t="s">
        <v>2419</v>
      </c>
      <c r="B504" s="27" t="s">
        <v>523</v>
      </c>
      <c r="C504" s="28" t="s">
        <v>2420</v>
      </c>
      <c r="D504" s="28" t="s">
        <v>5772</v>
      </c>
      <c r="E504" s="27" t="s">
        <v>5773</v>
      </c>
      <c r="F504" s="28" t="s">
        <v>5630</v>
      </c>
      <c r="G504" s="27" t="s">
        <v>5774</v>
      </c>
      <c r="H504" s="27" t="s">
        <v>5715</v>
      </c>
      <c r="I504" s="28" t="s">
        <v>5716</v>
      </c>
      <c r="J504" s="27"/>
    </row>
    <row r="505" customFormat="false" ht="15" hidden="false" customHeight="true" outlineLevel="0" collapsed="false">
      <c r="A505" s="27" t="s">
        <v>2422</v>
      </c>
      <c r="B505" s="27" t="s">
        <v>523</v>
      </c>
      <c r="C505" s="28" t="s">
        <v>2423</v>
      </c>
      <c r="D505" s="28" t="s">
        <v>5775</v>
      </c>
      <c r="E505" s="27" t="s">
        <v>5776</v>
      </c>
      <c r="F505" s="28" t="s">
        <v>5630</v>
      </c>
      <c r="G505" s="27" t="s">
        <v>5774</v>
      </c>
      <c r="H505" s="27" t="s">
        <v>5715</v>
      </c>
      <c r="I505" s="28" t="s">
        <v>5716</v>
      </c>
      <c r="J505" s="27"/>
    </row>
    <row r="506" customFormat="false" ht="15" hidden="false" customHeight="true" outlineLevel="0" collapsed="false">
      <c r="A506" s="27" t="s">
        <v>2425</v>
      </c>
      <c r="B506" s="27" t="s">
        <v>523</v>
      </c>
      <c r="C506" s="28" t="s">
        <v>2426</v>
      </c>
      <c r="D506" s="28" t="s">
        <v>5775</v>
      </c>
      <c r="E506" s="27" t="s">
        <v>5776</v>
      </c>
      <c r="F506" s="28" t="s">
        <v>5630</v>
      </c>
      <c r="G506" s="27" t="s">
        <v>5774</v>
      </c>
      <c r="H506" s="27" t="s">
        <v>5715</v>
      </c>
      <c r="I506" s="28" t="s">
        <v>5716</v>
      </c>
      <c r="J506" s="27"/>
    </row>
    <row r="507" customFormat="false" ht="15" hidden="false" customHeight="true" outlineLevel="0" collapsed="false">
      <c r="A507" s="27" t="s">
        <v>2428</v>
      </c>
      <c r="B507" s="27" t="s">
        <v>523</v>
      </c>
      <c r="C507" s="28" t="s">
        <v>2429</v>
      </c>
      <c r="D507" s="28" t="s">
        <v>5775</v>
      </c>
      <c r="E507" s="27" t="s">
        <v>5776</v>
      </c>
      <c r="F507" s="28" t="s">
        <v>5630</v>
      </c>
      <c r="G507" s="27" t="s">
        <v>5774</v>
      </c>
      <c r="H507" s="27" t="s">
        <v>5715</v>
      </c>
      <c r="I507" s="28" t="s">
        <v>5716</v>
      </c>
      <c r="J507" s="27"/>
    </row>
    <row r="508" customFormat="false" ht="15" hidden="false" customHeight="true" outlineLevel="0" collapsed="false">
      <c r="A508" s="27" t="s">
        <v>2431</v>
      </c>
      <c r="B508" s="27" t="s">
        <v>523</v>
      </c>
      <c r="C508" s="28" t="s">
        <v>2432</v>
      </c>
      <c r="D508" s="28" t="s">
        <v>5777</v>
      </c>
      <c r="E508" s="27" t="s">
        <v>5778</v>
      </c>
      <c r="F508" s="28" t="s">
        <v>5630</v>
      </c>
      <c r="G508" s="27" t="s">
        <v>5774</v>
      </c>
      <c r="H508" s="27" t="s">
        <v>5715</v>
      </c>
      <c r="I508" s="28" t="s">
        <v>5716</v>
      </c>
      <c r="J508" s="27"/>
    </row>
    <row r="509" customFormat="false" ht="15" hidden="false" customHeight="true" outlineLevel="0" collapsed="false">
      <c r="A509" s="27" t="s">
        <v>2434</v>
      </c>
      <c r="B509" s="27" t="s">
        <v>523</v>
      </c>
      <c r="C509" s="28" t="s">
        <v>2435</v>
      </c>
      <c r="D509" s="28" t="s">
        <v>5674</v>
      </c>
      <c r="E509" s="28" t="s">
        <v>5675</v>
      </c>
      <c r="F509" s="28" t="s">
        <v>5640</v>
      </c>
      <c r="G509" s="27" t="s">
        <v>5774</v>
      </c>
      <c r="H509" s="27" t="s">
        <v>5715</v>
      </c>
      <c r="I509" s="28" t="s">
        <v>5716</v>
      </c>
      <c r="J509" s="27"/>
    </row>
    <row r="510" customFormat="false" ht="15" hidden="false" customHeight="true" outlineLevel="0" collapsed="false">
      <c r="A510" s="27" t="s">
        <v>2437</v>
      </c>
      <c r="B510" s="27" t="s">
        <v>523</v>
      </c>
      <c r="C510" s="28" t="s">
        <v>2438</v>
      </c>
      <c r="D510" s="28" t="s">
        <v>5777</v>
      </c>
      <c r="E510" s="27" t="s">
        <v>5778</v>
      </c>
      <c r="F510" s="28" t="s">
        <v>5630</v>
      </c>
      <c r="G510" s="27" t="s">
        <v>5774</v>
      </c>
      <c r="H510" s="27" t="s">
        <v>5715</v>
      </c>
      <c r="I510" s="28" t="s">
        <v>5716</v>
      </c>
      <c r="J510" s="27"/>
    </row>
    <row r="511" customFormat="false" ht="15" hidden="false" customHeight="true" outlineLevel="0" collapsed="false">
      <c r="A511" s="27" t="s">
        <v>2440</v>
      </c>
      <c r="B511" s="27" t="s">
        <v>523</v>
      </c>
      <c r="C511" s="28" t="s">
        <v>1108</v>
      </c>
      <c r="D511" s="28" t="s">
        <v>5687</v>
      </c>
      <c r="E511" s="28" t="s">
        <v>5688</v>
      </c>
      <c r="F511" s="28" t="s">
        <v>5640</v>
      </c>
      <c r="G511" s="27" t="s">
        <v>5774</v>
      </c>
      <c r="H511" s="27" t="s">
        <v>5715</v>
      </c>
      <c r="I511" s="28" t="s">
        <v>5716</v>
      </c>
      <c r="J511" s="27"/>
    </row>
    <row r="512" customFormat="false" ht="15" hidden="false" customHeight="true" outlineLevel="0" collapsed="false">
      <c r="A512" s="27" t="s">
        <v>2442</v>
      </c>
      <c r="B512" s="27" t="s">
        <v>523</v>
      </c>
      <c r="C512" s="28" t="s">
        <v>2443</v>
      </c>
      <c r="D512" s="28" t="s">
        <v>5777</v>
      </c>
      <c r="E512" s="27" t="s">
        <v>5778</v>
      </c>
      <c r="F512" s="28" t="s">
        <v>5630</v>
      </c>
      <c r="G512" s="27" t="s">
        <v>5774</v>
      </c>
      <c r="H512" s="27" t="s">
        <v>5715</v>
      </c>
      <c r="I512" s="28" t="s">
        <v>5716</v>
      </c>
      <c r="J512" s="27"/>
    </row>
    <row r="513" customFormat="false" ht="15" hidden="false" customHeight="true" outlineLevel="0" collapsed="false">
      <c r="A513" s="27" t="s">
        <v>2445</v>
      </c>
      <c r="B513" s="27" t="s">
        <v>523</v>
      </c>
      <c r="C513" s="28" t="s">
        <v>2446</v>
      </c>
      <c r="D513" s="28" t="s">
        <v>5775</v>
      </c>
      <c r="E513" s="27" t="s">
        <v>5776</v>
      </c>
      <c r="F513" s="28" t="s">
        <v>5630</v>
      </c>
      <c r="G513" s="27" t="s">
        <v>5774</v>
      </c>
      <c r="H513" s="27" t="s">
        <v>5715</v>
      </c>
      <c r="I513" s="28" t="s">
        <v>5716</v>
      </c>
      <c r="J513" s="27"/>
    </row>
    <row r="514" customFormat="false" ht="15" hidden="false" customHeight="true" outlineLevel="0" collapsed="false">
      <c r="A514" s="27" t="s">
        <v>2448</v>
      </c>
      <c r="B514" s="27" t="s">
        <v>523</v>
      </c>
      <c r="C514" s="28" t="s">
        <v>2449</v>
      </c>
      <c r="D514" s="28" t="s">
        <v>5775</v>
      </c>
      <c r="E514" s="27" t="s">
        <v>5776</v>
      </c>
      <c r="F514" s="28" t="s">
        <v>5630</v>
      </c>
      <c r="G514" s="27" t="s">
        <v>5774</v>
      </c>
      <c r="H514" s="27" t="s">
        <v>5715</v>
      </c>
      <c r="I514" s="28" t="s">
        <v>5716</v>
      </c>
      <c r="J514" s="27"/>
    </row>
    <row r="515" customFormat="false" ht="15" hidden="false" customHeight="true" outlineLevel="0" collapsed="false">
      <c r="A515" s="27" t="s">
        <v>2451</v>
      </c>
      <c r="B515" s="27" t="s">
        <v>523</v>
      </c>
      <c r="C515" s="28" t="s">
        <v>2452</v>
      </c>
      <c r="D515" s="28" t="s">
        <v>5772</v>
      </c>
      <c r="E515" s="27" t="s">
        <v>5773</v>
      </c>
      <c r="F515" s="28" t="s">
        <v>5630</v>
      </c>
      <c r="G515" s="27" t="s">
        <v>5774</v>
      </c>
      <c r="H515" s="27" t="s">
        <v>5715</v>
      </c>
      <c r="I515" s="28" t="s">
        <v>5716</v>
      </c>
      <c r="J515" s="27"/>
    </row>
    <row r="516" customFormat="false" ht="15" hidden="false" customHeight="true" outlineLevel="0" collapsed="false">
      <c r="A516" s="27" t="s">
        <v>2454</v>
      </c>
      <c r="B516" s="27" t="s">
        <v>523</v>
      </c>
      <c r="C516" s="28" t="s">
        <v>2455</v>
      </c>
      <c r="D516" s="28" t="s">
        <v>5775</v>
      </c>
      <c r="E516" s="27" t="s">
        <v>5776</v>
      </c>
      <c r="F516" s="28" t="s">
        <v>5630</v>
      </c>
      <c r="G516" s="27" t="s">
        <v>5774</v>
      </c>
      <c r="H516" s="27" t="s">
        <v>5715</v>
      </c>
      <c r="I516" s="28" t="s">
        <v>5716</v>
      </c>
      <c r="J516" s="27"/>
    </row>
    <row r="517" customFormat="false" ht="15" hidden="false" customHeight="true" outlineLevel="0" collapsed="false">
      <c r="A517" s="27" t="s">
        <v>2457</v>
      </c>
      <c r="B517" s="27" t="s">
        <v>523</v>
      </c>
      <c r="C517" s="28" t="s">
        <v>2458</v>
      </c>
      <c r="D517" s="28" t="s">
        <v>5775</v>
      </c>
      <c r="E517" s="27" t="s">
        <v>5776</v>
      </c>
      <c r="F517" s="28" t="s">
        <v>5630</v>
      </c>
      <c r="G517" s="27" t="s">
        <v>5774</v>
      </c>
      <c r="H517" s="27" t="s">
        <v>5715</v>
      </c>
      <c r="I517" s="28" t="s">
        <v>5716</v>
      </c>
      <c r="J517" s="27"/>
    </row>
    <row r="518" customFormat="false" ht="15" hidden="false" customHeight="true" outlineLevel="0" collapsed="false">
      <c r="A518" s="27" t="s">
        <v>2460</v>
      </c>
      <c r="B518" s="27" t="s">
        <v>523</v>
      </c>
      <c r="C518" s="28" t="s">
        <v>2461</v>
      </c>
      <c r="D518" s="28" t="s">
        <v>5775</v>
      </c>
      <c r="E518" s="27" t="s">
        <v>5776</v>
      </c>
      <c r="F518" s="28" t="s">
        <v>5630</v>
      </c>
      <c r="G518" s="27" t="s">
        <v>5774</v>
      </c>
      <c r="H518" s="27" t="s">
        <v>5715</v>
      </c>
      <c r="I518" s="28" t="s">
        <v>5716</v>
      </c>
      <c r="J518" s="27"/>
    </row>
    <row r="519" customFormat="false" ht="15" hidden="false" customHeight="true" outlineLevel="0" collapsed="false">
      <c r="A519" s="27" t="s">
        <v>2463</v>
      </c>
      <c r="B519" s="27" t="s">
        <v>523</v>
      </c>
      <c r="C519" s="28" t="s">
        <v>2464</v>
      </c>
      <c r="D519" s="28" t="s">
        <v>5775</v>
      </c>
      <c r="E519" s="27" t="s">
        <v>5776</v>
      </c>
      <c r="F519" s="28" t="s">
        <v>5630</v>
      </c>
      <c r="G519" s="27" t="s">
        <v>5774</v>
      </c>
      <c r="H519" s="27" t="s">
        <v>5715</v>
      </c>
      <c r="I519" s="28" t="s">
        <v>5716</v>
      </c>
      <c r="J519" s="27"/>
    </row>
    <row r="520" customFormat="false" ht="15" hidden="false" customHeight="true" outlineLevel="0" collapsed="false">
      <c r="A520" s="27" t="s">
        <v>2466</v>
      </c>
      <c r="B520" s="27" t="s">
        <v>523</v>
      </c>
      <c r="C520" s="28" t="s">
        <v>2467</v>
      </c>
      <c r="D520" s="28" t="s">
        <v>5775</v>
      </c>
      <c r="E520" s="27" t="s">
        <v>5776</v>
      </c>
      <c r="F520" s="28" t="s">
        <v>5630</v>
      </c>
      <c r="G520" s="27" t="s">
        <v>5774</v>
      </c>
      <c r="H520" s="27" t="s">
        <v>5715</v>
      </c>
      <c r="I520" s="28" t="s">
        <v>5716</v>
      </c>
      <c r="J520" s="27"/>
    </row>
    <row r="521" customFormat="false" ht="15" hidden="false" customHeight="true" outlineLevel="0" collapsed="false">
      <c r="A521" s="27" t="s">
        <v>2469</v>
      </c>
      <c r="B521" s="27" t="s">
        <v>523</v>
      </c>
      <c r="C521" s="28" t="s">
        <v>2470</v>
      </c>
      <c r="D521" s="28" t="s">
        <v>5775</v>
      </c>
      <c r="E521" s="27" t="s">
        <v>5776</v>
      </c>
      <c r="F521" s="28" t="s">
        <v>5630</v>
      </c>
      <c r="G521" s="27" t="s">
        <v>5774</v>
      </c>
      <c r="H521" s="27" t="s">
        <v>5715</v>
      </c>
      <c r="I521" s="28" t="s">
        <v>5716</v>
      </c>
      <c r="J521" s="27"/>
    </row>
    <row r="522" customFormat="false" ht="15" hidden="false" customHeight="true" outlineLevel="0" collapsed="false">
      <c r="A522" s="27" t="s">
        <v>2472</v>
      </c>
      <c r="B522" s="27" t="s">
        <v>523</v>
      </c>
      <c r="C522" s="28" t="s">
        <v>2473</v>
      </c>
      <c r="D522" s="28" t="s">
        <v>5775</v>
      </c>
      <c r="E522" s="27" t="s">
        <v>5776</v>
      </c>
      <c r="F522" s="28" t="s">
        <v>5630</v>
      </c>
      <c r="G522" s="27" t="s">
        <v>5774</v>
      </c>
      <c r="H522" s="27" t="s">
        <v>5715</v>
      </c>
      <c r="I522" s="28" t="s">
        <v>5716</v>
      </c>
      <c r="J522" s="27"/>
    </row>
    <row r="523" customFormat="false" ht="15" hidden="false" customHeight="true" outlineLevel="0" collapsed="false">
      <c r="A523" s="27" t="s">
        <v>2477</v>
      </c>
      <c r="B523" s="27" t="s">
        <v>523</v>
      </c>
      <c r="C523" s="28" t="s">
        <v>2478</v>
      </c>
      <c r="D523" s="28" t="s">
        <v>5775</v>
      </c>
      <c r="E523" s="27" t="s">
        <v>5776</v>
      </c>
      <c r="F523" s="28" t="s">
        <v>5630</v>
      </c>
      <c r="G523" s="27" t="s">
        <v>5774</v>
      </c>
      <c r="H523" s="27" t="s">
        <v>5715</v>
      </c>
      <c r="I523" s="28" t="s">
        <v>5716</v>
      </c>
      <c r="J523" s="27"/>
    </row>
    <row r="524" customFormat="false" ht="15" hidden="false" customHeight="true" outlineLevel="0" collapsed="false">
      <c r="A524" s="27" t="s">
        <v>2480</v>
      </c>
      <c r="B524" s="27" t="s">
        <v>523</v>
      </c>
      <c r="C524" s="28" t="s">
        <v>2481</v>
      </c>
      <c r="D524" s="28" t="s">
        <v>5775</v>
      </c>
      <c r="E524" s="27" t="s">
        <v>5776</v>
      </c>
      <c r="F524" s="28" t="s">
        <v>5630</v>
      </c>
      <c r="G524" s="27" t="s">
        <v>5774</v>
      </c>
      <c r="H524" s="27" t="s">
        <v>5715</v>
      </c>
      <c r="I524" s="28" t="s">
        <v>5716</v>
      </c>
      <c r="J524" s="27"/>
    </row>
    <row r="525" customFormat="false" ht="15" hidden="false" customHeight="true" outlineLevel="0" collapsed="false">
      <c r="A525" s="27" t="s">
        <v>2483</v>
      </c>
      <c r="B525" s="27" t="s">
        <v>523</v>
      </c>
      <c r="C525" s="28" t="s">
        <v>2484</v>
      </c>
      <c r="D525" s="28" t="s">
        <v>5775</v>
      </c>
      <c r="E525" s="27" t="s">
        <v>5776</v>
      </c>
      <c r="F525" s="28" t="s">
        <v>5630</v>
      </c>
      <c r="G525" s="27" t="s">
        <v>5774</v>
      </c>
      <c r="H525" s="27" t="s">
        <v>5715</v>
      </c>
      <c r="I525" s="28" t="s">
        <v>5716</v>
      </c>
      <c r="J525" s="27"/>
    </row>
    <row r="526" customFormat="false" ht="15" hidden="false" customHeight="true" outlineLevel="0" collapsed="false">
      <c r="A526" s="27" t="s">
        <v>2486</v>
      </c>
      <c r="B526" s="27" t="s">
        <v>523</v>
      </c>
      <c r="C526" s="28" t="s">
        <v>2487</v>
      </c>
      <c r="D526" s="28" t="s">
        <v>5775</v>
      </c>
      <c r="E526" s="27" t="s">
        <v>5776</v>
      </c>
      <c r="F526" s="28" t="s">
        <v>5630</v>
      </c>
      <c r="G526" s="27" t="s">
        <v>5774</v>
      </c>
      <c r="H526" s="27" t="s">
        <v>5715</v>
      </c>
      <c r="I526" s="28" t="s">
        <v>5716</v>
      </c>
      <c r="J526" s="27"/>
    </row>
    <row r="527" customFormat="false" ht="15" hidden="false" customHeight="true" outlineLevel="0" collapsed="false">
      <c r="A527" s="27" t="s">
        <v>2489</v>
      </c>
      <c r="B527" s="27" t="s">
        <v>523</v>
      </c>
      <c r="C527" s="28" t="s">
        <v>2490</v>
      </c>
      <c r="D527" s="28" t="s">
        <v>5779</v>
      </c>
      <c r="E527" s="28" t="s">
        <v>5636</v>
      </c>
      <c r="F527" s="28" t="s">
        <v>5640</v>
      </c>
      <c r="G527" s="27" t="s">
        <v>5774</v>
      </c>
      <c r="H527" s="27" t="s">
        <v>5715</v>
      </c>
      <c r="I527" s="28" t="s">
        <v>5716</v>
      </c>
      <c r="J527" s="27"/>
    </row>
    <row r="528" customFormat="false" ht="15" hidden="false" customHeight="true" outlineLevel="0" collapsed="false">
      <c r="A528" s="27" t="s">
        <v>2492</v>
      </c>
      <c r="B528" s="27" t="s">
        <v>523</v>
      </c>
      <c r="C528" s="28" t="s">
        <v>2493</v>
      </c>
      <c r="D528" s="28" t="s">
        <v>5779</v>
      </c>
      <c r="E528" s="28" t="s">
        <v>5636</v>
      </c>
      <c r="F528" s="28" t="s">
        <v>5640</v>
      </c>
      <c r="G528" s="27" t="s">
        <v>5774</v>
      </c>
      <c r="H528" s="27" t="s">
        <v>5715</v>
      </c>
      <c r="I528" s="28" t="s">
        <v>5716</v>
      </c>
      <c r="J528" s="27"/>
    </row>
    <row r="529" customFormat="false" ht="15" hidden="false" customHeight="true" outlineLevel="0" collapsed="false">
      <c r="A529" s="27" t="s">
        <v>2495</v>
      </c>
      <c r="B529" s="27" t="s">
        <v>523</v>
      </c>
      <c r="C529" s="28" t="s">
        <v>2496</v>
      </c>
      <c r="D529" s="28" t="s">
        <v>5772</v>
      </c>
      <c r="E529" s="27" t="s">
        <v>5773</v>
      </c>
      <c r="F529" s="28" t="s">
        <v>5630</v>
      </c>
      <c r="G529" s="27" t="s">
        <v>5774</v>
      </c>
      <c r="H529" s="27" t="s">
        <v>5715</v>
      </c>
      <c r="I529" s="28" t="s">
        <v>5716</v>
      </c>
      <c r="J529" s="27"/>
    </row>
    <row r="530" customFormat="false" ht="15" hidden="false" customHeight="true" outlineLevel="0" collapsed="false">
      <c r="A530" s="27" t="s">
        <v>2498</v>
      </c>
      <c r="B530" s="27" t="s">
        <v>523</v>
      </c>
      <c r="C530" s="28" t="s">
        <v>2499</v>
      </c>
      <c r="D530" s="28" t="s">
        <v>5772</v>
      </c>
      <c r="E530" s="27" t="s">
        <v>5773</v>
      </c>
      <c r="F530" s="28" t="s">
        <v>5630</v>
      </c>
      <c r="G530" s="27" t="s">
        <v>5774</v>
      </c>
      <c r="H530" s="27" t="s">
        <v>5715</v>
      </c>
      <c r="I530" s="28" t="s">
        <v>5716</v>
      </c>
      <c r="J530" s="27"/>
    </row>
    <row r="531" customFormat="false" ht="15" hidden="false" customHeight="true" outlineLevel="0" collapsed="false">
      <c r="A531" s="27" t="s">
        <v>2501</v>
      </c>
      <c r="B531" s="27" t="s">
        <v>523</v>
      </c>
      <c r="C531" s="28" t="s">
        <v>2502</v>
      </c>
      <c r="D531" s="28" t="s">
        <v>5772</v>
      </c>
      <c r="E531" s="27" t="s">
        <v>5773</v>
      </c>
      <c r="F531" s="28" t="s">
        <v>5630</v>
      </c>
      <c r="G531" s="27" t="s">
        <v>5774</v>
      </c>
      <c r="H531" s="27" t="s">
        <v>5715</v>
      </c>
      <c r="I531" s="28" t="s">
        <v>5716</v>
      </c>
      <c r="J531" s="27"/>
    </row>
    <row r="532" customFormat="false" ht="15" hidden="false" customHeight="true" outlineLevel="0" collapsed="false">
      <c r="A532" s="27" t="s">
        <v>2504</v>
      </c>
      <c r="B532" s="27" t="s">
        <v>523</v>
      </c>
      <c r="C532" s="28" t="s">
        <v>2505</v>
      </c>
      <c r="D532" s="28" t="s">
        <v>5775</v>
      </c>
      <c r="E532" s="27" t="s">
        <v>5776</v>
      </c>
      <c r="F532" s="28" t="s">
        <v>5630</v>
      </c>
      <c r="G532" s="27" t="s">
        <v>5774</v>
      </c>
      <c r="H532" s="27" t="s">
        <v>5715</v>
      </c>
      <c r="I532" s="28" t="s">
        <v>5716</v>
      </c>
      <c r="J532" s="27"/>
    </row>
    <row r="533" customFormat="false" ht="15" hidden="false" customHeight="true" outlineLevel="0" collapsed="false">
      <c r="A533" s="27" t="s">
        <v>2507</v>
      </c>
      <c r="B533" s="27" t="s">
        <v>523</v>
      </c>
      <c r="C533" s="28" t="s">
        <v>2508</v>
      </c>
      <c r="D533" s="28" t="s">
        <v>5772</v>
      </c>
      <c r="E533" s="27" t="s">
        <v>5773</v>
      </c>
      <c r="F533" s="28" t="s">
        <v>5630</v>
      </c>
      <c r="G533" s="27" t="s">
        <v>5774</v>
      </c>
      <c r="H533" s="27" t="s">
        <v>5715</v>
      </c>
      <c r="I533" s="28" t="s">
        <v>5716</v>
      </c>
      <c r="J533" s="27"/>
    </row>
    <row r="534" customFormat="false" ht="15" hidden="false" customHeight="true" outlineLevel="0" collapsed="false">
      <c r="A534" s="27" t="s">
        <v>2510</v>
      </c>
      <c r="B534" s="27" t="s">
        <v>523</v>
      </c>
      <c r="C534" s="28" t="s">
        <v>2511</v>
      </c>
      <c r="D534" s="28" t="s">
        <v>5772</v>
      </c>
      <c r="E534" s="27" t="s">
        <v>5773</v>
      </c>
      <c r="F534" s="28" t="s">
        <v>5630</v>
      </c>
      <c r="G534" s="27" t="s">
        <v>5774</v>
      </c>
      <c r="H534" s="27" t="s">
        <v>5715</v>
      </c>
      <c r="I534" s="28" t="s">
        <v>5716</v>
      </c>
      <c r="J534" s="27"/>
    </row>
    <row r="535" customFormat="false" ht="15" hidden="false" customHeight="true" outlineLevel="0" collapsed="false">
      <c r="A535" s="27" t="s">
        <v>2513</v>
      </c>
      <c r="B535" s="27" t="s">
        <v>523</v>
      </c>
      <c r="C535" s="28" t="s">
        <v>2514</v>
      </c>
      <c r="D535" s="28" t="s">
        <v>5772</v>
      </c>
      <c r="E535" s="27" t="s">
        <v>5773</v>
      </c>
      <c r="F535" s="28" t="s">
        <v>5630</v>
      </c>
      <c r="G535" s="27" t="s">
        <v>5774</v>
      </c>
      <c r="H535" s="27" t="s">
        <v>5715</v>
      </c>
      <c r="I535" s="28" t="s">
        <v>5716</v>
      </c>
      <c r="J535" s="27"/>
    </row>
    <row r="536" customFormat="false" ht="15" hidden="false" customHeight="true" outlineLevel="0" collapsed="false">
      <c r="A536" s="27" t="s">
        <v>2516</v>
      </c>
      <c r="B536" s="27" t="s">
        <v>523</v>
      </c>
      <c r="C536" s="28" t="s">
        <v>2517</v>
      </c>
      <c r="D536" s="28" t="s">
        <v>5772</v>
      </c>
      <c r="E536" s="27" t="s">
        <v>5773</v>
      </c>
      <c r="F536" s="28" t="s">
        <v>5630</v>
      </c>
      <c r="G536" s="27" t="s">
        <v>5774</v>
      </c>
      <c r="H536" s="27" t="s">
        <v>5715</v>
      </c>
      <c r="I536" s="28" t="s">
        <v>5716</v>
      </c>
      <c r="J536" s="27"/>
    </row>
    <row r="537" customFormat="false" ht="15" hidden="false" customHeight="true" outlineLevel="0" collapsed="false">
      <c r="A537" s="27" t="s">
        <v>2519</v>
      </c>
      <c r="B537" s="27" t="s">
        <v>523</v>
      </c>
      <c r="C537" s="28" t="s">
        <v>2520</v>
      </c>
      <c r="D537" s="28" t="s">
        <v>5772</v>
      </c>
      <c r="E537" s="27" t="s">
        <v>5773</v>
      </c>
      <c r="F537" s="28" t="s">
        <v>5630</v>
      </c>
      <c r="G537" s="27" t="s">
        <v>5774</v>
      </c>
      <c r="H537" s="27" t="s">
        <v>5715</v>
      </c>
      <c r="I537" s="28" t="s">
        <v>5716</v>
      </c>
      <c r="J537" s="27"/>
    </row>
    <row r="538" customFormat="false" ht="15" hidden="false" customHeight="true" outlineLevel="0" collapsed="false">
      <c r="A538" s="27" t="s">
        <v>2522</v>
      </c>
      <c r="B538" s="27" t="s">
        <v>523</v>
      </c>
      <c r="C538" s="28" t="s">
        <v>2523</v>
      </c>
      <c r="D538" s="28" t="s">
        <v>5772</v>
      </c>
      <c r="E538" s="27" t="s">
        <v>5773</v>
      </c>
      <c r="F538" s="28" t="s">
        <v>5630</v>
      </c>
      <c r="G538" s="27" t="s">
        <v>5774</v>
      </c>
      <c r="H538" s="27" t="s">
        <v>5715</v>
      </c>
      <c r="I538" s="28" t="s">
        <v>5716</v>
      </c>
      <c r="J538" s="27"/>
    </row>
    <row r="539" customFormat="false" ht="15" hidden="false" customHeight="true" outlineLevel="0" collapsed="false">
      <c r="A539" s="27" t="s">
        <v>2525</v>
      </c>
      <c r="B539" s="27" t="s">
        <v>523</v>
      </c>
      <c r="C539" s="28" t="s">
        <v>2526</v>
      </c>
      <c r="D539" s="28" t="s">
        <v>5772</v>
      </c>
      <c r="E539" s="27" t="s">
        <v>5773</v>
      </c>
      <c r="F539" s="28" t="s">
        <v>5630</v>
      </c>
      <c r="G539" s="27" t="s">
        <v>5774</v>
      </c>
      <c r="H539" s="27" t="s">
        <v>5715</v>
      </c>
      <c r="I539" s="28" t="s">
        <v>5716</v>
      </c>
      <c r="J539" s="27"/>
    </row>
    <row r="540" customFormat="false" ht="15" hidden="false" customHeight="true" outlineLevel="0" collapsed="false">
      <c r="A540" s="27" t="s">
        <v>2528</v>
      </c>
      <c r="B540" s="27" t="s">
        <v>523</v>
      </c>
      <c r="C540" s="28" t="s">
        <v>2529</v>
      </c>
      <c r="D540" s="28" t="s">
        <v>5772</v>
      </c>
      <c r="E540" s="27" t="s">
        <v>5773</v>
      </c>
      <c r="F540" s="28" t="s">
        <v>5630</v>
      </c>
      <c r="G540" s="27" t="s">
        <v>5774</v>
      </c>
      <c r="H540" s="27" t="s">
        <v>5715</v>
      </c>
      <c r="I540" s="28" t="s">
        <v>5716</v>
      </c>
      <c r="J540" s="27"/>
    </row>
    <row r="541" customFormat="false" ht="15" hidden="false" customHeight="true" outlineLevel="0" collapsed="false">
      <c r="A541" s="27" t="s">
        <v>2531</v>
      </c>
      <c r="B541" s="27" t="s">
        <v>523</v>
      </c>
      <c r="C541" s="28" t="s">
        <v>2532</v>
      </c>
      <c r="D541" s="28" t="s">
        <v>5772</v>
      </c>
      <c r="E541" s="27" t="s">
        <v>5773</v>
      </c>
      <c r="F541" s="28" t="s">
        <v>5630</v>
      </c>
      <c r="G541" s="27" t="s">
        <v>5774</v>
      </c>
      <c r="H541" s="27" t="s">
        <v>5715</v>
      </c>
      <c r="I541" s="28" t="s">
        <v>5716</v>
      </c>
      <c r="J541" s="27"/>
    </row>
    <row r="542" customFormat="false" ht="15" hidden="false" customHeight="true" outlineLevel="0" collapsed="false">
      <c r="A542" s="27" t="s">
        <v>2534</v>
      </c>
      <c r="B542" s="27" t="s">
        <v>523</v>
      </c>
      <c r="C542" s="28" t="s">
        <v>2535</v>
      </c>
      <c r="D542" s="28" t="s">
        <v>5779</v>
      </c>
      <c r="E542" s="28" t="s">
        <v>5636</v>
      </c>
      <c r="F542" s="28" t="s">
        <v>5640</v>
      </c>
      <c r="G542" s="27" t="s">
        <v>5774</v>
      </c>
      <c r="H542" s="27" t="s">
        <v>5715</v>
      </c>
      <c r="I542" s="28" t="s">
        <v>5716</v>
      </c>
      <c r="J542" s="27"/>
    </row>
    <row r="543" customFormat="false" ht="15" hidden="false" customHeight="true" outlineLevel="0" collapsed="false">
      <c r="A543" s="27" t="s">
        <v>2537</v>
      </c>
      <c r="B543" s="27" t="s">
        <v>523</v>
      </c>
      <c r="C543" s="28" t="s">
        <v>2538</v>
      </c>
      <c r="D543" s="28" t="s">
        <v>5775</v>
      </c>
      <c r="E543" s="27" t="s">
        <v>5776</v>
      </c>
      <c r="F543" s="28" t="s">
        <v>5630</v>
      </c>
      <c r="G543" s="27" t="s">
        <v>5774</v>
      </c>
      <c r="H543" s="27" t="s">
        <v>5715</v>
      </c>
      <c r="I543" s="28" t="s">
        <v>5716</v>
      </c>
      <c r="J543" s="27"/>
    </row>
    <row r="544" customFormat="false" ht="15" hidden="false" customHeight="true" outlineLevel="0" collapsed="false">
      <c r="A544" s="27" t="s">
        <v>2540</v>
      </c>
      <c r="B544" s="27" t="s">
        <v>523</v>
      </c>
      <c r="C544" s="28" t="s">
        <v>2541</v>
      </c>
      <c r="D544" s="28" t="s">
        <v>5775</v>
      </c>
      <c r="E544" s="27" t="s">
        <v>5776</v>
      </c>
      <c r="F544" s="28" t="s">
        <v>5630</v>
      </c>
      <c r="G544" s="27" t="s">
        <v>5774</v>
      </c>
      <c r="H544" s="27" t="s">
        <v>5715</v>
      </c>
      <c r="I544" s="28" t="s">
        <v>5716</v>
      </c>
      <c r="J544" s="27"/>
    </row>
    <row r="545" customFormat="false" ht="15" hidden="false" customHeight="true" outlineLevel="0" collapsed="false">
      <c r="A545" s="27" t="s">
        <v>2546</v>
      </c>
      <c r="B545" s="27" t="s">
        <v>523</v>
      </c>
      <c r="C545" s="28" t="s">
        <v>2547</v>
      </c>
      <c r="D545" s="28" t="s">
        <v>5775</v>
      </c>
      <c r="E545" s="27" t="s">
        <v>5776</v>
      </c>
      <c r="F545" s="28" t="s">
        <v>5630</v>
      </c>
      <c r="G545" s="27" t="s">
        <v>5774</v>
      </c>
      <c r="H545" s="27" t="s">
        <v>5715</v>
      </c>
      <c r="I545" s="28" t="s">
        <v>5716</v>
      </c>
      <c r="J545" s="27"/>
    </row>
    <row r="546" customFormat="false" ht="15" hidden="false" customHeight="true" outlineLevel="0" collapsed="false">
      <c r="A546" s="27" t="s">
        <v>2549</v>
      </c>
      <c r="B546" s="27" t="s">
        <v>523</v>
      </c>
      <c r="C546" s="28" t="s">
        <v>2550</v>
      </c>
      <c r="D546" s="28" t="s">
        <v>5775</v>
      </c>
      <c r="E546" s="27" t="s">
        <v>5776</v>
      </c>
      <c r="F546" s="28" t="s">
        <v>5630</v>
      </c>
      <c r="G546" s="27" t="s">
        <v>5774</v>
      </c>
      <c r="H546" s="27" t="s">
        <v>5715</v>
      </c>
      <c r="I546" s="28" t="s">
        <v>5716</v>
      </c>
      <c r="J546" s="27"/>
    </row>
    <row r="547" customFormat="false" ht="15" hidden="false" customHeight="true" outlineLevel="0" collapsed="false">
      <c r="A547" s="27" t="s">
        <v>2552</v>
      </c>
      <c r="B547" s="27" t="s">
        <v>523</v>
      </c>
      <c r="C547" s="28" t="s">
        <v>2553</v>
      </c>
      <c r="D547" s="28" t="s">
        <v>5772</v>
      </c>
      <c r="E547" s="27" t="s">
        <v>5773</v>
      </c>
      <c r="F547" s="28" t="s">
        <v>5630</v>
      </c>
      <c r="G547" s="27" t="s">
        <v>5774</v>
      </c>
      <c r="H547" s="27" t="s">
        <v>5715</v>
      </c>
      <c r="I547" s="28" t="s">
        <v>5716</v>
      </c>
      <c r="J547" s="27"/>
    </row>
    <row r="548" customFormat="false" ht="15" hidden="false" customHeight="true" outlineLevel="0" collapsed="false">
      <c r="A548" s="27" t="s">
        <v>2555</v>
      </c>
      <c r="B548" s="27" t="s">
        <v>523</v>
      </c>
      <c r="C548" s="28" t="s">
        <v>2556</v>
      </c>
      <c r="D548" s="28" t="s">
        <v>5772</v>
      </c>
      <c r="E548" s="27" t="s">
        <v>5773</v>
      </c>
      <c r="F548" s="28" t="s">
        <v>5630</v>
      </c>
      <c r="G548" s="27" t="s">
        <v>5774</v>
      </c>
      <c r="H548" s="27" t="s">
        <v>5715</v>
      </c>
      <c r="I548" s="28" t="s">
        <v>5716</v>
      </c>
      <c r="J548" s="27"/>
    </row>
    <row r="549" customFormat="false" ht="15" hidden="false" customHeight="true" outlineLevel="0" collapsed="false">
      <c r="A549" s="27" t="s">
        <v>2558</v>
      </c>
      <c r="B549" s="27" t="s">
        <v>523</v>
      </c>
      <c r="C549" s="28" t="s">
        <v>2559</v>
      </c>
      <c r="D549" s="28" t="s">
        <v>5775</v>
      </c>
      <c r="E549" s="27" t="s">
        <v>5776</v>
      </c>
      <c r="F549" s="28" t="s">
        <v>5630</v>
      </c>
      <c r="G549" s="27" t="s">
        <v>5774</v>
      </c>
      <c r="H549" s="27" t="s">
        <v>5715</v>
      </c>
      <c r="I549" s="28" t="s">
        <v>5716</v>
      </c>
      <c r="J549" s="27"/>
    </row>
    <row r="550" customFormat="false" ht="15" hidden="false" customHeight="true" outlineLevel="0" collapsed="false">
      <c r="A550" s="27" t="s">
        <v>2561</v>
      </c>
      <c r="B550" s="27" t="s">
        <v>523</v>
      </c>
      <c r="C550" s="28" t="s">
        <v>2562</v>
      </c>
      <c r="D550" s="28" t="s">
        <v>5772</v>
      </c>
      <c r="E550" s="27" t="s">
        <v>5773</v>
      </c>
      <c r="F550" s="28" t="s">
        <v>5630</v>
      </c>
      <c r="G550" s="27" t="s">
        <v>5774</v>
      </c>
      <c r="H550" s="27" t="s">
        <v>5715</v>
      </c>
      <c r="I550" s="28" t="s">
        <v>5716</v>
      </c>
      <c r="J550" s="27"/>
    </row>
    <row r="551" customFormat="false" ht="15" hidden="false" customHeight="true" outlineLevel="0" collapsed="false">
      <c r="A551" s="27" t="s">
        <v>2564</v>
      </c>
      <c r="B551" s="27" t="s">
        <v>523</v>
      </c>
      <c r="C551" s="28" t="s">
        <v>2565</v>
      </c>
      <c r="D551" s="28" t="s">
        <v>5772</v>
      </c>
      <c r="E551" s="27" t="s">
        <v>5773</v>
      </c>
      <c r="F551" s="28" t="s">
        <v>5630</v>
      </c>
      <c r="G551" s="27" t="s">
        <v>5774</v>
      </c>
      <c r="H551" s="27" t="s">
        <v>5715</v>
      </c>
      <c r="I551" s="28" t="s">
        <v>5716</v>
      </c>
      <c r="J551" s="27"/>
    </row>
    <row r="552" customFormat="false" ht="15" hidden="false" customHeight="true" outlineLevel="0" collapsed="false">
      <c r="A552" s="27" t="s">
        <v>2567</v>
      </c>
      <c r="B552" s="27" t="s">
        <v>523</v>
      </c>
      <c r="C552" s="28" t="s">
        <v>2568</v>
      </c>
      <c r="D552" s="28" t="s">
        <v>5772</v>
      </c>
      <c r="E552" s="27" t="s">
        <v>5773</v>
      </c>
      <c r="F552" s="28" t="s">
        <v>5630</v>
      </c>
      <c r="G552" s="27" t="s">
        <v>5774</v>
      </c>
      <c r="H552" s="27" t="s">
        <v>5715</v>
      </c>
      <c r="I552" s="28" t="s">
        <v>5716</v>
      </c>
      <c r="J552" s="27"/>
    </row>
    <row r="553" customFormat="false" ht="15" hidden="false" customHeight="true" outlineLevel="0" collapsed="false">
      <c r="A553" s="27" t="s">
        <v>2570</v>
      </c>
      <c r="B553" s="27" t="s">
        <v>523</v>
      </c>
      <c r="C553" s="28" t="s">
        <v>2571</v>
      </c>
      <c r="D553" s="28" t="s">
        <v>5780</v>
      </c>
      <c r="E553" s="28" t="s">
        <v>5781</v>
      </c>
      <c r="F553" s="28" t="s">
        <v>5640</v>
      </c>
      <c r="G553" s="27" t="s">
        <v>5774</v>
      </c>
      <c r="H553" s="27" t="s">
        <v>5715</v>
      </c>
      <c r="I553" s="28" t="s">
        <v>5716</v>
      </c>
      <c r="J553" s="27"/>
    </row>
    <row r="554" customFormat="false" ht="15" hidden="false" customHeight="true" outlineLevel="0" collapsed="false">
      <c r="A554" s="27" t="s">
        <v>2573</v>
      </c>
      <c r="B554" s="27" t="s">
        <v>523</v>
      </c>
      <c r="C554" s="28" t="s">
        <v>2574</v>
      </c>
      <c r="D554" s="28" t="s">
        <v>5772</v>
      </c>
      <c r="E554" s="27" t="s">
        <v>5773</v>
      </c>
      <c r="F554" s="28" t="s">
        <v>5630</v>
      </c>
      <c r="G554" s="27" t="s">
        <v>5774</v>
      </c>
      <c r="H554" s="27" t="s">
        <v>5715</v>
      </c>
      <c r="I554" s="28" t="s">
        <v>5716</v>
      </c>
      <c r="J554" s="27"/>
    </row>
    <row r="555" customFormat="false" ht="15" hidden="false" customHeight="true" outlineLevel="0" collapsed="false">
      <c r="A555" s="27" t="s">
        <v>2576</v>
      </c>
      <c r="B555" s="27" t="s">
        <v>523</v>
      </c>
      <c r="C555" s="28" t="s">
        <v>2577</v>
      </c>
      <c r="D555" s="28" t="s">
        <v>5772</v>
      </c>
      <c r="E555" s="27" t="s">
        <v>5773</v>
      </c>
      <c r="F555" s="28" t="s">
        <v>5630</v>
      </c>
      <c r="G555" s="27" t="s">
        <v>5774</v>
      </c>
      <c r="H555" s="27" t="s">
        <v>5715</v>
      </c>
      <c r="I555" s="28" t="s">
        <v>5716</v>
      </c>
      <c r="J555" s="27"/>
    </row>
    <row r="556" customFormat="false" ht="15" hidden="false" customHeight="true" outlineLevel="0" collapsed="false">
      <c r="A556" s="27" t="s">
        <v>2579</v>
      </c>
      <c r="B556" s="27" t="s">
        <v>523</v>
      </c>
      <c r="C556" s="28" t="s">
        <v>2580</v>
      </c>
      <c r="D556" s="28" t="s">
        <v>5780</v>
      </c>
      <c r="E556" s="28" t="s">
        <v>5781</v>
      </c>
      <c r="F556" s="28" t="s">
        <v>5640</v>
      </c>
      <c r="G556" s="27" t="s">
        <v>5774</v>
      </c>
      <c r="H556" s="27" t="s">
        <v>5715</v>
      </c>
      <c r="I556" s="28" t="s">
        <v>5716</v>
      </c>
      <c r="J556" s="27"/>
    </row>
    <row r="557" customFormat="false" ht="15" hidden="false" customHeight="true" outlineLevel="0" collapsed="false">
      <c r="A557" s="27" t="s">
        <v>2583</v>
      </c>
      <c r="B557" s="27" t="s">
        <v>523</v>
      </c>
      <c r="C557" s="28" t="s">
        <v>2584</v>
      </c>
      <c r="D557" s="28" t="s">
        <v>5780</v>
      </c>
      <c r="E557" s="28" t="s">
        <v>5781</v>
      </c>
      <c r="F557" s="28" t="s">
        <v>5640</v>
      </c>
      <c r="G557" s="27" t="s">
        <v>5774</v>
      </c>
      <c r="H557" s="27" t="s">
        <v>5715</v>
      </c>
      <c r="I557" s="28" t="s">
        <v>5716</v>
      </c>
      <c r="J557" s="27"/>
    </row>
    <row r="558" customFormat="false" ht="15" hidden="false" customHeight="true" outlineLevel="0" collapsed="false">
      <c r="A558" s="27" t="s">
        <v>2587</v>
      </c>
      <c r="B558" s="27" t="s">
        <v>523</v>
      </c>
      <c r="C558" s="28" t="s">
        <v>2588</v>
      </c>
      <c r="D558" s="28" t="s">
        <v>5782</v>
      </c>
      <c r="E558" s="28" t="s">
        <v>5639</v>
      </c>
      <c r="F558" s="28" t="s">
        <v>5640</v>
      </c>
      <c r="G558" s="27" t="s">
        <v>5774</v>
      </c>
      <c r="H558" s="27" t="s">
        <v>5715</v>
      </c>
      <c r="I558" s="28" t="s">
        <v>5716</v>
      </c>
      <c r="J558" s="27"/>
    </row>
    <row r="559" customFormat="false" ht="15" hidden="false" customHeight="true" outlineLevel="0" collapsed="false">
      <c r="A559" s="27" t="s">
        <v>2590</v>
      </c>
      <c r="B559" s="27" t="s">
        <v>523</v>
      </c>
      <c r="C559" s="28" t="s">
        <v>2591</v>
      </c>
      <c r="D559" s="28" t="s">
        <v>5775</v>
      </c>
      <c r="E559" s="27" t="s">
        <v>5776</v>
      </c>
      <c r="F559" s="28" t="s">
        <v>5630</v>
      </c>
      <c r="G559" s="27" t="s">
        <v>5774</v>
      </c>
      <c r="H559" s="27" t="s">
        <v>5715</v>
      </c>
      <c r="I559" s="28" t="s">
        <v>5716</v>
      </c>
      <c r="J559" s="27"/>
    </row>
    <row r="560" customFormat="false" ht="15" hidden="false" customHeight="true" outlineLevel="0" collapsed="false">
      <c r="A560" s="27" t="s">
        <v>2593</v>
      </c>
      <c r="B560" s="27" t="s">
        <v>523</v>
      </c>
      <c r="C560" s="28" t="s">
        <v>2594</v>
      </c>
      <c r="D560" s="28" t="s">
        <v>5783</v>
      </c>
      <c r="E560" s="28" t="s">
        <v>5784</v>
      </c>
      <c r="F560" s="28" t="s">
        <v>5640</v>
      </c>
      <c r="G560" s="27" t="s">
        <v>5774</v>
      </c>
      <c r="H560" s="27" t="s">
        <v>5715</v>
      </c>
      <c r="I560" s="28" t="s">
        <v>5716</v>
      </c>
      <c r="J560" s="27"/>
    </row>
    <row r="561" customFormat="false" ht="15" hidden="false" customHeight="true" outlineLevel="0" collapsed="false">
      <c r="A561" s="27" t="s">
        <v>2597</v>
      </c>
      <c r="B561" s="27" t="s">
        <v>523</v>
      </c>
      <c r="C561" s="27" t="s">
        <v>2598</v>
      </c>
      <c r="D561" s="28" t="s">
        <v>5785</v>
      </c>
      <c r="E561" s="28" t="s">
        <v>5639</v>
      </c>
      <c r="F561" s="28" t="s">
        <v>5640</v>
      </c>
      <c r="G561" s="27" t="s">
        <v>5774</v>
      </c>
      <c r="H561" s="27" t="s">
        <v>5715</v>
      </c>
      <c r="I561" s="28" t="s">
        <v>5716</v>
      </c>
      <c r="J561" s="27"/>
    </row>
    <row r="562" customFormat="false" ht="15" hidden="false" customHeight="true" outlineLevel="0" collapsed="false">
      <c r="A562" s="27" t="s">
        <v>2642</v>
      </c>
      <c r="B562" s="27" t="s">
        <v>531</v>
      </c>
      <c r="C562" s="28" t="s">
        <v>2643</v>
      </c>
      <c r="D562" s="28" t="s">
        <v>5786</v>
      </c>
      <c r="E562" s="28" t="s">
        <v>5787</v>
      </c>
      <c r="F562" s="28" t="s">
        <v>5630</v>
      </c>
      <c r="G562" s="28" t="s">
        <v>5788</v>
      </c>
      <c r="H562" s="27" t="s">
        <v>5707</v>
      </c>
      <c r="I562" s="28" t="s">
        <v>5697</v>
      </c>
      <c r="J562" s="27"/>
    </row>
    <row r="563" customFormat="false" ht="15" hidden="false" customHeight="true" outlineLevel="0" collapsed="false">
      <c r="A563" s="27" t="s">
        <v>2666</v>
      </c>
      <c r="B563" s="27" t="s">
        <v>531</v>
      </c>
      <c r="C563" s="28" t="s">
        <v>2667</v>
      </c>
      <c r="D563" s="28" t="s">
        <v>5746</v>
      </c>
      <c r="E563" s="28" t="s">
        <v>5644</v>
      </c>
      <c r="F563" s="28" t="s">
        <v>5102</v>
      </c>
      <c r="G563" s="28" t="s">
        <v>5788</v>
      </c>
      <c r="H563" s="27" t="s">
        <v>5707</v>
      </c>
      <c r="I563" s="28" t="s">
        <v>5697</v>
      </c>
      <c r="J563" s="28" t="s">
        <v>5684</v>
      </c>
    </row>
    <row r="564" customFormat="false" ht="15" hidden="false" customHeight="true" outlineLevel="0" collapsed="false">
      <c r="A564" s="27" t="s">
        <v>2676</v>
      </c>
      <c r="B564" s="27" t="s">
        <v>531</v>
      </c>
      <c r="C564" s="28" t="s">
        <v>1870</v>
      </c>
      <c r="D564" s="28" t="s">
        <v>5694</v>
      </c>
      <c r="E564" s="28" t="s">
        <v>5695</v>
      </c>
      <c r="F564" s="28" t="s">
        <v>5640</v>
      </c>
      <c r="G564" s="28" t="s">
        <v>5788</v>
      </c>
      <c r="H564" s="27" t="s">
        <v>5707</v>
      </c>
      <c r="I564" s="28" t="s">
        <v>5697</v>
      </c>
      <c r="J564" s="27"/>
    </row>
    <row r="565" customFormat="false" ht="15" hidden="false" customHeight="true" outlineLevel="0" collapsed="false">
      <c r="A565" s="27" t="s">
        <v>2678</v>
      </c>
      <c r="B565" s="27" t="s">
        <v>531</v>
      </c>
      <c r="C565" s="28" t="s">
        <v>2679</v>
      </c>
      <c r="D565" s="28" t="s">
        <v>5701</v>
      </c>
      <c r="E565" s="28" t="s">
        <v>5702</v>
      </c>
      <c r="F565" s="28" t="s">
        <v>5640</v>
      </c>
      <c r="G565" s="28" t="s">
        <v>5788</v>
      </c>
      <c r="H565" s="27" t="s">
        <v>5707</v>
      </c>
      <c r="I565" s="28" t="s">
        <v>5697</v>
      </c>
      <c r="J565" s="27"/>
    </row>
    <row r="566" customFormat="false" ht="15" hidden="false" customHeight="true" outlineLevel="0" collapsed="false">
      <c r="A566" s="27" t="s">
        <v>2687</v>
      </c>
      <c r="B566" s="27" t="s">
        <v>531</v>
      </c>
      <c r="C566" s="28" t="s">
        <v>2688</v>
      </c>
      <c r="D566" s="28" t="s">
        <v>5789</v>
      </c>
      <c r="E566" s="27" t="s">
        <v>5776</v>
      </c>
      <c r="F566" s="28" t="s">
        <v>5640</v>
      </c>
      <c r="G566" s="28" t="s">
        <v>5788</v>
      </c>
      <c r="H566" s="27" t="s">
        <v>5707</v>
      </c>
      <c r="I566" s="28" t="s">
        <v>5697</v>
      </c>
      <c r="J566" s="27"/>
    </row>
    <row r="567" customFormat="false" ht="15" hidden="false" customHeight="true" outlineLevel="0" collapsed="false">
      <c r="A567" s="27" t="s">
        <v>2696</v>
      </c>
      <c r="B567" s="27" t="s">
        <v>531</v>
      </c>
      <c r="C567" s="28" t="s">
        <v>2697</v>
      </c>
      <c r="D567" s="28" t="s">
        <v>5789</v>
      </c>
      <c r="E567" s="27" t="s">
        <v>5776</v>
      </c>
      <c r="F567" s="28" t="s">
        <v>5640</v>
      </c>
      <c r="G567" s="28" t="s">
        <v>5788</v>
      </c>
      <c r="H567" s="27" t="s">
        <v>5707</v>
      </c>
      <c r="I567" s="28" t="s">
        <v>5697</v>
      </c>
      <c r="J567" s="27"/>
    </row>
    <row r="568" customFormat="false" ht="15" hidden="false" customHeight="true" outlineLevel="0" collapsed="false">
      <c r="A568" s="27" t="s">
        <v>2733</v>
      </c>
      <c r="B568" s="27" t="s">
        <v>531</v>
      </c>
      <c r="C568" s="28" t="s">
        <v>2734</v>
      </c>
      <c r="D568" s="28" t="s">
        <v>5789</v>
      </c>
      <c r="E568" s="27" t="s">
        <v>5776</v>
      </c>
      <c r="F568" s="28" t="s">
        <v>5640</v>
      </c>
      <c r="G568" s="28" t="s">
        <v>5788</v>
      </c>
      <c r="H568" s="27" t="s">
        <v>5707</v>
      </c>
      <c r="I568" s="28" t="s">
        <v>5697</v>
      </c>
      <c r="J568" s="27"/>
    </row>
    <row r="569" customFormat="false" ht="15" hidden="false" customHeight="true" outlineLevel="0" collapsed="false">
      <c r="A569" s="27" t="s">
        <v>2736</v>
      </c>
      <c r="B569" s="27" t="s">
        <v>531</v>
      </c>
      <c r="C569" s="28" t="s">
        <v>2737</v>
      </c>
      <c r="D569" s="28" t="s">
        <v>5789</v>
      </c>
      <c r="E569" s="27" t="s">
        <v>5776</v>
      </c>
      <c r="F569" s="28" t="s">
        <v>5640</v>
      </c>
      <c r="G569" s="28" t="s">
        <v>5788</v>
      </c>
      <c r="H569" s="27" t="s">
        <v>5707</v>
      </c>
      <c r="I569" s="28" t="s">
        <v>5697</v>
      </c>
      <c r="J569" s="27"/>
    </row>
    <row r="570" customFormat="false" ht="15" hidden="false" customHeight="true" outlineLevel="0" collapsed="false">
      <c r="A570" s="27" t="s">
        <v>2748</v>
      </c>
      <c r="B570" s="27" t="s">
        <v>531</v>
      </c>
      <c r="C570" s="28" t="s">
        <v>2749</v>
      </c>
      <c r="D570" s="27" t="s">
        <v>5790</v>
      </c>
      <c r="E570" s="28" t="s">
        <v>5791</v>
      </c>
      <c r="F570" s="28" t="s">
        <v>5640</v>
      </c>
      <c r="G570" s="28" t="s">
        <v>5788</v>
      </c>
      <c r="H570" s="27" t="s">
        <v>5707</v>
      </c>
      <c r="I570" s="28" t="s">
        <v>5697</v>
      </c>
      <c r="J570" s="27"/>
    </row>
    <row r="571" customFormat="false" ht="15" hidden="false" customHeight="true" outlineLevel="0" collapsed="false">
      <c r="A571" s="27" t="s">
        <v>2751</v>
      </c>
      <c r="B571" s="27" t="s">
        <v>531</v>
      </c>
      <c r="C571" s="28" t="s">
        <v>2752</v>
      </c>
      <c r="D571" s="28" t="s">
        <v>5792</v>
      </c>
      <c r="E571" s="28" t="s">
        <v>5793</v>
      </c>
      <c r="F571" s="28" t="s">
        <v>5640</v>
      </c>
      <c r="G571" s="28" t="s">
        <v>5788</v>
      </c>
      <c r="H571" s="27" t="s">
        <v>5707</v>
      </c>
      <c r="I571" s="28" t="s">
        <v>5697</v>
      </c>
      <c r="J571" s="27"/>
    </row>
    <row r="572" customFormat="false" ht="15" hidden="false" customHeight="true" outlineLevel="0" collapsed="false">
      <c r="A572" s="27" t="s">
        <v>2755</v>
      </c>
      <c r="B572" s="27" t="s">
        <v>531</v>
      </c>
      <c r="C572" s="28" t="s">
        <v>2756</v>
      </c>
      <c r="D572" s="28" t="s">
        <v>5792</v>
      </c>
      <c r="E572" s="28" t="s">
        <v>5793</v>
      </c>
      <c r="F572" s="28" t="s">
        <v>5640</v>
      </c>
      <c r="G572" s="28" t="s">
        <v>5788</v>
      </c>
      <c r="H572" s="27" t="s">
        <v>5707</v>
      </c>
      <c r="I572" s="28" t="s">
        <v>5697</v>
      </c>
      <c r="J572" s="27"/>
    </row>
    <row r="573" customFormat="false" ht="15" hidden="false" customHeight="true" outlineLevel="0" collapsed="false">
      <c r="A573" s="27" t="s">
        <v>2758</v>
      </c>
      <c r="B573" s="27" t="s">
        <v>531</v>
      </c>
      <c r="C573" s="28" t="s">
        <v>2759</v>
      </c>
      <c r="D573" s="28" t="s">
        <v>5762</v>
      </c>
      <c r="E573" s="28" t="s">
        <v>5763</v>
      </c>
      <c r="F573" s="28" t="s">
        <v>5640</v>
      </c>
      <c r="G573" s="28" t="s">
        <v>5788</v>
      </c>
      <c r="H573" s="27" t="s">
        <v>5707</v>
      </c>
      <c r="I573" s="28" t="s">
        <v>5697</v>
      </c>
      <c r="J573" s="27"/>
    </row>
    <row r="574" customFormat="false" ht="15" hidden="false" customHeight="true" outlineLevel="0" collapsed="false">
      <c r="A574" s="27" t="s">
        <v>2761</v>
      </c>
      <c r="B574" s="27" t="s">
        <v>531</v>
      </c>
      <c r="C574" s="28" t="s">
        <v>2762</v>
      </c>
      <c r="D574" s="27" t="s">
        <v>5790</v>
      </c>
      <c r="E574" s="28" t="s">
        <v>5791</v>
      </c>
      <c r="F574" s="28" t="s">
        <v>5640</v>
      </c>
      <c r="G574" s="28" t="s">
        <v>5788</v>
      </c>
      <c r="H574" s="27" t="s">
        <v>5707</v>
      </c>
      <c r="I574" s="28" t="s">
        <v>5697</v>
      </c>
      <c r="J574" s="27"/>
    </row>
    <row r="575" customFormat="false" ht="15" hidden="false" customHeight="true" outlineLevel="0" collapsed="false">
      <c r="A575" s="27" t="s">
        <v>2764</v>
      </c>
      <c r="B575" s="27" t="s">
        <v>531</v>
      </c>
      <c r="C575" s="28" t="s">
        <v>2765</v>
      </c>
      <c r="D575" s="28" t="s">
        <v>5762</v>
      </c>
      <c r="E575" s="28" t="s">
        <v>5763</v>
      </c>
      <c r="F575" s="28" t="s">
        <v>5640</v>
      </c>
      <c r="G575" s="28" t="s">
        <v>5788</v>
      </c>
      <c r="H575" s="27" t="s">
        <v>5707</v>
      </c>
      <c r="I575" s="28" t="s">
        <v>5697</v>
      </c>
      <c r="J575" s="27"/>
    </row>
    <row r="576" customFormat="false" ht="15" hidden="false" customHeight="true" outlineLevel="0" collapsed="false">
      <c r="A576" s="27" t="s">
        <v>2767</v>
      </c>
      <c r="B576" s="27" t="s">
        <v>531</v>
      </c>
      <c r="C576" s="28" t="s">
        <v>2768</v>
      </c>
      <c r="D576" s="28" t="s">
        <v>5792</v>
      </c>
      <c r="E576" s="28" t="s">
        <v>5793</v>
      </c>
      <c r="F576" s="28" t="s">
        <v>5640</v>
      </c>
      <c r="G576" s="28" t="s">
        <v>5788</v>
      </c>
      <c r="H576" s="27" t="s">
        <v>5707</v>
      </c>
      <c r="I576" s="28" t="s">
        <v>5697</v>
      </c>
      <c r="J576" s="27"/>
    </row>
    <row r="577" customFormat="false" ht="15" hidden="false" customHeight="true" outlineLevel="0" collapsed="false">
      <c r="A577" s="27" t="s">
        <v>2770</v>
      </c>
      <c r="B577" s="27" t="s">
        <v>531</v>
      </c>
      <c r="C577" s="28" t="s">
        <v>2771</v>
      </c>
      <c r="D577" s="27" t="s">
        <v>5790</v>
      </c>
      <c r="E577" s="28" t="s">
        <v>5791</v>
      </c>
      <c r="F577" s="28" t="s">
        <v>5640</v>
      </c>
      <c r="G577" s="28" t="s">
        <v>5788</v>
      </c>
      <c r="H577" s="27" t="s">
        <v>5707</v>
      </c>
      <c r="I577" s="28" t="s">
        <v>5697</v>
      </c>
      <c r="J577" s="27"/>
    </row>
    <row r="578" customFormat="false" ht="15" hidden="false" customHeight="true" outlineLevel="0" collapsed="false">
      <c r="A578" s="27" t="s">
        <v>2773</v>
      </c>
      <c r="B578" s="27" t="s">
        <v>531</v>
      </c>
      <c r="C578" s="28" t="s">
        <v>2774</v>
      </c>
      <c r="D578" s="27" t="s">
        <v>5790</v>
      </c>
      <c r="E578" s="28" t="s">
        <v>5791</v>
      </c>
      <c r="F578" s="28" t="s">
        <v>5640</v>
      </c>
      <c r="G578" s="28" t="s">
        <v>5788</v>
      </c>
      <c r="H578" s="27" t="s">
        <v>5707</v>
      </c>
      <c r="I578" s="28" t="s">
        <v>5697</v>
      </c>
      <c r="J578" s="27"/>
    </row>
    <row r="579" customFormat="false" ht="15" hidden="false" customHeight="true" outlineLevel="0" collapsed="false">
      <c r="A579" s="27" t="s">
        <v>2776</v>
      </c>
      <c r="B579" s="27" t="s">
        <v>531</v>
      </c>
      <c r="C579" s="28" t="s">
        <v>2777</v>
      </c>
      <c r="D579" s="28" t="s">
        <v>5762</v>
      </c>
      <c r="E579" s="28" t="s">
        <v>5763</v>
      </c>
      <c r="F579" s="28" t="s">
        <v>5640</v>
      </c>
      <c r="G579" s="28" t="s">
        <v>5788</v>
      </c>
      <c r="H579" s="27" t="s">
        <v>5707</v>
      </c>
      <c r="I579" s="28" t="s">
        <v>5697</v>
      </c>
      <c r="J579" s="27"/>
    </row>
    <row r="580" customFormat="false" ht="15" hidden="false" customHeight="true" outlineLevel="0" collapsed="false">
      <c r="A580" s="27" t="s">
        <v>2779</v>
      </c>
      <c r="B580" s="27" t="s">
        <v>531</v>
      </c>
      <c r="C580" s="28" t="s">
        <v>2780</v>
      </c>
      <c r="D580" s="28" t="s">
        <v>5792</v>
      </c>
      <c r="E580" s="28" t="s">
        <v>5793</v>
      </c>
      <c r="F580" s="28" t="s">
        <v>5640</v>
      </c>
      <c r="G580" s="28" t="s">
        <v>5788</v>
      </c>
      <c r="H580" s="27" t="s">
        <v>5707</v>
      </c>
      <c r="I580" s="28" t="s">
        <v>5697</v>
      </c>
      <c r="J580" s="27"/>
    </row>
    <row r="581" customFormat="false" ht="15" hidden="false" customHeight="true" outlineLevel="0" collapsed="false">
      <c r="A581" s="27" t="s">
        <v>2782</v>
      </c>
      <c r="B581" s="27" t="s">
        <v>531</v>
      </c>
      <c r="C581" s="28" t="s">
        <v>2783</v>
      </c>
      <c r="D581" s="28" t="s">
        <v>5792</v>
      </c>
      <c r="E581" s="28" t="s">
        <v>5793</v>
      </c>
      <c r="F581" s="28" t="s">
        <v>5640</v>
      </c>
      <c r="G581" s="28" t="s">
        <v>5788</v>
      </c>
      <c r="H581" s="27" t="s">
        <v>5707</v>
      </c>
      <c r="I581" s="28" t="s">
        <v>5697</v>
      </c>
      <c r="J581" s="27"/>
    </row>
    <row r="582" customFormat="false" ht="15" hidden="false" customHeight="true" outlineLevel="0" collapsed="false">
      <c r="A582" s="27" t="s">
        <v>2785</v>
      </c>
      <c r="B582" s="27" t="s">
        <v>531</v>
      </c>
      <c r="C582" s="28" t="s">
        <v>2786</v>
      </c>
      <c r="D582" s="28" t="s">
        <v>5792</v>
      </c>
      <c r="E582" s="28" t="s">
        <v>5793</v>
      </c>
      <c r="F582" s="28" t="s">
        <v>5640</v>
      </c>
      <c r="G582" s="28" t="s">
        <v>5788</v>
      </c>
      <c r="H582" s="27" t="s">
        <v>5707</v>
      </c>
      <c r="I582" s="28" t="s">
        <v>5697</v>
      </c>
      <c r="J582" s="27"/>
    </row>
    <row r="583" customFormat="false" ht="15" hidden="false" customHeight="true" outlineLevel="0" collapsed="false">
      <c r="A583" s="27" t="s">
        <v>2788</v>
      </c>
      <c r="B583" s="27" t="s">
        <v>531</v>
      </c>
      <c r="C583" s="28" t="s">
        <v>2789</v>
      </c>
      <c r="D583" s="28" t="s">
        <v>5792</v>
      </c>
      <c r="E583" s="28" t="s">
        <v>5793</v>
      </c>
      <c r="F583" s="28" t="s">
        <v>5640</v>
      </c>
      <c r="G583" s="28" t="s">
        <v>5788</v>
      </c>
      <c r="H583" s="27" t="s">
        <v>5707</v>
      </c>
      <c r="I583" s="28" t="s">
        <v>5697</v>
      </c>
      <c r="J583" s="27"/>
    </row>
    <row r="584" customFormat="false" ht="15" hidden="false" customHeight="true" outlineLevel="0" collapsed="false">
      <c r="A584" s="27" t="s">
        <v>2791</v>
      </c>
      <c r="B584" s="27" t="s">
        <v>531</v>
      </c>
      <c r="C584" s="28" t="s">
        <v>2792</v>
      </c>
      <c r="D584" s="28" t="s">
        <v>5792</v>
      </c>
      <c r="E584" s="28" t="s">
        <v>5793</v>
      </c>
      <c r="F584" s="28" t="s">
        <v>5640</v>
      </c>
      <c r="G584" s="28" t="s">
        <v>5788</v>
      </c>
      <c r="H584" s="27" t="s">
        <v>5707</v>
      </c>
      <c r="I584" s="28" t="s">
        <v>5697</v>
      </c>
      <c r="J584" s="27"/>
    </row>
    <row r="585" customFormat="false" ht="15" hidden="false" customHeight="true" outlineLevel="0" collapsed="false">
      <c r="A585" s="27" t="s">
        <v>2794</v>
      </c>
      <c r="B585" s="27" t="s">
        <v>531</v>
      </c>
      <c r="C585" s="28" t="s">
        <v>2795</v>
      </c>
      <c r="D585" s="28" t="s">
        <v>5792</v>
      </c>
      <c r="E585" s="28" t="s">
        <v>5793</v>
      </c>
      <c r="F585" s="28" t="s">
        <v>5640</v>
      </c>
      <c r="G585" s="28" t="s">
        <v>5788</v>
      </c>
      <c r="H585" s="27" t="s">
        <v>5707</v>
      </c>
      <c r="I585" s="28" t="s">
        <v>5697</v>
      </c>
      <c r="J585" s="27"/>
    </row>
    <row r="586" customFormat="false" ht="15" hidden="false" customHeight="true" outlineLevel="0" collapsed="false">
      <c r="A586" s="27" t="s">
        <v>2797</v>
      </c>
      <c r="B586" s="27" t="s">
        <v>531</v>
      </c>
      <c r="C586" s="28" t="s">
        <v>2798</v>
      </c>
      <c r="D586" s="28" t="s">
        <v>5792</v>
      </c>
      <c r="E586" s="28" t="s">
        <v>5793</v>
      </c>
      <c r="F586" s="28" t="s">
        <v>5640</v>
      </c>
      <c r="G586" s="28" t="s">
        <v>5788</v>
      </c>
      <c r="H586" s="27" t="s">
        <v>5707</v>
      </c>
      <c r="I586" s="28" t="s">
        <v>5697</v>
      </c>
      <c r="J586" s="27"/>
    </row>
    <row r="587" customFormat="false" ht="15" hidden="false" customHeight="true" outlineLevel="0" collapsed="false">
      <c r="A587" s="27" t="s">
        <v>2800</v>
      </c>
      <c r="B587" s="27" t="s">
        <v>531</v>
      </c>
      <c r="C587" s="28" t="s">
        <v>2801</v>
      </c>
      <c r="D587" s="28" t="s">
        <v>5792</v>
      </c>
      <c r="E587" s="28" t="s">
        <v>5793</v>
      </c>
      <c r="F587" s="28" t="s">
        <v>5640</v>
      </c>
      <c r="G587" s="28" t="s">
        <v>5788</v>
      </c>
      <c r="H587" s="27" t="s">
        <v>5707</v>
      </c>
      <c r="I587" s="28" t="s">
        <v>5697</v>
      </c>
      <c r="J587" s="27"/>
    </row>
    <row r="588" customFormat="false" ht="15" hidden="false" customHeight="true" outlineLevel="0" collapsed="false">
      <c r="A588" s="27" t="s">
        <v>2803</v>
      </c>
      <c r="B588" s="27" t="s">
        <v>531</v>
      </c>
      <c r="C588" s="28" t="s">
        <v>2804</v>
      </c>
      <c r="D588" s="28" t="s">
        <v>5792</v>
      </c>
      <c r="E588" s="28" t="s">
        <v>5793</v>
      </c>
      <c r="F588" s="28" t="s">
        <v>5640</v>
      </c>
      <c r="G588" s="28" t="s">
        <v>5788</v>
      </c>
      <c r="H588" s="27" t="s">
        <v>5707</v>
      </c>
      <c r="I588" s="28" t="s">
        <v>5697</v>
      </c>
      <c r="J588" s="27"/>
    </row>
    <row r="589" customFormat="false" ht="15" hidden="false" customHeight="true" outlineLevel="0" collapsed="false">
      <c r="A589" s="27" t="s">
        <v>2806</v>
      </c>
      <c r="B589" s="27" t="s">
        <v>531</v>
      </c>
      <c r="C589" s="28" t="s">
        <v>2807</v>
      </c>
      <c r="D589" s="28" t="s">
        <v>5792</v>
      </c>
      <c r="E589" s="28" t="s">
        <v>5793</v>
      </c>
      <c r="F589" s="28" t="s">
        <v>5640</v>
      </c>
      <c r="G589" s="28" t="s">
        <v>5788</v>
      </c>
      <c r="H589" s="27" t="s">
        <v>5707</v>
      </c>
      <c r="I589" s="28" t="s">
        <v>5697</v>
      </c>
      <c r="J589" s="27"/>
    </row>
    <row r="590" customFormat="false" ht="15" hidden="false" customHeight="true" outlineLevel="0" collapsed="false">
      <c r="A590" s="27" t="s">
        <v>2809</v>
      </c>
      <c r="B590" s="27" t="s">
        <v>531</v>
      </c>
      <c r="C590" s="28" t="s">
        <v>2810</v>
      </c>
      <c r="D590" s="28" t="s">
        <v>5762</v>
      </c>
      <c r="E590" s="28" t="s">
        <v>5763</v>
      </c>
      <c r="F590" s="28" t="s">
        <v>5640</v>
      </c>
      <c r="G590" s="28" t="s">
        <v>5788</v>
      </c>
      <c r="H590" s="27" t="s">
        <v>5707</v>
      </c>
      <c r="I590" s="28" t="s">
        <v>5697</v>
      </c>
      <c r="J590" s="27"/>
    </row>
    <row r="591" customFormat="false" ht="15" hidden="false" customHeight="true" outlineLevel="0" collapsed="false">
      <c r="A591" s="27" t="s">
        <v>2812</v>
      </c>
      <c r="B591" s="27" t="s">
        <v>531</v>
      </c>
      <c r="C591" s="28" t="s">
        <v>2813</v>
      </c>
      <c r="D591" s="27" t="s">
        <v>5790</v>
      </c>
      <c r="E591" s="28" t="s">
        <v>5791</v>
      </c>
      <c r="F591" s="28" t="s">
        <v>5640</v>
      </c>
      <c r="G591" s="28" t="s">
        <v>5788</v>
      </c>
      <c r="H591" s="27" t="s">
        <v>5707</v>
      </c>
      <c r="I591" s="28" t="s">
        <v>5697</v>
      </c>
      <c r="J591" s="27"/>
    </row>
    <row r="592" customFormat="false" ht="15" hidden="false" customHeight="true" outlineLevel="0" collapsed="false">
      <c r="A592" s="27" t="s">
        <v>2815</v>
      </c>
      <c r="B592" s="27" t="s">
        <v>531</v>
      </c>
      <c r="C592" s="28" t="s">
        <v>2816</v>
      </c>
      <c r="D592" s="27" t="s">
        <v>5790</v>
      </c>
      <c r="E592" s="28" t="s">
        <v>5791</v>
      </c>
      <c r="F592" s="28" t="s">
        <v>5640</v>
      </c>
      <c r="G592" s="28" t="s">
        <v>5788</v>
      </c>
      <c r="H592" s="27" t="s">
        <v>5707</v>
      </c>
      <c r="I592" s="28" t="s">
        <v>5697</v>
      </c>
      <c r="J592" s="27"/>
    </row>
    <row r="593" customFormat="false" ht="15" hidden="false" customHeight="true" outlineLevel="0" collapsed="false">
      <c r="A593" s="27" t="s">
        <v>2818</v>
      </c>
      <c r="B593" s="27" t="s">
        <v>531</v>
      </c>
      <c r="C593" s="28" t="s">
        <v>2819</v>
      </c>
      <c r="D593" s="27" t="s">
        <v>5790</v>
      </c>
      <c r="E593" s="28" t="s">
        <v>5791</v>
      </c>
      <c r="F593" s="28" t="s">
        <v>5640</v>
      </c>
      <c r="G593" s="28" t="s">
        <v>5788</v>
      </c>
      <c r="H593" s="27" t="s">
        <v>5707</v>
      </c>
      <c r="I593" s="28" t="s">
        <v>5697</v>
      </c>
      <c r="J593" s="27"/>
    </row>
    <row r="594" customFormat="false" ht="15" hidden="false" customHeight="true" outlineLevel="0" collapsed="false">
      <c r="A594" s="27" t="s">
        <v>2821</v>
      </c>
      <c r="B594" s="27" t="s">
        <v>531</v>
      </c>
      <c r="C594" s="28" t="s">
        <v>2822</v>
      </c>
      <c r="D594" s="27" t="s">
        <v>5790</v>
      </c>
      <c r="E594" s="28" t="s">
        <v>5791</v>
      </c>
      <c r="F594" s="28" t="s">
        <v>5640</v>
      </c>
      <c r="G594" s="28" t="s">
        <v>5788</v>
      </c>
      <c r="H594" s="27" t="s">
        <v>5707</v>
      </c>
      <c r="I594" s="28" t="s">
        <v>5697</v>
      </c>
      <c r="J594" s="27"/>
    </row>
    <row r="595" customFormat="false" ht="15" hidden="false" customHeight="true" outlineLevel="0" collapsed="false">
      <c r="A595" s="27" t="s">
        <v>2824</v>
      </c>
      <c r="B595" s="27" t="s">
        <v>531</v>
      </c>
      <c r="C595" s="28" t="s">
        <v>2825</v>
      </c>
      <c r="D595" s="27" t="s">
        <v>5790</v>
      </c>
      <c r="E595" s="28" t="s">
        <v>5791</v>
      </c>
      <c r="F595" s="28" t="s">
        <v>5640</v>
      </c>
      <c r="G595" s="28" t="s">
        <v>5788</v>
      </c>
      <c r="H595" s="27" t="s">
        <v>5707</v>
      </c>
      <c r="I595" s="28" t="s">
        <v>5697</v>
      </c>
      <c r="J595" s="27"/>
    </row>
    <row r="596" customFormat="false" ht="15" hidden="false" customHeight="true" outlineLevel="0" collapsed="false">
      <c r="A596" s="27" t="s">
        <v>2827</v>
      </c>
      <c r="B596" s="27" t="s">
        <v>531</v>
      </c>
      <c r="C596" s="28" t="s">
        <v>2828</v>
      </c>
      <c r="D596" s="28" t="s">
        <v>5794</v>
      </c>
      <c r="E596" s="28" t="s">
        <v>5639</v>
      </c>
      <c r="F596" s="28" t="s">
        <v>5640</v>
      </c>
      <c r="G596" s="28" t="s">
        <v>5788</v>
      </c>
      <c r="H596" s="27" t="s">
        <v>5707</v>
      </c>
      <c r="I596" s="28" t="s">
        <v>5697</v>
      </c>
      <c r="J596" s="27"/>
    </row>
    <row r="597" customFormat="false" ht="15" hidden="false" customHeight="true" outlineLevel="0" collapsed="false">
      <c r="A597" s="27" t="s">
        <v>2830</v>
      </c>
      <c r="B597" s="27" t="s">
        <v>531</v>
      </c>
      <c r="C597" s="28" t="s">
        <v>2831</v>
      </c>
      <c r="D597" s="27" t="s">
        <v>5790</v>
      </c>
      <c r="E597" s="28" t="s">
        <v>5791</v>
      </c>
      <c r="F597" s="28" t="s">
        <v>5640</v>
      </c>
      <c r="G597" s="28" t="s">
        <v>5788</v>
      </c>
      <c r="H597" s="27" t="s">
        <v>5707</v>
      </c>
      <c r="I597" s="28" t="s">
        <v>5697</v>
      </c>
      <c r="J597" s="27"/>
    </row>
    <row r="598" customFormat="false" ht="15" hidden="false" customHeight="true" outlineLevel="0" collapsed="false">
      <c r="A598" s="27" t="s">
        <v>2833</v>
      </c>
      <c r="B598" s="27" t="s">
        <v>531</v>
      </c>
      <c r="C598" s="28" t="s">
        <v>2834</v>
      </c>
      <c r="D598" s="27" t="s">
        <v>5790</v>
      </c>
      <c r="E598" s="28" t="s">
        <v>5791</v>
      </c>
      <c r="F598" s="28" t="s">
        <v>5640</v>
      </c>
      <c r="G598" s="28" t="s">
        <v>5788</v>
      </c>
      <c r="H598" s="27" t="s">
        <v>5707</v>
      </c>
      <c r="I598" s="28" t="s">
        <v>5697</v>
      </c>
      <c r="J598" s="27"/>
    </row>
    <row r="599" customFormat="false" ht="15" hidden="false" customHeight="true" outlineLevel="0" collapsed="false">
      <c r="A599" s="27" t="s">
        <v>2836</v>
      </c>
      <c r="B599" s="27" t="s">
        <v>531</v>
      </c>
      <c r="C599" s="28" t="s">
        <v>2837</v>
      </c>
      <c r="D599" s="27" t="s">
        <v>5790</v>
      </c>
      <c r="E599" s="28" t="s">
        <v>5791</v>
      </c>
      <c r="F599" s="28" t="s">
        <v>5640</v>
      </c>
      <c r="G599" s="28" t="s">
        <v>5788</v>
      </c>
      <c r="H599" s="27" t="s">
        <v>5707</v>
      </c>
      <c r="I599" s="28" t="s">
        <v>5697</v>
      </c>
      <c r="J599" s="27"/>
    </row>
    <row r="600" customFormat="false" ht="15" hidden="false" customHeight="true" outlineLevel="0" collapsed="false">
      <c r="A600" s="27" t="s">
        <v>2839</v>
      </c>
      <c r="B600" s="27" t="s">
        <v>531</v>
      </c>
      <c r="C600" s="28" t="s">
        <v>2840</v>
      </c>
      <c r="D600" s="27" t="s">
        <v>5790</v>
      </c>
      <c r="E600" s="28" t="s">
        <v>5791</v>
      </c>
      <c r="F600" s="28" t="s">
        <v>5640</v>
      </c>
      <c r="G600" s="28" t="s">
        <v>5788</v>
      </c>
      <c r="H600" s="27" t="s">
        <v>5707</v>
      </c>
      <c r="I600" s="28" t="s">
        <v>5697</v>
      </c>
      <c r="J600" s="27"/>
    </row>
    <row r="601" customFormat="false" ht="15" hidden="false" customHeight="true" outlineLevel="0" collapsed="false">
      <c r="A601" s="27" t="s">
        <v>2842</v>
      </c>
      <c r="B601" s="27" t="s">
        <v>531</v>
      </c>
      <c r="C601" s="28" t="s">
        <v>2843</v>
      </c>
      <c r="D601" s="27" t="s">
        <v>5790</v>
      </c>
      <c r="E601" s="28" t="s">
        <v>5791</v>
      </c>
      <c r="F601" s="28" t="s">
        <v>5640</v>
      </c>
      <c r="G601" s="28" t="s">
        <v>5788</v>
      </c>
      <c r="H601" s="27" t="s">
        <v>5707</v>
      </c>
      <c r="I601" s="28" t="s">
        <v>5697</v>
      </c>
      <c r="J601" s="27"/>
    </row>
    <row r="602" customFormat="false" ht="15" hidden="false" customHeight="true" outlineLevel="0" collapsed="false">
      <c r="A602" s="27" t="s">
        <v>2845</v>
      </c>
      <c r="B602" s="27" t="s">
        <v>531</v>
      </c>
      <c r="C602" s="28" t="s">
        <v>2846</v>
      </c>
      <c r="D602" s="27" t="s">
        <v>5790</v>
      </c>
      <c r="E602" s="28" t="s">
        <v>5791</v>
      </c>
      <c r="F602" s="28" t="s">
        <v>5640</v>
      </c>
      <c r="G602" s="28" t="s">
        <v>5788</v>
      </c>
      <c r="H602" s="27" t="s">
        <v>5707</v>
      </c>
      <c r="I602" s="28" t="s">
        <v>5697</v>
      </c>
      <c r="J602" s="27"/>
    </row>
    <row r="603" customFormat="false" ht="15" hidden="false" customHeight="true" outlineLevel="0" collapsed="false">
      <c r="A603" s="27" t="s">
        <v>2848</v>
      </c>
      <c r="B603" s="27" t="s">
        <v>531</v>
      </c>
      <c r="C603" s="28" t="s">
        <v>2849</v>
      </c>
      <c r="D603" s="28" t="s">
        <v>5792</v>
      </c>
      <c r="E603" s="28" t="s">
        <v>5793</v>
      </c>
      <c r="F603" s="28" t="s">
        <v>5640</v>
      </c>
      <c r="G603" s="28" t="s">
        <v>5788</v>
      </c>
      <c r="H603" s="27" t="s">
        <v>5707</v>
      </c>
      <c r="I603" s="28" t="s">
        <v>5697</v>
      </c>
      <c r="J603" s="27"/>
    </row>
    <row r="604" customFormat="false" ht="15" hidden="false" customHeight="true" outlineLevel="0" collapsed="false">
      <c r="A604" s="27" t="s">
        <v>2852</v>
      </c>
      <c r="B604" s="27" t="s">
        <v>531</v>
      </c>
      <c r="C604" s="28" t="s">
        <v>2853</v>
      </c>
      <c r="D604" s="27" t="s">
        <v>5790</v>
      </c>
      <c r="E604" s="28" t="s">
        <v>5791</v>
      </c>
      <c r="F604" s="28" t="s">
        <v>5640</v>
      </c>
      <c r="G604" s="28" t="s">
        <v>5788</v>
      </c>
      <c r="H604" s="27" t="s">
        <v>5707</v>
      </c>
      <c r="I604" s="28" t="s">
        <v>5697</v>
      </c>
      <c r="J604" s="27"/>
    </row>
    <row r="605" customFormat="false" ht="15" hidden="false" customHeight="true" outlineLevel="0" collapsed="false">
      <c r="A605" s="27" t="s">
        <v>2855</v>
      </c>
      <c r="B605" s="27" t="s">
        <v>531</v>
      </c>
      <c r="C605" s="28" t="s">
        <v>2856</v>
      </c>
      <c r="D605" s="27" t="s">
        <v>5790</v>
      </c>
      <c r="E605" s="28" t="s">
        <v>5791</v>
      </c>
      <c r="F605" s="28" t="s">
        <v>5640</v>
      </c>
      <c r="G605" s="28" t="s">
        <v>5788</v>
      </c>
      <c r="H605" s="27" t="s">
        <v>5707</v>
      </c>
      <c r="I605" s="28" t="s">
        <v>5697</v>
      </c>
      <c r="J605" s="27"/>
    </row>
    <row r="606" customFormat="false" ht="15" hidden="false" customHeight="true" outlineLevel="0" collapsed="false">
      <c r="A606" s="27" t="s">
        <v>2858</v>
      </c>
      <c r="B606" s="27" t="s">
        <v>531</v>
      </c>
      <c r="C606" s="28" t="s">
        <v>2859</v>
      </c>
      <c r="D606" s="27" t="s">
        <v>5790</v>
      </c>
      <c r="E606" s="28" t="s">
        <v>5791</v>
      </c>
      <c r="F606" s="28" t="s">
        <v>5640</v>
      </c>
      <c r="G606" s="28" t="s">
        <v>5788</v>
      </c>
      <c r="H606" s="27" t="s">
        <v>5707</v>
      </c>
      <c r="I606" s="28" t="s">
        <v>5697</v>
      </c>
      <c r="J606" s="27"/>
    </row>
    <row r="607" customFormat="false" ht="15" hidden="false" customHeight="true" outlineLevel="0" collapsed="false">
      <c r="A607" s="27" t="s">
        <v>2861</v>
      </c>
      <c r="B607" s="27" t="s">
        <v>531</v>
      </c>
      <c r="C607" s="28" t="s">
        <v>2862</v>
      </c>
      <c r="D607" s="27" t="s">
        <v>5790</v>
      </c>
      <c r="E607" s="28" t="s">
        <v>5791</v>
      </c>
      <c r="F607" s="28" t="s">
        <v>5640</v>
      </c>
      <c r="G607" s="28" t="s">
        <v>5788</v>
      </c>
      <c r="H607" s="27" t="s">
        <v>5707</v>
      </c>
      <c r="I607" s="28" t="s">
        <v>5697</v>
      </c>
      <c r="J607" s="27"/>
    </row>
    <row r="608" customFormat="false" ht="15" hidden="false" customHeight="true" outlineLevel="0" collapsed="false">
      <c r="A608" s="27" t="s">
        <v>2864</v>
      </c>
      <c r="B608" s="27" t="s">
        <v>531</v>
      </c>
      <c r="C608" s="28" t="s">
        <v>2865</v>
      </c>
      <c r="D608" s="27" t="s">
        <v>5790</v>
      </c>
      <c r="E608" s="28" t="s">
        <v>5791</v>
      </c>
      <c r="F608" s="28" t="s">
        <v>5640</v>
      </c>
      <c r="G608" s="28" t="s">
        <v>5788</v>
      </c>
      <c r="H608" s="27" t="s">
        <v>5707</v>
      </c>
      <c r="I608" s="28" t="s">
        <v>5697</v>
      </c>
      <c r="J608" s="27"/>
    </row>
    <row r="609" customFormat="false" ht="15" hidden="false" customHeight="true" outlineLevel="0" collapsed="false">
      <c r="A609" s="27" t="s">
        <v>2867</v>
      </c>
      <c r="B609" s="27" t="s">
        <v>531</v>
      </c>
      <c r="C609" s="28" t="s">
        <v>2868</v>
      </c>
      <c r="D609" s="27" t="s">
        <v>5790</v>
      </c>
      <c r="E609" s="28" t="s">
        <v>5791</v>
      </c>
      <c r="F609" s="28" t="s">
        <v>5640</v>
      </c>
      <c r="G609" s="28" t="s">
        <v>5788</v>
      </c>
      <c r="H609" s="27" t="s">
        <v>5707</v>
      </c>
      <c r="I609" s="28" t="s">
        <v>5697</v>
      </c>
      <c r="J609" s="27"/>
    </row>
    <row r="610" customFormat="false" ht="15" hidden="false" customHeight="true" outlineLevel="0" collapsed="false">
      <c r="A610" s="27" t="s">
        <v>2870</v>
      </c>
      <c r="B610" s="27" t="s">
        <v>531</v>
      </c>
      <c r="C610" s="28" t="s">
        <v>2871</v>
      </c>
      <c r="D610" s="27" t="s">
        <v>5790</v>
      </c>
      <c r="E610" s="28" t="s">
        <v>5791</v>
      </c>
      <c r="F610" s="28" t="s">
        <v>5640</v>
      </c>
      <c r="G610" s="28" t="s">
        <v>5788</v>
      </c>
      <c r="H610" s="27" t="s">
        <v>5707</v>
      </c>
      <c r="I610" s="28" t="s">
        <v>5697</v>
      </c>
      <c r="J610" s="27"/>
    </row>
    <row r="611" customFormat="false" ht="15" hidden="false" customHeight="true" outlineLevel="0" collapsed="false">
      <c r="A611" s="27" t="s">
        <v>2873</v>
      </c>
      <c r="B611" s="27" t="s">
        <v>531</v>
      </c>
      <c r="C611" s="28" t="s">
        <v>2874</v>
      </c>
      <c r="D611" s="27" t="s">
        <v>5790</v>
      </c>
      <c r="E611" s="28" t="s">
        <v>5791</v>
      </c>
      <c r="F611" s="28" t="s">
        <v>5640</v>
      </c>
      <c r="G611" s="28" t="s">
        <v>5788</v>
      </c>
      <c r="H611" s="27" t="s">
        <v>5707</v>
      </c>
      <c r="I611" s="28" t="s">
        <v>5697</v>
      </c>
      <c r="J611" s="27"/>
    </row>
    <row r="612" customFormat="false" ht="15" hidden="false" customHeight="true" outlineLevel="0" collapsed="false">
      <c r="A612" s="27" t="s">
        <v>2876</v>
      </c>
      <c r="B612" s="27" t="s">
        <v>531</v>
      </c>
      <c r="C612" s="28" t="s">
        <v>2877</v>
      </c>
      <c r="D612" s="28" t="s">
        <v>5792</v>
      </c>
      <c r="E612" s="28" t="s">
        <v>5793</v>
      </c>
      <c r="F612" s="28" t="s">
        <v>5640</v>
      </c>
      <c r="G612" s="28" t="s">
        <v>5788</v>
      </c>
      <c r="H612" s="27" t="s">
        <v>5707</v>
      </c>
      <c r="I612" s="28" t="s">
        <v>5697</v>
      </c>
      <c r="J612" s="27"/>
    </row>
    <row r="613" customFormat="false" ht="15" hidden="false" customHeight="true" outlineLevel="0" collapsed="false">
      <c r="A613" s="27" t="s">
        <v>2879</v>
      </c>
      <c r="B613" s="27" t="s">
        <v>531</v>
      </c>
      <c r="C613" s="28" t="s">
        <v>2880</v>
      </c>
      <c r="D613" s="28" t="s">
        <v>5792</v>
      </c>
      <c r="E613" s="28" t="s">
        <v>5793</v>
      </c>
      <c r="F613" s="28" t="s">
        <v>5640</v>
      </c>
      <c r="G613" s="28" t="s">
        <v>5788</v>
      </c>
      <c r="H613" s="27" t="s">
        <v>5707</v>
      </c>
      <c r="I613" s="28" t="s">
        <v>5697</v>
      </c>
      <c r="J613" s="27"/>
    </row>
    <row r="614" customFormat="false" ht="15" hidden="false" customHeight="true" outlineLevel="0" collapsed="false">
      <c r="A614" s="27" t="s">
        <v>2882</v>
      </c>
      <c r="B614" s="27" t="s">
        <v>531</v>
      </c>
      <c r="C614" s="28" t="s">
        <v>2883</v>
      </c>
      <c r="D614" s="28" t="s">
        <v>5792</v>
      </c>
      <c r="E614" s="28" t="s">
        <v>5793</v>
      </c>
      <c r="F614" s="28" t="s">
        <v>5640</v>
      </c>
      <c r="G614" s="28" t="s">
        <v>5788</v>
      </c>
      <c r="H614" s="27" t="s">
        <v>5707</v>
      </c>
      <c r="I614" s="28" t="s">
        <v>5697</v>
      </c>
      <c r="J614" s="27"/>
    </row>
    <row r="615" customFormat="false" ht="15" hidden="false" customHeight="true" outlineLevel="0" collapsed="false">
      <c r="A615" s="27" t="s">
        <v>2885</v>
      </c>
      <c r="B615" s="27" t="s">
        <v>531</v>
      </c>
      <c r="C615" s="28" t="s">
        <v>2886</v>
      </c>
      <c r="D615" s="28" t="s">
        <v>5762</v>
      </c>
      <c r="E615" s="28" t="s">
        <v>5763</v>
      </c>
      <c r="F615" s="28" t="s">
        <v>5640</v>
      </c>
      <c r="G615" s="28" t="s">
        <v>5788</v>
      </c>
      <c r="H615" s="27" t="s">
        <v>5707</v>
      </c>
      <c r="I615" s="28" t="s">
        <v>5697</v>
      </c>
      <c r="J615" s="27"/>
    </row>
    <row r="616" customFormat="false" ht="15" hidden="false" customHeight="true" outlineLevel="0" collapsed="false">
      <c r="A616" s="27" t="s">
        <v>2888</v>
      </c>
      <c r="B616" s="27" t="s">
        <v>531</v>
      </c>
      <c r="C616" s="28" t="s">
        <v>2889</v>
      </c>
      <c r="D616" s="27" t="s">
        <v>5790</v>
      </c>
      <c r="E616" s="28" t="s">
        <v>5791</v>
      </c>
      <c r="F616" s="28" t="s">
        <v>5640</v>
      </c>
      <c r="G616" s="28" t="s">
        <v>5788</v>
      </c>
      <c r="H616" s="27" t="s">
        <v>5707</v>
      </c>
      <c r="I616" s="28" t="s">
        <v>5697</v>
      </c>
      <c r="J616" s="27"/>
    </row>
    <row r="617" customFormat="false" ht="15" hidden="false" customHeight="true" outlineLevel="0" collapsed="false">
      <c r="A617" s="27" t="s">
        <v>2891</v>
      </c>
      <c r="B617" s="27" t="s">
        <v>531</v>
      </c>
      <c r="C617" s="28" t="s">
        <v>2892</v>
      </c>
      <c r="D617" s="28" t="s">
        <v>5792</v>
      </c>
      <c r="E617" s="28" t="s">
        <v>5793</v>
      </c>
      <c r="F617" s="28" t="s">
        <v>5640</v>
      </c>
      <c r="G617" s="28" t="s">
        <v>5788</v>
      </c>
      <c r="H617" s="27" t="s">
        <v>5707</v>
      </c>
      <c r="I617" s="28" t="s">
        <v>5697</v>
      </c>
      <c r="J617" s="27"/>
    </row>
    <row r="618" customFormat="false" ht="15" hidden="false" customHeight="true" outlineLevel="0" collapsed="false">
      <c r="A618" s="27" t="s">
        <v>2894</v>
      </c>
      <c r="B618" s="27" t="s">
        <v>531</v>
      </c>
      <c r="C618" s="28" t="s">
        <v>2895</v>
      </c>
      <c r="D618" s="28" t="s">
        <v>5792</v>
      </c>
      <c r="E618" s="28" t="s">
        <v>5793</v>
      </c>
      <c r="F618" s="28" t="s">
        <v>5640</v>
      </c>
      <c r="G618" s="28" t="s">
        <v>5788</v>
      </c>
      <c r="H618" s="27" t="s">
        <v>5707</v>
      </c>
      <c r="I618" s="28" t="s">
        <v>5697</v>
      </c>
      <c r="J618" s="27"/>
    </row>
    <row r="619" customFormat="false" ht="15" hidden="false" customHeight="true" outlineLevel="0" collapsed="false">
      <c r="A619" s="27" t="s">
        <v>2897</v>
      </c>
      <c r="B619" s="27" t="s">
        <v>531</v>
      </c>
      <c r="C619" s="28" t="s">
        <v>2898</v>
      </c>
      <c r="D619" s="28" t="s">
        <v>5792</v>
      </c>
      <c r="E619" s="28" t="s">
        <v>5793</v>
      </c>
      <c r="F619" s="28" t="s">
        <v>5640</v>
      </c>
      <c r="G619" s="28" t="s">
        <v>5788</v>
      </c>
      <c r="H619" s="27" t="s">
        <v>5707</v>
      </c>
      <c r="I619" s="28" t="s">
        <v>5697</v>
      </c>
      <c r="J619" s="27"/>
    </row>
    <row r="620" customFormat="false" ht="15" hidden="false" customHeight="true" outlineLevel="0" collapsed="false">
      <c r="A620" s="27" t="s">
        <v>2900</v>
      </c>
      <c r="B620" s="27" t="s">
        <v>531</v>
      </c>
      <c r="C620" s="28" t="s">
        <v>2901</v>
      </c>
      <c r="D620" s="28" t="s">
        <v>5792</v>
      </c>
      <c r="E620" s="28" t="s">
        <v>5793</v>
      </c>
      <c r="F620" s="28" t="s">
        <v>5640</v>
      </c>
      <c r="G620" s="28" t="s">
        <v>5788</v>
      </c>
      <c r="H620" s="27" t="s">
        <v>5707</v>
      </c>
      <c r="I620" s="28" t="s">
        <v>5697</v>
      </c>
      <c r="J620" s="27"/>
    </row>
    <row r="621" customFormat="false" ht="15" hidden="false" customHeight="true" outlineLevel="0" collapsed="false">
      <c r="A621" s="27" t="s">
        <v>2903</v>
      </c>
      <c r="B621" s="27" t="s">
        <v>531</v>
      </c>
      <c r="C621" s="28" t="s">
        <v>2904</v>
      </c>
      <c r="D621" s="27" t="s">
        <v>5790</v>
      </c>
      <c r="E621" s="28" t="s">
        <v>5791</v>
      </c>
      <c r="F621" s="28" t="s">
        <v>5640</v>
      </c>
      <c r="G621" s="28" t="s">
        <v>5788</v>
      </c>
      <c r="H621" s="27" t="s">
        <v>5707</v>
      </c>
      <c r="I621" s="28" t="s">
        <v>5697</v>
      </c>
      <c r="J621" s="27"/>
    </row>
    <row r="622" customFormat="false" ht="15" hidden="false" customHeight="true" outlineLevel="0" collapsed="false">
      <c r="A622" s="27" t="s">
        <v>2906</v>
      </c>
      <c r="B622" s="27" t="s">
        <v>531</v>
      </c>
      <c r="C622" s="28" t="s">
        <v>2907</v>
      </c>
      <c r="D622" s="28" t="s">
        <v>5794</v>
      </c>
      <c r="E622" s="28" t="s">
        <v>5639</v>
      </c>
      <c r="F622" s="28" t="s">
        <v>5640</v>
      </c>
      <c r="G622" s="28" t="s">
        <v>5788</v>
      </c>
      <c r="H622" s="27" t="s">
        <v>5707</v>
      </c>
      <c r="I622" s="28" t="s">
        <v>5697</v>
      </c>
      <c r="J622" s="27"/>
    </row>
    <row r="623" customFormat="false" ht="15" hidden="false" customHeight="true" outlineLevel="0" collapsed="false">
      <c r="A623" s="27" t="s">
        <v>2909</v>
      </c>
      <c r="B623" s="27" t="s">
        <v>531</v>
      </c>
      <c r="C623" s="28" t="s">
        <v>2910</v>
      </c>
      <c r="D623" s="28" t="s">
        <v>5792</v>
      </c>
      <c r="E623" s="28" t="s">
        <v>5793</v>
      </c>
      <c r="F623" s="28" t="s">
        <v>5640</v>
      </c>
      <c r="G623" s="28" t="s">
        <v>5788</v>
      </c>
      <c r="H623" s="27" t="s">
        <v>5707</v>
      </c>
      <c r="I623" s="28" t="s">
        <v>5697</v>
      </c>
      <c r="J623" s="27"/>
    </row>
    <row r="624" customFormat="false" ht="15" hidden="false" customHeight="true" outlineLevel="0" collapsed="false">
      <c r="A624" s="27" t="s">
        <v>2912</v>
      </c>
      <c r="B624" s="27" t="s">
        <v>531</v>
      </c>
      <c r="C624" s="28" t="s">
        <v>2913</v>
      </c>
      <c r="D624" s="28" t="s">
        <v>5792</v>
      </c>
      <c r="E624" s="28" t="s">
        <v>5793</v>
      </c>
      <c r="F624" s="28" t="s">
        <v>5640</v>
      </c>
      <c r="G624" s="28" t="s">
        <v>5788</v>
      </c>
      <c r="H624" s="27" t="s">
        <v>5707</v>
      </c>
      <c r="I624" s="28" t="s">
        <v>5697</v>
      </c>
      <c r="J624" s="27"/>
    </row>
    <row r="625" customFormat="false" ht="15" hidden="false" customHeight="true" outlineLevel="0" collapsed="false">
      <c r="A625" s="27" t="s">
        <v>2915</v>
      </c>
      <c r="B625" s="27" t="s">
        <v>531</v>
      </c>
      <c r="C625" s="28" t="s">
        <v>2916</v>
      </c>
      <c r="D625" s="28" t="s">
        <v>5792</v>
      </c>
      <c r="E625" s="28" t="s">
        <v>5793</v>
      </c>
      <c r="F625" s="28" t="s">
        <v>5640</v>
      </c>
      <c r="G625" s="28" t="s">
        <v>5788</v>
      </c>
      <c r="H625" s="27" t="s">
        <v>5707</v>
      </c>
      <c r="I625" s="28" t="s">
        <v>5697</v>
      </c>
      <c r="J625" s="27"/>
    </row>
    <row r="626" customFormat="false" ht="15" hidden="false" customHeight="true" outlineLevel="0" collapsed="false">
      <c r="A626" s="27" t="s">
        <v>2918</v>
      </c>
      <c r="B626" s="27" t="s">
        <v>531</v>
      </c>
      <c r="C626" s="28" t="s">
        <v>2919</v>
      </c>
      <c r="D626" s="28" t="s">
        <v>5792</v>
      </c>
      <c r="E626" s="28" t="s">
        <v>5793</v>
      </c>
      <c r="F626" s="28" t="s">
        <v>5640</v>
      </c>
      <c r="G626" s="28" t="s">
        <v>5788</v>
      </c>
      <c r="H626" s="27" t="s">
        <v>5707</v>
      </c>
      <c r="I626" s="28" t="s">
        <v>5697</v>
      </c>
      <c r="J626" s="27"/>
    </row>
    <row r="627" customFormat="false" ht="15" hidden="false" customHeight="true" outlineLevel="0" collapsed="false">
      <c r="A627" s="27" t="s">
        <v>2921</v>
      </c>
      <c r="B627" s="27" t="s">
        <v>531</v>
      </c>
      <c r="C627" s="28" t="s">
        <v>2922</v>
      </c>
      <c r="D627" s="28" t="s">
        <v>5792</v>
      </c>
      <c r="E627" s="28" t="s">
        <v>5793</v>
      </c>
      <c r="F627" s="28" t="s">
        <v>5640</v>
      </c>
      <c r="G627" s="28" t="s">
        <v>5788</v>
      </c>
      <c r="H627" s="27" t="s">
        <v>5707</v>
      </c>
      <c r="I627" s="28" t="s">
        <v>5697</v>
      </c>
      <c r="J627" s="27"/>
    </row>
    <row r="628" customFormat="false" ht="15" hidden="false" customHeight="true" outlineLevel="0" collapsed="false">
      <c r="A628" s="27" t="s">
        <v>2924</v>
      </c>
      <c r="B628" s="27" t="s">
        <v>531</v>
      </c>
      <c r="C628" s="28" t="s">
        <v>2925</v>
      </c>
      <c r="D628" s="28" t="s">
        <v>5792</v>
      </c>
      <c r="E628" s="28" t="s">
        <v>5793</v>
      </c>
      <c r="F628" s="28" t="s">
        <v>5640</v>
      </c>
      <c r="G628" s="28" t="s">
        <v>5788</v>
      </c>
      <c r="H628" s="27" t="s">
        <v>5707</v>
      </c>
      <c r="I628" s="28" t="s">
        <v>5697</v>
      </c>
      <c r="J628" s="27"/>
    </row>
    <row r="629" customFormat="false" ht="15" hidden="false" customHeight="true" outlineLevel="0" collapsed="false">
      <c r="A629" s="27" t="s">
        <v>2927</v>
      </c>
      <c r="B629" s="27" t="s">
        <v>531</v>
      </c>
      <c r="C629" s="28" t="s">
        <v>2928</v>
      </c>
      <c r="D629" s="28" t="s">
        <v>5792</v>
      </c>
      <c r="E629" s="28" t="s">
        <v>5793</v>
      </c>
      <c r="F629" s="28" t="s">
        <v>5640</v>
      </c>
      <c r="G629" s="28" t="s">
        <v>5788</v>
      </c>
      <c r="H629" s="27" t="s">
        <v>5707</v>
      </c>
      <c r="I629" s="28" t="s">
        <v>5697</v>
      </c>
      <c r="J629" s="27"/>
    </row>
    <row r="630" customFormat="false" ht="15" hidden="false" customHeight="true" outlineLevel="0" collapsed="false">
      <c r="A630" s="27" t="s">
        <v>2930</v>
      </c>
      <c r="B630" s="27" t="s">
        <v>531</v>
      </c>
      <c r="C630" s="28" t="s">
        <v>2931</v>
      </c>
      <c r="D630" s="28" t="s">
        <v>5792</v>
      </c>
      <c r="E630" s="28" t="s">
        <v>5793</v>
      </c>
      <c r="F630" s="28" t="s">
        <v>5640</v>
      </c>
      <c r="G630" s="28" t="s">
        <v>5788</v>
      </c>
      <c r="H630" s="27" t="s">
        <v>5707</v>
      </c>
      <c r="I630" s="28" t="s">
        <v>5697</v>
      </c>
      <c r="J630" s="27"/>
    </row>
    <row r="631" customFormat="false" ht="15" hidden="false" customHeight="true" outlineLevel="0" collapsed="false">
      <c r="A631" s="27" t="s">
        <v>2933</v>
      </c>
      <c r="B631" s="27" t="s">
        <v>531</v>
      </c>
      <c r="C631" s="28" t="s">
        <v>2934</v>
      </c>
      <c r="D631" s="28" t="s">
        <v>5762</v>
      </c>
      <c r="E631" s="28" t="s">
        <v>5763</v>
      </c>
      <c r="F631" s="28" t="s">
        <v>5640</v>
      </c>
      <c r="G631" s="28" t="s">
        <v>5788</v>
      </c>
      <c r="H631" s="27" t="s">
        <v>5707</v>
      </c>
      <c r="I631" s="28" t="s">
        <v>5697</v>
      </c>
      <c r="J631" s="27"/>
    </row>
    <row r="632" customFormat="false" ht="15" hidden="false" customHeight="true" outlineLevel="0" collapsed="false">
      <c r="A632" s="27" t="s">
        <v>2936</v>
      </c>
      <c r="B632" s="27" t="s">
        <v>531</v>
      </c>
      <c r="C632" s="28" t="s">
        <v>2937</v>
      </c>
      <c r="D632" s="28" t="s">
        <v>5792</v>
      </c>
      <c r="E632" s="28" t="s">
        <v>5793</v>
      </c>
      <c r="F632" s="28" t="s">
        <v>5640</v>
      </c>
      <c r="G632" s="28" t="s">
        <v>5788</v>
      </c>
      <c r="H632" s="27" t="s">
        <v>5707</v>
      </c>
      <c r="I632" s="28" t="s">
        <v>5697</v>
      </c>
      <c r="J632" s="27"/>
    </row>
    <row r="633" customFormat="false" ht="15" hidden="false" customHeight="true" outlineLevel="0" collapsed="false">
      <c r="A633" s="27" t="s">
        <v>2939</v>
      </c>
      <c r="B633" s="27" t="s">
        <v>531</v>
      </c>
      <c r="C633" s="28" t="s">
        <v>2940</v>
      </c>
      <c r="D633" s="28" t="s">
        <v>5794</v>
      </c>
      <c r="E633" s="28" t="s">
        <v>5639</v>
      </c>
      <c r="F633" s="28" t="s">
        <v>5640</v>
      </c>
      <c r="G633" s="28" t="s">
        <v>5788</v>
      </c>
      <c r="H633" s="27" t="s">
        <v>5707</v>
      </c>
      <c r="I633" s="28" t="s">
        <v>5697</v>
      </c>
      <c r="J633" s="27"/>
    </row>
    <row r="634" customFormat="false" ht="15" hidden="false" customHeight="true" outlineLevel="0" collapsed="false">
      <c r="A634" s="27" t="s">
        <v>2942</v>
      </c>
      <c r="B634" s="27" t="s">
        <v>531</v>
      </c>
      <c r="C634" s="28" t="s">
        <v>2943</v>
      </c>
      <c r="D634" s="28" t="s">
        <v>5794</v>
      </c>
      <c r="E634" s="28" t="s">
        <v>5639</v>
      </c>
      <c r="F634" s="28" t="s">
        <v>5640</v>
      </c>
      <c r="G634" s="28" t="s">
        <v>5788</v>
      </c>
      <c r="H634" s="27" t="s">
        <v>5707</v>
      </c>
      <c r="I634" s="28" t="s">
        <v>5697</v>
      </c>
      <c r="J634" s="27"/>
    </row>
    <row r="635" customFormat="false" ht="15" hidden="false" customHeight="true" outlineLevel="0" collapsed="false">
      <c r="A635" s="27" t="s">
        <v>2945</v>
      </c>
      <c r="B635" s="27" t="s">
        <v>531</v>
      </c>
      <c r="C635" s="28" t="s">
        <v>2946</v>
      </c>
      <c r="D635" s="28" t="s">
        <v>5794</v>
      </c>
      <c r="E635" s="28" t="s">
        <v>5639</v>
      </c>
      <c r="F635" s="28" t="s">
        <v>5640</v>
      </c>
      <c r="G635" s="28" t="s">
        <v>5788</v>
      </c>
      <c r="H635" s="27" t="s">
        <v>5707</v>
      </c>
      <c r="I635" s="28" t="s">
        <v>5697</v>
      </c>
      <c r="J635" s="27"/>
    </row>
    <row r="636" customFormat="false" ht="15" hidden="false" customHeight="true" outlineLevel="0" collapsed="false">
      <c r="A636" s="27" t="s">
        <v>2948</v>
      </c>
      <c r="B636" s="27" t="s">
        <v>531</v>
      </c>
      <c r="C636" s="28" t="s">
        <v>2949</v>
      </c>
      <c r="D636" s="28" t="s">
        <v>5762</v>
      </c>
      <c r="E636" s="28" t="s">
        <v>5763</v>
      </c>
      <c r="F636" s="28" t="s">
        <v>5640</v>
      </c>
      <c r="G636" s="28" t="s">
        <v>5788</v>
      </c>
      <c r="H636" s="27" t="s">
        <v>5707</v>
      </c>
      <c r="I636" s="28" t="s">
        <v>5697</v>
      </c>
      <c r="J636" s="27"/>
    </row>
    <row r="637" customFormat="false" ht="15" hidden="false" customHeight="true" outlineLevel="0" collapsed="false">
      <c r="A637" s="27" t="s">
        <v>2951</v>
      </c>
      <c r="B637" s="27" t="s">
        <v>531</v>
      </c>
      <c r="C637" s="28" t="s">
        <v>2952</v>
      </c>
      <c r="D637" s="28" t="s">
        <v>5762</v>
      </c>
      <c r="E637" s="28" t="s">
        <v>5763</v>
      </c>
      <c r="F637" s="28" t="s">
        <v>5640</v>
      </c>
      <c r="G637" s="28" t="s">
        <v>5788</v>
      </c>
      <c r="H637" s="27" t="s">
        <v>5707</v>
      </c>
      <c r="I637" s="28" t="s">
        <v>5697</v>
      </c>
      <c r="J637" s="27"/>
    </row>
    <row r="638" customFormat="false" ht="15" hidden="false" customHeight="true" outlineLevel="0" collapsed="false">
      <c r="A638" s="27" t="s">
        <v>2954</v>
      </c>
      <c r="B638" s="27" t="s">
        <v>531</v>
      </c>
      <c r="C638" s="28" t="s">
        <v>2955</v>
      </c>
      <c r="D638" s="28" t="s">
        <v>5792</v>
      </c>
      <c r="E638" s="28" t="s">
        <v>5793</v>
      </c>
      <c r="F638" s="28" t="s">
        <v>5640</v>
      </c>
      <c r="G638" s="28" t="s">
        <v>5788</v>
      </c>
      <c r="H638" s="27" t="s">
        <v>5707</v>
      </c>
      <c r="I638" s="28" t="s">
        <v>5697</v>
      </c>
      <c r="J638" s="27"/>
    </row>
    <row r="639" customFormat="false" ht="15" hidden="false" customHeight="true" outlineLevel="0" collapsed="false">
      <c r="A639" s="27" t="s">
        <v>2957</v>
      </c>
      <c r="B639" s="27" t="s">
        <v>531</v>
      </c>
      <c r="C639" s="28" t="s">
        <v>2958</v>
      </c>
      <c r="D639" s="28" t="s">
        <v>5792</v>
      </c>
      <c r="E639" s="28" t="s">
        <v>5793</v>
      </c>
      <c r="F639" s="28" t="s">
        <v>5640</v>
      </c>
      <c r="G639" s="28" t="s">
        <v>5788</v>
      </c>
      <c r="H639" s="27" t="s">
        <v>5707</v>
      </c>
      <c r="I639" s="28" t="s">
        <v>5697</v>
      </c>
      <c r="J639" s="27"/>
    </row>
    <row r="640" customFormat="false" ht="15" hidden="false" customHeight="true" outlineLevel="0" collapsed="false">
      <c r="A640" s="27" t="s">
        <v>2961</v>
      </c>
      <c r="B640" s="27" t="s">
        <v>531</v>
      </c>
      <c r="C640" s="28" t="s">
        <v>2962</v>
      </c>
      <c r="D640" s="28" t="s">
        <v>5792</v>
      </c>
      <c r="E640" s="28" t="s">
        <v>5793</v>
      </c>
      <c r="F640" s="28" t="s">
        <v>5640</v>
      </c>
      <c r="G640" s="28" t="s">
        <v>5788</v>
      </c>
      <c r="H640" s="27" t="s">
        <v>5707</v>
      </c>
      <c r="I640" s="28" t="s">
        <v>5697</v>
      </c>
      <c r="J640" s="27"/>
    </row>
    <row r="641" customFormat="false" ht="15" hidden="false" customHeight="true" outlineLevel="0" collapsed="false">
      <c r="A641" s="27" t="s">
        <v>2964</v>
      </c>
      <c r="B641" s="27" t="s">
        <v>531</v>
      </c>
      <c r="C641" s="28" t="s">
        <v>2965</v>
      </c>
      <c r="D641" s="27" t="s">
        <v>5790</v>
      </c>
      <c r="E641" s="28" t="s">
        <v>5791</v>
      </c>
      <c r="F641" s="28" t="s">
        <v>5640</v>
      </c>
      <c r="G641" s="28" t="s">
        <v>5788</v>
      </c>
      <c r="H641" s="27" t="s">
        <v>5707</v>
      </c>
      <c r="I641" s="28" t="s">
        <v>5697</v>
      </c>
      <c r="J641" s="27"/>
    </row>
    <row r="642" customFormat="false" ht="15" hidden="false" customHeight="true" outlineLevel="0" collapsed="false">
      <c r="A642" s="27" t="s">
        <v>2968</v>
      </c>
      <c r="B642" s="27" t="s">
        <v>531</v>
      </c>
      <c r="C642" s="28" t="s">
        <v>2969</v>
      </c>
      <c r="D642" s="28" t="s">
        <v>5792</v>
      </c>
      <c r="E642" s="28" t="s">
        <v>5793</v>
      </c>
      <c r="F642" s="28" t="s">
        <v>5640</v>
      </c>
      <c r="G642" s="28" t="s">
        <v>5788</v>
      </c>
      <c r="H642" s="27" t="s">
        <v>5707</v>
      </c>
      <c r="I642" s="28" t="s">
        <v>5697</v>
      </c>
      <c r="J642" s="27"/>
    </row>
    <row r="643" customFormat="false" ht="15" hidden="false" customHeight="true" outlineLevel="0" collapsed="false">
      <c r="A643" s="27" t="s">
        <v>2971</v>
      </c>
      <c r="B643" s="27" t="s">
        <v>531</v>
      </c>
      <c r="C643" s="28" t="s">
        <v>2972</v>
      </c>
      <c r="D643" s="28" t="s">
        <v>5792</v>
      </c>
      <c r="E643" s="28" t="s">
        <v>5793</v>
      </c>
      <c r="F643" s="28" t="s">
        <v>5640</v>
      </c>
      <c r="G643" s="28" t="s">
        <v>5788</v>
      </c>
      <c r="H643" s="27" t="s">
        <v>5707</v>
      </c>
      <c r="I643" s="28" t="s">
        <v>5697</v>
      </c>
      <c r="J643" s="27"/>
    </row>
    <row r="644" customFormat="false" ht="15" hidden="false" customHeight="true" outlineLevel="0" collapsed="false">
      <c r="A644" s="27" t="s">
        <v>2975</v>
      </c>
      <c r="B644" s="27" t="s">
        <v>531</v>
      </c>
      <c r="C644" s="28" t="s">
        <v>2976</v>
      </c>
      <c r="D644" s="27" t="s">
        <v>5790</v>
      </c>
      <c r="E644" s="28" t="s">
        <v>5791</v>
      </c>
      <c r="F644" s="28" t="s">
        <v>5640</v>
      </c>
      <c r="G644" s="28" t="s">
        <v>5788</v>
      </c>
      <c r="H644" s="27" t="s">
        <v>5707</v>
      </c>
      <c r="I644" s="28" t="s">
        <v>5697</v>
      </c>
      <c r="J644" s="27"/>
    </row>
    <row r="645" customFormat="false" ht="15" hidden="false" customHeight="true" outlineLevel="0" collapsed="false">
      <c r="A645" s="27" t="s">
        <v>2978</v>
      </c>
      <c r="B645" s="27" t="s">
        <v>531</v>
      </c>
      <c r="C645" s="28" t="s">
        <v>2979</v>
      </c>
      <c r="D645" s="27" t="s">
        <v>5790</v>
      </c>
      <c r="E645" s="28" t="s">
        <v>5791</v>
      </c>
      <c r="F645" s="28" t="s">
        <v>5640</v>
      </c>
      <c r="G645" s="28" t="s">
        <v>5788</v>
      </c>
      <c r="H645" s="27" t="s">
        <v>5707</v>
      </c>
      <c r="I645" s="28" t="s">
        <v>5697</v>
      </c>
      <c r="J645" s="27"/>
    </row>
    <row r="646" customFormat="false" ht="15" hidden="false" customHeight="true" outlineLevel="0" collapsed="false">
      <c r="A646" s="27" t="s">
        <v>2981</v>
      </c>
      <c r="B646" s="27" t="s">
        <v>531</v>
      </c>
      <c r="C646" s="28" t="s">
        <v>2982</v>
      </c>
      <c r="D646" s="28" t="s">
        <v>5792</v>
      </c>
      <c r="E646" s="28" t="s">
        <v>5793</v>
      </c>
      <c r="F646" s="28" t="s">
        <v>5640</v>
      </c>
      <c r="G646" s="28" t="s">
        <v>5788</v>
      </c>
      <c r="H646" s="27" t="s">
        <v>5707</v>
      </c>
      <c r="I646" s="28" t="s">
        <v>5697</v>
      </c>
      <c r="J646" s="27"/>
    </row>
    <row r="647" customFormat="false" ht="15" hidden="false" customHeight="true" outlineLevel="0" collapsed="false">
      <c r="A647" s="27" t="s">
        <v>2984</v>
      </c>
      <c r="B647" s="27" t="s">
        <v>531</v>
      </c>
      <c r="C647" s="28" t="s">
        <v>2985</v>
      </c>
      <c r="D647" s="28" t="s">
        <v>5762</v>
      </c>
      <c r="E647" s="28" t="s">
        <v>5763</v>
      </c>
      <c r="F647" s="28" t="s">
        <v>5640</v>
      </c>
      <c r="G647" s="28" t="s">
        <v>5788</v>
      </c>
      <c r="H647" s="27" t="s">
        <v>5707</v>
      </c>
      <c r="I647" s="28" t="s">
        <v>5697</v>
      </c>
      <c r="J647" s="27"/>
    </row>
    <row r="648" customFormat="false" ht="15" hidden="false" customHeight="true" outlineLevel="0" collapsed="false">
      <c r="A648" s="27" t="s">
        <v>2987</v>
      </c>
      <c r="B648" s="27" t="s">
        <v>531</v>
      </c>
      <c r="C648" s="28" t="s">
        <v>2988</v>
      </c>
      <c r="D648" s="28" t="s">
        <v>5762</v>
      </c>
      <c r="E648" s="28" t="s">
        <v>5763</v>
      </c>
      <c r="F648" s="28" t="s">
        <v>5640</v>
      </c>
      <c r="G648" s="28" t="s">
        <v>5788</v>
      </c>
      <c r="H648" s="27" t="s">
        <v>5707</v>
      </c>
      <c r="I648" s="28" t="s">
        <v>5697</v>
      </c>
      <c r="J648" s="27"/>
    </row>
    <row r="649" customFormat="false" ht="15" hidden="false" customHeight="true" outlineLevel="0" collapsed="false">
      <c r="A649" s="27" t="s">
        <v>2990</v>
      </c>
      <c r="B649" s="27" t="s">
        <v>531</v>
      </c>
      <c r="C649" s="28" t="s">
        <v>2991</v>
      </c>
      <c r="D649" s="28" t="s">
        <v>5762</v>
      </c>
      <c r="E649" s="28" t="s">
        <v>5763</v>
      </c>
      <c r="F649" s="28" t="s">
        <v>5640</v>
      </c>
      <c r="G649" s="28" t="s">
        <v>5788</v>
      </c>
      <c r="H649" s="27" t="s">
        <v>5707</v>
      </c>
      <c r="I649" s="28" t="s">
        <v>5697</v>
      </c>
      <c r="J649" s="27"/>
    </row>
    <row r="650" customFormat="false" ht="15" hidden="false" customHeight="true" outlineLevel="0" collapsed="false">
      <c r="A650" s="27" t="s">
        <v>2993</v>
      </c>
      <c r="B650" s="27" t="s">
        <v>531</v>
      </c>
      <c r="C650" s="28" t="s">
        <v>2994</v>
      </c>
      <c r="D650" s="27" t="s">
        <v>5790</v>
      </c>
      <c r="E650" s="28" t="s">
        <v>5791</v>
      </c>
      <c r="F650" s="28" t="s">
        <v>5640</v>
      </c>
      <c r="G650" s="28" t="s">
        <v>5788</v>
      </c>
      <c r="H650" s="27" t="s">
        <v>5707</v>
      </c>
      <c r="I650" s="28" t="s">
        <v>5697</v>
      </c>
      <c r="J650" s="27"/>
    </row>
    <row r="651" customFormat="false" ht="15" hidden="false" customHeight="true" outlineLevel="0" collapsed="false">
      <c r="A651" s="27" t="s">
        <v>2996</v>
      </c>
      <c r="B651" s="27" t="s">
        <v>531</v>
      </c>
      <c r="C651" s="28" t="s">
        <v>2997</v>
      </c>
      <c r="D651" s="28" t="s">
        <v>5762</v>
      </c>
      <c r="E651" s="28" t="s">
        <v>5763</v>
      </c>
      <c r="F651" s="28" t="s">
        <v>5640</v>
      </c>
      <c r="G651" s="28" t="s">
        <v>5788</v>
      </c>
      <c r="H651" s="27" t="s">
        <v>5707</v>
      </c>
      <c r="I651" s="28" t="s">
        <v>5697</v>
      </c>
      <c r="J651" s="27"/>
    </row>
    <row r="652" customFormat="false" ht="15" hidden="false" customHeight="true" outlineLevel="0" collapsed="false">
      <c r="A652" s="27" t="s">
        <v>2999</v>
      </c>
      <c r="B652" s="27" t="s">
        <v>531</v>
      </c>
      <c r="C652" s="28" t="s">
        <v>3000</v>
      </c>
      <c r="D652" s="27" t="s">
        <v>5790</v>
      </c>
      <c r="E652" s="28" t="s">
        <v>5791</v>
      </c>
      <c r="F652" s="28" t="s">
        <v>5640</v>
      </c>
      <c r="G652" s="28" t="s">
        <v>5788</v>
      </c>
      <c r="H652" s="27" t="s">
        <v>5707</v>
      </c>
      <c r="I652" s="28" t="s">
        <v>5697</v>
      </c>
      <c r="J652" s="27"/>
    </row>
    <row r="653" customFormat="false" ht="15" hidden="false" customHeight="true" outlineLevel="0" collapsed="false">
      <c r="A653" s="27" t="s">
        <v>3002</v>
      </c>
      <c r="B653" s="27" t="s">
        <v>531</v>
      </c>
      <c r="C653" s="28" t="s">
        <v>3003</v>
      </c>
      <c r="D653" s="27" t="s">
        <v>5790</v>
      </c>
      <c r="E653" s="28" t="s">
        <v>5791</v>
      </c>
      <c r="F653" s="28" t="s">
        <v>5640</v>
      </c>
      <c r="G653" s="28" t="s">
        <v>5788</v>
      </c>
      <c r="H653" s="27" t="s">
        <v>5707</v>
      </c>
      <c r="I653" s="28" t="s">
        <v>5697</v>
      </c>
      <c r="J653" s="27"/>
    </row>
    <row r="654" customFormat="false" ht="15" hidden="false" customHeight="true" outlineLevel="0" collapsed="false">
      <c r="A654" s="27" t="s">
        <v>3005</v>
      </c>
      <c r="B654" s="27" t="s">
        <v>531</v>
      </c>
      <c r="C654" s="28" t="s">
        <v>3006</v>
      </c>
      <c r="D654" s="27" t="s">
        <v>5790</v>
      </c>
      <c r="E654" s="28" t="s">
        <v>5791</v>
      </c>
      <c r="F654" s="28" t="s">
        <v>5640</v>
      </c>
      <c r="G654" s="28" t="s">
        <v>5788</v>
      </c>
      <c r="H654" s="27" t="s">
        <v>5707</v>
      </c>
      <c r="I654" s="28" t="s">
        <v>5697</v>
      </c>
      <c r="J654" s="27"/>
    </row>
    <row r="655" customFormat="false" ht="15" hidden="false" customHeight="true" outlineLevel="0" collapsed="false">
      <c r="A655" s="27" t="s">
        <v>3008</v>
      </c>
      <c r="B655" s="27" t="s">
        <v>531</v>
      </c>
      <c r="C655" s="28" t="s">
        <v>3009</v>
      </c>
      <c r="D655" s="27" t="s">
        <v>5790</v>
      </c>
      <c r="E655" s="28" t="s">
        <v>5791</v>
      </c>
      <c r="F655" s="28" t="s">
        <v>5640</v>
      </c>
      <c r="G655" s="28" t="s">
        <v>5788</v>
      </c>
      <c r="H655" s="27" t="s">
        <v>5707</v>
      </c>
      <c r="I655" s="28" t="s">
        <v>5697</v>
      </c>
      <c r="J655" s="27"/>
    </row>
    <row r="656" customFormat="false" ht="15" hidden="false" customHeight="true" outlineLevel="0" collapsed="false">
      <c r="A656" s="27" t="s">
        <v>3014</v>
      </c>
      <c r="B656" s="27" t="s">
        <v>531</v>
      </c>
      <c r="C656" s="28" t="s">
        <v>3015</v>
      </c>
      <c r="D656" s="28" t="s">
        <v>5792</v>
      </c>
      <c r="E656" s="28" t="s">
        <v>5793</v>
      </c>
      <c r="F656" s="28" t="s">
        <v>5640</v>
      </c>
      <c r="G656" s="28" t="s">
        <v>5788</v>
      </c>
      <c r="H656" s="27" t="s">
        <v>5707</v>
      </c>
      <c r="I656" s="28" t="s">
        <v>5697</v>
      </c>
      <c r="J656" s="27"/>
    </row>
    <row r="657" customFormat="false" ht="15" hidden="false" customHeight="true" outlineLevel="0" collapsed="false">
      <c r="A657" s="27" t="s">
        <v>3017</v>
      </c>
      <c r="B657" s="27" t="s">
        <v>531</v>
      </c>
      <c r="C657" s="28" t="s">
        <v>3018</v>
      </c>
      <c r="D657" s="28" t="s">
        <v>5762</v>
      </c>
      <c r="E657" s="28" t="s">
        <v>5763</v>
      </c>
      <c r="F657" s="28" t="s">
        <v>5640</v>
      </c>
      <c r="G657" s="28" t="s">
        <v>5788</v>
      </c>
      <c r="H657" s="27" t="s">
        <v>5707</v>
      </c>
      <c r="I657" s="28" t="s">
        <v>5697</v>
      </c>
      <c r="J657" s="27"/>
    </row>
    <row r="658" customFormat="false" ht="15" hidden="false" customHeight="true" outlineLevel="0" collapsed="false">
      <c r="A658" s="27" t="s">
        <v>3036</v>
      </c>
      <c r="B658" s="27" t="s">
        <v>538</v>
      </c>
      <c r="C658" s="28" t="s">
        <v>3037</v>
      </c>
      <c r="D658" s="28" t="s">
        <v>5795</v>
      </c>
      <c r="E658" s="28" t="s">
        <v>5796</v>
      </c>
      <c r="F658" s="28" t="s">
        <v>5630</v>
      </c>
      <c r="G658" s="28" t="s">
        <v>5797</v>
      </c>
      <c r="H658" s="27" t="s">
        <v>5715</v>
      </c>
      <c r="I658" s="28" t="s">
        <v>5734</v>
      </c>
      <c r="J658" s="27"/>
    </row>
    <row r="659" customFormat="false" ht="15" hidden="false" customHeight="true" outlineLevel="0" collapsed="false">
      <c r="A659" s="27" t="s">
        <v>3039</v>
      </c>
      <c r="B659" s="27" t="s">
        <v>538</v>
      </c>
      <c r="C659" s="28" t="s">
        <v>3040</v>
      </c>
      <c r="D659" s="28" t="s">
        <v>5795</v>
      </c>
      <c r="E659" s="28" t="s">
        <v>5796</v>
      </c>
      <c r="F659" s="28" t="s">
        <v>5630</v>
      </c>
      <c r="G659" s="28" t="s">
        <v>5797</v>
      </c>
      <c r="H659" s="27" t="s">
        <v>5715</v>
      </c>
      <c r="I659" s="28" t="s">
        <v>5734</v>
      </c>
      <c r="J659" s="27"/>
    </row>
    <row r="660" customFormat="false" ht="15" hidden="false" customHeight="true" outlineLevel="0" collapsed="false">
      <c r="A660" s="27" t="s">
        <v>3042</v>
      </c>
      <c r="B660" s="27" t="s">
        <v>538</v>
      </c>
      <c r="C660" s="28" t="s">
        <v>3043</v>
      </c>
      <c r="D660" s="28" t="s">
        <v>5795</v>
      </c>
      <c r="E660" s="28" t="s">
        <v>5796</v>
      </c>
      <c r="F660" s="28" t="s">
        <v>5630</v>
      </c>
      <c r="G660" s="28" t="s">
        <v>5797</v>
      </c>
      <c r="H660" s="27" t="s">
        <v>5715</v>
      </c>
      <c r="I660" s="28" t="s">
        <v>5734</v>
      </c>
      <c r="J660" s="27"/>
    </row>
    <row r="661" customFormat="false" ht="15" hidden="false" customHeight="true" outlineLevel="0" collapsed="false">
      <c r="A661" s="27" t="s">
        <v>3048</v>
      </c>
      <c r="B661" s="27" t="s">
        <v>538</v>
      </c>
      <c r="C661" s="28" t="s">
        <v>3049</v>
      </c>
      <c r="D661" s="28" t="s">
        <v>5795</v>
      </c>
      <c r="E661" s="28" t="s">
        <v>5796</v>
      </c>
      <c r="F661" s="28" t="s">
        <v>5630</v>
      </c>
      <c r="G661" s="28" t="s">
        <v>5797</v>
      </c>
      <c r="H661" s="27" t="s">
        <v>5715</v>
      </c>
      <c r="I661" s="28" t="s">
        <v>5734</v>
      </c>
      <c r="J661" s="27"/>
    </row>
    <row r="662" customFormat="false" ht="15" hidden="false" customHeight="true" outlineLevel="0" collapsed="false">
      <c r="A662" s="27" t="s">
        <v>3051</v>
      </c>
      <c r="B662" s="27" t="s">
        <v>538</v>
      </c>
      <c r="C662" s="28" t="s">
        <v>3052</v>
      </c>
      <c r="D662" s="28" t="s">
        <v>5795</v>
      </c>
      <c r="E662" s="28" t="s">
        <v>5796</v>
      </c>
      <c r="F662" s="28" t="s">
        <v>5630</v>
      </c>
      <c r="G662" s="28" t="s">
        <v>5797</v>
      </c>
      <c r="H662" s="27" t="s">
        <v>5715</v>
      </c>
      <c r="I662" s="28" t="s">
        <v>5734</v>
      </c>
      <c r="J662" s="27"/>
    </row>
    <row r="663" customFormat="false" ht="15" hidden="false" customHeight="true" outlineLevel="0" collapsed="false">
      <c r="A663" s="27" t="s">
        <v>3054</v>
      </c>
      <c r="B663" s="27" t="s">
        <v>538</v>
      </c>
      <c r="C663" s="28" t="s">
        <v>3055</v>
      </c>
      <c r="D663" s="28" t="s">
        <v>5795</v>
      </c>
      <c r="E663" s="28" t="s">
        <v>5796</v>
      </c>
      <c r="F663" s="28" t="s">
        <v>5630</v>
      </c>
      <c r="G663" s="28" t="s">
        <v>5797</v>
      </c>
      <c r="H663" s="27" t="s">
        <v>5715</v>
      </c>
      <c r="I663" s="28" t="s">
        <v>5734</v>
      </c>
      <c r="J663" s="27"/>
    </row>
    <row r="664" customFormat="false" ht="15" hidden="false" customHeight="true" outlineLevel="0" collapsed="false">
      <c r="A664" s="27" t="s">
        <v>3060</v>
      </c>
      <c r="B664" s="27" t="s">
        <v>538</v>
      </c>
      <c r="C664" s="28" t="s">
        <v>3061</v>
      </c>
      <c r="D664" s="28" t="s">
        <v>5795</v>
      </c>
      <c r="E664" s="28" t="s">
        <v>5796</v>
      </c>
      <c r="F664" s="28" t="s">
        <v>5630</v>
      </c>
      <c r="G664" s="28" t="s">
        <v>5797</v>
      </c>
      <c r="H664" s="27" t="s">
        <v>5715</v>
      </c>
      <c r="I664" s="28" t="s">
        <v>5734</v>
      </c>
      <c r="J664" s="27"/>
    </row>
    <row r="665" customFormat="false" ht="15" hidden="false" customHeight="true" outlineLevel="0" collapsed="false">
      <c r="A665" s="27" t="s">
        <v>3063</v>
      </c>
      <c r="B665" s="27" t="s">
        <v>538</v>
      </c>
      <c r="C665" s="28" t="s">
        <v>3064</v>
      </c>
      <c r="D665" s="28" t="s">
        <v>5795</v>
      </c>
      <c r="E665" s="28" t="s">
        <v>5796</v>
      </c>
      <c r="F665" s="28" t="s">
        <v>5630</v>
      </c>
      <c r="G665" s="28" t="s">
        <v>5797</v>
      </c>
      <c r="H665" s="27" t="s">
        <v>5715</v>
      </c>
      <c r="I665" s="28" t="s">
        <v>5734</v>
      </c>
      <c r="J665" s="27"/>
    </row>
    <row r="666" customFormat="false" ht="15" hidden="false" customHeight="true" outlineLevel="0" collapsed="false">
      <c r="A666" s="27" t="s">
        <v>3066</v>
      </c>
      <c r="B666" s="27" t="s">
        <v>538</v>
      </c>
      <c r="C666" s="28" t="s">
        <v>3067</v>
      </c>
      <c r="D666" s="28" t="s">
        <v>5779</v>
      </c>
      <c r="E666" s="28" t="s">
        <v>5636</v>
      </c>
      <c r="F666" s="28" t="s">
        <v>5640</v>
      </c>
      <c r="G666" s="28" t="s">
        <v>5797</v>
      </c>
      <c r="H666" s="27" t="s">
        <v>5715</v>
      </c>
      <c r="I666" s="28" t="s">
        <v>5734</v>
      </c>
      <c r="J666" s="27"/>
    </row>
    <row r="667" customFormat="false" ht="15" hidden="false" customHeight="true" outlineLevel="0" collapsed="false">
      <c r="A667" s="27" t="s">
        <v>3072</v>
      </c>
      <c r="B667" s="27" t="s">
        <v>538</v>
      </c>
      <c r="C667" s="28" t="s">
        <v>3073</v>
      </c>
      <c r="D667" s="28" t="s">
        <v>5795</v>
      </c>
      <c r="E667" s="28" t="s">
        <v>5796</v>
      </c>
      <c r="F667" s="28" t="s">
        <v>5630</v>
      </c>
      <c r="G667" s="28" t="s">
        <v>5797</v>
      </c>
      <c r="H667" s="27" t="s">
        <v>5715</v>
      </c>
      <c r="I667" s="28" t="s">
        <v>5734</v>
      </c>
      <c r="J667" s="27"/>
    </row>
    <row r="668" customFormat="false" ht="15" hidden="false" customHeight="true" outlineLevel="0" collapsed="false">
      <c r="A668" s="27" t="s">
        <v>3075</v>
      </c>
      <c r="B668" s="27" t="s">
        <v>538</v>
      </c>
      <c r="C668" s="28" t="s">
        <v>3076</v>
      </c>
      <c r="D668" s="28" t="s">
        <v>5798</v>
      </c>
      <c r="E668" s="28" t="s">
        <v>5796</v>
      </c>
      <c r="F668" s="28" t="s">
        <v>5630</v>
      </c>
      <c r="G668" s="28" t="s">
        <v>5797</v>
      </c>
      <c r="H668" s="27" t="s">
        <v>5715</v>
      </c>
      <c r="I668" s="28" t="s">
        <v>5734</v>
      </c>
      <c r="J668" s="27"/>
    </row>
    <row r="669" customFormat="false" ht="15" hidden="false" customHeight="true" outlineLevel="0" collapsed="false">
      <c r="A669" s="27" t="s">
        <v>3078</v>
      </c>
      <c r="B669" s="27" t="s">
        <v>538</v>
      </c>
      <c r="C669" s="28" t="s">
        <v>3079</v>
      </c>
      <c r="D669" s="28" t="s">
        <v>5795</v>
      </c>
      <c r="E669" s="28" t="s">
        <v>5796</v>
      </c>
      <c r="F669" s="28" t="s">
        <v>5630</v>
      </c>
      <c r="G669" s="28" t="s">
        <v>5797</v>
      </c>
      <c r="H669" s="27" t="s">
        <v>5715</v>
      </c>
      <c r="I669" s="28" t="s">
        <v>5734</v>
      </c>
      <c r="J669" s="27"/>
    </row>
    <row r="670" customFormat="false" ht="15" hidden="false" customHeight="true" outlineLevel="0" collapsed="false">
      <c r="A670" s="27" t="s">
        <v>3081</v>
      </c>
      <c r="B670" s="27" t="s">
        <v>538</v>
      </c>
      <c r="C670" s="28" t="s">
        <v>3082</v>
      </c>
      <c r="D670" s="28" t="s">
        <v>5795</v>
      </c>
      <c r="E670" s="28" t="s">
        <v>5796</v>
      </c>
      <c r="F670" s="28" t="s">
        <v>5630</v>
      </c>
      <c r="G670" s="28" t="s">
        <v>5797</v>
      </c>
      <c r="H670" s="27" t="s">
        <v>5715</v>
      </c>
      <c r="I670" s="28" t="s">
        <v>5734</v>
      </c>
      <c r="J670" s="27"/>
    </row>
    <row r="671" customFormat="false" ht="15" hidden="false" customHeight="true" outlineLevel="0" collapsed="false">
      <c r="A671" s="27" t="s">
        <v>3087</v>
      </c>
      <c r="B671" s="27" t="s">
        <v>538</v>
      </c>
      <c r="C671" s="28" t="s">
        <v>3088</v>
      </c>
      <c r="D671" s="28" t="s">
        <v>5795</v>
      </c>
      <c r="E671" s="28" t="s">
        <v>5796</v>
      </c>
      <c r="F671" s="28" t="s">
        <v>5630</v>
      </c>
      <c r="G671" s="28" t="s">
        <v>5797</v>
      </c>
      <c r="H671" s="27" t="s">
        <v>5715</v>
      </c>
      <c r="I671" s="28" t="s">
        <v>5734</v>
      </c>
      <c r="J671" s="27"/>
    </row>
    <row r="672" customFormat="false" ht="15" hidden="false" customHeight="true" outlineLevel="0" collapsed="false">
      <c r="A672" s="27" t="s">
        <v>3090</v>
      </c>
      <c r="B672" s="27" t="s">
        <v>538</v>
      </c>
      <c r="C672" s="28" t="s">
        <v>3091</v>
      </c>
      <c r="D672" s="28" t="s">
        <v>5795</v>
      </c>
      <c r="E672" s="28" t="s">
        <v>5796</v>
      </c>
      <c r="F672" s="28" t="s">
        <v>5630</v>
      </c>
      <c r="G672" s="28" t="s">
        <v>5797</v>
      </c>
      <c r="H672" s="27" t="s">
        <v>5715</v>
      </c>
      <c r="I672" s="28" t="s">
        <v>5734</v>
      </c>
      <c r="J672" s="27"/>
    </row>
    <row r="673" customFormat="false" ht="15" hidden="false" customHeight="true" outlineLevel="0" collapsed="false">
      <c r="A673" s="27" t="s">
        <v>3093</v>
      </c>
      <c r="B673" s="27" t="s">
        <v>538</v>
      </c>
      <c r="C673" s="28" t="s">
        <v>3094</v>
      </c>
      <c r="D673" s="28" t="s">
        <v>5795</v>
      </c>
      <c r="E673" s="28" t="s">
        <v>5796</v>
      </c>
      <c r="F673" s="28" t="s">
        <v>5630</v>
      </c>
      <c r="G673" s="28" t="s">
        <v>5797</v>
      </c>
      <c r="H673" s="27" t="s">
        <v>5715</v>
      </c>
      <c r="I673" s="28" t="s">
        <v>5734</v>
      </c>
      <c r="J673" s="27"/>
    </row>
    <row r="674" customFormat="false" ht="15" hidden="false" customHeight="true" outlineLevel="0" collapsed="false">
      <c r="A674" s="27" t="s">
        <v>3099</v>
      </c>
      <c r="B674" s="27" t="s">
        <v>538</v>
      </c>
      <c r="C674" s="28" t="s">
        <v>3100</v>
      </c>
      <c r="D674" s="28" t="s">
        <v>5792</v>
      </c>
      <c r="E674" s="28" t="s">
        <v>5793</v>
      </c>
      <c r="F674" s="28" t="s">
        <v>5640</v>
      </c>
      <c r="G674" s="28" t="s">
        <v>5797</v>
      </c>
      <c r="H674" s="27" t="s">
        <v>5715</v>
      </c>
      <c r="I674" s="28" t="s">
        <v>5734</v>
      </c>
      <c r="J674" s="27"/>
    </row>
    <row r="675" customFormat="false" ht="15" hidden="false" customHeight="true" outlineLevel="0" collapsed="false">
      <c r="A675" s="27" t="s">
        <v>3102</v>
      </c>
      <c r="B675" s="27" t="s">
        <v>538</v>
      </c>
      <c r="C675" s="28" t="s">
        <v>3103</v>
      </c>
      <c r="D675" s="28" t="s">
        <v>5792</v>
      </c>
      <c r="E675" s="28" t="s">
        <v>5793</v>
      </c>
      <c r="F675" s="28" t="s">
        <v>5640</v>
      </c>
      <c r="G675" s="28" t="s">
        <v>5797</v>
      </c>
      <c r="H675" s="27" t="s">
        <v>5715</v>
      </c>
      <c r="I675" s="28" t="s">
        <v>5734</v>
      </c>
      <c r="J675" s="27"/>
    </row>
    <row r="676" customFormat="false" ht="15" hidden="false" customHeight="true" outlineLevel="0" collapsed="false">
      <c r="A676" s="27" t="s">
        <v>3105</v>
      </c>
      <c r="B676" s="27" t="s">
        <v>538</v>
      </c>
      <c r="C676" s="28" t="s">
        <v>3106</v>
      </c>
      <c r="D676" s="28" t="s">
        <v>5799</v>
      </c>
      <c r="E676" s="28" t="s">
        <v>5639</v>
      </c>
      <c r="F676" s="28" t="s">
        <v>5640</v>
      </c>
      <c r="G676" s="28" t="s">
        <v>5797</v>
      </c>
      <c r="H676" s="27" t="s">
        <v>5715</v>
      </c>
      <c r="I676" s="28" t="s">
        <v>5734</v>
      </c>
      <c r="J676" s="27"/>
    </row>
    <row r="677" customFormat="false" ht="15" hidden="false" customHeight="true" outlineLevel="0" collapsed="false">
      <c r="A677" s="27" t="s">
        <v>3108</v>
      </c>
      <c r="B677" s="27" t="s">
        <v>538</v>
      </c>
      <c r="C677" s="28" t="s">
        <v>3109</v>
      </c>
      <c r="D677" s="28" t="s">
        <v>5795</v>
      </c>
      <c r="E677" s="28" t="s">
        <v>5796</v>
      </c>
      <c r="F677" s="28" t="s">
        <v>5630</v>
      </c>
      <c r="G677" s="28" t="s">
        <v>5797</v>
      </c>
      <c r="H677" s="27" t="s">
        <v>5715</v>
      </c>
      <c r="I677" s="28" t="s">
        <v>5734</v>
      </c>
      <c r="J677" s="27"/>
    </row>
    <row r="678" customFormat="false" ht="15" hidden="false" customHeight="true" outlineLevel="0" collapsed="false">
      <c r="A678" s="27" t="s">
        <v>3115</v>
      </c>
      <c r="B678" s="27" t="s">
        <v>538</v>
      </c>
      <c r="C678" s="28" t="s">
        <v>3116</v>
      </c>
      <c r="D678" s="28" t="s">
        <v>5800</v>
      </c>
      <c r="E678" s="28" t="s">
        <v>5796</v>
      </c>
      <c r="F678" s="28" t="s">
        <v>5630</v>
      </c>
      <c r="G678" s="28" t="s">
        <v>5797</v>
      </c>
      <c r="H678" s="27" t="s">
        <v>5715</v>
      </c>
      <c r="I678" s="28" t="s">
        <v>5734</v>
      </c>
      <c r="J678" s="27"/>
    </row>
    <row r="679" customFormat="false" ht="15" hidden="false" customHeight="true" outlineLevel="0" collapsed="false">
      <c r="A679" s="27" t="s">
        <v>3118</v>
      </c>
      <c r="B679" s="27" t="s">
        <v>538</v>
      </c>
      <c r="C679" s="28" t="s">
        <v>3119</v>
      </c>
      <c r="D679" s="28" t="s">
        <v>5795</v>
      </c>
      <c r="E679" s="28" t="s">
        <v>5796</v>
      </c>
      <c r="F679" s="28" t="s">
        <v>5630</v>
      </c>
      <c r="G679" s="28" t="s">
        <v>5797</v>
      </c>
      <c r="H679" s="27" t="s">
        <v>5715</v>
      </c>
      <c r="I679" s="28" t="s">
        <v>5734</v>
      </c>
      <c r="J679" s="27"/>
    </row>
    <row r="680" customFormat="false" ht="15" hidden="false" customHeight="true" outlineLevel="0" collapsed="false">
      <c r="A680" s="27" t="s">
        <v>3121</v>
      </c>
      <c r="B680" s="27" t="s">
        <v>538</v>
      </c>
      <c r="C680" s="28" t="s">
        <v>3122</v>
      </c>
      <c r="D680" s="28" t="s">
        <v>5795</v>
      </c>
      <c r="E680" s="28" t="s">
        <v>5796</v>
      </c>
      <c r="F680" s="28" t="s">
        <v>5630</v>
      </c>
      <c r="G680" s="28" t="s">
        <v>5797</v>
      </c>
      <c r="H680" s="27" t="s">
        <v>5715</v>
      </c>
      <c r="I680" s="28" t="s">
        <v>5734</v>
      </c>
      <c r="J680" s="27"/>
    </row>
    <row r="681" customFormat="false" ht="15" hidden="false" customHeight="true" outlineLevel="0" collapsed="false">
      <c r="A681" s="27" t="s">
        <v>3124</v>
      </c>
      <c r="B681" s="27" t="s">
        <v>538</v>
      </c>
      <c r="C681" s="28" t="s">
        <v>3125</v>
      </c>
      <c r="D681" s="28" t="s">
        <v>5801</v>
      </c>
      <c r="E681" s="28" t="s">
        <v>5796</v>
      </c>
      <c r="F681" s="28" t="s">
        <v>5630</v>
      </c>
      <c r="G681" s="28" t="s">
        <v>5797</v>
      </c>
      <c r="H681" s="27" t="s">
        <v>5715</v>
      </c>
      <c r="I681" s="28" t="s">
        <v>5734</v>
      </c>
      <c r="J681" s="27"/>
    </row>
    <row r="682" customFormat="false" ht="15" hidden="false" customHeight="true" outlineLevel="0" collapsed="false">
      <c r="A682" s="27" t="s">
        <v>3130</v>
      </c>
      <c r="B682" s="27" t="s">
        <v>538</v>
      </c>
      <c r="C682" s="28" t="s">
        <v>3131</v>
      </c>
      <c r="D682" s="28" t="s">
        <v>5795</v>
      </c>
      <c r="E682" s="28" t="s">
        <v>5796</v>
      </c>
      <c r="F682" s="28" t="s">
        <v>5630</v>
      </c>
      <c r="G682" s="28" t="s">
        <v>5797</v>
      </c>
      <c r="H682" s="27" t="s">
        <v>5715</v>
      </c>
      <c r="I682" s="28" t="s">
        <v>5734</v>
      </c>
      <c r="J682" s="27"/>
    </row>
    <row r="683" customFormat="false" ht="15" hidden="false" customHeight="true" outlineLevel="0" collapsed="false">
      <c r="A683" s="27" t="s">
        <v>3134</v>
      </c>
      <c r="B683" s="27" t="s">
        <v>538</v>
      </c>
      <c r="C683" s="28" t="s">
        <v>3135</v>
      </c>
      <c r="D683" s="28" t="s">
        <v>5800</v>
      </c>
      <c r="E683" s="28" t="s">
        <v>5796</v>
      </c>
      <c r="F683" s="28" t="s">
        <v>5630</v>
      </c>
      <c r="G683" s="28" t="s">
        <v>5797</v>
      </c>
      <c r="H683" s="27" t="s">
        <v>5715</v>
      </c>
      <c r="I683" s="28" t="s">
        <v>5734</v>
      </c>
      <c r="J683" s="27"/>
    </row>
    <row r="684" customFormat="false" ht="15" hidden="false" customHeight="true" outlineLevel="0" collapsed="false">
      <c r="A684" s="27" t="s">
        <v>3137</v>
      </c>
      <c r="B684" s="27" t="s">
        <v>538</v>
      </c>
      <c r="C684" s="28" t="s">
        <v>3138</v>
      </c>
      <c r="D684" s="28" t="s">
        <v>5798</v>
      </c>
      <c r="E684" s="28" t="s">
        <v>5796</v>
      </c>
      <c r="F684" s="28" t="s">
        <v>5630</v>
      </c>
      <c r="G684" s="28" t="s">
        <v>5797</v>
      </c>
      <c r="H684" s="27" t="s">
        <v>5715</v>
      </c>
      <c r="I684" s="28" t="s">
        <v>5734</v>
      </c>
      <c r="J684" s="27"/>
    </row>
    <row r="685" customFormat="false" ht="15" hidden="false" customHeight="true" outlineLevel="0" collapsed="false">
      <c r="A685" s="27" t="s">
        <v>3140</v>
      </c>
      <c r="B685" s="27" t="s">
        <v>538</v>
      </c>
      <c r="C685" s="28" t="s">
        <v>3141</v>
      </c>
      <c r="D685" s="28" t="s">
        <v>5798</v>
      </c>
      <c r="E685" s="28" t="s">
        <v>5796</v>
      </c>
      <c r="F685" s="28" t="s">
        <v>5630</v>
      </c>
      <c r="G685" s="28" t="s">
        <v>5797</v>
      </c>
      <c r="H685" s="27" t="s">
        <v>5715</v>
      </c>
      <c r="I685" s="28" t="s">
        <v>5734</v>
      </c>
      <c r="J685" s="27"/>
    </row>
    <row r="686" customFormat="false" ht="15" hidden="false" customHeight="true" outlineLevel="0" collapsed="false">
      <c r="A686" s="27" t="s">
        <v>3143</v>
      </c>
      <c r="B686" s="27" t="s">
        <v>538</v>
      </c>
      <c r="C686" s="28" t="s">
        <v>3144</v>
      </c>
      <c r="D686" s="28" t="s">
        <v>5801</v>
      </c>
      <c r="E686" s="28" t="s">
        <v>5796</v>
      </c>
      <c r="F686" s="28" t="s">
        <v>5630</v>
      </c>
      <c r="G686" s="28" t="s">
        <v>5797</v>
      </c>
      <c r="H686" s="27" t="s">
        <v>5715</v>
      </c>
      <c r="I686" s="28" t="s">
        <v>5734</v>
      </c>
      <c r="J686" s="27"/>
    </row>
    <row r="687" customFormat="false" ht="15" hidden="false" customHeight="true" outlineLevel="0" collapsed="false">
      <c r="A687" s="27" t="s">
        <v>3146</v>
      </c>
      <c r="B687" s="27" t="s">
        <v>538</v>
      </c>
      <c r="C687" s="28" t="s">
        <v>3147</v>
      </c>
      <c r="D687" s="28" t="s">
        <v>5795</v>
      </c>
      <c r="E687" s="28" t="s">
        <v>5796</v>
      </c>
      <c r="F687" s="28" t="s">
        <v>5630</v>
      </c>
      <c r="G687" s="28" t="s">
        <v>5797</v>
      </c>
      <c r="H687" s="27" t="s">
        <v>5715</v>
      </c>
      <c r="I687" s="28" t="s">
        <v>5734</v>
      </c>
      <c r="J687" s="27"/>
    </row>
    <row r="688" customFormat="false" ht="15" hidden="false" customHeight="true" outlineLevel="0" collapsed="false">
      <c r="A688" s="27" t="s">
        <v>3149</v>
      </c>
      <c r="B688" s="27" t="s">
        <v>538</v>
      </c>
      <c r="C688" s="28" t="s">
        <v>3150</v>
      </c>
      <c r="D688" s="28" t="s">
        <v>5795</v>
      </c>
      <c r="E688" s="28" t="s">
        <v>5796</v>
      </c>
      <c r="F688" s="28" t="s">
        <v>5630</v>
      </c>
      <c r="G688" s="28" t="s">
        <v>5797</v>
      </c>
      <c r="H688" s="27" t="s">
        <v>5715</v>
      </c>
      <c r="I688" s="28" t="s">
        <v>5734</v>
      </c>
      <c r="J688" s="27"/>
    </row>
    <row r="689" customFormat="false" ht="15" hidden="false" customHeight="true" outlineLevel="0" collapsed="false">
      <c r="A689" s="27" t="s">
        <v>3155</v>
      </c>
      <c r="B689" s="27" t="s">
        <v>538</v>
      </c>
      <c r="C689" s="28" t="s">
        <v>3156</v>
      </c>
      <c r="D689" s="28" t="s">
        <v>5800</v>
      </c>
      <c r="E689" s="28" t="s">
        <v>5796</v>
      </c>
      <c r="F689" s="28" t="s">
        <v>5630</v>
      </c>
      <c r="G689" s="28" t="s">
        <v>5797</v>
      </c>
      <c r="H689" s="27" t="s">
        <v>5715</v>
      </c>
      <c r="I689" s="28" t="s">
        <v>5734</v>
      </c>
      <c r="J689" s="27"/>
    </row>
    <row r="690" customFormat="false" ht="15" hidden="false" customHeight="true" outlineLevel="0" collapsed="false">
      <c r="A690" s="27" t="s">
        <v>3158</v>
      </c>
      <c r="B690" s="27" t="s">
        <v>538</v>
      </c>
      <c r="C690" s="28" t="s">
        <v>3159</v>
      </c>
      <c r="D690" s="28" t="s">
        <v>5800</v>
      </c>
      <c r="E690" s="28" t="s">
        <v>5796</v>
      </c>
      <c r="F690" s="28" t="s">
        <v>5630</v>
      </c>
      <c r="G690" s="28" t="s">
        <v>5797</v>
      </c>
      <c r="H690" s="27" t="s">
        <v>5715</v>
      </c>
      <c r="I690" s="28" t="s">
        <v>5734</v>
      </c>
      <c r="J690" s="27"/>
    </row>
    <row r="691" customFormat="false" ht="15" hidden="false" customHeight="true" outlineLevel="0" collapsed="false">
      <c r="A691" s="27" t="s">
        <v>3161</v>
      </c>
      <c r="B691" s="27" t="s">
        <v>538</v>
      </c>
      <c r="C691" s="28" t="s">
        <v>3162</v>
      </c>
      <c r="D691" s="28" t="s">
        <v>5801</v>
      </c>
      <c r="E691" s="28" t="s">
        <v>5796</v>
      </c>
      <c r="F691" s="28" t="s">
        <v>5630</v>
      </c>
      <c r="G691" s="28" t="s">
        <v>5797</v>
      </c>
      <c r="H691" s="27" t="s">
        <v>5715</v>
      </c>
      <c r="I691" s="28" t="s">
        <v>5734</v>
      </c>
      <c r="J691" s="27"/>
    </row>
    <row r="692" customFormat="false" ht="15" hidden="false" customHeight="true" outlineLevel="0" collapsed="false">
      <c r="A692" s="27" t="s">
        <v>3167</v>
      </c>
      <c r="B692" s="27" t="s">
        <v>538</v>
      </c>
      <c r="C692" s="28" t="s">
        <v>3168</v>
      </c>
      <c r="D692" s="28" t="s">
        <v>5802</v>
      </c>
      <c r="E692" s="28" t="s">
        <v>5639</v>
      </c>
      <c r="F692" s="28" t="s">
        <v>5640</v>
      </c>
      <c r="G692" s="28" t="s">
        <v>5797</v>
      </c>
      <c r="H692" s="27" t="s">
        <v>5715</v>
      </c>
      <c r="I692" s="28" t="s">
        <v>5734</v>
      </c>
      <c r="J692" s="27"/>
    </row>
    <row r="693" customFormat="false" ht="15" hidden="false" customHeight="true" outlineLevel="0" collapsed="false">
      <c r="A693" s="27" t="s">
        <v>3170</v>
      </c>
      <c r="B693" s="27" t="s">
        <v>538</v>
      </c>
      <c r="C693" s="28" t="s">
        <v>3171</v>
      </c>
      <c r="D693" s="28" t="s">
        <v>5802</v>
      </c>
      <c r="E693" s="28" t="s">
        <v>5639</v>
      </c>
      <c r="F693" s="28" t="s">
        <v>5640</v>
      </c>
      <c r="G693" s="28" t="s">
        <v>5797</v>
      </c>
      <c r="H693" s="27" t="s">
        <v>5715</v>
      </c>
      <c r="I693" s="28" t="s">
        <v>5734</v>
      </c>
      <c r="J693" s="27"/>
    </row>
    <row r="694" customFormat="false" ht="15" hidden="false" customHeight="true" outlineLevel="0" collapsed="false">
      <c r="A694" s="27" t="s">
        <v>3173</v>
      </c>
      <c r="B694" s="27" t="s">
        <v>538</v>
      </c>
      <c r="C694" s="28" t="s">
        <v>3174</v>
      </c>
      <c r="D694" s="28" t="s">
        <v>5802</v>
      </c>
      <c r="E694" s="28" t="s">
        <v>5639</v>
      </c>
      <c r="F694" s="28" t="s">
        <v>5640</v>
      </c>
      <c r="G694" s="28" t="s">
        <v>5797</v>
      </c>
      <c r="H694" s="27" t="s">
        <v>5715</v>
      </c>
      <c r="I694" s="28" t="s">
        <v>5734</v>
      </c>
      <c r="J694" s="27"/>
    </row>
    <row r="695" customFormat="false" ht="15" hidden="false" customHeight="true" outlineLevel="0" collapsed="false">
      <c r="A695" s="27" t="s">
        <v>3176</v>
      </c>
      <c r="B695" s="27" t="s">
        <v>538</v>
      </c>
      <c r="C695" s="28" t="s">
        <v>3177</v>
      </c>
      <c r="D695" s="28" t="s">
        <v>5798</v>
      </c>
      <c r="E695" s="28" t="s">
        <v>5796</v>
      </c>
      <c r="F695" s="28" t="s">
        <v>5630</v>
      </c>
      <c r="G695" s="28" t="s">
        <v>5797</v>
      </c>
      <c r="H695" s="27" t="s">
        <v>5715</v>
      </c>
      <c r="I695" s="28" t="s">
        <v>5734</v>
      </c>
      <c r="J695" s="27"/>
    </row>
    <row r="696" customFormat="false" ht="15" hidden="false" customHeight="true" outlineLevel="0" collapsed="false">
      <c r="A696" s="27" t="s">
        <v>3179</v>
      </c>
      <c r="B696" s="27" t="s">
        <v>538</v>
      </c>
      <c r="C696" s="28" t="s">
        <v>3180</v>
      </c>
      <c r="D696" s="28" t="s">
        <v>5792</v>
      </c>
      <c r="E696" s="28" t="s">
        <v>5793</v>
      </c>
      <c r="F696" s="28" t="s">
        <v>5640</v>
      </c>
      <c r="G696" s="28" t="s">
        <v>5797</v>
      </c>
      <c r="H696" s="27" t="s">
        <v>5715</v>
      </c>
      <c r="I696" s="28" t="s">
        <v>5734</v>
      </c>
      <c r="J696" s="27"/>
    </row>
    <row r="697" customFormat="false" ht="15" hidden="false" customHeight="true" outlineLevel="0" collapsed="false">
      <c r="A697" s="27" t="s">
        <v>3182</v>
      </c>
      <c r="B697" s="27" t="s">
        <v>538</v>
      </c>
      <c r="C697" s="28" t="s">
        <v>3183</v>
      </c>
      <c r="D697" s="28" t="s">
        <v>5762</v>
      </c>
      <c r="E697" s="28" t="s">
        <v>5763</v>
      </c>
      <c r="F697" s="28" t="s">
        <v>5640</v>
      </c>
      <c r="G697" s="28" t="s">
        <v>5797</v>
      </c>
      <c r="H697" s="27" t="s">
        <v>5715</v>
      </c>
      <c r="I697" s="28" t="s">
        <v>5734</v>
      </c>
      <c r="J697" s="27"/>
    </row>
    <row r="698" customFormat="false" ht="15" hidden="false" customHeight="true" outlineLevel="0" collapsed="false">
      <c r="A698" s="27" t="s">
        <v>3185</v>
      </c>
      <c r="B698" s="27" t="s">
        <v>538</v>
      </c>
      <c r="C698" s="28" t="s">
        <v>3186</v>
      </c>
      <c r="D698" s="28" t="s">
        <v>5802</v>
      </c>
      <c r="E698" s="28" t="s">
        <v>5639</v>
      </c>
      <c r="F698" s="28" t="s">
        <v>5640</v>
      </c>
      <c r="G698" s="28" t="s">
        <v>5797</v>
      </c>
      <c r="H698" s="27" t="s">
        <v>5715</v>
      </c>
      <c r="I698" s="28" t="s">
        <v>5734</v>
      </c>
      <c r="J698" s="27"/>
    </row>
    <row r="699" customFormat="false" ht="15" hidden="false" customHeight="true" outlineLevel="0" collapsed="false">
      <c r="A699" s="27" t="s">
        <v>3188</v>
      </c>
      <c r="B699" s="27" t="s">
        <v>538</v>
      </c>
      <c r="C699" s="28" t="s">
        <v>3189</v>
      </c>
      <c r="D699" s="28" t="s">
        <v>5802</v>
      </c>
      <c r="E699" s="28" t="s">
        <v>5639</v>
      </c>
      <c r="F699" s="28" t="s">
        <v>5640</v>
      </c>
      <c r="G699" s="28" t="s">
        <v>5797</v>
      </c>
      <c r="H699" s="27" t="s">
        <v>5715</v>
      </c>
      <c r="I699" s="28" t="s">
        <v>5734</v>
      </c>
      <c r="J699" s="27"/>
    </row>
    <row r="700" customFormat="false" ht="15" hidden="false" customHeight="true" outlineLevel="0" collapsed="false">
      <c r="A700" s="27" t="s">
        <v>3191</v>
      </c>
      <c r="B700" s="27" t="s">
        <v>538</v>
      </c>
      <c r="C700" s="28" t="s">
        <v>3192</v>
      </c>
      <c r="D700" s="28" t="s">
        <v>5802</v>
      </c>
      <c r="E700" s="28" t="s">
        <v>5639</v>
      </c>
      <c r="F700" s="28" t="s">
        <v>5640</v>
      </c>
      <c r="G700" s="28" t="s">
        <v>5797</v>
      </c>
      <c r="H700" s="27" t="s">
        <v>5715</v>
      </c>
      <c r="I700" s="28" t="s">
        <v>5734</v>
      </c>
      <c r="J700" s="27"/>
    </row>
    <row r="701" customFormat="false" ht="15" hidden="false" customHeight="true" outlineLevel="0" collapsed="false">
      <c r="A701" s="27" t="s">
        <v>3194</v>
      </c>
      <c r="B701" s="27" t="s">
        <v>538</v>
      </c>
      <c r="C701" s="28" t="s">
        <v>3195</v>
      </c>
      <c r="D701" s="28" t="s">
        <v>5802</v>
      </c>
      <c r="E701" s="28" t="s">
        <v>5639</v>
      </c>
      <c r="F701" s="28" t="s">
        <v>5640</v>
      </c>
      <c r="G701" s="28" t="s">
        <v>5797</v>
      </c>
      <c r="H701" s="27" t="s">
        <v>5715</v>
      </c>
      <c r="I701" s="28" t="s">
        <v>5734</v>
      </c>
      <c r="J701" s="27"/>
    </row>
    <row r="702" customFormat="false" ht="15" hidden="false" customHeight="true" outlineLevel="0" collapsed="false">
      <c r="A702" s="27" t="s">
        <v>3197</v>
      </c>
      <c r="B702" s="27" t="s">
        <v>538</v>
      </c>
      <c r="C702" s="28" t="s">
        <v>3198</v>
      </c>
      <c r="D702" s="28" t="s">
        <v>5802</v>
      </c>
      <c r="E702" s="28" t="s">
        <v>5639</v>
      </c>
      <c r="F702" s="28" t="s">
        <v>5640</v>
      </c>
      <c r="G702" s="28" t="s">
        <v>5797</v>
      </c>
      <c r="H702" s="27" t="s">
        <v>5715</v>
      </c>
      <c r="I702" s="28" t="s">
        <v>5734</v>
      </c>
      <c r="J702" s="27"/>
    </row>
    <row r="703" customFormat="false" ht="15" hidden="false" customHeight="true" outlineLevel="0" collapsed="false">
      <c r="A703" s="27" t="s">
        <v>3203</v>
      </c>
      <c r="B703" s="27" t="s">
        <v>538</v>
      </c>
      <c r="C703" s="28" t="s">
        <v>3204</v>
      </c>
      <c r="D703" s="28" t="s">
        <v>5802</v>
      </c>
      <c r="E703" s="28" t="s">
        <v>5639</v>
      </c>
      <c r="F703" s="28" t="s">
        <v>5640</v>
      </c>
      <c r="G703" s="28" t="s">
        <v>5797</v>
      </c>
      <c r="H703" s="27" t="s">
        <v>5715</v>
      </c>
      <c r="I703" s="28" t="s">
        <v>5734</v>
      </c>
      <c r="J703" s="27"/>
    </row>
    <row r="704" customFormat="false" ht="15" hidden="false" customHeight="true" outlineLevel="0" collapsed="false">
      <c r="A704" s="27" t="s">
        <v>3206</v>
      </c>
      <c r="B704" s="27" t="s">
        <v>538</v>
      </c>
      <c r="C704" s="28" t="s">
        <v>3207</v>
      </c>
      <c r="D704" s="28" t="s">
        <v>5802</v>
      </c>
      <c r="E704" s="28" t="s">
        <v>5639</v>
      </c>
      <c r="F704" s="28" t="s">
        <v>5640</v>
      </c>
      <c r="G704" s="28" t="s">
        <v>5797</v>
      </c>
      <c r="H704" s="27" t="s">
        <v>5715</v>
      </c>
      <c r="I704" s="28" t="s">
        <v>5734</v>
      </c>
      <c r="J704" s="27"/>
    </row>
    <row r="705" customFormat="false" ht="15" hidden="false" customHeight="true" outlineLevel="0" collapsed="false">
      <c r="A705" s="27" t="s">
        <v>3209</v>
      </c>
      <c r="B705" s="27" t="s">
        <v>538</v>
      </c>
      <c r="C705" s="28" t="s">
        <v>3210</v>
      </c>
      <c r="D705" s="28" t="s">
        <v>5802</v>
      </c>
      <c r="E705" s="28" t="s">
        <v>5639</v>
      </c>
      <c r="F705" s="28" t="s">
        <v>5640</v>
      </c>
      <c r="G705" s="28" t="s">
        <v>5797</v>
      </c>
      <c r="H705" s="27" t="s">
        <v>5715</v>
      </c>
      <c r="I705" s="28" t="s">
        <v>5734</v>
      </c>
      <c r="J705" s="27"/>
    </row>
    <row r="706" customFormat="false" ht="15" hidden="false" customHeight="true" outlineLevel="0" collapsed="false">
      <c r="A706" s="27" t="s">
        <v>3212</v>
      </c>
      <c r="B706" s="27" t="s">
        <v>538</v>
      </c>
      <c r="C706" s="28" t="s">
        <v>3213</v>
      </c>
      <c r="D706" s="28" t="s">
        <v>5802</v>
      </c>
      <c r="E706" s="28" t="s">
        <v>5639</v>
      </c>
      <c r="F706" s="28" t="s">
        <v>5640</v>
      </c>
      <c r="G706" s="28" t="s">
        <v>5797</v>
      </c>
      <c r="H706" s="27" t="s">
        <v>5715</v>
      </c>
      <c r="I706" s="28" t="s">
        <v>5734</v>
      </c>
      <c r="J706" s="27"/>
    </row>
    <row r="707" customFormat="false" ht="15" hidden="false" customHeight="true" outlineLevel="0" collapsed="false">
      <c r="A707" s="27" t="s">
        <v>3215</v>
      </c>
      <c r="B707" s="27" t="s">
        <v>538</v>
      </c>
      <c r="C707" s="28" t="s">
        <v>3216</v>
      </c>
      <c r="D707" s="28" t="s">
        <v>5802</v>
      </c>
      <c r="E707" s="28" t="s">
        <v>5639</v>
      </c>
      <c r="F707" s="28" t="s">
        <v>5640</v>
      </c>
      <c r="G707" s="28" t="s">
        <v>5797</v>
      </c>
      <c r="H707" s="27" t="s">
        <v>5715</v>
      </c>
      <c r="I707" s="28" t="s">
        <v>5734</v>
      </c>
      <c r="J707" s="27"/>
    </row>
    <row r="708" customFormat="false" ht="15" hidden="false" customHeight="true" outlineLevel="0" collapsed="false">
      <c r="A708" s="27" t="s">
        <v>3218</v>
      </c>
      <c r="B708" s="27" t="s">
        <v>538</v>
      </c>
      <c r="C708" s="28" t="s">
        <v>3219</v>
      </c>
      <c r="D708" s="28" t="s">
        <v>5795</v>
      </c>
      <c r="E708" s="28" t="s">
        <v>5796</v>
      </c>
      <c r="F708" s="28" t="s">
        <v>5630</v>
      </c>
      <c r="G708" s="28" t="s">
        <v>5797</v>
      </c>
      <c r="H708" s="27" t="s">
        <v>5715</v>
      </c>
      <c r="I708" s="28" t="s">
        <v>5734</v>
      </c>
      <c r="J708" s="27"/>
    </row>
    <row r="709" customFormat="false" ht="15" hidden="false" customHeight="true" outlineLevel="0" collapsed="false">
      <c r="A709" s="27" t="s">
        <v>3221</v>
      </c>
      <c r="B709" s="27" t="s">
        <v>538</v>
      </c>
      <c r="C709" s="28" t="s">
        <v>3222</v>
      </c>
      <c r="D709" s="28" t="s">
        <v>5795</v>
      </c>
      <c r="E709" s="28" t="s">
        <v>5796</v>
      </c>
      <c r="F709" s="28" t="s">
        <v>5630</v>
      </c>
      <c r="G709" s="28" t="s">
        <v>5797</v>
      </c>
      <c r="H709" s="27" t="s">
        <v>5715</v>
      </c>
      <c r="I709" s="28" t="s">
        <v>5734</v>
      </c>
      <c r="J709" s="27"/>
    </row>
    <row r="710" customFormat="false" ht="15" hidden="false" customHeight="true" outlineLevel="0" collapsed="false">
      <c r="A710" s="27" t="s">
        <v>3224</v>
      </c>
      <c r="B710" s="27" t="s">
        <v>538</v>
      </c>
      <c r="C710" s="28" t="s">
        <v>3225</v>
      </c>
      <c r="D710" s="28" t="s">
        <v>5795</v>
      </c>
      <c r="E710" s="28" t="s">
        <v>5796</v>
      </c>
      <c r="F710" s="28" t="s">
        <v>5630</v>
      </c>
      <c r="G710" s="28" t="s">
        <v>5797</v>
      </c>
      <c r="H710" s="27" t="s">
        <v>5715</v>
      </c>
      <c r="I710" s="28" t="s">
        <v>5734</v>
      </c>
      <c r="J710" s="27"/>
    </row>
    <row r="711" customFormat="false" ht="15" hidden="false" customHeight="true" outlineLevel="0" collapsed="false">
      <c r="A711" s="27" t="s">
        <v>3236</v>
      </c>
      <c r="B711" s="27" t="s">
        <v>538</v>
      </c>
      <c r="C711" s="28" t="s">
        <v>3237</v>
      </c>
      <c r="D711" s="28" t="s">
        <v>5799</v>
      </c>
      <c r="E711" s="28" t="s">
        <v>5639</v>
      </c>
      <c r="F711" s="28" t="s">
        <v>5640</v>
      </c>
      <c r="G711" s="28" t="s">
        <v>5797</v>
      </c>
      <c r="H711" s="27" t="s">
        <v>5715</v>
      </c>
      <c r="I711" s="28" t="s">
        <v>5734</v>
      </c>
      <c r="J711" s="27"/>
    </row>
    <row r="712" customFormat="false" ht="15" hidden="false" customHeight="true" outlineLevel="0" collapsed="false">
      <c r="A712" s="27" t="s">
        <v>3239</v>
      </c>
      <c r="B712" s="27" t="s">
        <v>538</v>
      </c>
      <c r="C712" s="28" t="s">
        <v>3240</v>
      </c>
      <c r="D712" s="28" t="s">
        <v>5792</v>
      </c>
      <c r="E712" s="28" t="s">
        <v>5793</v>
      </c>
      <c r="F712" s="28" t="s">
        <v>5640</v>
      </c>
      <c r="G712" s="28" t="s">
        <v>5797</v>
      </c>
      <c r="H712" s="27" t="s">
        <v>5715</v>
      </c>
      <c r="I712" s="28" t="s">
        <v>5734</v>
      </c>
      <c r="J712" s="27"/>
    </row>
    <row r="713" customFormat="false" ht="15" hidden="false" customHeight="true" outlineLevel="0" collapsed="false">
      <c r="A713" s="27" t="s">
        <v>3242</v>
      </c>
      <c r="B713" s="27" t="s">
        <v>538</v>
      </c>
      <c r="C713" s="28" t="s">
        <v>3243</v>
      </c>
      <c r="D713" s="28" t="s">
        <v>5792</v>
      </c>
      <c r="E713" s="28" t="s">
        <v>5793</v>
      </c>
      <c r="F713" s="28" t="s">
        <v>5640</v>
      </c>
      <c r="G713" s="28" t="s">
        <v>5797</v>
      </c>
      <c r="H713" s="27" t="s">
        <v>5715</v>
      </c>
      <c r="I713" s="28" t="s">
        <v>5734</v>
      </c>
      <c r="J713" s="27"/>
    </row>
    <row r="714" customFormat="false" ht="15" hidden="false" customHeight="true" outlineLevel="0" collapsed="false">
      <c r="A714" s="27" t="s">
        <v>3245</v>
      </c>
      <c r="B714" s="27" t="s">
        <v>538</v>
      </c>
      <c r="C714" s="28" t="s">
        <v>3246</v>
      </c>
      <c r="D714" s="28" t="s">
        <v>5800</v>
      </c>
      <c r="E714" s="28" t="s">
        <v>5796</v>
      </c>
      <c r="F714" s="28" t="s">
        <v>5630</v>
      </c>
      <c r="G714" s="28" t="s">
        <v>5797</v>
      </c>
      <c r="H714" s="27" t="s">
        <v>5715</v>
      </c>
      <c r="I714" s="28" t="s">
        <v>5734</v>
      </c>
      <c r="J714" s="27"/>
    </row>
    <row r="715" customFormat="false" ht="15" hidden="false" customHeight="true" outlineLevel="0" collapsed="false">
      <c r="A715" s="27" t="s">
        <v>3248</v>
      </c>
      <c r="B715" s="27" t="s">
        <v>538</v>
      </c>
      <c r="C715" s="28" t="s">
        <v>3249</v>
      </c>
      <c r="D715" s="28" t="s">
        <v>5800</v>
      </c>
      <c r="E715" s="28" t="s">
        <v>5796</v>
      </c>
      <c r="F715" s="28" t="s">
        <v>5630</v>
      </c>
      <c r="G715" s="28" t="s">
        <v>5797</v>
      </c>
      <c r="H715" s="27" t="s">
        <v>5715</v>
      </c>
      <c r="I715" s="28" t="s">
        <v>5734</v>
      </c>
      <c r="J715" s="27"/>
    </row>
    <row r="716" customFormat="false" ht="15" hidden="false" customHeight="true" outlineLevel="0" collapsed="false">
      <c r="A716" s="27" t="s">
        <v>3251</v>
      </c>
      <c r="B716" s="27" t="s">
        <v>538</v>
      </c>
      <c r="C716" s="28" t="s">
        <v>3252</v>
      </c>
      <c r="D716" s="28" t="s">
        <v>5795</v>
      </c>
      <c r="E716" s="28" t="s">
        <v>5796</v>
      </c>
      <c r="F716" s="28" t="s">
        <v>5630</v>
      </c>
      <c r="G716" s="28" t="s">
        <v>5797</v>
      </c>
      <c r="H716" s="27" t="s">
        <v>5715</v>
      </c>
      <c r="I716" s="28" t="s">
        <v>5734</v>
      </c>
      <c r="J716" s="27"/>
    </row>
    <row r="717" customFormat="false" ht="15" hidden="false" customHeight="true" outlineLevel="0" collapsed="false">
      <c r="A717" s="27" t="s">
        <v>3254</v>
      </c>
      <c r="B717" s="27" t="s">
        <v>538</v>
      </c>
      <c r="C717" s="28" t="s">
        <v>3255</v>
      </c>
      <c r="D717" s="28" t="s">
        <v>5795</v>
      </c>
      <c r="E717" s="28" t="s">
        <v>5796</v>
      </c>
      <c r="F717" s="28" t="s">
        <v>5630</v>
      </c>
      <c r="G717" s="28" t="s">
        <v>5797</v>
      </c>
      <c r="H717" s="27" t="s">
        <v>5715</v>
      </c>
      <c r="I717" s="28" t="s">
        <v>5734</v>
      </c>
      <c r="J717" s="27"/>
    </row>
    <row r="718" customFormat="false" ht="15" hidden="false" customHeight="true" outlineLevel="0" collapsed="false">
      <c r="A718" s="27" t="s">
        <v>3257</v>
      </c>
      <c r="B718" s="27" t="s">
        <v>538</v>
      </c>
      <c r="C718" s="28" t="s">
        <v>3258</v>
      </c>
      <c r="D718" s="28" t="s">
        <v>5795</v>
      </c>
      <c r="E718" s="28" t="s">
        <v>5796</v>
      </c>
      <c r="F718" s="28" t="s">
        <v>5630</v>
      </c>
      <c r="G718" s="28" t="s">
        <v>5797</v>
      </c>
      <c r="H718" s="27" t="s">
        <v>5715</v>
      </c>
      <c r="I718" s="28" t="s">
        <v>5734</v>
      </c>
      <c r="J718" s="27"/>
    </row>
    <row r="719" customFormat="false" ht="15" hidden="false" customHeight="true" outlineLevel="0" collapsed="false">
      <c r="A719" s="27" t="s">
        <v>3260</v>
      </c>
      <c r="B719" s="27" t="s">
        <v>538</v>
      </c>
      <c r="C719" s="28" t="s">
        <v>3261</v>
      </c>
      <c r="D719" s="28" t="s">
        <v>5795</v>
      </c>
      <c r="E719" s="28" t="s">
        <v>5796</v>
      </c>
      <c r="F719" s="28" t="s">
        <v>5630</v>
      </c>
      <c r="G719" s="28" t="s">
        <v>5797</v>
      </c>
      <c r="H719" s="27" t="s">
        <v>5715</v>
      </c>
      <c r="I719" s="28" t="s">
        <v>5734</v>
      </c>
      <c r="J719" s="27"/>
    </row>
    <row r="720" customFormat="false" ht="15" hidden="false" customHeight="true" outlineLevel="0" collapsed="false">
      <c r="A720" s="27" t="s">
        <v>3263</v>
      </c>
      <c r="B720" s="27" t="s">
        <v>538</v>
      </c>
      <c r="C720" s="28" t="s">
        <v>3264</v>
      </c>
      <c r="D720" s="28" t="s">
        <v>5795</v>
      </c>
      <c r="E720" s="28" t="s">
        <v>5796</v>
      </c>
      <c r="F720" s="28" t="s">
        <v>5630</v>
      </c>
      <c r="G720" s="28" t="s">
        <v>5797</v>
      </c>
      <c r="H720" s="27" t="s">
        <v>5715</v>
      </c>
      <c r="I720" s="28" t="s">
        <v>5734</v>
      </c>
      <c r="J720" s="27"/>
    </row>
    <row r="721" customFormat="false" ht="15" hidden="false" customHeight="true" outlineLevel="0" collapsed="false">
      <c r="A721" s="27" t="s">
        <v>3269</v>
      </c>
      <c r="B721" s="27" t="s">
        <v>538</v>
      </c>
      <c r="C721" s="28" t="s">
        <v>3270</v>
      </c>
      <c r="D721" s="28" t="s">
        <v>5795</v>
      </c>
      <c r="E721" s="28" t="s">
        <v>5796</v>
      </c>
      <c r="F721" s="28" t="s">
        <v>5630</v>
      </c>
      <c r="G721" s="28" t="s">
        <v>5797</v>
      </c>
      <c r="H721" s="27" t="s">
        <v>5715</v>
      </c>
      <c r="I721" s="28" t="s">
        <v>5734</v>
      </c>
      <c r="J721" s="27"/>
    </row>
    <row r="722" customFormat="false" ht="15" hidden="false" customHeight="true" outlineLevel="0" collapsed="false">
      <c r="A722" s="27" t="s">
        <v>3272</v>
      </c>
      <c r="B722" s="27" t="s">
        <v>538</v>
      </c>
      <c r="C722" s="28" t="s">
        <v>3273</v>
      </c>
      <c r="D722" s="28" t="s">
        <v>5795</v>
      </c>
      <c r="E722" s="28" t="s">
        <v>5796</v>
      </c>
      <c r="F722" s="28" t="s">
        <v>5630</v>
      </c>
      <c r="G722" s="28" t="s">
        <v>5797</v>
      </c>
      <c r="H722" s="27" t="s">
        <v>5715</v>
      </c>
      <c r="I722" s="28" t="s">
        <v>5734</v>
      </c>
      <c r="J722" s="27"/>
    </row>
    <row r="723" customFormat="false" ht="15" hidden="false" customHeight="true" outlineLevel="0" collapsed="false">
      <c r="A723" s="27" t="s">
        <v>3278</v>
      </c>
      <c r="B723" s="27" t="s">
        <v>538</v>
      </c>
      <c r="C723" s="28" t="s">
        <v>3279</v>
      </c>
      <c r="D723" s="28" t="s">
        <v>5795</v>
      </c>
      <c r="E723" s="28" t="s">
        <v>5796</v>
      </c>
      <c r="F723" s="28" t="s">
        <v>5630</v>
      </c>
      <c r="G723" s="28" t="s">
        <v>5797</v>
      </c>
      <c r="H723" s="27" t="s">
        <v>5715</v>
      </c>
      <c r="I723" s="28" t="s">
        <v>5734</v>
      </c>
      <c r="J723" s="27"/>
    </row>
    <row r="724" customFormat="false" ht="15" hidden="false" customHeight="true" outlineLevel="0" collapsed="false">
      <c r="A724" s="27" t="s">
        <v>3285</v>
      </c>
      <c r="B724" s="27" t="s">
        <v>538</v>
      </c>
      <c r="C724" s="28" t="s">
        <v>3286</v>
      </c>
      <c r="D724" s="28" t="s">
        <v>5798</v>
      </c>
      <c r="E724" s="28" t="s">
        <v>5796</v>
      </c>
      <c r="F724" s="28" t="s">
        <v>5630</v>
      </c>
      <c r="G724" s="28" t="s">
        <v>5797</v>
      </c>
      <c r="H724" s="27" t="s">
        <v>5715</v>
      </c>
      <c r="I724" s="28" t="s">
        <v>5734</v>
      </c>
      <c r="J724" s="27"/>
    </row>
    <row r="725" customFormat="false" ht="15" hidden="false" customHeight="true" outlineLevel="0" collapsed="false">
      <c r="A725" s="27" t="s">
        <v>3288</v>
      </c>
      <c r="B725" s="27" t="s">
        <v>538</v>
      </c>
      <c r="C725" s="28" t="s">
        <v>3289</v>
      </c>
      <c r="D725" s="28" t="s">
        <v>5795</v>
      </c>
      <c r="E725" s="28" t="s">
        <v>5796</v>
      </c>
      <c r="F725" s="28" t="s">
        <v>5630</v>
      </c>
      <c r="G725" s="28" t="s">
        <v>5797</v>
      </c>
      <c r="H725" s="27" t="s">
        <v>5715</v>
      </c>
      <c r="I725" s="28" t="s">
        <v>5734</v>
      </c>
      <c r="J725" s="27"/>
    </row>
    <row r="726" customFormat="false" ht="15" hidden="false" customHeight="true" outlineLevel="0" collapsed="false">
      <c r="A726" s="27" t="s">
        <v>3291</v>
      </c>
      <c r="B726" s="27" t="s">
        <v>538</v>
      </c>
      <c r="C726" s="28" t="s">
        <v>3292</v>
      </c>
      <c r="D726" s="28" t="s">
        <v>5795</v>
      </c>
      <c r="E726" s="28" t="s">
        <v>5796</v>
      </c>
      <c r="F726" s="28" t="s">
        <v>5630</v>
      </c>
      <c r="G726" s="28" t="s">
        <v>5797</v>
      </c>
      <c r="H726" s="27" t="s">
        <v>5715</v>
      </c>
      <c r="I726" s="28" t="s">
        <v>5734</v>
      </c>
      <c r="J726" s="27"/>
    </row>
    <row r="727" customFormat="false" ht="15" hidden="false" customHeight="true" outlineLevel="0" collapsed="false">
      <c r="A727" s="27" t="s">
        <v>3294</v>
      </c>
      <c r="B727" s="27" t="s">
        <v>538</v>
      </c>
      <c r="C727" s="28" t="s">
        <v>3295</v>
      </c>
      <c r="D727" s="28" t="s">
        <v>5803</v>
      </c>
      <c r="E727" s="28" t="s">
        <v>5796</v>
      </c>
      <c r="F727" s="28" t="s">
        <v>5630</v>
      </c>
      <c r="G727" s="28" t="s">
        <v>5797</v>
      </c>
      <c r="H727" s="27" t="s">
        <v>5715</v>
      </c>
      <c r="I727" s="28" t="s">
        <v>5734</v>
      </c>
      <c r="J727" s="27"/>
    </row>
    <row r="728" customFormat="false" ht="15" hidden="false" customHeight="true" outlineLevel="0" collapsed="false">
      <c r="A728" s="27" t="s">
        <v>3297</v>
      </c>
      <c r="B728" s="27" t="s">
        <v>538</v>
      </c>
      <c r="C728" s="28" t="s">
        <v>3298</v>
      </c>
      <c r="D728" s="28" t="s">
        <v>5795</v>
      </c>
      <c r="E728" s="28" t="s">
        <v>5796</v>
      </c>
      <c r="F728" s="28" t="s">
        <v>5630</v>
      </c>
      <c r="G728" s="28" t="s">
        <v>5797</v>
      </c>
      <c r="H728" s="27" t="s">
        <v>5715</v>
      </c>
      <c r="I728" s="28" t="s">
        <v>5734</v>
      </c>
      <c r="J728" s="27"/>
    </row>
    <row r="729" customFormat="false" ht="15" hidden="false" customHeight="true" outlineLevel="0" collapsed="false">
      <c r="A729" s="27" t="s">
        <v>3300</v>
      </c>
      <c r="B729" s="27" t="s">
        <v>538</v>
      </c>
      <c r="C729" s="28" t="s">
        <v>3301</v>
      </c>
      <c r="D729" s="28" t="s">
        <v>5795</v>
      </c>
      <c r="E729" s="28" t="s">
        <v>5796</v>
      </c>
      <c r="F729" s="28" t="s">
        <v>5630</v>
      </c>
      <c r="G729" s="28" t="s">
        <v>5797</v>
      </c>
      <c r="H729" s="27" t="s">
        <v>5715</v>
      </c>
      <c r="I729" s="28" t="s">
        <v>5734</v>
      </c>
      <c r="J729" s="27"/>
    </row>
    <row r="730" customFormat="false" ht="15" hidden="false" customHeight="true" outlineLevel="0" collapsed="false">
      <c r="A730" s="27" t="s">
        <v>3303</v>
      </c>
      <c r="B730" s="27" t="s">
        <v>538</v>
      </c>
      <c r="C730" s="28" t="s">
        <v>3304</v>
      </c>
      <c r="D730" s="28" t="s">
        <v>5795</v>
      </c>
      <c r="E730" s="28" t="s">
        <v>5796</v>
      </c>
      <c r="F730" s="28" t="s">
        <v>5630</v>
      </c>
      <c r="G730" s="28" t="s">
        <v>5797</v>
      </c>
      <c r="H730" s="27" t="s">
        <v>5715</v>
      </c>
      <c r="I730" s="28" t="s">
        <v>5734</v>
      </c>
      <c r="J730" s="27"/>
    </row>
    <row r="731" customFormat="false" ht="15" hidden="false" customHeight="true" outlineLevel="0" collapsed="false">
      <c r="A731" s="27" t="s">
        <v>3310</v>
      </c>
      <c r="B731" s="27" t="s">
        <v>538</v>
      </c>
      <c r="C731" s="28" t="s">
        <v>3311</v>
      </c>
      <c r="D731" s="28" t="s">
        <v>5795</v>
      </c>
      <c r="E731" s="28" t="s">
        <v>5796</v>
      </c>
      <c r="F731" s="28" t="s">
        <v>5630</v>
      </c>
      <c r="G731" s="28" t="s">
        <v>5797</v>
      </c>
      <c r="H731" s="27" t="s">
        <v>5715</v>
      </c>
      <c r="I731" s="28" t="s">
        <v>5734</v>
      </c>
      <c r="J731" s="27"/>
    </row>
    <row r="732" customFormat="false" ht="15" hidden="false" customHeight="true" outlineLevel="0" collapsed="false">
      <c r="A732" s="27" t="s">
        <v>3313</v>
      </c>
      <c r="B732" s="27" t="s">
        <v>538</v>
      </c>
      <c r="C732" s="28" t="s">
        <v>3314</v>
      </c>
      <c r="D732" s="28" t="s">
        <v>5795</v>
      </c>
      <c r="E732" s="28" t="s">
        <v>5796</v>
      </c>
      <c r="F732" s="28" t="s">
        <v>5630</v>
      </c>
      <c r="G732" s="28" t="s">
        <v>5797</v>
      </c>
      <c r="H732" s="27" t="s">
        <v>5715</v>
      </c>
      <c r="I732" s="28" t="s">
        <v>5734</v>
      </c>
      <c r="J732" s="27"/>
    </row>
    <row r="733" customFormat="false" ht="15" hidden="false" customHeight="true" outlineLevel="0" collapsed="false">
      <c r="A733" s="27" t="s">
        <v>3316</v>
      </c>
      <c r="B733" s="27" t="s">
        <v>538</v>
      </c>
      <c r="C733" s="28" t="s">
        <v>3317</v>
      </c>
      <c r="D733" s="28" t="s">
        <v>5795</v>
      </c>
      <c r="E733" s="28" t="s">
        <v>5796</v>
      </c>
      <c r="F733" s="28" t="s">
        <v>5630</v>
      </c>
      <c r="G733" s="28" t="s">
        <v>5797</v>
      </c>
      <c r="H733" s="27" t="s">
        <v>5715</v>
      </c>
      <c r="I733" s="28" t="s">
        <v>5734</v>
      </c>
      <c r="J733" s="27"/>
    </row>
    <row r="734" customFormat="false" ht="15" hidden="false" customHeight="true" outlineLevel="0" collapsed="false">
      <c r="A734" s="27" t="s">
        <v>3325</v>
      </c>
      <c r="B734" s="27" t="s">
        <v>538</v>
      </c>
      <c r="C734" s="28" t="s">
        <v>3326</v>
      </c>
      <c r="D734" s="28" t="s">
        <v>5801</v>
      </c>
      <c r="E734" s="28" t="s">
        <v>5796</v>
      </c>
      <c r="F734" s="28" t="s">
        <v>5630</v>
      </c>
      <c r="G734" s="28" t="s">
        <v>5797</v>
      </c>
      <c r="H734" s="27" t="s">
        <v>5715</v>
      </c>
      <c r="I734" s="28" t="s">
        <v>5734</v>
      </c>
      <c r="J734" s="27"/>
    </row>
    <row r="735" customFormat="false" ht="15" hidden="false" customHeight="true" outlineLevel="0" collapsed="false">
      <c r="A735" s="27" t="s">
        <v>3328</v>
      </c>
      <c r="B735" s="27" t="s">
        <v>538</v>
      </c>
      <c r="C735" s="28" t="s">
        <v>3329</v>
      </c>
      <c r="D735" s="28" t="s">
        <v>5795</v>
      </c>
      <c r="E735" s="28" t="s">
        <v>5796</v>
      </c>
      <c r="F735" s="28" t="s">
        <v>5630</v>
      </c>
      <c r="G735" s="28" t="s">
        <v>5797</v>
      </c>
      <c r="H735" s="27" t="s">
        <v>5715</v>
      </c>
      <c r="I735" s="28" t="s">
        <v>5734</v>
      </c>
      <c r="J735" s="27"/>
    </row>
    <row r="736" customFormat="false" ht="15" hidden="false" customHeight="true" outlineLevel="0" collapsed="false">
      <c r="A736" s="27" t="s">
        <v>3331</v>
      </c>
      <c r="B736" s="27" t="s">
        <v>538</v>
      </c>
      <c r="C736" s="28" t="s">
        <v>3332</v>
      </c>
      <c r="D736" s="28" t="s">
        <v>5795</v>
      </c>
      <c r="E736" s="28" t="s">
        <v>5796</v>
      </c>
      <c r="F736" s="28" t="s">
        <v>5630</v>
      </c>
      <c r="G736" s="28" t="s">
        <v>5797</v>
      </c>
      <c r="H736" s="27" t="s">
        <v>5715</v>
      </c>
      <c r="I736" s="28" t="s">
        <v>5734</v>
      </c>
      <c r="J736" s="27"/>
    </row>
    <row r="737" customFormat="false" ht="15" hidden="false" customHeight="true" outlineLevel="0" collapsed="false">
      <c r="A737" s="27" t="s">
        <v>3334</v>
      </c>
      <c r="B737" s="27" t="s">
        <v>538</v>
      </c>
      <c r="C737" s="28" t="s">
        <v>3335</v>
      </c>
      <c r="D737" s="28" t="s">
        <v>5795</v>
      </c>
      <c r="E737" s="28" t="s">
        <v>5796</v>
      </c>
      <c r="F737" s="28" t="s">
        <v>5630</v>
      </c>
      <c r="G737" s="28" t="s">
        <v>5797</v>
      </c>
      <c r="H737" s="27" t="s">
        <v>5715</v>
      </c>
      <c r="I737" s="28" t="s">
        <v>5734</v>
      </c>
      <c r="J737" s="27"/>
    </row>
    <row r="738" customFormat="false" ht="15" hidden="false" customHeight="true" outlineLevel="0" collapsed="false">
      <c r="A738" s="27" t="s">
        <v>3349</v>
      </c>
      <c r="B738" s="27" t="s">
        <v>538</v>
      </c>
      <c r="C738" s="28" t="s">
        <v>3350</v>
      </c>
      <c r="D738" s="28" t="s">
        <v>5800</v>
      </c>
      <c r="E738" s="28" t="s">
        <v>5796</v>
      </c>
      <c r="F738" s="28" t="s">
        <v>5630</v>
      </c>
      <c r="G738" s="28" t="s">
        <v>5797</v>
      </c>
      <c r="H738" s="27" t="s">
        <v>5715</v>
      </c>
      <c r="I738" s="28" t="s">
        <v>5734</v>
      </c>
      <c r="J738" s="27"/>
    </row>
    <row r="739" customFormat="false" ht="15" hidden="false" customHeight="true" outlineLevel="0" collapsed="false">
      <c r="A739" s="27" t="s">
        <v>3352</v>
      </c>
      <c r="B739" s="27" t="s">
        <v>538</v>
      </c>
      <c r="C739" s="28" t="s">
        <v>3353</v>
      </c>
      <c r="D739" s="28" t="s">
        <v>5800</v>
      </c>
      <c r="E739" s="28" t="s">
        <v>5796</v>
      </c>
      <c r="F739" s="28" t="s">
        <v>5630</v>
      </c>
      <c r="G739" s="28" t="s">
        <v>5797</v>
      </c>
      <c r="H739" s="27" t="s">
        <v>5715</v>
      </c>
      <c r="I739" s="28" t="s">
        <v>5734</v>
      </c>
      <c r="J739" s="27"/>
    </row>
    <row r="740" customFormat="false" ht="15" hidden="false" customHeight="true" outlineLevel="0" collapsed="false">
      <c r="A740" s="27" t="s">
        <v>3355</v>
      </c>
      <c r="B740" s="27" t="s">
        <v>538</v>
      </c>
      <c r="C740" s="28" t="s">
        <v>3356</v>
      </c>
      <c r="D740" s="28" t="s">
        <v>5795</v>
      </c>
      <c r="E740" s="28" t="s">
        <v>5796</v>
      </c>
      <c r="F740" s="28" t="s">
        <v>5630</v>
      </c>
      <c r="G740" s="28" t="s">
        <v>5797</v>
      </c>
      <c r="H740" s="27" t="s">
        <v>5715</v>
      </c>
      <c r="I740" s="28" t="s">
        <v>5734</v>
      </c>
      <c r="J740" s="27"/>
    </row>
    <row r="741" customFormat="false" ht="15" hidden="false" customHeight="true" outlineLevel="0" collapsed="false">
      <c r="A741" s="27" t="s">
        <v>3358</v>
      </c>
      <c r="B741" s="27" t="s">
        <v>538</v>
      </c>
      <c r="C741" s="28" t="s">
        <v>3359</v>
      </c>
      <c r="D741" s="28" t="s">
        <v>5795</v>
      </c>
      <c r="E741" s="28" t="s">
        <v>5796</v>
      </c>
      <c r="F741" s="28" t="s">
        <v>5630</v>
      </c>
      <c r="G741" s="28" t="s">
        <v>5797</v>
      </c>
      <c r="H741" s="27" t="s">
        <v>5715</v>
      </c>
      <c r="I741" s="28" t="s">
        <v>5734</v>
      </c>
      <c r="J741" s="27"/>
    </row>
    <row r="742" customFormat="false" ht="15" hidden="false" customHeight="true" outlineLevel="0" collapsed="false">
      <c r="A742" s="27" t="s">
        <v>3361</v>
      </c>
      <c r="B742" s="27" t="s">
        <v>538</v>
      </c>
      <c r="C742" s="28" t="s">
        <v>3362</v>
      </c>
      <c r="D742" s="28" t="s">
        <v>5795</v>
      </c>
      <c r="E742" s="28" t="s">
        <v>5796</v>
      </c>
      <c r="F742" s="28" t="s">
        <v>5630</v>
      </c>
      <c r="G742" s="28" t="s">
        <v>5797</v>
      </c>
      <c r="H742" s="27" t="s">
        <v>5715</v>
      </c>
      <c r="I742" s="28" t="s">
        <v>5734</v>
      </c>
      <c r="J742" s="27"/>
    </row>
    <row r="743" customFormat="false" ht="15" hidden="false" customHeight="true" outlineLevel="0" collapsed="false">
      <c r="A743" s="27" t="s">
        <v>3364</v>
      </c>
      <c r="B743" s="27" t="s">
        <v>538</v>
      </c>
      <c r="C743" s="28" t="s">
        <v>3365</v>
      </c>
      <c r="D743" s="28" t="s">
        <v>5795</v>
      </c>
      <c r="E743" s="28" t="s">
        <v>5796</v>
      </c>
      <c r="F743" s="28" t="s">
        <v>5630</v>
      </c>
      <c r="G743" s="28" t="s">
        <v>5797</v>
      </c>
      <c r="H743" s="27" t="s">
        <v>5715</v>
      </c>
      <c r="I743" s="28" t="s">
        <v>5734</v>
      </c>
      <c r="J743" s="27"/>
    </row>
    <row r="744" customFormat="false" ht="15" hidden="false" customHeight="true" outlineLevel="0" collapsed="false">
      <c r="A744" s="27" t="s">
        <v>3367</v>
      </c>
      <c r="B744" s="27" t="s">
        <v>538</v>
      </c>
      <c r="C744" s="28" t="s">
        <v>3368</v>
      </c>
      <c r="D744" s="28" t="s">
        <v>5795</v>
      </c>
      <c r="E744" s="28" t="s">
        <v>5796</v>
      </c>
      <c r="F744" s="28" t="s">
        <v>5630</v>
      </c>
      <c r="G744" s="28" t="s">
        <v>5797</v>
      </c>
      <c r="H744" s="27" t="s">
        <v>5715</v>
      </c>
      <c r="I744" s="28" t="s">
        <v>5734</v>
      </c>
      <c r="J744" s="27"/>
    </row>
    <row r="745" customFormat="false" ht="15" hidden="false" customHeight="true" outlineLevel="0" collapsed="false">
      <c r="A745" s="27" t="s">
        <v>3370</v>
      </c>
      <c r="B745" s="27" t="s">
        <v>538</v>
      </c>
      <c r="C745" s="28" t="s">
        <v>3371</v>
      </c>
      <c r="D745" s="28" t="s">
        <v>5795</v>
      </c>
      <c r="E745" s="28" t="s">
        <v>5796</v>
      </c>
      <c r="F745" s="28" t="s">
        <v>5630</v>
      </c>
      <c r="G745" s="28" t="s">
        <v>5797</v>
      </c>
      <c r="H745" s="27" t="s">
        <v>5715</v>
      </c>
      <c r="I745" s="28" t="s">
        <v>5734</v>
      </c>
      <c r="J745" s="27"/>
    </row>
    <row r="746" customFormat="false" ht="15" hidden="false" customHeight="true" outlineLevel="0" collapsed="false">
      <c r="A746" s="27" t="s">
        <v>3373</v>
      </c>
      <c r="B746" s="27" t="s">
        <v>538</v>
      </c>
      <c r="C746" s="28" t="s">
        <v>3374</v>
      </c>
      <c r="D746" s="28" t="s">
        <v>5795</v>
      </c>
      <c r="E746" s="28" t="s">
        <v>5796</v>
      </c>
      <c r="F746" s="28" t="s">
        <v>5630</v>
      </c>
      <c r="G746" s="28" t="s">
        <v>5797</v>
      </c>
      <c r="H746" s="27" t="s">
        <v>5715</v>
      </c>
      <c r="I746" s="28" t="s">
        <v>5734</v>
      </c>
      <c r="J746" s="27"/>
    </row>
    <row r="747" customFormat="false" ht="15" hidden="false" customHeight="true" outlineLevel="0" collapsed="false">
      <c r="A747" s="27" t="s">
        <v>3376</v>
      </c>
      <c r="B747" s="27" t="s">
        <v>538</v>
      </c>
      <c r="C747" s="28" t="s">
        <v>3377</v>
      </c>
      <c r="D747" s="28" t="s">
        <v>5792</v>
      </c>
      <c r="E747" s="28" t="s">
        <v>5793</v>
      </c>
      <c r="F747" s="28" t="s">
        <v>5640</v>
      </c>
      <c r="G747" s="28" t="s">
        <v>5797</v>
      </c>
      <c r="H747" s="27" t="s">
        <v>5715</v>
      </c>
      <c r="I747" s="28" t="s">
        <v>5734</v>
      </c>
      <c r="J747" s="27"/>
    </row>
    <row r="748" customFormat="false" ht="15" hidden="false" customHeight="true" outlineLevel="0" collapsed="false">
      <c r="A748" s="27" t="s">
        <v>3379</v>
      </c>
      <c r="B748" s="27" t="s">
        <v>538</v>
      </c>
      <c r="C748" s="28" t="s">
        <v>3380</v>
      </c>
      <c r="D748" s="28" t="s">
        <v>5792</v>
      </c>
      <c r="E748" s="28" t="s">
        <v>5793</v>
      </c>
      <c r="F748" s="28" t="s">
        <v>5640</v>
      </c>
      <c r="G748" s="28" t="s">
        <v>5797</v>
      </c>
      <c r="H748" s="27" t="s">
        <v>5715</v>
      </c>
      <c r="I748" s="28" t="s">
        <v>5734</v>
      </c>
      <c r="J748" s="27"/>
    </row>
    <row r="749" customFormat="false" ht="15" hidden="false" customHeight="true" outlineLevel="0" collapsed="false">
      <c r="A749" s="27" t="s">
        <v>3382</v>
      </c>
      <c r="B749" s="27" t="s">
        <v>538</v>
      </c>
      <c r="C749" s="28" t="s">
        <v>3383</v>
      </c>
      <c r="D749" s="28" t="s">
        <v>5802</v>
      </c>
      <c r="E749" s="28" t="s">
        <v>5639</v>
      </c>
      <c r="F749" s="28" t="s">
        <v>5640</v>
      </c>
      <c r="G749" s="28" t="s">
        <v>5797</v>
      </c>
      <c r="H749" s="27" t="s">
        <v>5715</v>
      </c>
      <c r="I749" s="28" t="s">
        <v>5734</v>
      </c>
      <c r="J749" s="27"/>
    </row>
    <row r="750" customFormat="false" ht="15" hidden="false" customHeight="true" outlineLevel="0" collapsed="false">
      <c r="A750" s="27" t="s">
        <v>3385</v>
      </c>
      <c r="B750" s="27" t="s">
        <v>538</v>
      </c>
      <c r="C750" s="28" t="s">
        <v>3386</v>
      </c>
      <c r="D750" s="28" t="s">
        <v>5802</v>
      </c>
      <c r="E750" s="28" t="s">
        <v>5639</v>
      </c>
      <c r="F750" s="28" t="s">
        <v>5640</v>
      </c>
      <c r="G750" s="28" t="s">
        <v>5797</v>
      </c>
      <c r="H750" s="27" t="s">
        <v>5715</v>
      </c>
      <c r="I750" s="28" t="s">
        <v>5734</v>
      </c>
      <c r="J750" s="27"/>
    </row>
    <row r="751" customFormat="false" ht="15" hidden="false" customHeight="true" outlineLevel="0" collapsed="false">
      <c r="A751" s="27" t="s">
        <v>3388</v>
      </c>
      <c r="B751" s="27" t="s">
        <v>538</v>
      </c>
      <c r="C751" s="28" t="s">
        <v>3389</v>
      </c>
      <c r="D751" s="28" t="s">
        <v>5795</v>
      </c>
      <c r="E751" s="28" t="s">
        <v>5796</v>
      </c>
      <c r="F751" s="28" t="s">
        <v>5630</v>
      </c>
      <c r="G751" s="28" t="s">
        <v>5797</v>
      </c>
      <c r="H751" s="27" t="s">
        <v>5715</v>
      </c>
      <c r="I751" s="28" t="s">
        <v>5734</v>
      </c>
      <c r="J751" s="27"/>
    </row>
    <row r="752" customFormat="false" ht="15" hidden="false" customHeight="true" outlineLevel="0" collapsed="false">
      <c r="A752" s="27" t="s">
        <v>3391</v>
      </c>
      <c r="B752" s="27" t="s">
        <v>538</v>
      </c>
      <c r="C752" s="28" t="s">
        <v>3392</v>
      </c>
      <c r="D752" s="28" t="s">
        <v>5795</v>
      </c>
      <c r="E752" s="28" t="s">
        <v>5796</v>
      </c>
      <c r="F752" s="28" t="s">
        <v>5630</v>
      </c>
      <c r="G752" s="28" t="s">
        <v>5797</v>
      </c>
      <c r="H752" s="27" t="s">
        <v>5715</v>
      </c>
      <c r="I752" s="28" t="s">
        <v>5734</v>
      </c>
      <c r="J752" s="27"/>
    </row>
    <row r="753" customFormat="false" ht="15" hidden="false" customHeight="true" outlineLevel="0" collapsed="false">
      <c r="A753" s="27" t="s">
        <v>3394</v>
      </c>
      <c r="B753" s="27" t="s">
        <v>538</v>
      </c>
      <c r="C753" s="28" t="s">
        <v>3395</v>
      </c>
      <c r="D753" s="28" t="s">
        <v>5795</v>
      </c>
      <c r="E753" s="28" t="s">
        <v>5796</v>
      </c>
      <c r="F753" s="28" t="s">
        <v>5630</v>
      </c>
      <c r="G753" s="28" t="s">
        <v>5797</v>
      </c>
      <c r="H753" s="27" t="s">
        <v>5715</v>
      </c>
      <c r="I753" s="28" t="s">
        <v>5734</v>
      </c>
      <c r="J753" s="27"/>
    </row>
    <row r="754" customFormat="false" ht="15" hidden="false" customHeight="true" outlineLevel="0" collapsed="false">
      <c r="A754" s="27" t="s">
        <v>3397</v>
      </c>
      <c r="B754" s="27" t="s">
        <v>538</v>
      </c>
      <c r="C754" s="28" t="s">
        <v>3398</v>
      </c>
      <c r="D754" s="28" t="s">
        <v>5795</v>
      </c>
      <c r="E754" s="28" t="s">
        <v>5796</v>
      </c>
      <c r="F754" s="28" t="s">
        <v>5630</v>
      </c>
      <c r="G754" s="28" t="s">
        <v>5797</v>
      </c>
      <c r="H754" s="27" t="s">
        <v>5715</v>
      </c>
      <c r="I754" s="28" t="s">
        <v>5734</v>
      </c>
      <c r="J754" s="27"/>
    </row>
    <row r="755" customFormat="false" ht="15" hidden="false" customHeight="true" outlineLevel="0" collapsed="false">
      <c r="A755" s="27" t="s">
        <v>3400</v>
      </c>
      <c r="B755" s="27" t="s">
        <v>538</v>
      </c>
      <c r="C755" s="28" t="s">
        <v>3401</v>
      </c>
      <c r="D755" s="28" t="s">
        <v>5795</v>
      </c>
      <c r="E755" s="28" t="s">
        <v>5796</v>
      </c>
      <c r="F755" s="28" t="s">
        <v>5630</v>
      </c>
      <c r="G755" s="28" t="s">
        <v>5797</v>
      </c>
      <c r="H755" s="27" t="s">
        <v>5715</v>
      </c>
      <c r="I755" s="28" t="s">
        <v>5734</v>
      </c>
      <c r="J755" s="27"/>
    </row>
    <row r="756" customFormat="false" ht="15" hidden="false" customHeight="true" outlineLevel="0" collapsed="false">
      <c r="A756" s="27" t="s">
        <v>3406</v>
      </c>
      <c r="B756" s="27" t="s">
        <v>538</v>
      </c>
      <c r="C756" s="28" t="s">
        <v>3407</v>
      </c>
      <c r="D756" s="28" t="s">
        <v>5795</v>
      </c>
      <c r="E756" s="28" t="s">
        <v>5796</v>
      </c>
      <c r="F756" s="28" t="s">
        <v>5630</v>
      </c>
      <c r="G756" s="28" t="s">
        <v>5797</v>
      </c>
      <c r="H756" s="27" t="s">
        <v>5715</v>
      </c>
      <c r="I756" s="28" t="s">
        <v>5734</v>
      </c>
      <c r="J756" s="27"/>
    </row>
    <row r="757" customFormat="false" ht="15" hidden="false" customHeight="true" outlineLevel="0" collapsed="false">
      <c r="A757" s="27" t="s">
        <v>3409</v>
      </c>
      <c r="B757" s="27" t="s">
        <v>538</v>
      </c>
      <c r="C757" s="28" t="s">
        <v>3410</v>
      </c>
      <c r="D757" s="28" t="s">
        <v>5795</v>
      </c>
      <c r="E757" s="28" t="s">
        <v>5796</v>
      </c>
      <c r="F757" s="28" t="s">
        <v>5630</v>
      </c>
      <c r="G757" s="28" t="s">
        <v>5797</v>
      </c>
      <c r="H757" s="27" t="s">
        <v>5715</v>
      </c>
      <c r="I757" s="28" t="s">
        <v>5734</v>
      </c>
      <c r="J757" s="27"/>
    </row>
    <row r="758" customFormat="false" ht="15" hidden="false" customHeight="true" outlineLevel="0" collapsed="false">
      <c r="A758" s="27" t="s">
        <v>3419</v>
      </c>
      <c r="B758" s="27" t="s">
        <v>538</v>
      </c>
      <c r="C758" s="28" t="s">
        <v>3420</v>
      </c>
      <c r="D758" s="28" t="s">
        <v>5795</v>
      </c>
      <c r="E758" s="28" t="s">
        <v>5796</v>
      </c>
      <c r="F758" s="28" t="s">
        <v>5630</v>
      </c>
      <c r="G758" s="28" t="s">
        <v>5797</v>
      </c>
      <c r="H758" s="27" t="s">
        <v>5715</v>
      </c>
      <c r="I758" s="28" t="s">
        <v>5734</v>
      </c>
      <c r="J758" s="27"/>
    </row>
    <row r="759" customFormat="false" ht="15" hidden="false" customHeight="true" outlineLevel="0" collapsed="false">
      <c r="A759" s="27" t="s">
        <v>3422</v>
      </c>
      <c r="B759" s="27" t="s">
        <v>538</v>
      </c>
      <c r="C759" s="28" t="s">
        <v>3423</v>
      </c>
      <c r="D759" s="28" t="s">
        <v>5792</v>
      </c>
      <c r="E759" s="28" t="s">
        <v>5793</v>
      </c>
      <c r="F759" s="28" t="s">
        <v>5640</v>
      </c>
      <c r="G759" s="28" t="s">
        <v>5797</v>
      </c>
      <c r="H759" s="27" t="s">
        <v>5715</v>
      </c>
      <c r="I759" s="28" t="s">
        <v>5734</v>
      </c>
      <c r="J759" s="27"/>
    </row>
    <row r="760" customFormat="false" ht="15" hidden="false" customHeight="true" outlineLevel="0" collapsed="false">
      <c r="A760" s="27" t="s">
        <v>3425</v>
      </c>
      <c r="B760" s="27" t="s">
        <v>538</v>
      </c>
      <c r="C760" s="28" t="s">
        <v>3426</v>
      </c>
      <c r="D760" s="28" t="s">
        <v>5795</v>
      </c>
      <c r="E760" s="28" t="s">
        <v>5796</v>
      </c>
      <c r="F760" s="28" t="s">
        <v>5630</v>
      </c>
      <c r="G760" s="28" t="s">
        <v>5797</v>
      </c>
      <c r="H760" s="27" t="s">
        <v>5715</v>
      </c>
      <c r="I760" s="28" t="s">
        <v>5734</v>
      </c>
      <c r="J760" s="27"/>
    </row>
    <row r="761" customFormat="false" ht="15" hidden="false" customHeight="true" outlineLevel="0" collapsed="false">
      <c r="A761" s="27" t="s">
        <v>3428</v>
      </c>
      <c r="B761" s="27" t="s">
        <v>538</v>
      </c>
      <c r="C761" s="28" t="s">
        <v>3429</v>
      </c>
      <c r="D761" s="28" t="s">
        <v>5802</v>
      </c>
      <c r="E761" s="28" t="s">
        <v>5639</v>
      </c>
      <c r="F761" s="28" t="s">
        <v>5640</v>
      </c>
      <c r="G761" s="28" t="s">
        <v>5797</v>
      </c>
      <c r="H761" s="27" t="s">
        <v>5715</v>
      </c>
      <c r="I761" s="28" t="s">
        <v>5734</v>
      </c>
      <c r="J761" s="27"/>
    </row>
    <row r="762" customFormat="false" ht="15" hidden="false" customHeight="true" outlineLevel="0" collapsed="false">
      <c r="A762" s="27" t="s">
        <v>3431</v>
      </c>
      <c r="B762" s="27" t="s">
        <v>538</v>
      </c>
      <c r="C762" s="28" t="s">
        <v>3432</v>
      </c>
      <c r="D762" s="28" t="s">
        <v>5792</v>
      </c>
      <c r="E762" s="28" t="s">
        <v>5793</v>
      </c>
      <c r="F762" s="28" t="s">
        <v>5640</v>
      </c>
      <c r="G762" s="28" t="s">
        <v>5797</v>
      </c>
      <c r="H762" s="27" t="s">
        <v>5715</v>
      </c>
      <c r="I762" s="28" t="s">
        <v>5734</v>
      </c>
      <c r="J762" s="27"/>
    </row>
    <row r="763" customFormat="false" ht="15" hidden="false" customHeight="true" outlineLevel="0" collapsed="false">
      <c r="A763" s="27" t="s">
        <v>3434</v>
      </c>
      <c r="B763" s="27" t="s">
        <v>538</v>
      </c>
      <c r="C763" s="28" t="s">
        <v>3435</v>
      </c>
      <c r="D763" s="28" t="s">
        <v>5792</v>
      </c>
      <c r="E763" s="28" t="s">
        <v>5793</v>
      </c>
      <c r="F763" s="28" t="s">
        <v>5640</v>
      </c>
      <c r="G763" s="28" t="s">
        <v>5797</v>
      </c>
      <c r="H763" s="27" t="s">
        <v>5715</v>
      </c>
      <c r="I763" s="28" t="s">
        <v>5734</v>
      </c>
      <c r="J763" s="27"/>
    </row>
    <row r="764" customFormat="false" ht="15" hidden="false" customHeight="true" outlineLevel="0" collapsed="false">
      <c r="A764" s="27" t="s">
        <v>3438</v>
      </c>
      <c r="B764" s="27" t="s">
        <v>538</v>
      </c>
      <c r="C764" s="28" t="s">
        <v>3439</v>
      </c>
      <c r="D764" s="28" t="s">
        <v>5792</v>
      </c>
      <c r="E764" s="28" t="s">
        <v>5793</v>
      </c>
      <c r="F764" s="28" t="s">
        <v>5640</v>
      </c>
      <c r="G764" s="28" t="s">
        <v>5797</v>
      </c>
      <c r="H764" s="27" t="s">
        <v>5715</v>
      </c>
      <c r="I764" s="28" t="s">
        <v>5734</v>
      </c>
      <c r="J764" s="27"/>
    </row>
    <row r="765" customFormat="false" ht="15" hidden="false" customHeight="true" outlineLevel="0" collapsed="false">
      <c r="A765" s="27" t="s">
        <v>3445</v>
      </c>
      <c r="B765" s="27" t="s">
        <v>538</v>
      </c>
      <c r="C765" s="28" t="s">
        <v>3446</v>
      </c>
      <c r="D765" s="28" t="s">
        <v>5795</v>
      </c>
      <c r="E765" s="28" t="s">
        <v>5796</v>
      </c>
      <c r="F765" s="28" t="s">
        <v>5630</v>
      </c>
      <c r="G765" s="28" t="s">
        <v>5797</v>
      </c>
      <c r="H765" s="27" t="s">
        <v>5715</v>
      </c>
      <c r="I765" s="28" t="s">
        <v>5734</v>
      </c>
      <c r="J765" s="27"/>
    </row>
    <row r="766" customFormat="false" ht="15" hidden="false" customHeight="true" outlineLevel="0" collapsed="false">
      <c r="A766" s="27" t="s">
        <v>3448</v>
      </c>
      <c r="B766" s="27" t="s">
        <v>538</v>
      </c>
      <c r="C766" s="28" t="s">
        <v>3449</v>
      </c>
      <c r="D766" s="28" t="s">
        <v>5795</v>
      </c>
      <c r="E766" s="28" t="s">
        <v>5796</v>
      </c>
      <c r="F766" s="28" t="s">
        <v>5630</v>
      </c>
      <c r="G766" s="28" t="s">
        <v>5797</v>
      </c>
      <c r="H766" s="27" t="s">
        <v>5715</v>
      </c>
      <c r="I766" s="28" t="s">
        <v>5734</v>
      </c>
      <c r="J766" s="27"/>
    </row>
    <row r="767" customFormat="false" ht="15" hidden="false" customHeight="true" outlineLevel="0" collapsed="false">
      <c r="A767" s="27" t="s">
        <v>3451</v>
      </c>
      <c r="B767" s="27" t="s">
        <v>538</v>
      </c>
      <c r="C767" s="28" t="s">
        <v>3452</v>
      </c>
      <c r="D767" s="28" t="s">
        <v>5792</v>
      </c>
      <c r="E767" s="28" t="s">
        <v>5793</v>
      </c>
      <c r="F767" s="28" t="s">
        <v>5640</v>
      </c>
      <c r="G767" s="28" t="s">
        <v>5797</v>
      </c>
      <c r="H767" s="27" t="s">
        <v>5715</v>
      </c>
      <c r="I767" s="28" t="s">
        <v>5734</v>
      </c>
      <c r="J767" s="27"/>
    </row>
    <row r="768" customFormat="false" ht="15" hidden="false" customHeight="true" outlineLevel="0" collapsed="false">
      <c r="A768" s="27" t="s">
        <v>3454</v>
      </c>
      <c r="B768" s="27" t="s">
        <v>538</v>
      </c>
      <c r="C768" s="28" t="s">
        <v>3455</v>
      </c>
      <c r="D768" s="28" t="s">
        <v>5792</v>
      </c>
      <c r="E768" s="28" t="s">
        <v>5793</v>
      </c>
      <c r="F768" s="28" t="s">
        <v>5640</v>
      </c>
      <c r="G768" s="28" t="s">
        <v>5797</v>
      </c>
      <c r="H768" s="27" t="s">
        <v>5715</v>
      </c>
      <c r="I768" s="28" t="s">
        <v>5734</v>
      </c>
      <c r="J768" s="27"/>
    </row>
    <row r="769" customFormat="false" ht="15" hidden="false" customHeight="true" outlineLevel="0" collapsed="false">
      <c r="A769" s="27" t="s">
        <v>3457</v>
      </c>
      <c r="B769" s="27" t="s">
        <v>538</v>
      </c>
      <c r="C769" s="28" t="s">
        <v>3458</v>
      </c>
      <c r="D769" s="28" t="s">
        <v>5792</v>
      </c>
      <c r="E769" s="28" t="s">
        <v>5793</v>
      </c>
      <c r="F769" s="28" t="s">
        <v>5640</v>
      </c>
      <c r="G769" s="28" t="s">
        <v>5797</v>
      </c>
      <c r="H769" s="27" t="s">
        <v>5715</v>
      </c>
      <c r="I769" s="28" t="s">
        <v>5734</v>
      </c>
      <c r="J769" s="27"/>
    </row>
    <row r="770" customFormat="false" ht="15" hidden="false" customHeight="true" outlineLevel="0" collapsed="false">
      <c r="A770" s="27" t="s">
        <v>3466</v>
      </c>
      <c r="B770" s="27" t="s">
        <v>538</v>
      </c>
      <c r="C770" s="28" t="s">
        <v>3467</v>
      </c>
      <c r="D770" s="28" t="s">
        <v>5802</v>
      </c>
      <c r="E770" s="28" t="s">
        <v>5639</v>
      </c>
      <c r="F770" s="28" t="s">
        <v>5640</v>
      </c>
      <c r="G770" s="28" t="s">
        <v>5797</v>
      </c>
      <c r="H770" s="27" t="s">
        <v>5715</v>
      </c>
      <c r="I770" s="28" t="s">
        <v>5734</v>
      </c>
      <c r="J770" s="27"/>
    </row>
    <row r="771" customFormat="false" ht="15" hidden="false" customHeight="true" outlineLevel="0" collapsed="false">
      <c r="A771" s="27" t="s">
        <v>3469</v>
      </c>
      <c r="B771" s="27" t="s">
        <v>538</v>
      </c>
      <c r="C771" s="28" t="s">
        <v>3470</v>
      </c>
      <c r="D771" s="28" t="s">
        <v>5792</v>
      </c>
      <c r="E771" s="28" t="s">
        <v>5793</v>
      </c>
      <c r="F771" s="28" t="s">
        <v>5640</v>
      </c>
      <c r="G771" s="28" t="s">
        <v>5797</v>
      </c>
      <c r="H771" s="27" t="s">
        <v>5715</v>
      </c>
      <c r="I771" s="28" t="s">
        <v>5734</v>
      </c>
      <c r="J771" s="27"/>
    </row>
    <row r="772" customFormat="false" ht="15" hidden="false" customHeight="true" outlineLevel="0" collapsed="false">
      <c r="A772" s="27" t="s">
        <v>3472</v>
      </c>
      <c r="B772" s="27" t="s">
        <v>538</v>
      </c>
      <c r="C772" s="28" t="s">
        <v>3473</v>
      </c>
      <c r="D772" s="27" t="s">
        <v>5804</v>
      </c>
      <c r="E772" s="28" t="s">
        <v>5805</v>
      </c>
      <c r="F772" s="28" t="s">
        <v>5640</v>
      </c>
      <c r="G772" s="28" t="s">
        <v>5797</v>
      </c>
      <c r="H772" s="27" t="s">
        <v>5715</v>
      </c>
      <c r="I772" s="28" t="s">
        <v>5734</v>
      </c>
      <c r="J772" s="27"/>
    </row>
    <row r="773" customFormat="false" ht="15" hidden="false" customHeight="true" outlineLevel="0" collapsed="false">
      <c r="A773" s="27" t="s">
        <v>3477</v>
      </c>
      <c r="B773" s="27" t="s">
        <v>538</v>
      </c>
      <c r="C773" s="28" t="s">
        <v>3478</v>
      </c>
      <c r="D773" s="27" t="s">
        <v>5806</v>
      </c>
      <c r="E773" s="28" t="s">
        <v>5805</v>
      </c>
      <c r="F773" s="28" t="s">
        <v>5640</v>
      </c>
      <c r="G773" s="28" t="s">
        <v>5797</v>
      </c>
      <c r="H773" s="27" t="s">
        <v>5715</v>
      </c>
      <c r="I773" s="28" t="s">
        <v>5734</v>
      </c>
      <c r="J773" s="27"/>
    </row>
    <row r="774" customFormat="false" ht="15" hidden="false" customHeight="true" outlineLevel="0" collapsed="false">
      <c r="A774" s="27" t="s">
        <v>3480</v>
      </c>
      <c r="B774" s="27" t="s">
        <v>538</v>
      </c>
      <c r="C774" s="28" t="s">
        <v>3481</v>
      </c>
      <c r="D774" s="28" t="s">
        <v>5742</v>
      </c>
      <c r="E774" s="28" t="s">
        <v>5743</v>
      </c>
      <c r="F774" s="28" t="s">
        <v>5630</v>
      </c>
      <c r="G774" s="28" t="s">
        <v>5797</v>
      </c>
      <c r="H774" s="27" t="s">
        <v>5715</v>
      </c>
      <c r="I774" s="28" t="s">
        <v>5734</v>
      </c>
      <c r="J774" s="27"/>
    </row>
    <row r="775" customFormat="false" ht="15" hidden="false" customHeight="true" outlineLevel="0" collapsed="false">
      <c r="A775" s="27" t="s">
        <v>3483</v>
      </c>
      <c r="B775" s="27" t="s">
        <v>538</v>
      </c>
      <c r="C775" s="28" t="s">
        <v>3484</v>
      </c>
      <c r="D775" s="28" t="s">
        <v>5742</v>
      </c>
      <c r="E775" s="28" t="s">
        <v>5743</v>
      </c>
      <c r="F775" s="28" t="s">
        <v>5630</v>
      </c>
      <c r="G775" s="28" t="s">
        <v>5797</v>
      </c>
      <c r="H775" s="27" t="s">
        <v>5715</v>
      </c>
      <c r="I775" s="28" t="s">
        <v>5734</v>
      </c>
      <c r="J775" s="27"/>
    </row>
    <row r="776" customFormat="false" ht="15" hidden="false" customHeight="true" outlineLevel="0" collapsed="false">
      <c r="A776" s="27" t="s">
        <v>3489</v>
      </c>
      <c r="B776" s="27" t="s">
        <v>538</v>
      </c>
      <c r="C776" s="28" t="s">
        <v>3490</v>
      </c>
      <c r="D776" s="28" t="s">
        <v>5807</v>
      </c>
      <c r="E776" s="28" t="s">
        <v>5656</v>
      </c>
      <c r="F776" s="28" t="s">
        <v>5640</v>
      </c>
      <c r="G776" s="28" t="s">
        <v>5797</v>
      </c>
      <c r="H776" s="27" t="s">
        <v>5715</v>
      </c>
      <c r="I776" s="28" t="s">
        <v>5734</v>
      </c>
      <c r="J776" s="27"/>
    </row>
    <row r="777" customFormat="false" ht="15" hidden="false" customHeight="true" outlineLevel="0" collapsed="false">
      <c r="A777" s="27" t="s">
        <v>3492</v>
      </c>
      <c r="B777" s="27" t="s">
        <v>538</v>
      </c>
      <c r="C777" s="28" t="s">
        <v>3493</v>
      </c>
      <c r="D777" s="28" t="s">
        <v>5705</v>
      </c>
      <c r="E777" s="28" t="s">
        <v>5639</v>
      </c>
      <c r="F777" s="28" t="s">
        <v>5640</v>
      </c>
      <c r="G777" s="28" t="s">
        <v>5797</v>
      </c>
      <c r="H777" s="27" t="s">
        <v>5715</v>
      </c>
      <c r="I777" s="28" t="s">
        <v>5734</v>
      </c>
      <c r="J777" s="27"/>
    </row>
    <row r="778" customFormat="false" ht="15" hidden="false" customHeight="true" outlineLevel="0" collapsed="false">
      <c r="A778" s="27" t="s">
        <v>3570</v>
      </c>
      <c r="B778" s="27" t="s">
        <v>551</v>
      </c>
      <c r="C778" s="27" t="s">
        <v>3571</v>
      </c>
      <c r="D778" s="28" t="s">
        <v>5808</v>
      </c>
      <c r="E778" s="28" t="s">
        <v>5809</v>
      </c>
      <c r="F778" s="28" t="s">
        <v>5630</v>
      </c>
      <c r="G778" s="28" t="s">
        <v>5810</v>
      </c>
      <c r="H778" s="27" t="s">
        <v>5811</v>
      </c>
      <c r="I778" s="28" t="s">
        <v>5716</v>
      </c>
      <c r="J778" s="27"/>
    </row>
    <row r="779" customFormat="false" ht="15" hidden="false" customHeight="true" outlineLevel="0" collapsed="false">
      <c r="A779" s="27" t="s">
        <v>3573</v>
      </c>
      <c r="B779" s="27" t="s">
        <v>551</v>
      </c>
      <c r="C779" s="27" t="s">
        <v>3574</v>
      </c>
      <c r="D779" s="28" t="s">
        <v>5808</v>
      </c>
      <c r="E779" s="28" t="s">
        <v>5809</v>
      </c>
      <c r="F779" s="28" t="s">
        <v>5630</v>
      </c>
      <c r="G779" s="28" t="s">
        <v>5810</v>
      </c>
      <c r="H779" s="27" t="s">
        <v>5811</v>
      </c>
      <c r="I779" s="28" t="s">
        <v>5716</v>
      </c>
      <c r="J779" s="27"/>
    </row>
    <row r="780" customFormat="false" ht="15" hidden="false" customHeight="true" outlineLevel="0" collapsed="false">
      <c r="A780" s="27" t="s">
        <v>3576</v>
      </c>
      <c r="B780" s="27" t="s">
        <v>551</v>
      </c>
      <c r="C780" s="28" t="s">
        <v>3577</v>
      </c>
      <c r="D780" s="28" t="s">
        <v>5808</v>
      </c>
      <c r="E780" s="28" t="s">
        <v>5809</v>
      </c>
      <c r="F780" s="28" t="s">
        <v>5630</v>
      </c>
      <c r="G780" s="28" t="s">
        <v>5810</v>
      </c>
      <c r="H780" s="27" t="s">
        <v>5811</v>
      </c>
      <c r="I780" s="28" t="s">
        <v>5716</v>
      </c>
      <c r="J780" s="27"/>
    </row>
    <row r="781" customFormat="false" ht="15" hidden="false" customHeight="true" outlineLevel="0" collapsed="false">
      <c r="A781" s="27" t="s">
        <v>3579</v>
      </c>
      <c r="B781" s="27" t="s">
        <v>551</v>
      </c>
      <c r="C781" s="28" t="s">
        <v>3580</v>
      </c>
      <c r="D781" s="28" t="s">
        <v>5808</v>
      </c>
      <c r="E781" s="28" t="s">
        <v>5809</v>
      </c>
      <c r="F781" s="28" t="s">
        <v>5630</v>
      </c>
      <c r="G781" s="28" t="s">
        <v>5810</v>
      </c>
      <c r="H781" s="27" t="s">
        <v>5811</v>
      </c>
      <c r="I781" s="28" t="s">
        <v>5716</v>
      </c>
      <c r="J781" s="27"/>
    </row>
    <row r="782" customFormat="false" ht="15" hidden="false" customHeight="true" outlineLevel="0" collapsed="false">
      <c r="A782" s="27" t="s">
        <v>3582</v>
      </c>
      <c r="B782" s="27" t="s">
        <v>551</v>
      </c>
      <c r="C782" s="28" t="s">
        <v>3583</v>
      </c>
      <c r="D782" s="28" t="s">
        <v>5692</v>
      </c>
      <c r="E782" s="28" t="s">
        <v>5693</v>
      </c>
      <c r="F782" s="28" t="s">
        <v>5640</v>
      </c>
      <c r="G782" s="28" t="s">
        <v>5810</v>
      </c>
      <c r="H782" s="27" t="s">
        <v>5811</v>
      </c>
      <c r="I782" s="28" t="s">
        <v>5716</v>
      </c>
      <c r="J782" s="27"/>
    </row>
    <row r="783" customFormat="false" ht="15" hidden="false" customHeight="true" outlineLevel="0" collapsed="false">
      <c r="A783" s="27" t="s">
        <v>3585</v>
      </c>
      <c r="B783" s="27" t="s">
        <v>551</v>
      </c>
      <c r="C783" s="28" t="s">
        <v>3586</v>
      </c>
      <c r="D783" s="28" t="s">
        <v>5808</v>
      </c>
      <c r="E783" s="28" t="s">
        <v>5809</v>
      </c>
      <c r="F783" s="28" t="s">
        <v>5630</v>
      </c>
      <c r="G783" s="28" t="s">
        <v>5810</v>
      </c>
      <c r="H783" s="27" t="s">
        <v>5811</v>
      </c>
      <c r="I783" s="28" t="s">
        <v>5716</v>
      </c>
      <c r="J783" s="27"/>
    </row>
    <row r="784" customFormat="false" ht="15" hidden="false" customHeight="true" outlineLevel="0" collapsed="false">
      <c r="A784" s="27" t="s">
        <v>3588</v>
      </c>
      <c r="B784" s="27" t="s">
        <v>551</v>
      </c>
      <c r="C784" s="27" t="s">
        <v>3589</v>
      </c>
      <c r="D784" s="28" t="s">
        <v>5808</v>
      </c>
      <c r="E784" s="28" t="s">
        <v>5809</v>
      </c>
      <c r="F784" s="28" t="s">
        <v>5630</v>
      </c>
      <c r="G784" s="28" t="s">
        <v>5810</v>
      </c>
      <c r="H784" s="27" t="s">
        <v>5811</v>
      </c>
      <c r="I784" s="28" t="s">
        <v>5716</v>
      </c>
      <c r="J784" s="27"/>
    </row>
    <row r="785" customFormat="false" ht="15" hidden="false" customHeight="true" outlineLevel="0" collapsed="false">
      <c r="A785" s="27" t="s">
        <v>3591</v>
      </c>
      <c r="B785" s="27" t="s">
        <v>551</v>
      </c>
      <c r="C785" s="28" t="s">
        <v>3592</v>
      </c>
      <c r="D785" s="28" t="s">
        <v>5808</v>
      </c>
      <c r="E785" s="28" t="s">
        <v>5809</v>
      </c>
      <c r="F785" s="28" t="s">
        <v>5630</v>
      </c>
      <c r="G785" s="28" t="s">
        <v>5810</v>
      </c>
      <c r="H785" s="27" t="s">
        <v>5811</v>
      </c>
      <c r="I785" s="28" t="s">
        <v>5716</v>
      </c>
      <c r="J785" s="27"/>
    </row>
    <row r="786" customFormat="false" ht="15" hidden="false" customHeight="true" outlineLevel="0" collapsed="false">
      <c r="A786" s="27" t="s">
        <v>3595</v>
      </c>
      <c r="B786" s="27" t="s">
        <v>551</v>
      </c>
      <c r="C786" s="28" t="s">
        <v>3596</v>
      </c>
      <c r="D786" s="28" t="s">
        <v>5692</v>
      </c>
      <c r="E786" s="28" t="s">
        <v>5693</v>
      </c>
      <c r="F786" s="28" t="s">
        <v>5640</v>
      </c>
      <c r="G786" s="28" t="s">
        <v>5810</v>
      </c>
      <c r="H786" s="27" t="s">
        <v>5811</v>
      </c>
      <c r="I786" s="28" t="s">
        <v>5716</v>
      </c>
      <c r="J786" s="27"/>
    </row>
    <row r="787" customFormat="false" ht="15" hidden="false" customHeight="true" outlineLevel="0" collapsed="false">
      <c r="A787" s="27" t="s">
        <v>3599</v>
      </c>
      <c r="B787" s="27" t="s">
        <v>551</v>
      </c>
      <c r="C787" s="28" t="s">
        <v>3600</v>
      </c>
      <c r="D787" s="28" t="s">
        <v>5808</v>
      </c>
      <c r="E787" s="28" t="s">
        <v>5809</v>
      </c>
      <c r="F787" s="28" t="s">
        <v>5630</v>
      </c>
      <c r="G787" s="28" t="s">
        <v>5810</v>
      </c>
      <c r="H787" s="27" t="s">
        <v>5811</v>
      </c>
      <c r="I787" s="28" t="s">
        <v>5716</v>
      </c>
      <c r="J787" s="27"/>
    </row>
    <row r="788" customFormat="false" ht="15" hidden="false" customHeight="true" outlineLevel="0" collapsed="false">
      <c r="A788" s="27" t="s">
        <v>3602</v>
      </c>
      <c r="B788" s="27" t="s">
        <v>551</v>
      </c>
      <c r="C788" s="28" t="s">
        <v>3603</v>
      </c>
      <c r="D788" s="28" t="s">
        <v>5808</v>
      </c>
      <c r="E788" s="28" t="s">
        <v>5809</v>
      </c>
      <c r="F788" s="28" t="s">
        <v>5630</v>
      </c>
      <c r="G788" s="28" t="s">
        <v>5810</v>
      </c>
      <c r="H788" s="27" t="s">
        <v>5811</v>
      </c>
      <c r="I788" s="28" t="s">
        <v>5716</v>
      </c>
      <c r="J788" s="27"/>
    </row>
    <row r="789" customFormat="false" ht="15" hidden="false" customHeight="true" outlineLevel="0" collapsed="false">
      <c r="A789" s="27" t="s">
        <v>3606</v>
      </c>
      <c r="B789" s="27" t="s">
        <v>551</v>
      </c>
      <c r="C789" s="27" t="s">
        <v>3607</v>
      </c>
      <c r="D789" s="28" t="s">
        <v>5710</v>
      </c>
      <c r="E789" s="28" t="s">
        <v>5711</v>
      </c>
      <c r="F789" s="28" t="s">
        <v>5640</v>
      </c>
      <c r="G789" s="28" t="s">
        <v>5810</v>
      </c>
      <c r="H789" s="27" t="s">
        <v>5811</v>
      </c>
      <c r="I789" s="28" t="s">
        <v>5716</v>
      </c>
      <c r="J789" s="27"/>
    </row>
    <row r="790" customFormat="false" ht="15" hidden="false" customHeight="true" outlineLevel="0" collapsed="false">
      <c r="A790" s="27" t="s">
        <v>3615</v>
      </c>
      <c r="B790" s="27" t="s">
        <v>551</v>
      </c>
      <c r="C790" s="28" t="s">
        <v>3616</v>
      </c>
      <c r="D790" s="28" t="s">
        <v>5808</v>
      </c>
      <c r="E790" s="28" t="s">
        <v>5809</v>
      </c>
      <c r="F790" s="28" t="s">
        <v>5630</v>
      </c>
      <c r="G790" s="28" t="s">
        <v>5810</v>
      </c>
      <c r="H790" s="27" t="s">
        <v>5811</v>
      </c>
      <c r="I790" s="28" t="s">
        <v>5716</v>
      </c>
      <c r="J790" s="27"/>
    </row>
    <row r="791" customFormat="false" ht="15" hidden="false" customHeight="true" outlineLevel="0" collapsed="false">
      <c r="A791" s="27" t="s">
        <v>3631</v>
      </c>
      <c r="B791" s="27" t="s">
        <v>559</v>
      </c>
      <c r="C791" s="27" t="s">
        <v>3632</v>
      </c>
      <c r="D791" s="28" t="s">
        <v>5676</v>
      </c>
      <c r="E791" s="28" t="s">
        <v>5677</v>
      </c>
      <c r="F791" s="28" t="s">
        <v>5630</v>
      </c>
      <c r="G791" s="28" t="s">
        <v>5812</v>
      </c>
      <c r="H791" s="27" t="s">
        <v>5715</v>
      </c>
      <c r="I791" s="28" t="s">
        <v>5734</v>
      </c>
      <c r="J791" s="27"/>
    </row>
    <row r="792" customFormat="false" ht="15" hidden="false" customHeight="true" outlineLevel="0" collapsed="false">
      <c r="A792" s="27" t="s">
        <v>3635</v>
      </c>
      <c r="B792" s="27" t="s">
        <v>559</v>
      </c>
      <c r="C792" s="27" t="s">
        <v>3636</v>
      </c>
      <c r="D792" s="28" t="s">
        <v>5676</v>
      </c>
      <c r="E792" s="28" t="s">
        <v>5677</v>
      </c>
      <c r="F792" s="28" t="s">
        <v>5630</v>
      </c>
      <c r="G792" s="28" t="s">
        <v>5812</v>
      </c>
      <c r="H792" s="27" t="s">
        <v>5715</v>
      </c>
      <c r="I792" s="28" t="s">
        <v>5734</v>
      </c>
      <c r="J792" s="27"/>
    </row>
    <row r="793" customFormat="false" ht="15" hidden="false" customHeight="true" outlineLevel="0" collapsed="false">
      <c r="A793" s="27" t="s">
        <v>3638</v>
      </c>
      <c r="B793" s="27" t="s">
        <v>559</v>
      </c>
      <c r="C793" s="27" t="s">
        <v>3639</v>
      </c>
      <c r="D793" s="28" t="s">
        <v>5676</v>
      </c>
      <c r="E793" s="28" t="s">
        <v>5677</v>
      </c>
      <c r="F793" s="28" t="s">
        <v>5630</v>
      </c>
      <c r="G793" s="28" t="s">
        <v>5812</v>
      </c>
      <c r="H793" s="27" t="s">
        <v>5715</v>
      </c>
      <c r="I793" s="28" t="s">
        <v>5734</v>
      </c>
      <c r="J793" s="27"/>
    </row>
    <row r="794" customFormat="false" ht="15" hidden="false" customHeight="true" outlineLevel="0" collapsed="false">
      <c r="A794" s="27" t="s">
        <v>3641</v>
      </c>
      <c r="B794" s="27" t="s">
        <v>559</v>
      </c>
      <c r="C794" s="27" t="s">
        <v>3642</v>
      </c>
      <c r="D794" s="28" t="s">
        <v>5676</v>
      </c>
      <c r="E794" s="28" t="s">
        <v>5677</v>
      </c>
      <c r="F794" s="28" t="s">
        <v>5630</v>
      </c>
      <c r="G794" s="28" t="s">
        <v>5812</v>
      </c>
      <c r="H794" s="27" t="s">
        <v>5715</v>
      </c>
      <c r="I794" s="28" t="s">
        <v>5734</v>
      </c>
      <c r="J794" s="27"/>
    </row>
    <row r="795" customFormat="false" ht="15" hidden="false" customHeight="true" outlineLevel="0" collapsed="false">
      <c r="A795" s="27" t="s">
        <v>3644</v>
      </c>
      <c r="B795" s="27" t="s">
        <v>559</v>
      </c>
      <c r="C795" s="27" t="s">
        <v>3645</v>
      </c>
      <c r="D795" s="28" t="s">
        <v>5676</v>
      </c>
      <c r="E795" s="28" t="s">
        <v>5677</v>
      </c>
      <c r="F795" s="28" t="s">
        <v>5630</v>
      </c>
      <c r="G795" s="28" t="s">
        <v>5812</v>
      </c>
      <c r="H795" s="27" t="s">
        <v>5715</v>
      </c>
      <c r="I795" s="28" t="s">
        <v>5734</v>
      </c>
      <c r="J795" s="27"/>
    </row>
    <row r="796" customFormat="false" ht="15" hidden="false" customHeight="true" outlineLevel="0" collapsed="false">
      <c r="A796" s="27" t="s">
        <v>3647</v>
      </c>
      <c r="B796" s="27" t="s">
        <v>559</v>
      </c>
      <c r="C796" s="27" t="s">
        <v>3648</v>
      </c>
      <c r="D796" s="28" t="s">
        <v>5676</v>
      </c>
      <c r="E796" s="28" t="s">
        <v>5677</v>
      </c>
      <c r="F796" s="28" t="s">
        <v>5630</v>
      </c>
      <c r="G796" s="28" t="s">
        <v>5812</v>
      </c>
      <c r="H796" s="27" t="s">
        <v>5715</v>
      </c>
      <c r="I796" s="28" t="s">
        <v>5734</v>
      </c>
      <c r="J796" s="27"/>
    </row>
    <row r="797" customFormat="false" ht="15" hidden="false" customHeight="true" outlineLevel="0" collapsed="false">
      <c r="A797" s="27" t="s">
        <v>3650</v>
      </c>
      <c r="B797" s="27" t="s">
        <v>559</v>
      </c>
      <c r="C797" s="27" t="s">
        <v>3651</v>
      </c>
      <c r="D797" s="28" t="s">
        <v>5676</v>
      </c>
      <c r="E797" s="28" t="s">
        <v>5677</v>
      </c>
      <c r="F797" s="28" t="s">
        <v>5630</v>
      </c>
      <c r="G797" s="28" t="s">
        <v>5812</v>
      </c>
      <c r="H797" s="27" t="s">
        <v>5715</v>
      </c>
      <c r="I797" s="28" t="s">
        <v>5734</v>
      </c>
      <c r="J797" s="27"/>
    </row>
    <row r="798" customFormat="false" ht="15" hidden="false" customHeight="true" outlineLevel="0" collapsed="false">
      <c r="A798" s="27" t="s">
        <v>3653</v>
      </c>
      <c r="B798" s="27" t="s">
        <v>559</v>
      </c>
      <c r="C798" s="27" t="s">
        <v>3654</v>
      </c>
      <c r="D798" s="28" t="s">
        <v>5676</v>
      </c>
      <c r="E798" s="28" t="s">
        <v>5677</v>
      </c>
      <c r="F798" s="28" t="s">
        <v>5630</v>
      </c>
      <c r="G798" s="28" t="s">
        <v>5812</v>
      </c>
      <c r="H798" s="27" t="s">
        <v>5715</v>
      </c>
      <c r="I798" s="28" t="s">
        <v>5734</v>
      </c>
      <c r="J798" s="27"/>
    </row>
    <row r="799" customFormat="false" ht="15" hidden="false" customHeight="true" outlineLevel="0" collapsed="false">
      <c r="A799" s="27" t="s">
        <v>3656</v>
      </c>
      <c r="B799" s="27" t="s">
        <v>559</v>
      </c>
      <c r="C799" s="27" t="s">
        <v>3657</v>
      </c>
      <c r="D799" s="28" t="s">
        <v>5676</v>
      </c>
      <c r="E799" s="28" t="s">
        <v>5677</v>
      </c>
      <c r="F799" s="28" t="s">
        <v>5630</v>
      </c>
      <c r="G799" s="28" t="s">
        <v>5812</v>
      </c>
      <c r="H799" s="27" t="s">
        <v>5715</v>
      </c>
      <c r="I799" s="28" t="s">
        <v>5734</v>
      </c>
      <c r="J799" s="27"/>
    </row>
    <row r="800" customFormat="false" ht="15" hidden="false" customHeight="true" outlineLevel="0" collapsed="false">
      <c r="A800" s="27" t="s">
        <v>3659</v>
      </c>
      <c r="B800" s="27" t="s">
        <v>559</v>
      </c>
      <c r="C800" s="27" t="s">
        <v>3660</v>
      </c>
      <c r="D800" s="28" t="s">
        <v>5676</v>
      </c>
      <c r="E800" s="28" t="s">
        <v>5677</v>
      </c>
      <c r="F800" s="28" t="s">
        <v>5630</v>
      </c>
      <c r="G800" s="28" t="s">
        <v>5812</v>
      </c>
      <c r="H800" s="27" t="s">
        <v>5715</v>
      </c>
      <c r="I800" s="28" t="s">
        <v>5734</v>
      </c>
      <c r="J800" s="27"/>
    </row>
    <row r="801" customFormat="false" ht="15" hidden="false" customHeight="true" outlineLevel="0" collapsed="false">
      <c r="A801" s="27" t="s">
        <v>3662</v>
      </c>
      <c r="B801" s="27" t="s">
        <v>559</v>
      </c>
      <c r="C801" s="27" t="s">
        <v>3663</v>
      </c>
      <c r="D801" s="28" t="s">
        <v>5676</v>
      </c>
      <c r="E801" s="28" t="s">
        <v>5677</v>
      </c>
      <c r="F801" s="28" t="s">
        <v>5630</v>
      </c>
      <c r="G801" s="28" t="s">
        <v>5812</v>
      </c>
      <c r="H801" s="27" t="s">
        <v>5715</v>
      </c>
      <c r="I801" s="28" t="s">
        <v>5734</v>
      </c>
      <c r="J801" s="27"/>
    </row>
    <row r="802" customFormat="false" ht="15" hidden="false" customHeight="true" outlineLevel="0" collapsed="false">
      <c r="A802" s="27" t="s">
        <v>3665</v>
      </c>
      <c r="B802" s="27" t="s">
        <v>559</v>
      </c>
      <c r="C802" s="27" t="s">
        <v>3666</v>
      </c>
      <c r="D802" s="28" t="s">
        <v>5676</v>
      </c>
      <c r="E802" s="28" t="s">
        <v>5677</v>
      </c>
      <c r="F802" s="28" t="s">
        <v>5630</v>
      </c>
      <c r="G802" s="28" t="s">
        <v>5812</v>
      </c>
      <c r="H802" s="27" t="s">
        <v>5715</v>
      </c>
      <c r="I802" s="28" t="s">
        <v>5734</v>
      </c>
      <c r="J802" s="27"/>
    </row>
    <row r="803" customFormat="false" ht="15" hidden="false" customHeight="true" outlineLevel="0" collapsed="false">
      <c r="A803" s="27" t="s">
        <v>3668</v>
      </c>
      <c r="B803" s="27" t="s">
        <v>559</v>
      </c>
      <c r="C803" s="27" t="s">
        <v>3669</v>
      </c>
      <c r="D803" s="28" t="s">
        <v>5676</v>
      </c>
      <c r="E803" s="28" t="s">
        <v>5677</v>
      </c>
      <c r="F803" s="28" t="s">
        <v>5630</v>
      </c>
      <c r="G803" s="28" t="s">
        <v>5812</v>
      </c>
      <c r="H803" s="27" t="s">
        <v>5715</v>
      </c>
      <c r="I803" s="28" t="s">
        <v>5734</v>
      </c>
      <c r="J803" s="27"/>
    </row>
    <row r="804" customFormat="false" ht="15" hidden="false" customHeight="true" outlineLevel="0" collapsed="false">
      <c r="A804" s="27" t="s">
        <v>3671</v>
      </c>
      <c r="B804" s="27" t="s">
        <v>559</v>
      </c>
      <c r="C804" s="27" t="s">
        <v>3672</v>
      </c>
      <c r="D804" s="28" t="s">
        <v>5676</v>
      </c>
      <c r="E804" s="28" t="s">
        <v>5677</v>
      </c>
      <c r="F804" s="28" t="s">
        <v>5630</v>
      </c>
      <c r="G804" s="28" t="s">
        <v>5812</v>
      </c>
      <c r="H804" s="27" t="s">
        <v>5715</v>
      </c>
      <c r="I804" s="28" t="s">
        <v>5734</v>
      </c>
      <c r="J804" s="27"/>
    </row>
    <row r="805" customFormat="false" ht="15" hidden="false" customHeight="true" outlineLevel="0" collapsed="false">
      <c r="A805" s="27" t="s">
        <v>3674</v>
      </c>
      <c r="B805" s="27" t="s">
        <v>559</v>
      </c>
      <c r="C805" s="27" t="s">
        <v>3675</v>
      </c>
      <c r="D805" s="28" t="s">
        <v>5676</v>
      </c>
      <c r="E805" s="28" t="s">
        <v>5677</v>
      </c>
      <c r="F805" s="28" t="s">
        <v>5630</v>
      </c>
      <c r="G805" s="28" t="s">
        <v>5812</v>
      </c>
      <c r="H805" s="27" t="s">
        <v>5715</v>
      </c>
      <c r="I805" s="28" t="s">
        <v>5734</v>
      </c>
      <c r="J805" s="27"/>
    </row>
    <row r="806" customFormat="false" ht="15" hidden="false" customHeight="true" outlineLevel="0" collapsed="false">
      <c r="A806" s="27" t="s">
        <v>3677</v>
      </c>
      <c r="B806" s="27" t="s">
        <v>559</v>
      </c>
      <c r="C806" s="27" t="s">
        <v>3678</v>
      </c>
      <c r="D806" s="28" t="s">
        <v>5676</v>
      </c>
      <c r="E806" s="28" t="s">
        <v>5677</v>
      </c>
      <c r="F806" s="28" t="s">
        <v>5630</v>
      </c>
      <c r="G806" s="28" t="s">
        <v>5812</v>
      </c>
      <c r="H806" s="27" t="s">
        <v>5715</v>
      </c>
      <c r="I806" s="28" t="s">
        <v>5734</v>
      </c>
      <c r="J806" s="27"/>
    </row>
    <row r="807" customFormat="false" ht="15" hidden="false" customHeight="true" outlineLevel="0" collapsed="false">
      <c r="A807" s="27" t="s">
        <v>3680</v>
      </c>
      <c r="B807" s="27" t="s">
        <v>559</v>
      </c>
      <c r="C807" s="27" t="s">
        <v>3681</v>
      </c>
      <c r="D807" s="28" t="s">
        <v>5676</v>
      </c>
      <c r="E807" s="28" t="s">
        <v>5677</v>
      </c>
      <c r="F807" s="28" t="s">
        <v>5630</v>
      </c>
      <c r="G807" s="28" t="s">
        <v>5812</v>
      </c>
      <c r="H807" s="27" t="s">
        <v>5715</v>
      </c>
      <c r="I807" s="28" t="s">
        <v>5734</v>
      </c>
      <c r="J807" s="27"/>
    </row>
    <row r="808" customFormat="false" ht="15" hidden="false" customHeight="true" outlineLevel="0" collapsed="false">
      <c r="A808" s="27" t="s">
        <v>3683</v>
      </c>
      <c r="B808" s="27" t="s">
        <v>559</v>
      </c>
      <c r="C808" s="27" t="s">
        <v>3684</v>
      </c>
      <c r="D808" s="28" t="s">
        <v>5676</v>
      </c>
      <c r="E808" s="28" t="s">
        <v>5677</v>
      </c>
      <c r="F808" s="28" t="s">
        <v>5630</v>
      </c>
      <c r="G808" s="28" t="s">
        <v>5812</v>
      </c>
      <c r="H808" s="27" t="s">
        <v>5715</v>
      </c>
      <c r="I808" s="28" t="s">
        <v>5734</v>
      </c>
      <c r="J808" s="27"/>
    </row>
    <row r="809" customFormat="false" ht="15" hidden="false" customHeight="true" outlineLevel="0" collapsed="false">
      <c r="A809" s="27" t="s">
        <v>3686</v>
      </c>
      <c r="B809" s="27" t="s">
        <v>559</v>
      </c>
      <c r="C809" s="27" t="s">
        <v>3687</v>
      </c>
      <c r="D809" s="28" t="s">
        <v>5676</v>
      </c>
      <c r="E809" s="28" t="s">
        <v>5677</v>
      </c>
      <c r="F809" s="28" t="s">
        <v>5630</v>
      </c>
      <c r="G809" s="28" t="s">
        <v>5812</v>
      </c>
      <c r="H809" s="27" t="s">
        <v>5715</v>
      </c>
      <c r="I809" s="28" t="s">
        <v>5734</v>
      </c>
      <c r="J809" s="27"/>
    </row>
    <row r="810" customFormat="false" ht="15" hidden="false" customHeight="true" outlineLevel="0" collapsed="false">
      <c r="A810" s="27" t="s">
        <v>3689</v>
      </c>
      <c r="B810" s="27" t="s">
        <v>559</v>
      </c>
      <c r="C810" s="27" t="s">
        <v>3690</v>
      </c>
      <c r="D810" s="28" t="s">
        <v>5676</v>
      </c>
      <c r="E810" s="28" t="s">
        <v>5677</v>
      </c>
      <c r="F810" s="28" t="s">
        <v>5630</v>
      </c>
      <c r="G810" s="28" t="s">
        <v>5812</v>
      </c>
      <c r="H810" s="27" t="s">
        <v>5715</v>
      </c>
      <c r="I810" s="28" t="s">
        <v>5734</v>
      </c>
      <c r="J810" s="27"/>
    </row>
    <row r="811" customFormat="false" ht="15" hidden="false" customHeight="true" outlineLevel="0" collapsed="false">
      <c r="A811" s="27" t="s">
        <v>3692</v>
      </c>
      <c r="B811" s="27" t="s">
        <v>559</v>
      </c>
      <c r="C811" s="27" t="s">
        <v>3693</v>
      </c>
      <c r="D811" s="28" t="s">
        <v>5676</v>
      </c>
      <c r="E811" s="28" t="s">
        <v>5677</v>
      </c>
      <c r="F811" s="28" t="s">
        <v>5630</v>
      </c>
      <c r="G811" s="28" t="s">
        <v>5812</v>
      </c>
      <c r="H811" s="27" t="s">
        <v>5715</v>
      </c>
      <c r="I811" s="28" t="s">
        <v>5734</v>
      </c>
      <c r="J811" s="27"/>
    </row>
    <row r="812" customFormat="false" ht="15" hidden="false" customHeight="true" outlineLevel="0" collapsed="false">
      <c r="A812" s="27" t="s">
        <v>3695</v>
      </c>
      <c r="B812" s="27" t="s">
        <v>559</v>
      </c>
      <c r="C812" s="27" t="s">
        <v>3696</v>
      </c>
      <c r="D812" s="28" t="s">
        <v>5676</v>
      </c>
      <c r="E812" s="28" t="s">
        <v>5677</v>
      </c>
      <c r="F812" s="28" t="s">
        <v>5630</v>
      </c>
      <c r="G812" s="28" t="s">
        <v>5812</v>
      </c>
      <c r="H812" s="27" t="s">
        <v>5715</v>
      </c>
      <c r="I812" s="28" t="s">
        <v>5734</v>
      </c>
      <c r="J812" s="27"/>
    </row>
    <row r="813" customFormat="false" ht="15" hidden="false" customHeight="true" outlineLevel="0" collapsed="false">
      <c r="A813" s="27" t="s">
        <v>3698</v>
      </c>
      <c r="B813" s="27" t="s">
        <v>559</v>
      </c>
      <c r="C813" s="28" t="s">
        <v>3699</v>
      </c>
      <c r="D813" s="28" t="s">
        <v>5676</v>
      </c>
      <c r="E813" s="28" t="s">
        <v>5677</v>
      </c>
      <c r="F813" s="28" t="s">
        <v>5630</v>
      </c>
      <c r="G813" s="28" t="s">
        <v>5812</v>
      </c>
      <c r="H813" s="27" t="s">
        <v>5715</v>
      </c>
      <c r="I813" s="28" t="s">
        <v>5734</v>
      </c>
      <c r="J813" s="27"/>
    </row>
    <row r="814" customFormat="false" ht="15" hidden="false" customHeight="true" outlineLevel="0" collapsed="false">
      <c r="A814" s="27" t="s">
        <v>3701</v>
      </c>
      <c r="B814" s="27" t="s">
        <v>559</v>
      </c>
      <c r="C814" s="27" t="s">
        <v>3702</v>
      </c>
      <c r="D814" s="28" t="s">
        <v>5676</v>
      </c>
      <c r="E814" s="28" t="s">
        <v>5677</v>
      </c>
      <c r="F814" s="28" t="s">
        <v>5630</v>
      </c>
      <c r="G814" s="28" t="s">
        <v>5812</v>
      </c>
      <c r="H814" s="27" t="s">
        <v>5715</v>
      </c>
      <c r="I814" s="28" t="s">
        <v>5734</v>
      </c>
      <c r="J814" s="27"/>
    </row>
    <row r="815" customFormat="false" ht="15" hidden="false" customHeight="true" outlineLevel="0" collapsed="false">
      <c r="A815" s="27" t="s">
        <v>3707</v>
      </c>
      <c r="B815" s="27" t="s">
        <v>559</v>
      </c>
      <c r="C815" s="27" t="s">
        <v>3708</v>
      </c>
      <c r="D815" s="28" t="s">
        <v>5676</v>
      </c>
      <c r="E815" s="28" t="s">
        <v>5677</v>
      </c>
      <c r="F815" s="28" t="s">
        <v>5630</v>
      </c>
      <c r="G815" s="28" t="s">
        <v>5812</v>
      </c>
      <c r="H815" s="27" t="s">
        <v>5715</v>
      </c>
      <c r="I815" s="28" t="s">
        <v>5734</v>
      </c>
      <c r="J815" s="27"/>
    </row>
    <row r="816" customFormat="false" ht="15" hidden="false" customHeight="true" outlineLevel="0" collapsed="false">
      <c r="A816" s="27" t="s">
        <v>3710</v>
      </c>
      <c r="B816" s="27" t="s">
        <v>559</v>
      </c>
      <c r="C816" s="27" t="s">
        <v>3711</v>
      </c>
      <c r="D816" s="28" t="s">
        <v>5676</v>
      </c>
      <c r="E816" s="28" t="s">
        <v>5677</v>
      </c>
      <c r="F816" s="28" t="s">
        <v>5630</v>
      </c>
      <c r="G816" s="28" t="s">
        <v>5812</v>
      </c>
      <c r="H816" s="27" t="s">
        <v>5715</v>
      </c>
      <c r="I816" s="28" t="s">
        <v>5734</v>
      </c>
      <c r="J816" s="27"/>
    </row>
    <row r="817" customFormat="false" ht="15" hidden="false" customHeight="true" outlineLevel="0" collapsed="false">
      <c r="A817" s="27" t="s">
        <v>3713</v>
      </c>
      <c r="B817" s="27" t="s">
        <v>559</v>
      </c>
      <c r="C817" s="27" t="s">
        <v>3714</v>
      </c>
      <c r="D817" s="28" t="s">
        <v>5676</v>
      </c>
      <c r="E817" s="28" t="s">
        <v>5677</v>
      </c>
      <c r="F817" s="28" t="s">
        <v>5630</v>
      </c>
      <c r="G817" s="28" t="s">
        <v>5812</v>
      </c>
      <c r="H817" s="27" t="s">
        <v>5715</v>
      </c>
      <c r="I817" s="28" t="s">
        <v>5734</v>
      </c>
      <c r="J817" s="27"/>
    </row>
    <row r="818" customFormat="false" ht="15" hidden="false" customHeight="true" outlineLevel="0" collapsed="false">
      <c r="A818" s="27" t="s">
        <v>3716</v>
      </c>
      <c r="B818" s="27" t="s">
        <v>559</v>
      </c>
      <c r="C818" s="27" t="s">
        <v>3717</v>
      </c>
      <c r="D818" s="28" t="s">
        <v>5676</v>
      </c>
      <c r="E818" s="28" t="s">
        <v>5677</v>
      </c>
      <c r="F818" s="28" t="s">
        <v>5630</v>
      </c>
      <c r="G818" s="28" t="s">
        <v>5812</v>
      </c>
      <c r="H818" s="27" t="s">
        <v>5715</v>
      </c>
      <c r="I818" s="28" t="s">
        <v>5734</v>
      </c>
      <c r="J818" s="27"/>
    </row>
    <row r="819" customFormat="false" ht="15" hidden="false" customHeight="true" outlineLevel="0" collapsed="false">
      <c r="A819" s="27" t="s">
        <v>3719</v>
      </c>
      <c r="B819" s="27" t="s">
        <v>559</v>
      </c>
      <c r="C819" s="27" t="s">
        <v>3720</v>
      </c>
      <c r="D819" s="28" t="s">
        <v>5676</v>
      </c>
      <c r="E819" s="28" t="s">
        <v>5677</v>
      </c>
      <c r="F819" s="28" t="s">
        <v>5630</v>
      </c>
      <c r="G819" s="28" t="s">
        <v>5812</v>
      </c>
      <c r="H819" s="27" t="s">
        <v>5715</v>
      </c>
      <c r="I819" s="28" t="s">
        <v>5734</v>
      </c>
      <c r="J819" s="27"/>
    </row>
    <row r="820" customFormat="false" ht="15" hidden="false" customHeight="true" outlineLevel="0" collapsed="false">
      <c r="A820" s="27" t="s">
        <v>3722</v>
      </c>
      <c r="B820" s="27" t="s">
        <v>559</v>
      </c>
      <c r="C820" s="27" t="s">
        <v>3723</v>
      </c>
      <c r="D820" s="28" t="s">
        <v>5676</v>
      </c>
      <c r="E820" s="28" t="s">
        <v>5677</v>
      </c>
      <c r="F820" s="28" t="s">
        <v>5630</v>
      </c>
      <c r="G820" s="28" t="s">
        <v>5812</v>
      </c>
      <c r="H820" s="27" t="s">
        <v>5715</v>
      </c>
      <c r="I820" s="28" t="s">
        <v>5734</v>
      </c>
      <c r="J820" s="27"/>
    </row>
    <row r="821" customFormat="false" ht="15" hidden="false" customHeight="true" outlineLevel="0" collapsed="false">
      <c r="A821" s="27" t="s">
        <v>3725</v>
      </c>
      <c r="B821" s="27" t="s">
        <v>559</v>
      </c>
      <c r="C821" s="27" t="s">
        <v>3726</v>
      </c>
      <c r="D821" s="28" t="s">
        <v>5676</v>
      </c>
      <c r="E821" s="28" t="s">
        <v>5677</v>
      </c>
      <c r="F821" s="28" t="s">
        <v>5630</v>
      </c>
      <c r="G821" s="28" t="s">
        <v>5812</v>
      </c>
      <c r="H821" s="27" t="s">
        <v>5715</v>
      </c>
      <c r="I821" s="28" t="s">
        <v>5734</v>
      </c>
      <c r="J821" s="27"/>
    </row>
    <row r="822" customFormat="false" ht="15" hidden="false" customHeight="true" outlineLevel="0" collapsed="false">
      <c r="A822" s="27" t="s">
        <v>3728</v>
      </c>
      <c r="B822" s="27" t="s">
        <v>559</v>
      </c>
      <c r="C822" s="27" t="s">
        <v>3729</v>
      </c>
      <c r="D822" s="28" t="s">
        <v>5676</v>
      </c>
      <c r="E822" s="28" t="s">
        <v>5677</v>
      </c>
      <c r="F822" s="28" t="s">
        <v>5630</v>
      </c>
      <c r="G822" s="28" t="s">
        <v>5812</v>
      </c>
      <c r="H822" s="27" t="s">
        <v>5715</v>
      </c>
      <c r="I822" s="28" t="s">
        <v>5734</v>
      </c>
      <c r="J822" s="27"/>
    </row>
    <row r="823" customFormat="false" ht="15" hidden="false" customHeight="true" outlineLevel="0" collapsed="false">
      <c r="A823" s="27" t="s">
        <v>3731</v>
      </c>
      <c r="B823" s="27" t="s">
        <v>559</v>
      </c>
      <c r="C823" s="27" t="s">
        <v>3732</v>
      </c>
      <c r="D823" s="28" t="s">
        <v>5676</v>
      </c>
      <c r="E823" s="28" t="s">
        <v>5677</v>
      </c>
      <c r="F823" s="28" t="s">
        <v>5630</v>
      </c>
      <c r="G823" s="28" t="s">
        <v>5812</v>
      </c>
      <c r="H823" s="27" t="s">
        <v>5715</v>
      </c>
      <c r="I823" s="28" t="s">
        <v>5734</v>
      </c>
      <c r="J823" s="27"/>
    </row>
    <row r="824" customFormat="false" ht="15" hidden="false" customHeight="true" outlineLevel="0" collapsed="false">
      <c r="A824" s="27" t="s">
        <v>3734</v>
      </c>
      <c r="B824" s="27" t="s">
        <v>559</v>
      </c>
      <c r="C824" s="27" t="s">
        <v>3735</v>
      </c>
      <c r="D824" s="28" t="s">
        <v>5676</v>
      </c>
      <c r="E824" s="28" t="s">
        <v>5677</v>
      </c>
      <c r="F824" s="28" t="s">
        <v>5630</v>
      </c>
      <c r="G824" s="28" t="s">
        <v>5812</v>
      </c>
      <c r="H824" s="27" t="s">
        <v>5715</v>
      </c>
      <c r="I824" s="28" t="s">
        <v>5734</v>
      </c>
      <c r="J824" s="27"/>
    </row>
    <row r="825" customFormat="false" ht="15" hidden="false" customHeight="true" outlineLevel="0" collapsed="false">
      <c r="A825" s="27" t="s">
        <v>3737</v>
      </c>
      <c r="B825" s="27" t="s">
        <v>559</v>
      </c>
      <c r="C825" s="27" t="s">
        <v>3738</v>
      </c>
      <c r="D825" s="28" t="s">
        <v>5676</v>
      </c>
      <c r="E825" s="28" t="s">
        <v>5677</v>
      </c>
      <c r="F825" s="28" t="s">
        <v>5630</v>
      </c>
      <c r="G825" s="28" t="s">
        <v>5812</v>
      </c>
      <c r="H825" s="27" t="s">
        <v>5715</v>
      </c>
      <c r="I825" s="28" t="s">
        <v>5734</v>
      </c>
      <c r="J825" s="27"/>
    </row>
    <row r="826" customFormat="false" ht="15" hidden="false" customHeight="true" outlineLevel="0" collapsed="false">
      <c r="A826" s="27" t="s">
        <v>3740</v>
      </c>
      <c r="B826" s="27" t="s">
        <v>559</v>
      </c>
      <c r="C826" s="27" t="s">
        <v>3741</v>
      </c>
      <c r="D826" s="28" t="s">
        <v>5676</v>
      </c>
      <c r="E826" s="28" t="s">
        <v>5677</v>
      </c>
      <c r="F826" s="28" t="s">
        <v>5630</v>
      </c>
      <c r="G826" s="28" t="s">
        <v>5812</v>
      </c>
      <c r="H826" s="27" t="s">
        <v>5715</v>
      </c>
      <c r="I826" s="28" t="s">
        <v>5734</v>
      </c>
      <c r="J826" s="27"/>
    </row>
    <row r="827" customFormat="false" ht="15" hidden="false" customHeight="true" outlineLevel="0" collapsed="false">
      <c r="A827" s="27" t="s">
        <v>3743</v>
      </c>
      <c r="B827" s="27" t="s">
        <v>559</v>
      </c>
      <c r="C827" s="27" t="s">
        <v>3744</v>
      </c>
      <c r="D827" s="28" t="s">
        <v>5676</v>
      </c>
      <c r="E827" s="28" t="s">
        <v>5677</v>
      </c>
      <c r="F827" s="28" t="s">
        <v>5630</v>
      </c>
      <c r="G827" s="28" t="s">
        <v>5812</v>
      </c>
      <c r="H827" s="27" t="s">
        <v>5715</v>
      </c>
      <c r="I827" s="28" t="s">
        <v>5734</v>
      </c>
      <c r="J827" s="27"/>
    </row>
    <row r="828" customFormat="false" ht="15" hidden="false" customHeight="true" outlineLevel="0" collapsed="false">
      <c r="A828" s="27" t="s">
        <v>3746</v>
      </c>
      <c r="B828" s="27" t="s">
        <v>559</v>
      </c>
      <c r="C828" s="27" t="s">
        <v>3747</v>
      </c>
      <c r="D828" s="28" t="s">
        <v>5676</v>
      </c>
      <c r="E828" s="28" t="s">
        <v>5677</v>
      </c>
      <c r="F828" s="28" t="s">
        <v>5630</v>
      </c>
      <c r="G828" s="28" t="s">
        <v>5812</v>
      </c>
      <c r="H828" s="27" t="s">
        <v>5715</v>
      </c>
      <c r="I828" s="28" t="s">
        <v>5734</v>
      </c>
      <c r="J828" s="27"/>
    </row>
    <row r="829" customFormat="false" ht="15" hidden="false" customHeight="true" outlineLevel="0" collapsed="false">
      <c r="A829" s="27" t="s">
        <v>3749</v>
      </c>
      <c r="B829" s="27" t="s">
        <v>559</v>
      </c>
      <c r="C829" s="28" t="s">
        <v>2679</v>
      </c>
      <c r="D829" s="28" t="s">
        <v>5676</v>
      </c>
      <c r="E829" s="28" t="s">
        <v>5677</v>
      </c>
      <c r="F829" s="28" t="s">
        <v>5630</v>
      </c>
      <c r="G829" s="28" t="s">
        <v>5812</v>
      </c>
      <c r="H829" s="27" t="s">
        <v>5715</v>
      </c>
      <c r="I829" s="28" t="s">
        <v>5734</v>
      </c>
      <c r="J829" s="27"/>
    </row>
    <row r="830" customFormat="false" ht="15" hidden="false" customHeight="true" outlineLevel="0" collapsed="false">
      <c r="A830" s="27" t="s">
        <v>3751</v>
      </c>
      <c r="B830" s="27" t="s">
        <v>559</v>
      </c>
      <c r="C830" s="27" t="s">
        <v>3752</v>
      </c>
      <c r="D830" s="28" t="s">
        <v>5676</v>
      </c>
      <c r="E830" s="28" t="s">
        <v>5677</v>
      </c>
      <c r="F830" s="28" t="s">
        <v>5630</v>
      </c>
      <c r="G830" s="28" t="s">
        <v>5812</v>
      </c>
      <c r="H830" s="27" t="s">
        <v>5715</v>
      </c>
      <c r="I830" s="28" t="s">
        <v>5734</v>
      </c>
      <c r="J830" s="27"/>
    </row>
    <row r="831" customFormat="false" ht="15" hidden="false" customHeight="true" outlineLevel="0" collapsed="false">
      <c r="A831" s="27" t="s">
        <v>3754</v>
      </c>
      <c r="B831" s="27" t="s">
        <v>559</v>
      </c>
      <c r="C831" s="27" t="s">
        <v>3755</v>
      </c>
      <c r="D831" s="28" t="s">
        <v>5676</v>
      </c>
      <c r="E831" s="28" t="s">
        <v>5677</v>
      </c>
      <c r="F831" s="28" t="s">
        <v>5630</v>
      </c>
      <c r="G831" s="28" t="s">
        <v>5812</v>
      </c>
      <c r="H831" s="27" t="s">
        <v>5715</v>
      </c>
      <c r="I831" s="28" t="s">
        <v>5734</v>
      </c>
      <c r="J831" s="27"/>
    </row>
    <row r="832" customFormat="false" ht="15" hidden="false" customHeight="true" outlineLevel="0" collapsed="false">
      <c r="A832" s="27" t="s">
        <v>3757</v>
      </c>
      <c r="B832" s="27" t="s">
        <v>559</v>
      </c>
      <c r="C832" s="27" t="s">
        <v>3758</v>
      </c>
      <c r="D832" s="28" t="s">
        <v>5676</v>
      </c>
      <c r="E832" s="28" t="s">
        <v>5677</v>
      </c>
      <c r="F832" s="28" t="s">
        <v>5630</v>
      </c>
      <c r="G832" s="28" t="s">
        <v>5812</v>
      </c>
      <c r="H832" s="27" t="s">
        <v>5715</v>
      </c>
      <c r="I832" s="28" t="s">
        <v>5734</v>
      </c>
      <c r="J832" s="27"/>
    </row>
    <row r="833" customFormat="false" ht="15" hidden="false" customHeight="true" outlineLevel="0" collapsed="false">
      <c r="A833" s="27" t="s">
        <v>3760</v>
      </c>
      <c r="B833" s="27" t="s">
        <v>559</v>
      </c>
      <c r="C833" s="27" t="s">
        <v>3761</v>
      </c>
      <c r="D833" s="28" t="s">
        <v>5676</v>
      </c>
      <c r="E833" s="28" t="s">
        <v>5677</v>
      </c>
      <c r="F833" s="28" t="s">
        <v>5630</v>
      </c>
      <c r="G833" s="28" t="s">
        <v>5812</v>
      </c>
      <c r="H833" s="27" t="s">
        <v>5715</v>
      </c>
      <c r="I833" s="28" t="s">
        <v>5734</v>
      </c>
      <c r="J833" s="27"/>
    </row>
    <row r="834" customFormat="false" ht="15" hidden="false" customHeight="true" outlineLevel="0" collapsed="false">
      <c r="A834" s="27" t="s">
        <v>3763</v>
      </c>
      <c r="B834" s="27" t="s">
        <v>559</v>
      </c>
      <c r="C834" s="27" t="s">
        <v>3764</v>
      </c>
      <c r="D834" s="28" t="s">
        <v>5676</v>
      </c>
      <c r="E834" s="28" t="s">
        <v>5677</v>
      </c>
      <c r="F834" s="28" t="s">
        <v>5630</v>
      </c>
      <c r="G834" s="28" t="s">
        <v>5812</v>
      </c>
      <c r="H834" s="27" t="s">
        <v>5715</v>
      </c>
      <c r="I834" s="28" t="s">
        <v>5734</v>
      </c>
      <c r="J834" s="27"/>
    </row>
    <row r="835" customFormat="false" ht="15" hidden="false" customHeight="true" outlineLevel="0" collapsed="false">
      <c r="A835" s="27" t="s">
        <v>3766</v>
      </c>
      <c r="B835" s="27" t="s">
        <v>559</v>
      </c>
      <c r="C835" s="27" t="s">
        <v>3767</v>
      </c>
      <c r="D835" s="28" t="s">
        <v>5676</v>
      </c>
      <c r="E835" s="28" t="s">
        <v>5677</v>
      </c>
      <c r="F835" s="28" t="s">
        <v>5630</v>
      </c>
      <c r="G835" s="28" t="s">
        <v>5812</v>
      </c>
      <c r="H835" s="27" t="s">
        <v>5715</v>
      </c>
      <c r="I835" s="28" t="s">
        <v>5734</v>
      </c>
      <c r="J835" s="27"/>
    </row>
    <row r="836" customFormat="false" ht="15" hidden="false" customHeight="true" outlineLevel="0" collapsed="false">
      <c r="A836" s="27" t="s">
        <v>3769</v>
      </c>
      <c r="B836" s="27" t="s">
        <v>559</v>
      </c>
      <c r="C836" s="27" t="s">
        <v>3770</v>
      </c>
      <c r="D836" s="28" t="s">
        <v>5676</v>
      </c>
      <c r="E836" s="28" t="s">
        <v>5677</v>
      </c>
      <c r="F836" s="28" t="s">
        <v>5630</v>
      </c>
      <c r="G836" s="28" t="s">
        <v>5812</v>
      </c>
      <c r="H836" s="27" t="s">
        <v>5715</v>
      </c>
      <c r="I836" s="28" t="s">
        <v>5734</v>
      </c>
      <c r="J836" s="27"/>
    </row>
    <row r="837" customFormat="false" ht="15" hidden="false" customHeight="true" outlineLevel="0" collapsed="false">
      <c r="A837" s="27" t="s">
        <v>3772</v>
      </c>
      <c r="B837" s="27" t="s">
        <v>559</v>
      </c>
      <c r="C837" s="28" t="s">
        <v>3773</v>
      </c>
      <c r="D837" s="27" t="s">
        <v>5643</v>
      </c>
      <c r="E837" s="28" t="s">
        <v>5644</v>
      </c>
      <c r="F837" s="28" t="s">
        <v>5102</v>
      </c>
      <c r="G837" s="28" t="s">
        <v>5812</v>
      </c>
      <c r="H837" s="27" t="s">
        <v>5715</v>
      </c>
      <c r="I837" s="28" t="s">
        <v>5734</v>
      </c>
      <c r="J837" s="27"/>
    </row>
    <row r="838" customFormat="false" ht="15" hidden="false" customHeight="true" outlineLevel="0" collapsed="false">
      <c r="A838" s="27" t="s">
        <v>3775</v>
      </c>
      <c r="B838" s="27" t="s">
        <v>559</v>
      </c>
      <c r="C838" s="27" t="s">
        <v>3776</v>
      </c>
      <c r="D838" s="28" t="s">
        <v>5676</v>
      </c>
      <c r="E838" s="28" t="s">
        <v>5677</v>
      </c>
      <c r="F838" s="28" t="s">
        <v>5630</v>
      </c>
      <c r="G838" s="28" t="s">
        <v>5812</v>
      </c>
      <c r="H838" s="27" t="s">
        <v>5715</v>
      </c>
      <c r="I838" s="28" t="s">
        <v>5734</v>
      </c>
      <c r="J838" s="27"/>
    </row>
    <row r="839" customFormat="false" ht="15" hidden="false" customHeight="true" outlineLevel="0" collapsed="false">
      <c r="A839" s="27" t="s">
        <v>3778</v>
      </c>
      <c r="B839" s="27" t="s">
        <v>559</v>
      </c>
      <c r="C839" s="27" t="s">
        <v>3779</v>
      </c>
      <c r="D839" s="28" t="s">
        <v>5676</v>
      </c>
      <c r="E839" s="28" t="s">
        <v>5677</v>
      </c>
      <c r="F839" s="28" t="s">
        <v>5630</v>
      </c>
      <c r="G839" s="28" t="s">
        <v>5812</v>
      </c>
      <c r="H839" s="27" t="s">
        <v>5715</v>
      </c>
      <c r="I839" s="28" t="s">
        <v>5734</v>
      </c>
      <c r="J839" s="27"/>
    </row>
    <row r="840" customFormat="false" ht="15" hidden="false" customHeight="true" outlineLevel="0" collapsed="false">
      <c r="A840" s="27" t="s">
        <v>3781</v>
      </c>
      <c r="B840" s="27" t="s">
        <v>559</v>
      </c>
      <c r="C840" s="27" t="s">
        <v>3782</v>
      </c>
      <c r="D840" s="28" t="s">
        <v>5676</v>
      </c>
      <c r="E840" s="28" t="s">
        <v>5677</v>
      </c>
      <c r="F840" s="28" t="s">
        <v>5630</v>
      </c>
      <c r="G840" s="28" t="s">
        <v>5812</v>
      </c>
      <c r="H840" s="27" t="s">
        <v>5715</v>
      </c>
      <c r="I840" s="28" t="s">
        <v>5734</v>
      </c>
      <c r="J840" s="27"/>
    </row>
    <row r="841" customFormat="false" ht="15" hidden="false" customHeight="true" outlineLevel="0" collapsed="false">
      <c r="A841" s="27" t="s">
        <v>3784</v>
      </c>
      <c r="B841" s="27" t="s">
        <v>559</v>
      </c>
      <c r="C841" s="27" t="s">
        <v>3785</v>
      </c>
      <c r="D841" s="28" t="s">
        <v>5676</v>
      </c>
      <c r="E841" s="28" t="s">
        <v>5677</v>
      </c>
      <c r="F841" s="28" t="s">
        <v>5630</v>
      </c>
      <c r="G841" s="28" t="s">
        <v>5812</v>
      </c>
      <c r="H841" s="27" t="s">
        <v>5715</v>
      </c>
      <c r="I841" s="28" t="s">
        <v>5734</v>
      </c>
      <c r="J841" s="27"/>
    </row>
    <row r="842" customFormat="false" ht="15" hidden="false" customHeight="true" outlineLevel="0" collapsed="false">
      <c r="A842" s="27" t="s">
        <v>3787</v>
      </c>
      <c r="B842" s="27" t="s">
        <v>559</v>
      </c>
      <c r="C842" s="27" t="s">
        <v>3788</v>
      </c>
      <c r="D842" s="28" t="s">
        <v>5676</v>
      </c>
      <c r="E842" s="28" t="s">
        <v>5677</v>
      </c>
      <c r="F842" s="28" t="s">
        <v>5630</v>
      </c>
      <c r="G842" s="28" t="s">
        <v>5812</v>
      </c>
      <c r="H842" s="27" t="s">
        <v>5715</v>
      </c>
      <c r="I842" s="28" t="s">
        <v>5734</v>
      </c>
      <c r="J842" s="27"/>
    </row>
    <row r="843" customFormat="false" ht="15" hidden="false" customHeight="true" outlineLevel="0" collapsed="false">
      <c r="A843" s="27" t="s">
        <v>3790</v>
      </c>
      <c r="B843" s="27" t="s">
        <v>559</v>
      </c>
      <c r="C843" s="27" t="s">
        <v>3791</v>
      </c>
      <c r="D843" s="28" t="s">
        <v>5676</v>
      </c>
      <c r="E843" s="28" t="s">
        <v>5677</v>
      </c>
      <c r="F843" s="28" t="s">
        <v>5630</v>
      </c>
      <c r="G843" s="28" t="s">
        <v>5812</v>
      </c>
      <c r="H843" s="27" t="s">
        <v>5715</v>
      </c>
      <c r="I843" s="28" t="s">
        <v>5734</v>
      </c>
      <c r="J843" s="27"/>
    </row>
    <row r="844" customFormat="false" ht="15" hidden="false" customHeight="true" outlineLevel="0" collapsed="false">
      <c r="A844" s="27" t="s">
        <v>3793</v>
      </c>
      <c r="B844" s="27" t="s">
        <v>559</v>
      </c>
      <c r="C844" s="28" t="s">
        <v>3794</v>
      </c>
      <c r="D844" s="28" t="s">
        <v>5676</v>
      </c>
      <c r="E844" s="28" t="s">
        <v>5677</v>
      </c>
      <c r="F844" s="28" t="s">
        <v>5630</v>
      </c>
      <c r="G844" s="28" t="s">
        <v>5812</v>
      </c>
      <c r="H844" s="27" t="s">
        <v>5715</v>
      </c>
      <c r="I844" s="28" t="s">
        <v>5734</v>
      </c>
      <c r="J844" s="27"/>
    </row>
    <row r="845" customFormat="false" ht="15" hidden="false" customHeight="true" outlineLevel="0" collapsed="false">
      <c r="A845" s="27" t="s">
        <v>3796</v>
      </c>
      <c r="B845" s="27" t="s">
        <v>559</v>
      </c>
      <c r="C845" s="27" t="s">
        <v>3797</v>
      </c>
      <c r="D845" s="28" t="s">
        <v>5676</v>
      </c>
      <c r="E845" s="28" t="s">
        <v>5677</v>
      </c>
      <c r="F845" s="28" t="s">
        <v>5630</v>
      </c>
      <c r="G845" s="28" t="s">
        <v>5812</v>
      </c>
      <c r="H845" s="27" t="s">
        <v>5715</v>
      </c>
      <c r="I845" s="28" t="s">
        <v>5734</v>
      </c>
      <c r="J845" s="27"/>
    </row>
    <row r="846" customFormat="false" ht="15" hidden="false" customHeight="true" outlineLevel="0" collapsed="false">
      <c r="A846" s="27" t="s">
        <v>3799</v>
      </c>
      <c r="B846" s="27" t="s">
        <v>559</v>
      </c>
      <c r="C846" s="27" t="s">
        <v>3800</v>
      </c>
      <c r="D846" s="28" t="s">
        <v>5676</v>
      </c>
      <c r="E846" s="28" t="s">
        <v>5677</v>
      </c>
      <c r="F846" s="28" t="s">
        <v>5630</v>
      </c>
      <c r="G846" s="28" t="s">
        <v>5812</v>
      </c>
      <c r="H846" s="27" t="s">
        <v>5715</v>
      </c>
      <c r="I846" s="28" t="s">
        <v>5734</v>
      </c>
      <c r="J846" s="27"/>
    </row>
    <row r="847" customFormat="false" ht="15" hidden="false" customHeight="true" outlineLevel="0" collapsed="false">
      <c r="A847" s="27" t="s">
        <v>3802</v>
      </c>
      <c r="B847" s="27" t="s">
        <v>559</v>
      </c>
      <c r="C847" s="27" t="s">
        <v>3803</v>
      </c>
      <c r="D847" s="28" t="s">
        <v>5676</v>
      </c>
      <c r="E847" s="28" t="s">
        <v>5677</v>
      </c>
      <c r="F847" s="28" t="s">
        <v>5630</v>
      </c>
      <c r="G847" s="28" t="s">
        <v>5812</v>
      </c>
      <c r="H847" s="27" t="s">
        <v>5715</v>
      </c>
      <c r="I847" s="28" t="s">
        <v>5734</v>
      </c>
      <c r="J847" s="27"/>
    </row>
    <row r="848" customFormat="false" ht="15" hidden="false" customHeight="true" outlineLevel="0" collapsed="false">
      <c r="A848" s="27" t="s">
        <v>3805</v>
      </c>
      <c r="B848" s="27" t="s">
        <v>559</v>
      </c>
      <c r="C848" s="28" t="s">
        <v>1870</v>
      </c>
      <c r="D848" s="28" t="s">
        <v>5694</v>
      </c>
      <c r="E848" s="28" t="s">
        <v>5695</v>
      </c>
      <c r="F848" s="28" t="s">
        <v>5640</v>
      </c>
      <c r="G848" s="28" t="s">
        <v>5812</v>
      </c>
      <c r="H848" s="27" t="s">
        <v>5715</v>
      </c>
      <c r="I848" s="28" t="s">
        <v>5734</v>
      </c>
      <c r="J848" s="27"/>
    </row>
    <row r="849" customFormat="false" ht="15" hidden="false" customHeight="true" outlineLevel="0" collapsed="false">
      <c r="A849" s="27" t="s">
        <v>3807</v>
      </c>
      <c r="B849" s="27" t="s">
        <v>559</v>
      </c>
      <c r="C849" s="27" t="s">
        <v>3808</v>
      </c>
      <c r="D849" s="28" t="s">
        <v>5676</v>
      </c>
      <c r="E849" s="28" t="s">
        <v>5677</v>
      </c>
      <c r="F849" s="28" t="s">
        <v>5630</v>
      </c>
      <c r="G849" s="28" t="s">
        <v>5812</v>
      </c>
      <c r="H849" s="27" t="s">
        <v>5715</v>
      </c>
      <c r="I849" s="28" t="s">
        <v>5734</v>
      </c>
      <c r="J849" s="27"/>
    </row>
    <row r="850" customFormat="false" ht="15" hidden="false" customHeight="true" outlineLevel="0" collapsed="false">
      <c r="A850" s="27" t="s">
        <v>3810</v>
      </c>
      <c r="B850" s="27" t="s">
        <v>559</v>
      </c>
      <c r="C850" s="27" t="s">
        <v>3811</v>
      </c>
      <c r="D850" s="28" t="s">
        <v>5676</v>
      </c>
      <c r="E850" s="28" t="s">
        <v>5677</v>
      </c>
      <c r="F850" s="28" t="s">
        <v>5630</v>
      </c>
      <c r="G850" s="28" t="s">
        <v>5812</v>
      </c>
      <c r="H850" s="27" t="s">
        <v>5715</v>
      </c>
      <c r="I850" s="28" t="s">
        <v>5734</v>
      </c>
      <c r="J850" s="27"/>
    </row>
    <row r="851" customFormat="false" ht="15" hidden="false" customHeight="true" outlineLevel="0" collapsed="false">
      <c r="A851" s="27" t="s">
        <v>3813</v>
      </c>
      <c r="B851" s="27" t="s">
        <v>559</v>
      </c>
      <c r="C851" s="27" t="s">
        <v>3814</v>
      </c>
      <c r="D851" s="28" t="s">
        <v>5676</v>
      </c>
      <c r="E851" s="28" t="s">
        <v>5677</v>
      </c>
      <c r="F851" s="28" t="s">
        <v>5630</v>
      </c>
      <c r="G851" s="28" t="s">
        <v>5812</v>
      </c>
      <c r="H851" s="27" t="s">
        <v>5715</v>
      </c>
      <c r="I851" s="28" t="s">
        <v>5734</v>
      </c>
      <c r="J851" s="27"/>
    </row>
    <row r="852" customFormat="false" ht="15" hidden="false" customHeight="true" outlineLevel="0" collapsed="false">
      <c r="A852" s="27" t="s">
        <v>3816</v>
      </c>
      <c r="B852" s="27" t="s">
        <v>559</v>
      </c>
      <c r="C852" s="27" t="s">
        <v>3817</v>
      </c>
      <c r="D852" s="28" t="s">
        <v>5676</v>
      </c>
      <c r="E852" s="28" t="s">
        <v>5677</v>
      </c>
      <c r="F852" s="28" t="s">
        <v>5630</v>
      </c>
      <c r="G852" s="28" t="s">
        <v>5812</v>
      </c>
      <c r="H852" s="27" t="s">
        <v>5715</v>
      </c>
      <c r="I852" s="28" t="s">
        <v>5734</v>
      </c>
      <c r="J852" s="27"/>
    </row>
    <row r="853" customFormat="false" ht="15" hidden="false" customHeight="true" outlineLevel="0" collapsed="false">
      <c r="A853" s="27" t="s">
        <v>3819</v>
      </c>
      <c r="B853" s="27" t="s">
        <v>559</v>
      </c>
      <c r="C853" s="27" t="s">
        <v>3820</v>
      </c>
      <c r="D853" s="28" t="s">
        <v>5676</v>
      </c>
      <c r="E853" s="28" t="s">
        <v>5677</v>
      </c>
      <c r="F853" s="28" t="s">
        <v>5630</v>
      </c>
      <c r="G853" s="28" t="s">
        <v>5812</v>
      </c>
      <c r="H853" s="27" t="s">
        <v>5715</v>
      </c>
      <c r="I853" s="28" t="s">
        <v>5734</v>
      </c>
      <c r="J853" s="27"/>
    </row>
    <row r="854" customFormat="false" ht="15" hidden="false" customHeight="true" outlineLevel="0" collapsed="false">
      <c r="A854" s="27" t="s">
        <v>3822</v>
      </c>
      <c r="B854" s="27" t="s">
        <v>559</v>
      </c>
      <c r="C854" s="27" t="s">
        <v>3823</v>
      </c>
      <c r="D854" s="28" t="s">
        <v>5676</v>
      </c>
      <c r="E854" s="28" t="s">
        <v>5677</v>
      </c>
      <c r="F854" s="28" t="s">
        <v>5630</v>
      </c>
      <c r="G854" s="28" t="s">
        <v>5812</v>
      </c>
      <c r="H854" s="27" t="s">
        <v>5715</v>
      </c>
      <c r="I854" s="28" t="s">
        <v>5734</v>
      </c>
      <c r="J854" s="27"/>
    </row>
    <row r="855" customFormat="false" ht="15" hidden="false" customHeight="true" outlineLevel="0" collapsed="false">
      <c r="A855" s="27" t="s">
        <v>3825</v>
      </c>
      <c r="B855" s="27" t="s">
        <v>559</v>
      </c>
      <c r="C855" s="27" t="s">
        <v>3826</v>
      </c>
      <c r="D855" s="28" t="s">
        <v>5676</v>
      </c>
      <c r="E855" s="28" t="s">
        <v>5677</v>
      </c>
      <c r="F855" s="28" t="s">
        <v>5630</v>
      </c>
      <c r="G855" s="28" t="s">
        <v>5812</v>
      </c>
      <c r="H855" s="27" t="s">
        <v>5715</v>
      </c>
      <c r="I855" s="28" t="s">
        <v>5734</v>
      </c>
      <c r="J855" s="27"/>
    </row>
    <row r="856" customFormat="false" ht="15" hidden="false" customHeight="true" outlineLevel="0" collapsed="false">
      <c r="A856" s="27" t="s">
        <v>3828</v>
      </c>
      <c r="B856" s="27" t="s">
        <v>559</v>
      </c>
      <c r="C856" s="27" t="s">
        <v>3829</v>
      </c>
      <c r="D856" s="28" t="s">
        <v>5676</v>
      </c>
      <c r="E856" s="28" t="s">
        <v>5677</v>
      </c>
      <c r="F856" s="28" t="s">
        <v>5630</v>
      </c>
      <c r="G856" s="28" t="s">
        <v>5812</v>
      </c>
      <c r="H856" s="27" t="s">
        <v>5715</v>
      </c>
      <c r="I856" s="28" t="s">
        <v>5734</v>
      </c>
      <c r="J856" s="27"/>
    </row>
    <row r="857" customFormat="false" ht="15" hidden="false" customHeight="true" outlineLevel="0" collapsed="false">
      <c r="A857" s="27" t="s">
        <v>3831</v>
      </c>
      <c r="B857" s="27" t="s">
        <v>559</v>
      </c>
      <c r="C857" s="27" t="s">
        <v>3832</v>
      </c>
      <c r="D857" s="28" t="s">
        <v>5676</v>
      </c>
      <c r="E857" s="28" t="s">
        <v>5677</v>
      </c>
      <c r="F857" s="28" t="s">
        <v>5630</v>
      </c>
      <c r="G857" s="28" t="s">
        <v>5812</v>
      </c>
      <c r="H857" s="27" t="s">
        <v>5715</v>
      </c>
      <c r="I857" s="28" t="s">
        <v>5734</v>
      </c>
      <c r="J857" s="27"/>
    </row>
    <row r="858" customFormat="false" ht="15" hidden="false" customHeight="true" outlineLevel="0" collapsed="false">
      <c r="A858" s="27" t="s">
        <v>3834</v>
      </c>
      <c r="B858" s="27" t="s">
        <v>559</v>
      </c>
      <c r="C858" s="27" t="s">
        <v>3835</v>
      </c>
      <c r="D858" s="28" t="s">
        <v>5676</v>
      </c>
      <c r="E858" s="28" t="s">
        <v>5677</v>
      </c>
      <c r="F858" s="28" t="s">
        <v>5630</v>
      </c>
      <c r="G858" s="28" t="s">
        <v>5812</v>
      </c>
      <c r="H858" s="27" t="s">
        <v>5715</v>
      </c>
      <c r="I858" s="28" t="s">
        <v>5734</v>
      </c>
      <c r="J858" s="28" t="s">
        <v>5634</v>
      </c>
    </row>
    <row r="859" customFormat="false" ht="15" hidden="false" customHeight="true" outlineLevel="0" collapsed="false">
      <c r="A859" s="27" t="s">
        <v>3837</v>
      </c>
      <c r="B859" s="27" t="s">
        <v>559</v>
      </c>
      <c r="C859" s="28" t="s">
        <v>3838</v>
      </c>
      <c r="D859" s="28" t="s">
        <v>5676</v>
      </c>
      <c r="E859" s="28" t="s">
        <v>5677</v>
      </c>
      <c r="F859" s="28" t="s">
        <v>5630</v>
      </c>
      <c r="G859" s="28" t="s">
        <v>5812</v>
      </c>
      <c r="H859" s="27" t="s">
        <v>5715</v>
      </c>
      <c r="I859" s="28" t="s">
        <v>5734</v>
      </c>
      <c r="J859" s="28" t="s">
        <v>5634</v>
      </c>
    </row>
    <row r="860" customFormat="false" ht="15" hidden="false" customHeight="true" outlineLevel="0" collapsed="false">
      <c r="A860" s="27" t="s">
        <v>3841</v>
      </c>
      <c r="B860" s="27" t="s">
        <v>559</v>
      </c>
      <c r="C860" s="27" t="s">
        <v>3842</v>
      </c>
      <c r="D860" s="28" t="s">
        <v>5676</v>
      </c>
      <c r="E860" s="28" t="s">
        <v>5677</v>
      </c>
      <c r="F860" s="28" t="s">
        <v>5630</v>
      </c>
      <c r="G860" s="28" t="s">
        <v>5812</v>
      </c>
      <c r="H860" s="27" t="s">
        <v>5715</v>
      </c>
      <c r="I860" s="28" t="s">
        <v>5734</v>
      </c>
      <c r="J860" s="28" t="s">
        <v>5634</v>
      </c>
    </row>
    <row r="861" customFormat="false" ht="15" hidden="false" customHeight="true" outlineLevel="0" collapsed="false">
      <c r="A861" s="27" t="s">
        <v>3844</v>
      </c>
      <c r="B861" s="27" t="s">
        <v>559</v>
      </c>
      <c r="C861" s="27" t="s">
        <v>3845</v>
      </c>
      <c r="D861" s="28" t="s">
        <v>5676</v>
      </c>
      <c r="E861" s="28" t="s">
        <v>5677</v>
      </c>
      <c r="F861" s="28" t="s">
        <v>5630</v>
      </c>
      <c r="G861" s="28" t="s">
        <v>5812</v>
      </c>
      <c r="H861" s="27" t="s">
        <v>5715</v>
      </c>
      <c r="I861" s="28" t="s">
        <v>5734</v>
      </c>
      <c r="J861" s="28" t="s">
        <v>5634</v>
      </c>
    </row>
    <row r="862" customFormat="false" ht="15" hidden="false" customHeight="true" outlineLevel="0" collapsed="false">
      <c r="A862" s="27" t="s">
        <v>3847</v>
      </c>
      <c r="B862" s="27" t="s">
        <v>559</v>
      </c>
      <c r="C862" s="27" t="s">
        <v>3848</v>
      </c>
      <c r="D862" s="28" t="s">
        <v>5676</v>
      </c>
      <c r="E862" s="28" t="s">
        <v>5677</v>
      </c>
      <c r="F862" s="28" t="s">
        <v>5630</v>
      </c>
      <c r="G862" s="28" t="s">
        <v>5812</v>
      </c>
      <c r="H862" s="27" t="s">
        <v>5715</v>
      </c>
      <c r="I862" s="28" t="s">
        <v>5734</v>
      </c>
      <c r="J862" s="28" t="s">
        <v>5634</v>
      </c>
    </row>
    <row r="863" customFormat="false" ht="15" hidden="false" customHeight="true" outlineLevel="0" collapsed="false">
      <c r="A863" s="27" t="s">
        <v>3850</v>
      </c>
      <c r="B863" s="27" t="s">
        <v>559</v>
      </c>
      <c r="C863" s="27" t="s">
        <v>3851</v>
      </c>
      <c r="D863" s="28" t="s">
        <v>5676</v>
      </c>
      <c r="E863" s="28" t="s">
        <v>5677</v>
      </c>
      <c r="F863" s="28" t="s">
        <v>5630</v>
      </c>
      <c r="G863" s="28" t="s">
        <v>5812</v>
      </c>
      <c r="H863" s="27" t="s">
        <v>5715</v>
      </c>
      <c r="I863" s="28" t="s">
        <v>5734</v>
      </c>
      <c r="J863" s="28" t="s">
        <v>5634</v>
      </c>
    </row>
    <row r="864" customFormat="false" ht="15" hidden="false" customHeight="true" outlineLevel="0" collapsed="false">
      <c r="A864" s="27" t="s">
        <v>3853</v>
      </c>
      <c r="B864" s="27" t="s">
        <v>559</v>
      </c>
      <c r="C864" s="27" t="s">
        <v>3854</v>
      </c>
      <c r="D864" s="28" t="s">
        <v>5676</v>
      </c>
      <c r="E864" s="28" t="s">
        <v>5677</v>
      </c>
      <c r="F864" s="28" t="s">
        <v>5630</v>
      </c>
      <c r="G864" s="28" t="s">
        <v>5812</v>
      </c>
      <c r="H864" s="27" t="s">
        <v>5715</v>
      </c>
      <c r="I864" s="28" t="s">
        <v>5734</v>
      </c>
      <c r="J864" s="28" t="s">
        <v>5634</v>
      </c>
    </row>
    <row r="865" customFormat="false" ht="15" hidden="false" customHeight="true" outlineLevel="0" collapsed="false">
      <c r="A865" s="27" t="s">
        <v>3856</v>
      </c>
      <c r="B865" s="27" t="s">
        <v>559</v>
      </c>
      <c r="C865" s="27" t="s">
        <v>3857</v>
      </c>
      <c r="D865" s="28" t="s">
        <v>5676</v>
      </c>
      <c r="E865" s="28" t="s">
        <v>5677</v>
      </c>
      <c r="F865" s="28" t="s">
        <v>5630</v>
      </c>
      <c r="G865" s="28" t="s">
        <v>5812</v>
      </c>
      <c r="H865" s="27" t="s">
        <v>5715</v>
      </c>
      <c r="I865" s="28" t="s">
        <v>5734</v>
      </c>
      <c r="J865" s="28" t="s">
        <v>5634</v>
      </c>
    </row>
    <row r="866" customFormat="false" ht="15" hidden="false" customHeight="true" outlineLevel="0" collapsed="false">
      <c r="A866" s="27" t="s">
        <v>3859</v>
      </c>
      <c r="B866" s="27" t="s">
        <v>559</v>
      </c>
      <c r="C866" s="27" t="s">
        <v>3860</v>
      </c>
      <c r="D866" s="28" t="s">
        <v>5676</v>
      </c>
      <c r="E866" s="28" t="s">
        <v>5677</v>
      </c>
      <c r="F866" s="28" t="s">
        <v>5630</v>
      </c>
      <c r="G866" s="28" t="s">
        <v>5812</v>
      </c>
      <c r="H866" s="27" t="s">
        <v>5715</v>
      </c>
      <c r="I866" s="28" t="s">
        <v>5734</v>
      </c>
      <c r="J866" s="28" t="s">
        <v>5634</v>
      </c>
    </row>
    <row r="867" customFormat="false" ht="15" hidden="false" customHeight="true" outlineLevel="0" collapsed="false">
      <c r="A867" s="27" t="s">
        <v>3865</v>
      </c>
      <c r="B867" s="27" t="s">
        <v>559</v>
      </c>
      <c r="C867" s="27" t="s">
        <v>3866</v>
      </c>
      <c r="D867" s="28" t="s">
        <v>5676</v>
      </c>
      <c r="E867" s="28" t="s">
        <v>5677</v>
      </c>
      <c r="F867" s="28" t="s">
        <v>5630</v>
      </c>
      <c r="G867" s="28" t="s">
        <v>5812</v>
      </c>
      <c r="H867" s="27" t="s">
        <v>5715</v>
      </c>
      <c r="I867" s="28" t="s">
        <v>5734</v>
      </c>
      <c r="J867" s="28" t="s">
        <v>5634</v>
      </c>
    </row>
    <row r="868" customFormat="false" ht="15" hidden="false" customHeight="true" outlineLevel="0" collapsed="false">
      <c r="A868" s="27" t="s">
        <v>3868</v>
      </c>
      <c r="B868" s="27" t="s">
        <v>559</v>
      </c>
      <c r="C868" s="28" t="s">
        <v>3869</v>
      </c>
      <c r="D868" s="28" t="s">
        <v>5676</v>
      </c>
      <c r="E868" s="28" t="s">
        <v>5677</v>
      </c>
      <c r="F868" s="28" t="s">
        <v>5630</v>
      </c>
      <c r="G868" s="28" t="s">
        <v>5812</v>
      </c>
      <c r="H868" s="27" t="s">
        <v>5715</v>
      </c>
      <c r="I868" s="28" t="s">
        <v>5734</v>
      </c>
      <c r="J868" s="28" t="s">
        <v>5634</v>
      </c>
    </row>
    <row r="869" customFormat="false" ht="15" hidden="false" customHeight="true" outlineLevel="0" collapsed="false">
      <c r="A869" s="27" t="s">
        <v>3871</v>
      </c>
      <c r="B869" s="27" t="s">
        <v>559</v>
      </c>
      <c r="C869" s="27" t="s">
        <v>3872</v>
      </c>
      <c r="D869" s="28" t="s">
        <v>5676</v>
      </c>
      <c r="E869" s="28" t="s">
        <v>5677</v>
      </c>
      <c r="F869" s="28" t="s">
        <v>5630</v>
      </c>
      <c r="G869" s="28" t="s">
        <v>5812</v>
      </c>
      <c r="H869" s="27" t="s">
        <v>5715</v>
      </c>
      <c r="I869" s="28" t="s">
        <v>5734</v>
      </c>
      <c r="J869" s="28" t="s">
        <v>5634</v>
      </c>
    </row>
    <row r="870" customFormat="false" ht="15" hidden="false" customHeight="true" outlineLevel="0" collapsed="false">
      <c r="A870" s="27" t="s">
        <v>3874</v>
      </c>
      <c r="B870" s="27" t="s">
        <v>559</v>
      </c>
      <c r="C870" s="27" t="s">
        <v>3875</v>
      </c>
      <c r="D870" s="28" t="s">
        <v>5676</v>
      </c>
      <c r="E870" s="28" t="s">
        <v>5677</v>
      </c>
      <c r="F870" s="28" t="s">
        <v>5630</v>
      </c>
      <c r="G870" s="28" t="s">
        <v>5812</v>
      </c>
      <c r="H870" s="27" t="s">
        <v>5715</v>
      </c>
      <c r="I870" s="28" t="s">
        <v>5734</v>
      </c>
      <c r="J870" s="28" t="s">
        <v>5634</v>
      </c>
    </row>
    <row r="871" customFormat="false" ht="15" hidden="false" customHeight="true" outlineLevel="0" collapsed="false">
      <c r="A871" s="27" t="s">
        <v>3877</v>
      </c>
      <c r="B871" s="27" t="s">
        <v>559</v>
      </c>
      <c r="C871" s="27" t="s">
        <v>3878</v>
      </c>
      <c r="D871" s="28" t="s">
        <v>5676</v>
      </c>
      <c r="E871" s="28" t="s">
        <v>5677</v>
      </c>
      <c r="F871" s="28" t="s">
        <v>5630</v>
      </c>
      <c r="G871" s="28" t="s">
        <v>5812</v>
      </c>
      <c r="H871" s="27" t="s">
        <v>5715</v>
      </c>
      <c r="I871" s="28" t="s">
        <v>5734</v>
      </c>
      <c r="J871" s="28" t="s">
        <v>5634</v>
      </c>
    </row>
    <row r="872" customFormat="false" ht="15" hidden="false" customHeight="true" outlineLevel="0" collapsed="false">
      <c r="A872" s="27" t="s">
        <v>3880</v>
      </c>
      <c r="B872" s="27" t="s">
        <v>559</v>
      </c>
      <c r="C872" s="27" t="s">
        <v>3881</v>
      </c>
      <c r="D872" s="28" t="s">
        <v>5676</v>
      </c>
      <c r="E872" s="28" t="s">
        <v>5677</v>
      </c>
      <c r="F872" s="28" t="s">
        <v>5630</v>
      </c>
      <c r="G872" s="28" t="s">
        <v>5812</v>
      </c>
      <c r="H872" s="27" t="s">
        <v>5715</v>
      </c>
      <c r="I872" s="28" t="s">
        <v>5734</v>
      </c>
      <c r="J872" s="28" t="s">
        <v>5634</v>
      </c>
    </row>
    <row r="873" customFormat="false" ht="15" hidden="false" customHeight="true" outlineLevel="0" collapsed="false">
      <c r="A873" s="27" t="s">
        <v>3883</v>
      </c>
      <c r="B873" s="27" t="s">
        <v>559</v>
      </c>
      <c r="C873" s="27" t="s">
        <v>3884</v>
      </c>
      <c r="D873" s="28" t="s">
        <v>5676</v>
      </c>
      <c r="E873" s="28" t="s">
        <v>5677</v>
      </c>
      <c r="F873" s="28" t="s">
        <v>5630</v>
      </c>
      <c r="G873" s="28" t="s">
        <v>5812</v>
      </c>
      <c r="H873" s="27" t="s">
        <v>5715</v>
      </c>
      <c r="I873" s="28" t="s">
        <v>5734</v>
      </c>
      <c r="J873" s="28" t="s">
        <v>5634</v>
      </c>
    </row>
    <row r="874" customFormat="false" ht="15" hidden="false" customHeight="true" outlineLevel="0" collapsed="false">
      <c r="A874" s="27" t="s">
        <v>3886</v>
      </c>
      <c r="B874" s="27" t="s">
        <v>559</v>
      </c>
      <c r="C874" s="27" t="s">
        <v>3887</v>
      </c>
      <c r="D874" s="28" t="s">
        <v>5676</v>
      </c>
      <c r="E874" s="28" t="s">
        <v>5677</v>
      </c>
      <c r="F874" s="28" t="s">
        <v>5630</v>
      </c>
      <c r="G874" s="28" t="s">
        <v>5812</v>
      </c>
      <c r="H874" s="27" t="s">
        <v>5715</v>
      </c>
      <c r="I874" s="28" t="s">
        <v>5734</v>
      </c>
      <c r="J874" s="28" t="s">
        <v>5634</v>
      </c>
    </row>
    <row r="875" customFormat="false" ht="15" hidden="false" customHeight="true" outlineLevel="0" collapsed="false">
      <c r="A875" s="27" t="s">
        <v>3889</v>
      </c>
      <c r="B875" s="27" t="s">
        <v>559</v>
      </c>
      <c r="C875" s="27" t="s">
        <v>3890</v>
      </c>
      <c r="D875" s="28" t="s">
        <v>5676</v>
      </c>
      <c r="E875" s="28" t="s">
        <v>5677</v>
      </c>
      <c r="F875" s="28" t="s">
        <v>5630</v>
      </c>
      <c r="G875" s="28" t="s">
        <v>5812</v>
      </c>
      <c r="H875" s="27" t="s">
        <v>5715</v>
      </c>
      <c r="I875" s="28" t="s">
        <v>5734</v>
      </c>
      <c r="J875" s="28" t="s">
        <v>5634</v>
      </c>
    </row>
    <row r="876" customFormat="false" ht="15" hidden="false" customHeight="true" outlineLevel="0" collapsed="false">
      <c r="A876" s="27" t="s">
        <v>3892</v>
      </c>
      <c r="B876" s="27" t="s">
        <v>559</v>
      </c>
      <c r="C876" s="27" t="s">
        <v>3893</v>
      </c>
      <c r="D876" s="28" t="s">
        <v>5676</v>
      </c>
      <c r="E876" s="28" t="s">
        <v>5677</v>
      </c>
      <c r="F876" s="28" t="s">
        <v>5630</v>
      </c>
      <c r="G876" s="28" t="s">
        <v>5812</v>
      </c>
      <c r="H876" s="27" t="s">
        <v>5715</v>
      </c>
      <c r="I876" s="28" t="s">
        <v>5734</v>
      </c>
      <c r="J876" s="28" t="s">
        <v>5634</v>
      </c>
    </row>
    <row r="877" customFormat="false" ht="15" hidden="false" customHeight="true" outlineLevel="0" collapsed="false">
      <c r="A877" s="27" t="s">
        <v>3895</v>
      </c>
      <c r="B877" s="27" t="s">
        <v>559</v>
      </c>
      <c r="C877" s="27" t="s">
        <v>3896</v>
      </c>
      <c r="D877" s="28" t="s">
        <v>5772</v>
      </c>
      <c r="E877" s="27" t="s">
        <v>5773</v>
      </c>
      <c r="F877" s="28" t="s">
        <v>5640</v>
      </c>
      <c r="G877" s="28" t="s">
        <v>5812</v>
      </c>
      <c r="H877" s="27" t="s">
        <v>5715</v>
      </c>
      <c r="I877" s="28" t="s">
        <v>5734</v>
      </c>
      <c r="J877" s="28" t="s">
        <v>5634</v>
      </c>
    </row>
    <row r="878" customFormat="false" ht="15" hidden="false" customHeight="true" outlineLevel="0" collapsed="false">
      <c r="A878" s="27" t="s">
        <v>3898</v>
      </c>
      <c r="B878" s="27" t="s">
        <v>559</v>
      </c>
      <c r="C878" s="27" t="s">
        <v>3899</v>
      </c>
      <c r="D878" s="28" t="s">
        <v>5813</v>
      </c>
      <c r="E878" s="28" t="s">
        <v>5639</v>
      </c>
      <c r="F878" s="28" t="s">
        <v>5640</v>
      </c>
      <c r="G878" s="28" t="s">
        <v>5812</v>
      </c>
      <c r="H878" s="27" t="s">
        <v>5715</v>
      </c>
      <c r="I878" s="28" t="s">
        <v>5734</v>
      </c>
      <c r="J878" s="28" t="s">
        <v>5634</v>
      </c>
    </row>
    <row r="879" customFormat="false" ht="15" hidden="false" customHeight="true" outlineLevel="0" collapsed="false">
      <c r="A879" s="27" t="s">
        <v>3901</v>
      </c>
      <c r="B879" s="27" t="s">
        <v>559</v>
      </c>
      <c r="C879" s="27" t="s">
        <v>3902</v>
      </c>
      <c r="D879" s="28" t="s">
        <v>5813</v>
      </c>
      <c r="E879" s="28" t="s">
        <v>5639</v>
      </c>
      <c r="F879" s="28" t="s">
        <v>5640</v>
      </c>
      <c r="G879" s="28" t="s">
        <v>5812</v>
      </c>
      <c r="H879" s="27" t="s">
        <v>5715</v>
      </c>
      <c r="I879" s="28" t="s">
        <v>5734</v>
      </c>
      <c r="J879" s="28" t="s">
        <v>5634</v>
      </c>
    </row>
    <row r="880" customFormat="false" ht="15" hidden="false" customHeight="true" outlineLevel="0" collapsed="false">
      <c r="A880" s="27" t="s">
        <v>3904</v>
      </c>
      <c r="B880" s="27" t="s">
        <v>559</v>
      </c>
      <c r="C880" s="27" t="s">
        <v>3905</v>
      </c>
      <c r="D880" s="28" t="s">
        <v>5813</v>
      </c>
      <c r="E880" s="28" t="s">
        <v>5639</v>
      </c>
      <c r="F880" s="28" t="s">
        <v>5640</v>
      </c>
      <c r="G880" s="28" t="s">
        <v>5812</v>
      </c>
      <c r="H880" s="27" t="s">
        <v>5715</v>
      </c>
      <c r="I880" s="28" t="s">
        <v>5734</v>
      </c>
      <c r="J880" s="28" t="s">
        <v>5634</v>
      </c>
    </row>
    <row r="881" customFormat="false" ht="15" hidden="false" customHeight="true" outlineLevel="0" collapsed="false">
      <c r="A881" s="27" t="s">
        <v>3907</v>
      </c>
      <c r="B881" s="27" t="s">
        <v>559</v>
      </c>
      <c r="C881" s="27" t="s">
        <v>3908</v>
      </c>
      <c r="D881" s="28" t="s">
        <v>5813</v>
      </c>
      <c r="E881" s="28" t="s">
        <v>5639</v>
      </c>
      <c r="F881" s="28" t="s">
        <v>5640</v>
      </c>
      <c r="G881" s="28" t="s">
        <v>5812</v>
      </c>
      <c r="H881" s="27" t="s">
        <v>5715</v>
      </c>
      <c r="I881" s="28" t="s">
        <v>5734</v>
      </c>
      <c r="J881" s="28" t="s">
        <v>5634</v>
      </c>
    </row>
    <row r="882" customFormat="false" ht="15" hidden="false" customHeight="true" outlineLevel="0" collapsed="false">
      <c r="A882" s="27" t="s">
        <v>3910</v>
      </c>
      <c r="B882" s="27" t="s">
        <v>559</v>
      </c>
      <c r="C882" s="27" t="s">
        <v>3911</v>
      </c>
      <c r="D882" s="28" t="s">
        <v>5792</v>
      </c>
      <c r="E882" s="28" t="s">
        <v>5793</v>
      </c>
      <c r="F882" s="28" t="s">
        <v>5640</v>
      </c>
      <c r="G882" s="28" t="s">
        <v>5812</v>
      </c>
      <c r="H882" s="27" t="s">
        <v>5715</v>
      </c>
      <c r="I882" s="28" t="s">
        <v>5734</v>
      </c>
      <c r="J882" s="28" t="s">
        <v>5634</v>
      </c>
    </row>
    <row r="883" customFormat="false" ht="15" hidden="false" customHeight="true" outlineLevel="0" collapsed="false">
      <c r="A883" s="27" t="s">
        <v>3913</v>
      </c>
      <c r="B883" s="27" t="s">
        <v>559</v>
      </c>
      <c r="C883" s="27" t="s">
        <v>3914</v>
      </c>
      <c r="D883" s="28" t="s">
        <v>5813</v>
      </c>
      <c r="E883" s="28" t="s">
        <v>5639</v>
      </c>
      <c r="F883" s="28" t="s">
        <v>5640</v>
      </c>
      <c r="G883" s="28" t="s">
        <v>5812</v>
      </c>
      <c r="H883" s="27" t="s">
        <v>5715</v>
      </c>
      <c r="I883" s="28" t="s">
        <v>5734</v>
      </c>
      <c r="J883" s="28" t="s">
        <v>5634</v>
      </c>
    </row>
    <row r="884" customFormat="false" ht="15" hidden="false" customHeight="true" outlineLevel="0" collapsed="false">
      <c r="A884" s="27" t="s">
        <v>3916</v>
      </c>
      <c r="B884" s="27" t="s">
        <v>559</v>
      </c>
      <c r="C884" s="27" t="s">
        <v>3917</v>
      </c>
      <c r="D884" s="28" t="s">
        <v>5814</v>
      </c>
      <c r="E884" s="28" t="s">
        <v>5639</v>
      </c>
      <c r="F884" s="28" t="s">
        <v>5640</v>
      </c>
      <c r="G884" s="28" t="s">
        <v>5812</v>
      </c>
      <c r="H884" s="27" t="s">
        <v>5715</v>
      </c>
      <c r="I884" s="28" t="s">
        <v>5734</v>
      </c>
      <c r="J884" s="28" t="s">
        <v>5634</v>
      </c>
    </row>
    <row r="885" customFormat="false" ht="15" hidden="false" customHeight="true" outlineLevel="0" collapsed="false">
      <c r="A885" s="27" t="s">
        <v>3919</v>
      </c>
      <c r="B885" s="27" t="s">
        <v>559</v>
      </c>
      <c r="C885" s="27" t="s">
        <v>3920</v>
      </c>
      <c r="D885" s="28" t="s">
        <v>5792</v>
      </c>
      <c r="E885" s="28" t="s">
        <v>5793</v>
      </c>
      <c r="F885" s="28" t="s">
        <v>5640</v>
      </c>
      <c r="G885" s="28" t="s">
        <v>5812</v>
      </c>
      <c r="H885" s="27" t="s">
        <v>5715</v>
      </c>
      <c r="I885" s="28" t="s">
        <v>5734</v>
      </c>
      <c r="J885" s="28" t="s">
        <v>5634</v>
      </c>
    </row>
    <row r="886" customFormat="false" ht="15" hidden="false" customHeight="true" outlineLevel="0" collapsed="false">
      <c r="A886" s="27" t="s">
        <v>3922</v>
      </c>
      <c r="B886" s="27" t="s">
        <v>559</v>
      </c>
      <c r="C886" s="27" t="s">
        <v>3923</v>
      </c>
      <c r="D886" s="28" t="s">
        <v>5779</v>
      </c>
      <c r="E886" s="28" t="s">
        <v>5636</v>
      </c>
      <c r="F886" s="28" t="s">
        <v>5640</v>
      </c>
      <c r="G886" s="28" t="s">
        <v>5812</v>
      </c>
      <c r="H886" s="27" t="s">
        <v>5715</v>
      </c>
      <c r="I886" s="28" t="s">
        <v>5734</v>
      </c>
      <c r="J886" s="28" t="s">
        <v>5634</v>
      </c>
    </row>
    <row r="887" customFormat="false" ht="15" hidden="false" customHeight="true" outlineLevel="0" collapsed="false">
      <c r="A887" s="27" t="s">
        <v>3925</v>
      </c>
      <c r="B887" s="27" t="s">
        <v>559</v>
      </c>
      <c r="C887" s="27" t="s">
        <v>3926</v>
      </c>
      <c r="D887" s="28" t="s">
        <v>5772</v>
      </c>
      <c r="E887" s="27" t="s">
        <v>5773</v>
      </c>
      <c r="F887" s="28" t="s">
        <v>5640</v>
      </c>
      <c r="G887" s="28" t="s">
        <v>5812</v>
      </c>
      <c r="H887" s="27" t="s">
        <v>5715</v>
      </c>
      <c r="I887" s="28" t="s">
        <v>5734</v>
      </c>
      <c r="J887" s="28" t="s">
        <v>5634</v>
      </c>
    </row>
    <row r="888" customFormat="false" ht="15" hidden="false" customHeight="true" outlineLevel="0" collapsed="false">
      <c r="A888" s="27" t="s">
        <v>3928</v>
      </c>
      <c r="B888" s="27" t="s">
        <v>559</v>
      </c>
      <c r="C888" s="27" t="s">
        <v>3929</v>
      </c>
      <c r="D888" s="28" t="s">
        <v>5772</v>
      </c>
      <c r="E888" s="27" t="s">
        <v>5773</v>
      </c>
      <c r="F888" s="28" t="s">
        <v>5640</v>
      </c>
      <c r="G888" s="28" t="s">
        <v>5812</v>
      </c>
      <c r="H888" s="27" t="s">
        <v>5715</v>
      </c>
      <c r="I888" s="28" t="s">
        <v>5734</v>
      </c>
      <c r="J888" s="28" t="s">
        <v>5634</v>
      </c>
    </row>
    <row r="889" customFormat="false" ht="15" hidden="false" customHeight="true" outlineLevel="0" collapsed="false">
      <c r="A889" s="27" t="s">
        <v>3931</v>
      </c>
      <c r="B889" s="27" t="s">
        <v>559</v>
      </c>
      <c r="C889" s="27" t="s">
        <v>3932</v>
      </c>
      <c r="D889" s="28" t="s">
        <v>5772</v>
      </c>
      <c r="E889" s="27" t="s">
        <v>5773</v>
      </c>
      <c r="F889" s="28" t="s">
        <v>5640</v>
      </c>
      <c r="G889" s="28" t="s">
        <v>5812</v>
      </c>
      <c r="H889" s="27" t="s">
        <v>5715</v>
      </c>
      <c r="I889" s="28" t="s">
        <v>5734</v>
      </c>
      <c r="J889" s="28" t="s">
        <v>5634</v>
      </c>
    </row>
    <row r="890" customFormat="false" ht="15" hidden="false" customHeight="true" outlineLevel="0" collapsed="false">
      <c r="A890" s="27" t="s">
        <v>3934</v>
      </c>
      <c r="B890" s="27" t="s">
        <v>559</v>
      </c>
      <c r="C890" s="27" t="s">
        <v>3935</v>
      </c>
      <c r="D890" s="28" t="s">
        <v>5814</v>
      </c>
      <c r="E890" s="28" t="s">
        <v>5639</v>
      </c>
      <c r="F890" s="28" t="s">
        <v>5640</v>
      </c>
      <c r="G890" s="28" t="s">
        <v>5812</v>
      </c>
      <c r="H890" s="27" t="s">
        <v>5715</v>
      </c>
      <c r="I890" s="28" t="s">
        <v>5734</v>
      </c>
      <c r="J890" s="28" t="s">
        <v>5651</v>
      </c>
    </row>
    <row r="891" customFormat="false" ht="15" hidden="false" customHeight="true" outlineLevel="0" collapsed="false">
      <c r="A891" s="27" t="s">
        <v>3937</v>
      </c>
      <c r="B891" s="27" t="s">
        <v>559</v>
      </c>
      <c r="C891" s="27" t="s">
        <v>3938</v>
      </c>
      <c r="D891" s="28" t="s">
        <v>5779</v>
      </c>
      <c r="E891" s="28" t="s">
        <v>5636</v>
      </c>
      <c r="F891" s="28" t="s">
        <v>5640</v>
      </c>
      <c r="G891" s="28" t="s">
        <v>5812</v>
      </c>
      <c r="H891" s="27" t="s">
        <v>5715</v>
      </c>
      <c r="I891" s="28" t="s">
        <v>5734</v>
      </c>
      <c r="J891" s="28" t="s">
        <v>5634</v>
      </c>
    </row>
    <row r="892" customFormat="false" ht="15" hidden="false" customHeight="true" outlineLevel="0" collapsed="false">
      <c r="A892" s="27" t="s">
        <v>3940</v>
      </c>
      <c r="B892" s="27" t="s">
        <v>559</v>
      </c>
      <c r="C892" s="27" t="s">
        <v>3941</v>
      </c>
      <c r="D892" s="28" t="s">
        <v>5779</v>
      </c>
      <c r="E892" s="28" t="s">
        <v>5636</v>
      </c>
      <c r="F892" s="28" t="s">
        <v>5640</v>
      </c>
      <c r="G892" s="28" t="s">
        <v>5812</v>
      </c>
      <c r="H892" s="27" t="s">
        <v>5715</v>
      </c>
      <c r="I892" s="28" t="s">
        <v>5734</v>
      </c>
      <c r="J892" s="28" t="s">
        <v>5634</v>
      </c>
    </row>
    <row r="893" customFormat="false" ht="15" hidden="false" customHeight="true" outlineLevel="0" collapsed="false">
      <c r="A893" s="27" t="s">
        <v>3943</v>
      </c>
      <c r="B893" s="27" t="s">
        <v>559</v>
      </c>
      <c r="C893" s="27" t="s">
        <v>3944</v>
      </c>
      <c r="D893" s="28" t="s">
        <v>5792</v>
      </c>
      <c r="E893" s="28" t="s">
        <v>5793</v>
      </c>
      <c r="F893" s="28" t="s">
        <v>5640</v>
      </c>
      <c r="G893" s="28" t="s">
        <v>5812</v>
      </c>
      <c r="H893" s="27" t="s">
        <v>5715</v>
      </c>
      <c r="I893" s="28" t="s">
        <v>5734</v>
      </c>
      <c r="J893" s="28" t="s">
        <v>5634</v>
      </c>
    </row>
    <row r="894" customFormat="false" ht="15" hidden="false" customHeight="true" outlineLevel="0" collapsed="false">
      <c r="A894" s="27" t="s">
        <v>3946</v>
      </c>
      <c r="B894" s="27" t="s">
        <v>559</v>
      </c>
      <c r="C894" s="27" t="s">
        <v>3947</v>
      </c>
      <c r="D894" s="28" t="s">
        <v>5772</v>
      </c>
      <c r="E894" s="27" t="s">
        <v>5773</v>
      </c>
      <c r="F894" s="28" t="s">
        <v>5640</v>
      </c>
      <c r="G894" s="28" t="s">
        <v>5812</v>
      </c>
      <c r="H894" s="27" t="s">
        <v>5715</v>
      </c>
      <c r="I894" s="28" t="s">
        <v>5734</v>
      </c>
      <c r="J894" s="28" t="s">
        <v>5634</v>
      </c>
    </row>
    <row r="895" customFormat="false" ht="15" hidden="false" customHeight="true" outlineLevel="0" collapsed="false">
      <c r="A895" s="27" t="s">
        <v>3949</v>
      </c>
      <c r="B895" s="27" t="s">
        <v>559</v>
      </c>
      <c r="C895" s="27" t="s">
        <v>3950</v>
      </c>
      <c r="D895" s="28" t="s">
        <v>5814</v>
      </c>
      <c r="E895" s="28" t="s">
        <v>5639</v>
      </c>
      <c r="F895" s="28" t="s">
        <v>5640</v>
      </c>
      <c r="G895" s="28" t="s">
        <v>5812</v>
      </c>
      <c r="H895" s="27" t="s">
        <v>5715</v>
      </c>
      <c r="I895" s="28" t="s">
        <v>5734</v>
      </c>
      <c r="J895" s="28" t="s">
        <v>5634</v>
      </c>
    </row>
    <row r="896" customFormat="false" ht="15" hidden="false" customHeight="true" outlineLevel="0" collapsed="false">
      <c r="A896" s="27" t="s">
        <v>3952</v>
      </c>
      <c r="B896" s="27" t="s">
        <v>559</v>
      </c>
      <c r="C896" s="27" t="s">
        <v>3953</v>
      </c>
      <c r="D896" s="28" t="s">
        <v>5814</v>
      </c>
      <c r="E896" s="28" t="s">
        <v>5639</v>
      </c>
      <c r="F896" s="28" t="s">
        <v>5640</v>
      </c>
      <c r="G896" s="28" t="s">
        <v>5812</v>
      </c>
      <c r="H896" s="27" t="s">
        <v>5715</v>
      </c>
      <c r="I896" s="28" t="s">
        <v>5734</v>
      </c>
      <c r="J896" s="28" t="s">
        <v>5634</v>
      </c>
    </row>
    <row r="897" customFormat="false" ht="15" hidden="false" customHeight="true" outlineLevel="0" collapsed="false">
      <c r="A897" s="27" t="s">
        <v>3955</v>
      </c>
      <c r="B897" s="27" t="s">
        <v>559</v>
      </c>
      <c r="C897" s="27" t="s">
        <v>3956</v>
      </c>
      <c r="D897" s="28" t="s">
        <v>5814</v>
      </c>
      <c r="E897" s="28" t="s">
        <v>5639</v>
      </c>
      <c r="F897" s="28" t="s">
        <v>5640</v>
      </c>
      <c r="G897" s="28" t="s">
        <v>5812</v>
      </c>
      <c r="H897" s="27" t="s">
        <v>5715</v>
      </c>
      <c r="I897" s="28" t="s">
        <v>5734</v>
      </c>
      <c r="J897" s="28" t="s">
        <v>5634</v>
      </c>
    </row>
    <row r="898" customFormat="false" ht="15" hidden="false" customHeight="true" outlineLevel="0" collapsed="false">
      <c r="A898" s="27" t="s">
        <v>3958</v>
      </c>
      <c r="B898" s="27" t="s">
        <v>559</v>
      </c>
      <c r="C898" s="28" t="s">
        <v>3959</v>
      </c>
      <c r="D898" s="28" t="s">
        <v>5792</v>
      </c>
      <c r="E898" s="28" t="s">
        <v>5793</v>
      </c>
      <c r="F898" s="28" t="s">
        <v>5640</v>
      </c>
      <c r="G898" s="28" t="s">
        <v>5812</v>
      </c>
      <c r="H898" s="27" t="s">
        <v>5715</v>
      </c>
      <c r="I898" s="28" t="s">
        <v>5734</v>
      </c>
      <c r="J898" s="28" t="s">
        <v>5634</v>
      </c>
    </row>
    <row r="899" customFormat="false" ht="15" hidden="false" customHeight="true" outlineLevel="0" collapsed="false">
      <c r="A899" s="27" t="s">
        <v>3961</v>
      </c>
      <c r="B899" s="27" t="s">
        <v>559</v>
      </c>
      <c r="C899" s="27" t="s">
        <v>3962</v>
      </c>
      <c r="D899" s="28" t="s">
        <v>5792</v>
      </c>
      <c r="E899" s="28" t="s">
        <v>5793</v>
      </c>
      <c r="F899" s="28" t="s">
        <v>5640</v>
      </c>
      <c r="G899" s="28" t="s">
        <v>5812</v>
      </c>
      <c r="H899" s="27" t="s">
        <v>5715</v>
      </c>
      <c r="I899" s="28" t="s">
        <v>5734</v>
      </c>
      <c r="J899" s="28" t="s">
        <v>5634</v>
      </c>
    </row>
    <row r="900" customFormat="false" ht="15" hidden="false" customHeight="true" outlineLevel="0" collapsed="false">
      <c r="A900" s="27" t="s">
        <v>3964</v>
      </c>
      <c r="B900" s="27" t="s">
        <v>559</v>
      </c>
      <c r="C900" s="27" t="s">
        <v>3965</v>
      </c>
      <c r="D900" s="28" t="s">
        <v>5814</v>
      </c>
      <c r="E900" s="28" t="s">
        <v>5639</v>
      </c>
      <c r="F900" s="28" t="s">
        <v>5640</v>
      </c>
      <c r="G900" s="28" t="s">
        <v>5812</v>
      </c>
      <c r="H900" s="27" t="s">
        <v>5715</v>
      </c>
      <c r="I900" s="28" t="s">
        <v>5734</v>
      </c>
      <c r="J900" s="28" t="s">
        <v>5634</v>
      </c>
    </row>
    <row r="901" customFormat="false" ht="15" hidden="false" customHeight="true" outlineLevel="0" collapsed="false">
      <c r="A901" s="27" t="s">
        <v>3967</v>
      </c>
      <c r="B901" s="27" t="s">
        <v>559</v>
      </c>
      <c r="C901" s="27" t="s">
        <v>3968</v>
      </c>
      <c r="D901" s="28" t="s">
        <v>5814</v>
      </c>
      <c r="E901" s="28" t="s">
        <v>5639</v>
      </c>
      <c r="F901" s="28" t="s">
        <v>5640</v>
      </c>
      <c r="G901" s="28" t="s">
        <v>5812</v>
      </c>
      <c r="H901" s="27" t="s">
        <v>5715</v>
      </c>
      <c r="I901" s="28" t="s">
        <v>5734</v>
      </c>
      <c r="J901" s="28" t="s">
        <v>5634</v>
      </c>
    </row>
    <row r="902" customFormat="false" ht="15" hidden="false" customHeight="true" outlineLevel="0" collapsed="false">
      <c r="A902" s="27" t="s">
        <v>3970</v>
      </c>
      <c r="B902" s="27" t="s">
        <v>559</v>
      </c>
      <c r="C902" s="27" t="s">
        <v>3971</v>
      </c>
      <c r="D902" s="28" t="s">
        <v>5814</v>
      </c>
      <c r="E902" s="28" t="s">
        <v>5639</v>
      </c>
      <c r="F902" s="28" t="s">
        <v>5640</v>
      </c>
      <c r="G902" s="28" t="s">
        <v>5812</v>
      </c>
      <c r="H902" s="27" t="s">
        <v>5715</v>
      </c>
      <c r="I902" s="28" t="s">
        <v>5734</v>
      </c>
      <c r="J902" s="28" t="s">
        <v>5634</v>
      </c>
    </row>
    <row r="903" customFormat="false" ht="15" hidden="false" customHeight="true" outlineLevel="0" collapsed="false">
      <c r="A903" s="27" t="s">
        <v>3973</v>
      </c>
      <c r="B903" s="27" t="s">
        <v>559</v>
      </c>
      <c r="C903" s="27" t="s">
        <v>3974</v>
      </c>
      <c r="D903" s="28" t="s">
        <v>5792</v>
      </c>
      <c r="E903" s="28" t="s">
        <v>5793</v>
      </c>
      <c r="F903" s="28" t="s">
        <v>5640</v>
      </c>
      <c r="G903" s="28" t="s">
        <v>5812</v>
      </c>
      <c r="H903" s="27" t="s">
        <v>5715</v>
      </c>
      <c r="I903" s="28" t="s">
        <v>5734</v>
      </c>
      <c r="J903" s="28" t="s">
        <v>5634</v>
      </c>
    </row>
    <row r="904" customFormat="false" ht="15" hidden="false" customHeight="true" outlineLevel="0" collapsed="false">
      <c r="A904" s="27" t="s">
        <v>3976</v>
      </c>
      <c r="B904" s="27" t="s">
        <v>559</v>
      </c>
      <c r="C904" s="27" t="s">
        <v>3977</v>
      </c>
      <c r="D904" s="28" t="s">
        <v>5772</v>
      </c>
      <c r="E904" s="27" t="s">
        <v>5773</v>
      </c>
      <c r="F904" s="28" t="s">
        <v>5640</v>
      </c>
      <c r="G904" s="28" t="s">
        <v>5812</v>
      </c>
      <c r="H904" s="27" t="s">
        <v>5715</v>
      </c>
      <c r="I904" s="28" t="s">
        <v>5734</v>
      </c>
      <c r="J904" s="28" t="s">
        <v>5634</v>
      </c>
    </row>
    <row r="905" customFormat="false" ht="15" hidden="false" customHeight="true" outlineLevel="0" collapsed="false">
      <c r="A905" s="27" t="s">
        <v>3979</v>
      </c>
      <c r="B905" s="27" t="s">
        <v>559</v>
      </c>
      <c r="C905" s="27" t="s">
        <v>3980</v>
      </c>
      <c r="D905" s="28" t="s">
        <v>5814</v>
      </c>
      <c r="E905" s="28" t="s">
        <v>5639</v>
      </c>
      <c r="F905" s="28" t="s">
        <v>5640</v>
      </c>
      <c r="G905" s="28" t="s">
        <v>5812</v>
      </c>
      <c r="H905" s="27" t="s">
        <v>5715</v>
      </c>
      <c r="I905" s="28" t="s">
        <v>5734</v>
      </c>
      <c r="J905" s="28" t="s">
        <v>5634</v>
      </c>
    </row>
    <row r="906" customFormat="false" ht="15" hidden="false" customHeight="true" outlineLevel="0" collapsed="false">
      <c r="A906" s="27" t="s">
        <v>3982</v>
      </c>
      <c r="B906" s="27" t="s">
        <v>559</v>
      </c>
      <c r="C906" s="27" t="s">
        <v>3983</v>
      </c>
      <c r="D906" s="28" t="s">
        <v>5814</v>
      </c>
      <c r="E906" s="28" t="s">
        <v>5639</v>
      </c>
      <c r="F906" s="28" t="s">
        <v>5640</v>
      </c>
      <c r="G906" s="28" t="s">
        <v>5812</v>
      </c>
      <c r="H906" s="27" t="s">
        <v>5715</v>
      </c>
      <c r="I906" s="28" t="s">
        <v>5734</v>
      </c>
      <c r="J906" s="28" t="s">
        <v>5634</v>
      </c>
    </row>
    <row r="907" customFormat="false" ht="15" hidden="false" customHeight="true" outlineLevel="0" collapsed="false">
      <c r="A907" s="27" t="s">
        <v>3985</v>
      </c>
      <c r="B907" s="27" t="s">
        <v>559</v>
      </c>
      <c r="C907" s="27" t="s">
        <v>3986</v>
      </c>
      <c r="D907" s="28" t="s">
        <v>5814</v>
      </c>
      <c r="E907" s="28" t="s">
        <v>5639</v>
      </c>
      <c r="F907" s="28" t="s">
        <v>5640</v>
      </c>
      <c r="G907" s="28" t="s">
        <v>5812</v>
      </c>
      <c r="H907" s="27" t="s">
        <v>5715</v>
      </c>
      <c r="I907" s="28" t="s">
        <v>5734</v>
      </c>
      <c r="J907" s="28" t="s">
        <v>5634</v>
      </c>
    </row>
    <row r="908" customFormat="false" ht="15" hidden="false" customHeight="true" outlineLevel="0" collapsed="false">
      <c r="A908" s="27" t="s">
        <v>3988</v>
      </c>
      <c r="B908" s="27" t="s">
        <v>559</v>
      </c>
      <c r="C908" s="27" t="s">
        <v>3989</v>
      </c>
      <c r="D908" s="28" t="s">
        <v>5814</v>
      </c>
      <c r="E908" s="28" t="s">
        <v>5639</v>
      </c>
      <c r="F908" s="28" t="s">
        <v>5640</v>
      </c>
      <c r="G908" s="28" t="s">
        <v>5812</v>
      </c>
      <c r="H908" s="27" t="s">
        <v>5715</v>
      </c>
      <c r="I908" s="28" t="s">
        <v>5734</v>
      </c>
      <c r="J908" s="28" t="s">
        <v>5634</v>
      </c>
    </row>
    <row r="909" customFormat="false" ht="15" hidden="false" customHeight="true" outlineLevel="0" collapsed="false">
      <c r="A909" s="27" t="s">
        <v>3991</v>
      </c>
      <c r="B909" s="27" t="s">
        <v>559</v>
      </c>
      <c r="C909" s="27" t="s">
        <v>3992</v>
      </c>
      <c r="D909" s="28" t="s">
        <v>5772</v>
      </c>
      <c r="E909" s="27" t="s">
        <v>5773</v>
      </c>
      <c r="F909" s="28" t="s">
        <v>5640</v>
      </c>
      <c r="G909" s="28" t="s">
        <v>5812</v>
      </c>
      <c r="H909" s="27" t="s">
        <v>5715</v>
      </c>
      <c r="I909" s="28" t="s">
        <v>5734</v>
      </c>
      <c r="J909" s="28" t="s">
        <v>5634</v>
      </c>
    </row>
    <row r="910" customFormat="false" ht="15" hidden="false" customHeight="true" outlineLevel="0" collapsed="false">
      <c r="A910" s="27" t="s">
        <v>3994</v>
      </c>
      <c r="B910" s="27" t="s">
        <v>559</v>
      </c>
      <c r="C910" s="27" t="s">
        <v>3995</v>
      </c>
      <c r="D910" s="28" t="s">
        <v>5814</v>
      </c>
      <c r="E910" s="28" t="s">
        <v>5639</v>
      </c>
      <c r="F910" s="28" t="s">
        <v>5640</v>
      </c>
      <c r="G910" s="28" t="s">
        <v>5812</v>
      </c>
      <c r="H910" s="27" t="s">
        <v>5715</v>
      </c>
      <c r="I910" s="28" t="s">
        <v>5734</v>
      </c>
      <c r="J910" s="28" t="s">
        <v>5657</v>
      </c>
    </row>
    <row r="911" customFormat="false" ht="15" hidden="false" customHeight="true" outlineLevel="0" collapsed="false">
      <c r="A911" s="27" t="s">
        <v>3997</v>
      </c>
      <c r="B911" s="27" t="s">
        <v>559</v>
      </c>
      <c r="C911" s="27" t="s">
        <v>3998</v>
      </c>
      <c r="D911" s="28" t="s">
        <v>5792</v>
      </c>
      <c r="E911" s="28" t="s">
        <v>5793</v>
      </c>
      <c r="F911" s="28" t="s">
        <v>5640</v>
      </c>
      <c r="G911" s="28" t="s">
        <v>5812</v>
      </c>
      <c r="H911" s="27" t="s">
        <v>5715</v>
      </c>
      <c r="I911" s="28" t="s">
        <v>5734</v>
      </c>
      <c r="J911" s="28" t="s">
        <v>5634</v>
      </c>
    </row>
    <row r="912" customFormat="false" ht="15" hidden="false" customHeight="true" outlineLevel="0" collapsed="false">
      <c r="A912" s="27" t="s">
        <v>4000</v>
      </c>
      <c r="B912" s="27" t="s">
        <v>559</v>
      </c>
      <c r="C912" s="27" t="s">
        <v>4001</v>
      </c>
      <c r="D912" s="28" t="s">
        <v>5792</v>
      </c>
      <c r="E912" s="28" t="s">
        <v>5793</v>
      </c>
      <c r="F912" s="28" t="s">
        <v>5640</v>
      </c>
      <c r="G912" s="28" t="s">
        <v>5812</v>
      </c>
      <c r="H912" s="27" t="s">
        <v>5715</v>
      </c>
      <c r="I912" s="28" t="s">
        <v>5734</v>
      </c>
      <c r="J912" s="28" t="s">
        <v>5634</v>
      </c>
    </row>
    <row r="913" customFormat="false" ht="15" hidden="false" customHeight="true" outlineLevel="0" collapsed="false">
      <c r="A913" s="27" t="s">
        <v>4003</v>
      </c>
      <c r="B913" s="27" t="s">
        <v>559</v>
      </c>
      <c r="C913" s="27" t="s">
        <v>4004</v>
      </c>
      <c r="D913" s="28" t="s">
        <v>5792</v>
      </c>
      <c r="E913" s="28" t="s">
        <v>5793</v>
      </c>
      <c r="F913" s="28" t="s">
        <v>5640</v>
      </c>
      <c r="G913" s="28" t="s">
        <v>5812</v>
      </c>
      <c r="H913" s="27" t="s">
        <v>5715</v>
      </c>
      <c r="I913" s="28" t="s">
        <v>5734</v>
      </c>
      <c r="J913" s="28" t="s">
        <v>5634</v>
      </c>
    </row>
    <row r="914" customFormat="false" ht="15" hidden="false" customHeight="true" outlineLevel="0" collapsed="false">
      <c r="A914" s="27" t="s">
        <v>4006</v>
      </c>
      <c r="B914" s="27" t="s">
        <v>559</v>
      </c>
      <c r="C914" s="27" t="s">
        <v>4007</v>
      </c>
      <c r="D914" s="28" t="s">
        <v>5792</v>
      </c>
      <c r="E914" s="28" t="s">
        <v>5793</v>
      </c>
      <c r="F914" s="28" t="s">
        <v>5640</v>
      </c>
      <c r="G914" s="28" t="s">
        <v>5812</v>
      </c>
      <c r="H914" s="27" t="s">
        <v>5715</v>
      </c>
      <c r="I914" s="28" t="s">
        <v>5734</v>
      </c>
      <c r="J914" s="28" t="s">
        <v>5634</v>
      </c>
    </row>
    <row r="915" customFormat="false" ht="15" hidden="false" customHeight="true" outlineLevel="0" collapsed="false">
      <c r="A915" s="27" t="s">
        <v>4009</v>
      </c>
      <c r="B915" s="27" t="s">
        <v>559</v>
      </c>
      <c r="C915" s="27" t="s">
        <v>4010</v>
      </c>
      <c r="D915" s="28" t="s">
        <v>5813</v>
      </c>
      <c r="E915" s="28" t="s">
        <v>5639</v>
      </c>
      <c r="F915" s="28" t="s">
        <v>5640</v>
      </c>
      <c r="G915" s="28" t="s">
        <v>5812</v>
      </c>
      <c r="H915" s="27" t="s">
        <v>5715</v>
      </c>
      <c r="I915" s="28" t="s">
        <v>5734</v>
      </c>
      <c r="J915" s="28" t="s">
        <v>5634</v>
      </c>
    </row>
    <row r="916" customFormat="false" ht="15" hidden="false" customHeight="true" outlineLevel="0" collapsed="false">
      <c r="A916" s="27" t="s">
        <v>4012</v>
      </c>
      <c r="B916" s="27" t="s">
        <v>559</v>
      </c>
      <c r="C916" s="27" t="s">
        <v>4013</v>
      </c>
      <c r="D916" s="28" t="s">
        <v>5772</v>
      </c>
      <c r="E916" s="27" t="s">
        <v>5773</v>
      </c>
      <c r="F916" s="28" t="s">
        <v>5640</v>
      </c>
      <c r="G916" s="28" t="s">
        <v>5812</v>
      </c>
      <c r="H916" s="27" t="s">
        <v>5715</v>
      </c>
      <c r="I916" s="28" t="s">
        <v>5734</v>
      </c>
      <c r="J916" s="28" t="s">
        <v>5634</v>
      </c>
    </row>
    <row r="917" customFormat="false" ht="15" hidden="false" customHeight="true" outlineLevel="0" collapsed="false">
      <c r="A917" s="27" t="s">
        <v>4015</v>
      </c>
      <c r="B917" s="27" t="s">
        <v>559</v>
      </c>
      <c r="C917" s="27" t="s">
        <v>4016</v>
      </c>
      <c r="D917" s="28" t="s">
        <v>5792</v>
      </c>
      <c r="E917" s="28" t="s">
        <v>5793</v>
      </c>
      <c r="F917" s="28" t="s">
        <v>5640</v>
      </c>
      <c r="G917" s="28" t="s">
        <v>5812</v>
      </c>
      <c r="H917" s="27" t="s">
        <v>5715</v>
      </c>
      <c r="I917" s="28" t="s">
        <v>5734</v>
      </c>
      <c r="J917" s="28" t="s">
        <v>5634</v>
      </c>
    </row>
    <row r="918" customFormat="false" ht="15" hidden="false" customHeight="true" outlineLevel="0" collapsed="false">
      <c r="A918" s="27" t="s">
        <v>4018</v>
      </c>
      <c r="B918" s="27" t="s">
        <v>559</v>
      </c>
      <c r="C918" s="27" t="s">
        <v>4019</v>
      </c>
      <c r="D918" s="28" t="s">
        <v>5772</v>
      </c>
      <c r="E918" s="27" t="s">
        <v>5773</v>
      </c>
      <c r="F918" s="28" t="s">
        <v>5640</v>
      </c>
      <c r="G918" s="28" t="s">
        <v>5812</v>
      </c>
      <c r="H918" s="27" t="s">
        <v>5715</v>
      </c>
      <c r="I918" s="28" t="s">
        <v>5734</v>
      </c>
      <c r="J918" s="28" t="s">
        <v>5634</v>
      </c>
    </row>
    <row r="919" customFormat="false" ht="15" hidden="false" customHeight="true" outlineLevel="0" collapsed="false">
      <c r="A919" s="27" t="s">
        <v>4021</v>
      </c>
      <c r="B919" s="27" t="s">
        <v>559</v>
      </c>
      <c r="C919" s="27" t="s">
        <v>4022</v>
      </c>
      <c r="D919" s="28" t="s">
        <v>5792</v>
      </c>
      <c r="E919" s="28" t="s">
        <v>5793</v>
      </c>
      <c r="F919" s="28" t="s">
        <v>5640</v>
      </c>
      <c r="G919" s="28" t="s">
        <v>5812</v>
      </c>
      <c r="H919" s="27" t="s">
        <v>5715</v>
      </c>
      <c r="I919" s="28" t="s">
        <v>5734</v>
      </c>
      <c r="J919" s="28" t="s">
        <v>5634</v>
      </c>
    </row>
    <row r="920" customFormat="false" ht="15" hidden="false" customHeight="true" outlineLevel="0" collapsed="false">
      <c r="A920" s="27" t="s">
        <v>4024</v>
      </c>
      <c r="B920" s="27" t="s">
        <v>559</v>
      </c>
      <c r="C920" s="27" t="s">
        <v>4025</v>
      </c>
      <c r="D920" s="28" t="s">
        <v>5814</v>
      </c>
      <c r="E920" s="28" t="s">
        <v>5639</v>
      </c>
      <c r="F920" s="28" t="s">
        <v>5640</v>
      </c>
      <c r="G920" s="28" t="s">
        <v>5812</v>
      </c>
      <c r="H920" s="27" t="s">
        <v>5715</v>
      </c>
      <c r="I920" s="28" t="s">
        <v>5734</v>
      </c>
      <c r="J920" s="28" t="s">
        <v>5634</v>
      </c>
    </row>
    <row r="921" customFormat="false" ht="15" hidden="false" customHeight="true" outlineLevel="0" collapsed="false">
      <c r="A921" s="27" t="s">
        <v>4027</v>
      </c>
      <c r="B921" s="27" t="s">
        <v>559</v>
      </c>
      <c r="C921" s="27" t="s">
        <v>4028</v>
      </c>
      <c r="D921" s="28" t="s">
        <v>5762</v>
      </c>
      <c r="E921" s="28" t="s">
        <v>5763</v>
      </c>
      <c r="F921" s="28" t="s">
        <v>5640</v>
      </c>
      <c r="G921" s="28" t="s">
        <v>5812</v>
      </c>
      <c r="H921" s="27" t="s">
        <v>5715</v>
      </c>
      <c r="I921" s="28" t="s">
        <v>5734</v>
      </c>
      <c r="J921" s="28" t="s">
        <v>5634</v>
      </c>
    </row>
    <row r="922" customFormat="false" ht="15" hidden="false" customHeight="true" outlineLevel="0" collapsed="false">
      <c r="A922" s="27" t="s">
        <v>4030</v>
      </c>
      <c r="B922" s="27" t="s">
        <v>559</v>
      </c>
      <c r="C922" s="27" t="s">
        <v>4031</v>
      </c>
      <c r="D922" s="28" t="s">
        <v>5762</v>
      </c>
      <c r="E922" s="28" t="s">
        <v>5763</v>
      </c>
      <c r="F922" s="28" t="s">
        <v>5640</v>
      </c>
      <c r="G922" s="28" t="s">
        <v>5812</v>
      </c>
      <c r="H922" s="27" t="s">
        <v>5715</v>
      </c>
      <c r="I922" s="28" t="s">
        <v>5734</v>
      </c>
      <c r="J922" s="28" t="s">
        <v>5634</v>
      </c>
    </row>
    <row r="923" customFormat="false" ht="15" hidden="false" customHeight="true" outlineLevel="0" collapsed="false">
      <c r="A923" s="27" t="s">
        <v>4033</v>
      </c>
      <c r="B923" s="27" t="s">
        <v>559</v>
      </c>
      <c r="C923" s="27" t="s">
        <v>4034</v>
      </c>
      <c r="D923" s="28" t="s">
        <v>5772</v>
      </c>
      <c r="E923" s="27" t="s">
        <v>5773</v>
      </c>
      <c r="F923" s="28" t="s">
        <v>5640</v>
      </c>
      <c r="G923" s="28" t="s">
        <v>5812</v>
      </c>
      <c r="H923" s="27" t="s">
        <v>5715</v>
      </c>
      <c r="I923" s="28" t="s">
        <v>5734</v>
      </c>
      <c r="J923" s="28" t="s">
        <v>5634</v>
      </c>
    </row>
    <row r="924" customFormat="false" ht="15" hidden="false" customHeight="true" outlineLevel="0" collapsed="false">
      <c r="A924" s="27" t="s">
        <v>4036</v>
      </c>
      <c r="B924" s="27" t="s">
        <v>559</v>
      </c>
      <c r="C924" s="27" t="s">
        <v>4037</v>
      </c>
      <c r="D924" s="28" t="s">
        <v>5792</v>
      </c>
      <c r="E924" s="28" t="s">
        <v>5793</v>
      </c>
      <c r="F924" s="28" t="s">
        <v>5640</v>
      </c>
      <c r="G924" s="28" t="s">
        <v>5812</v>
      </c>
      <c r="H924" s="27" t="s">
        <v>5715</v>
      </c>
      <c r="I924" s="28" t="s">
        <v>5734</v>
      </c>
      <c r="J924" s="28" t="s">
        <v>5634</v>
      </c>
    </row>
    <row r="925" customFormat="false" ht="15" hidden="false" customHeight="true" outlineLevel="0" collapsed="false">
      <c r="A925" s="27" t="s">
        <v>4039</v>
      </c>
      <c r="B925" s="27" t="s">
        <v>559</v>
      </c>
      <c r="C925" s="27" t="s">
        <v>4040</v>
      </c>
      <c r="D925" s="28" t="s">
        <v>5792</v>
      </c>
      <c r="E925" s="28" t="s">
        <v>5793</v>
      </c>
      <c r="F925" s="28" t="s">
        <v>5640</v>
      </c>
      <c r="G925" s="28" t="s">
        <v>5812</v>
      </c>
      <c r="H925" s="27" t="s">
        <v>5715</v>
      </c>
      <c r="I925" s="28" t="s">
        <v>5734</v>
      </c>
      <c r="J925" s="28" t="s">
        <v>5634</v>
      </c>
    </row>
    <row r="926" customFormat="false" ht="15" hidden="false" customHeight="true" outlineLevel="0" collapsed="false">
      <c r="A926" s="27" t="s">
        <v>4042</v>
      </c>
      <c r="B926" s="27" t="s">
        <v>559</v>
      </c>
      <c r="C926" s="27" t="s">
        <v>4043</v>
      </c>
      <c r="D926" s="28" t="s">
        <v>5772</v>
      </c>
      <c r="E926" s="27" t="s">
        <v>5773</v>
      </c>
      <c r="F926" s="28" t="s">
        <v>5640</v>
      </c>
      <c r="G926" s="28" t="s">
        <v>5812</v>
      </c>
      <c r="H926" s="27" t="s">
        <v>5715</v>
      </c>
      <c r="I926" s="28" t="s">
        <v>5734</v>
      </c>
      <c r="J926" s="28" t="s">
        <v>5634</v>
      </c>
    </row>
    <row r="927" customFormat="false" ht="15" hidden="false" customHeight="true" outlineLevel="0" collapsed="false">
      <c r="A927" s="27" t="s">
        <v>4045</v>
      </c>
      <c r="B927" s="27" t="s">
        <v>559</v>
      </c>
      <c r="C927" s="27" t="s">
        <v>4046</v>
      </c>
      <c r="D927" s="28" t="s">
        <v>5814</v>
      </c>
      <c r="E927" s="28" t="s">
        <v>5639</v>
      </c>
      <c r="F927" s="28" t="s">
        <v>5640</v>
      </c>
      <c r="G927" s="28" t="s">
        <v>5812</v>
      </c>
      <c r="H927" s="27" t="s">
        <v>5715</v>
      </c>
      <c r="I927" s="28" t="s">
        <v>5734</v>
      </c>
      <c r="J927" s="27"/>
    </row>
    <row r="928" customFormat="false" ht="15" hidden="false" customHeight="true" outlineLevel="0" collapsed="false">
      <c r="A928" s="27" t="s">
        <v>4048</v>
      </c>
      <c r="B928" s="27" t="s">
        <v>559</v>
      </c>
      <c r="C928" s="27" t="s">
        <v>4049</v>
      </c>
      <c r="D928" s="28" t="s">
        <v>5762</v>
      </c>
      <c r="E928" s="28" t="s">
        <v>5763</v>
      </c>
      <c r="F928" s="28" t="s">
        <v>5640</v>
      </c>
      <c r="G928" s="28" t="s">
        <v>5812</v>
      </c>
      <c r="H928" s="27" t="s">
        <v>5715</v>
      </c>
      <c r="I928" s="28" t="s">
        <v>5734</v>
      </c>
      <c r="J928" s="27"/>
    </row>
    <row r="929" customFormat="false" ht="15" hidden="false" customHeight="true" outlineLevel="0" collapsed="false">
      <c r="A929" s="27" t="s">
        <v>4051</v>
      </c>
      <c r="B929" s="27" t="s">
        <v>559</v>
      </c>
      <c r="C929" s="27" t="s">
        <v>4052</v>
      </c>
      <c r="D929" s="28" t="s">
        <v>5813</v>
      </c>
      <c r="E929" s="28" t="s">
        <v>5639</v>
      </c>
      <c r="F929" s="28" t="s">
        <v>5640</v>
      </c>
      <c r="G929" s="28" t="s">
        <v>5812</v>
      </c>
      <c r="H929" s="27" t="s">
        <v>5715</v>
      </c>
      <c r="I929" s="28" t="s">
        <v>5734</v>
      </c>
      <c r="J929" s="27"/>
    </row>
    <row r="930" customFormat="false" ht="15" hidden="false" customHeight="true" outlineLevel="0" collapsed="false">
      <c r="A930" s="27" t="s">
        <v>4054</v>
      </c>
      <c r="B930" s="27" t="s">
        <v>559</v>
      </c>
      <c r="C930" s="27" t="s">
        <v>4055</v>
      </c>
      <c r="D930" s="28" t="s">
        <v>5792</v>
      </c>
      <c r="E930" s="28" t="s">
        <v>5793</v>
      </c>
      <c r="F930" s="28" t="s">
        <v>5640</v>
      </c>
      <c r="G930" s="28" t="s">
        <v>5812</v>
      </c>
      <c r="H930" s="27" t="s">
        <v>5715</v>
      </c>
      <c r="I930" s="28" t="s">
        <v>5734</v>
      </c>
      <c r="J930" s="27"/>
    </row>
    <row r="931" customFormat="false" ht="15" hidden="false" customHeight="true" outlineLevel="0" collapsed="false">
      <c r="A931" s="27" t="s">
        <v>4057</v>
      </c>
      <c r="B931" s="27" t="s">
        <v>559</v>
      </c>
      <c r="C931" s="27" t="s">
        <v>4058</v>
      </c>
      <c r="D931" s="28" t="s">
        <v>5813</v>
      </c>
      <c r="E931" s="28" t="s">
        <v>5639</v>
      </c>
      <c r="F931" s="28" t="s">
        <v>5640</v>
      </c>
      <c r="G931" s="28" t="s">
        <v>5812</v>
      </c>
      <c r="H931" s="27" t="s">
        <v>5715</v>
      </c>
      <c r="I931" s="28" t="s">
        <v>5734</v>
      </c>
      <c r="J931" s="27"/>
    </row>
    <row r="932" customFormat="false" ht="15" hidden="false" customHeight="true" outlineLevel="0" collapsed="false">
      <c r="A932" s="27" t="s">
        <v>4060</v>
      </c>
      <c r="B932" s="27" t="s">
        <v>559</v>
      </c>
      <c r="C932" s="27" t="s">
        <v>4061</v>
      </c>
      <c r="D932" s="28" t="s">
        <v>5813</v>
      </c>
      <c r="E932" s="28" t="s">
        <v>5639</v>
      </c>
      <c r="F932" s="28" t="s">
        <v>5640</v>
      </c>
      <c r="G932" s="28" t="s">
        <v>5812</v>
      </c>
      <c r="H932" s="27" t="s">
        <v>5715</v>
      </c>
      <c r="I932" s="28" t="s">
        <v>5734</v>
      </c>
      <c r="J932" s="27"/>
    </row>
    <row r="933" customFormat="false" ht="15" hidden="false" customHeight="true" outlineLevel="0" collapsed="false">
      <c r="A933" s="27" t="s">
        <v>4063</v>
      </c>
      <c r="B933" s="27" t="s">
        <v>559</v>
      </c>
      <c r="C933" s="27" t="s">
        <v>4064</v>
      </c>
      <c r="D933" s="28" t="s">
        <v>5772</v>
      </c>
      <c r="E933" s="27" t="s">
        <v>5773</v>
      </c>
      <c r="F933" s="28" t="s">
        <v>5640</v>
      </c>
      <c r="G933" s="28" t="s">
        <v>5812</v>
      </c>
      <c r="H933" s="27" t="s">
        <v>5715</v>
      </c>
      <c r="I933" s="28" t="s">
        <v>5734</v>
      </c>
      <c r="J933" s="27"/>
    </row>
    <row r="934" customFormat="false" ht="15" hidden="false" customHeight="true" outlineLevel="0" collapsed="false">
      <c r="A934" s="27" t="s">
        <v>4066</v>
      </c>
      <c r="B934" s="27" t="s">
        <v>559</v>
      </c>
      <c r="C934" s="27" t="s">
        <v>4067</v>
      </c>
      <c r="D934" s="28" t="s">
        <v>5814</v>
      </c>
      <c r="E934" s="28" t="s">
        <v>5639</v>
      </c>
      <c r="F934" s="28" t="s">
        <v>5640</v>
      </c>
      <c r="G934" s="28" t="s">
        <v>5812</v>
      </c>
      <c r="H934" s="27" t="s">
        <v>5715</v>
      </c>
      <c r="I934" s="28" t="s">
        <v>5734</v>
      </c>
      <c r="J934" s="27"/>
    </row>
    <row r="935" customFormat="false" ht="15" hidden="false" customHeight="true" outlineLevel="0" collapsed="false">
      <c r="A935" s="27" t="s">
        <v>4069</v>
      </c>
      <c r="B935" s="27" t="s">
        <v>559</v>
      </c>
      <c r="C935" s="27" t="s">
        <v>4070</v>
      </c>
      <c r="D935" s="28" t="s">
        <v>5772</v>
      </c>
      <c r="E935" s="27" t="s">
        <v>5773</v>
      </c>
      <c r="F935" s="28" t="s">
        <v>5640</v>
      </c>
      <c r="G935" s="28" t="s">
        <v>5812</v>
      </c>
      <c r="H935" s="27" t="s">
        <v>5715</v>
      </c>
      <c r="I935" s="28" t="s">
        <v>5734</v>
      </c>
      <c r="J935" s="27"/>
    </row>
    <row r="936" customFormat="false" ht="15" hidden="false" customHeight="true" outlineLevel="0" collapsed="false">
      <c r="A936" s="27" t="s">
        <v>4072</v>
      </c>
      <c r="B936" s="27" t="s">
        <v>559</v>
      </c>
      <c r="C936" s="27" t="s">
        <v>4073</v>
      </c>
      <c r="D936" s="28" t="s">
        <v>5772</v>
      </c>
      <c r="E936" s="27" t="s">
        <v>5773</v>
      </c>
      <c r="F936" s="28" t="s">
        <v>5640</v>
      </c>
      <c r="G936" s="28" t="s">
        <v>5812</v>
      </c>
      <c r="H936" s="27" t="s">
        <v>5715</v>
      </c>
      <c r="I936" s="28" t="s">
        <v>5734</v>
      </c>
      <c r="J936" s="27"/>
    </row>
    <row r="937" customFormat="false" ht="15" hidden="false" customHeight="true" outlineLevel="0" collapsed="false">
      <c r="A937" s="27" t="s">
        <v>4075</v>
      </c>
      <c r="B937" s="27" t="s">
        <v>559</v>
      </c>
      <c r="C937" s="27" t="s">
        <v>4076</v>
      </c>
      <c r="D937" s="28" t="s">
        <v>5772</v>
      </c>
      <c r="E937" s="27" t="s">
        <v>5773</v>
      </c>
      <c r="F937" s="28" t="s">
        <v>5640</v>
      </c>
      <c r="G937" s="28" t="s">
        <v>5812</v>
      </c>
      <c r="H937" s="27" t="s">
        <v>5715</v>
      </c>
      <c r="I937" s="28" t="s">
        <v>5734</v>
      </c>
      <c r="J937" s="27"/>
    </row>
    <row r="938" customFormat="false" ht="15" hidden="false" customHeight="true" outlineLevel="0" collapsed="false">
      <c r="A938" s="27" t="s">
        <v>4078</v>
      </c>
      <c r="B938" s="27" t="s">
        <v>559</v>
      </c>
      <c r="C938" s="27" t="s">
        <v>4079</v>
      </c>
      <c r="D938" s="28" t="s">
        <v>5814</v>
      </c>
      <c r="E938" s="28" t="s">
        <v>5639</v>
      </c>
      <c r="F938" s="28" t="s">
        <v>5640</v>
      </c>
      <c r="G938" s="28" t="s">
        <v>5812</v>
      </c>
      <c r="H938" s="27" t="s">
        <v>5715</v>
      </c>
      <c r="I938" s="28" t="s">
        <v>5734</v>
      </c>
      <c r="J938" s="27"/>
    </row>
    <row r="939" customFormat="false" ht="15" hidden="false" customHeight="true" outlineLevel="0" collapsed="false">
      <c r="A939" s="27" t="s">
        <v>4081</v>
      </c>
      <c r="B939" s="27" t="s">
        <v>559</v>
      </c>
      <c r="C939" s="27" t="s">
        <v>4082</v>
      </c>
      <c r="D939" s="28" t="s">
        <v>5762</v>
      </c>
      <c r="E939" s="28" t="s">
        <v>5763</v>
      </c>
      <c r="F939" s="28" t="s">
        <v>5640</v>
      </c>
      <c r="G939" s="28" t="s">
        <v>5812</v>
      </c>
      <c r="H939" s="27" t="s">
        <v>5715</v>
      </c>
      <c r="I939" s="28" t="s">
        <v>5734</v>
      </c>
      <c r="J939" s="27"/>
    </row>
    <row r="940" customFormat="false" ht="15" hidden="false" customHeight="true" outlineLevel="0" collapsed="false">
      <c r="A940" s="27" t="s">
        <v>4084</v>
      </c>
      <c r="B940" s="27" t="s">
        <v>559</v>
      </c>
      <c r="C940" s="27" t="s">
        <v>4085</v>
      </c>
      <c r="D940" s="28" t="s">
        <v>5813</v>
      </c>
      <c r="E940" s="28" t="s">
        <v>5639</v>
      </c>
      <c r="F940" s="28" t="s">
        <v>5640</v>
      </c>
      <c r="G940" s="28" t="s">
        <v>5812</v>
      </c>
      <c r="H940" s="27" t="s">
        <v>5715</v>
      </c>
      <c r="I940" s="28" t="s">
        <v>5734</v>
      </c>
      <c r="J940" s="27"/>
    </row>
    <row r="941" customFormat="false" ht="15" hidden="false" customHeight="true" outlineLevel="0" collapsed="false">
      <c r="A941" s="27" t="s">
        <v>4087</v>
      </c>
      <c r="B941" s="27" t="s">
        <v>559</v>
      </c>
      <c r="C941" s="27" t="s">
        <v>4088</v>
      </c>
      <c r="D941" s="28" t="s">
        <v>5779</v>
      </c>
      <c r="E941" s="28" t="s">
        <v>5636</v>
      </c>
      <c r="F941" s="28" t="s">
        <v>5640</v>
      </c>
      <c r="G941" s="28" t="s">
        <v>5812</v>
      </c>
      <c r="H941" s="27" t="s">
        <v>5715</v>
      </c>
      <c r="I941" s="28" t="s">
        <v>5734</v>
      </c>
      <c r="J941" s="27"/>
    </row>
    <row r="942" customFormat="false" ht="15" hidden="false" customHeight="true" outlineLevel="0" collapsed="false">
      <c r="A942" s="27" t="s">
        <v>4090</v>
      </c>
      <c r="B942" s="27" t="s">
        <v>559</v>
      </c>
      <c r="C942" s="27" t="s">
        <v>4091</v>
      </c>
      <c r="D942" s="28" t="s">
        <v>5779</v>
      </c>
      <c r="E942" s="28" t="s">
        <v>5636</v>
      </c>
      <c r="F942" s="28" t="s">
        <v>5640</v>
      </c>
      <c r="G942" s="28" t="s">
        <v>5812</v>
      </c>
      <c r="H942" s="27" t="s">
        <v>5715</v>
      </c>
      <c r="I942" s="28" t="s">
        <v>5734</v>
      </c>
      <c r="J942" s="27"/>
    </row>
    <row r="943" customFormat="false" ht="15" hidden="false" customHeight="true" outlineLevel="0" collapsed="false">
      <c r="A943" s="27" t="s">
        <v>4093</v>
      </c>
      <c r="B943" s="27" t="s">
        <v>559</v>
      </c>
      <c r="C943" s="27" t="s">
        <v>4094</v>
      </c>
      <c r="D943" s="28" t="s">
        <v>5779</v>
      </c>
      <c r="E943" s="28" t="s">
        <v>5636</v>
      </c>
      <c r="F943" s="28" t="s">
        <v>5640</v>
      </c>
      <c r="G943" s="28" t="s">
        <v>5812</v>
      </c>
      <c r="H943" s="27" t="s">
        <v>5715</v>
      </c>
      <c r="I943" s="28" t="s">
        <v>5734</v>
      </c>
      <c r="J943" s="27"/>
    </row>
    <row r="944" customFormat="false" ht="15" hidden="false" customHeight="true" outlineLevel="0" collapsed="false">
      <c r="A944" s="27" t="s">
        <v>4096</v>
      </c>
      <c r="B944" s="27" t="s">
        <v>559</v>
      </c>
      <c r="C944" s="27" t="s">
        <v>4097</v>
      </c>
      <c r="D944" s="28" t="s">
        <v>5813</v>
      </c>
      <c r="E944" s="28" t="s">
        <v>5639</v>
      </c>
      <c r="F944" s="28" t="s">
        <v>5640</v>
      </c>
      <c r="G944" s="28" t="s">
        <v>5812</v>
      </c>
      <c r="H944" s="27" t="s">
        <v>5715</v>
      </c>
      <c r="I944" s="28" t="s">
        <v>5734</v>
      </c>
      <c r="J944" s="27"/>
    </row>
    <row r="945" customFormat="false" ht="15" hidden="false" customHeight="true" outlineLevel="0" collapsed="false">
      <c r="A945" s="27" t="s">
        <v>4099</v>
      </c>
      <c r="B945" s="27" t="s">
        <v>559</v>
      </c>
      <c r="C945" s="27" t="s">
        <v>4100</v>
      </c>
      <c r="D945" s="28" t="s">
        <v>5814</v>
      </c>
      <c r="E945" s="28" t="s">
        <v>5639</v>
      </c>
      <c r="F945" s="28" t="s">
        <v>5640</v>
      </c>
      <c r="G945" s="28" t="s">
        <v>5812</v>
      </c>
      <c r="H945" s="27" t="s">
        <v>5715</v>
      </c>
      <c r="I945" s="28" t="s">
        <v>5734</v>
      </c>
      <c r="J945" s="27"/>
    </row>
    <row r="946" customFormat="false" ht="15" hidden="false" customHeight="true" outlineLevel="0" collapsed="false">
      <c r="A946" s="27" t="s">
        <v>4102</v>
      </c>
      <c r="B946" s="27" t="s">
        <v>559</v>
      </c>
      <c r="C946" s="27" t="s">
        <v>4103</v>
      </c>
      <c r="D946" s="28" t="s">
        <v>5772</v>
      </c>
      <c r="E946" s="27" t="s">
        <v>5773</v>
      </c>
      <c r="F946" s="28" t="s">
        <v>5640</v>
      </c>
      <c r="G946" s="28" t="s">
        <v>5812</v>
      </c>
      <c r="H946" s="27" t="s">
        <v>5715</v>
      </c>
      <c r="I946" s="28" t="s">
        <v>5734</v>
      </c>
      <c r="J946" s="27"/>
    </row>
    <row r="947" customFormat="false" ht="15" hidden="false" customHeight="true" outlineLevel="0" collapsed="false">
      <c r="A947" s="27" t="s">
        <v>4105</v>
      </c>
      <c r="B947" s="27" t="s">
        <v>559</v>
      </c>
      <c r="C947" s="27" t="s">
        <v>4106</v>
      </c>
      <c r="D947" s="28" t="s">
        <v>5762</v>
      </c>
      <c r="E947" s="28" t="s">
        <v>5763</v>
      </c>
      <c r="F947" s="28" t="s">
        <v>5640</v>
      </c>
      <c r="G947" s="28" t="s">
        <v>5812</v>
      </c>
      <c r="H947" s="27" t="s">
        <v>5715</v>
      </c>
      <c r="I947" s="28" t="s">
        <v>5734</v>
      </c>
      <c r="J947" s="27"/>
    </row>
    <row r="948" customFormat="false" ht="15" hidden="false" customHeight="true" outlineLevel="0" collapsed="false">
      <c r="A948" s="27" t="s">
        <v>4108</v>
      </c>
      <c r="B948" s="27" t="s">
        <v>559</v>
      </c>
      <c r="C948" s="27" t="s">
        <v>4109</v>
      </c>
      <c r="D948" s="28" t="s">
        <v>5762</v>
      </c>
      <c r="E948" s="28" t="s">
        <v>5763</v>
      </c>
      <c r="F948" s="28" t="s">
        <v>5640</v>
      </c>
      <c r="G948" s="28" t="s">
        <v>5812</v>
      </c>
      <c r="H948" s="27" t="s">
        <v>5715</v>
      </c>
      <c r="I948" s="28" t="s">
        <v>5734</v>
      </c>
      <c r="J948" s="27"/>
    </row>
    <row r="949" customFormat="false" ht="15" hidden="false" customHeight="true" outlineLevel="0" collapsed="false">
      <c r="A949" s="27" t="s">
        <v>4111</v>
      </c>
      <c r="B949" s="27" t="s">
        <v>559</v>
      </c>
      <c r="C949" s="27" t="s">
        <v>4112</v>
      </c>
      <c r="D949" s="28" t="s">
        <v>5814</v>
      </c>
      <c r="E949" s="28" t="s">
        <v>5639</v>
      </c>
      <c r="F949" s="28" t="s">
        <v>5640</v>
      </c>
      <c r="G949" s="28" t="s">
        <v>5812</v>
      </c>
      <c r="H949" s="27" t="s">
        <v>5715</v>
      </c>
      <c r="I949" s="28" t="s">
        <v>5734</v>
      </c>
      <c r="J949" s="27"/>
    </row>
    <row r="950" customFormat="false" ht="15" hidden="false" customHeight="true" outlineLevel="0" collapsed="false">
      <c r="A950" s="27" t="s">
        <v>4114</v>
      </c>
      <c r="B950" s="27" t="s">
        <v>559</v>
      </c>
      <c r="C950" s="27" t="s">
        <v>4115</v>
      </c>
      <c r="D950" s="28" t="s">
        <v>5762</v>
      </c>
      <c r="E950" s="28" t="s">
        <v>5763</v>
      </c>
      <c r="F950" s="28" t="s">
        <v>5640</v>
      </c>
      <c r="G950" s="28" t="s">
        <v>5812</v>
      </c>
      <c r="H950" s="27" t="s">
        <v>5715</v>
      </c>
      <c r="I950" s="28" t="s">
        <v>5734</v>
      </c>
      <c r="J950" s="27"/>
    </row>
    <row r="951" customFormat="false" ht="15" hidden="false" customHeight="true" outlineLevel="0" collapsed="false">
      <c r="A951" s="27" t="s">
        <v>4117</v>
      </c>
      <c r="B951" s="27" t="s">
        <v>559</v>
      </c>
      <c r="C951" s="27" t="s">
        <v>4118</v>
      </c>
      <c r="D951" s="28" t="s">
        <v>5813</v>
      </c>
      <c r="E951" s="28" t="s">
        <v>5639</v>
      </c>
      <c r="F951" s="28" t="s">
        <v>5640</v>
      </c>
      <c r="G951" s="28" t="s">
        <v>5812</v>
      </c>
      <c r="H951" s="27" t="s">
        <v>5715</v>
      </c>
      <c r="I951" s="28" t="s">
        <v>5734</v>
      </c>
      <c r="J951" s="27"/>
    </row>
    <row r="952" customFormat="false" ht="15" hidden="false" customHeight="true" outlineLevel="0" collapsed="false">
      <c r="A952" s="27" t="s">
        <v>4120</v>
      </c>
      <c r="B952" s="27" t="s">
        <v>559</v>
      </c>
      <c r="C952" s="27" t="s">
        <v>4121</v>
      </c>
      <c r="D952" s="28" t="s">
        <v>5762</v>
      </c>
      <c r="E952" s="28" t="s">
        <v>5763</v>
      </c>
      <c r="F952" s="28" t="s">
        <v>5640</v>
      </c>
      <c r="G952" s="28" t="s">
        <v>5812</v>
      </c>
      <c r="H952" s="27" t="s">
        <v>5715</v>
      </c>
      <c r="I952" s="28" t="s">
        <v>5734</v>
      </c>
      <c r="J952" s="27"/>
    </row>
    <row r="953" customFormat="false" ht="15" hidden="false" customHeight="true" outlineLevel="0" collapsed="false">
      <c r="A953" s="27" t="s">
        <v>4123</v>
      </c>
      <c r="B953" s="27" t="s">
        <v>559</v>
      </c>
      <c r="C953" s="27" t="s">
        <v>4124</v>
      </c>
      <c r="D953" s="28" t="s">
        <v>5792</v>
      </c>
      <c r="E953" s="28" t="s">
        <v>5793</v>
      </c>
      <c r="F953" s="28" t="s">
        <v>5640</v>
      </c>
      <c r="G953" s="28" t="s">
        <v>5812</v>
      </c>
      <c r="H953" s="27" t="s">
        <v>5715</v>
      </c>
      <c r="I953" s="28" t="s">
        <v>5734</v>
      </c>
      <c r="J953" s="27"/>
    </row>
    <row r="954" customFormat="false" ht="15" hidden="false" customHeight="true" outlineLevel="0" collapsed="false">
      <c r="A954" s="27" t="s">
        <v>4126</v>
      </c>
      <c r="B954" s="27" t="s">
        <v>559</v>
      </c>
      <c r="C954" s="27" t="s">
        <v>4127</v>
      </c>
      <c r="D954" s="28" t="s">
        <v>5792</v>
      </c>
      <c r="E954" s="28" t="s">
        <v>5793</v>
      </c>
      <c r="F954" s="28" t="s">
        <v>5640</v>
      </c>
      <c r="G954" s="28" t="s">
        <v>5812</v>
      </c>
      <c r="H954" s="27" t="s">
        <v>5715</v>
      </c>
      <c r="I954" s="28" t="s">
        <v>5734</v>
      </c>
      <c r="J954" s="27"/>
    </row>
    <row r="955" customFormat="false" ht="15" hidden="false" customHeight="true" outlineLevel="0" collapsed="false">
      <c r="A955" s="27" t="s">
        <v>4129</v>
      </c>
      <c r="B955" s="27" t="s">
        <v>559</v>
      </c>
      <c r="C955" s="27" t="s">
        <v>4130</v>
      </c>
      <c r="D955" s="28" t="s">
        <v>5792</v>
      </c>
      <c r="E955" s="28" t="s">
        <v>5793</v>
      </c>
      <c r="F955" s="28" t="s">
        <v>5640</v>
      </c>
      <c r="G955" s="28" t="s">
        <v>5812</v>
      </c>
      <c r="H955" s="27" t="s">
        <v>5715</v>
      </c>
      <c r="I955" s="28" t="s">
        <v>5734</v>
      </c>
      <c r="J955" s="27"/>
    </row>
    <row r="956" customFormat="false" ht="15" hidden="false" customHeight="true" outlineLevel="0" collapsed="false">
      <c r="A956" s="27" t="s">
        <v>4132</v>
      </c>
      <c r="B956" s="27" t="s">
        <v>559</v>
      </c>
      <c r="C956" s="27" t="s">
        <v>4133</v>
      </c>
      <c r="D956" s="28" t="s">
        <v>5762</v>
      </c>
      <c r="E956" s="28" t="s">
        <v>5763</v>
      </c>
      <c r="F956" s="28" t="s">
        <v>5640</v>
      </c>
      <c r="G956" s="28" t="s">
        <v>5812</v>
      </c>
      <c r="H956" s="27" t="s">
        <v>5715</v>
      </c>
      <c r="I956" s="28" t="s">
        <v>5734</v>
      </c>
      <c r="J956" s="27"/>
    </row>
    <row r="957" customFormat="false" ht="15" hidden="false" customHeight="true" outlineLevel="0" collapsed="false">
      <c r="A957" s="27" t="s">
        <v>4135</v>
      </c>
      <c r="B957" s="27" t="s">
        <v>559</v>
      </c>
      <c r="C957" s="27" t="s">
        <v>4136</v>
      </c>
      <c r="D957" s="28" t="s">
        <v>5762</v>
      </c>
      <c r="E957" s="28" t="s">
        <v>5763</v>
      </c>
      <c r="F957" s="28" t="s">
        <v>5640</v>
      </c>
      <c r="G957" s="28" t="s">
        <v>5812</v>
      </c>
      <c r="H957" s="27" t="s">
        <v>5715</v>
      </c>
      <c r="I957" s="28" t="s">
        <v>5734</v>
      </c>
      <c r="J957" s="27"/>
    </row>
    <row r="958" customFormat="false" ht="15" hidden="false" customHeight="true" outlineLevel="0" collapsed="false">
      <c r="A958" s="27" t="s">
        <v>4138</v>
      </c>
      <c r="B958" s="27" t="s">
        <v>559</v>
      </c>
      <c r="C958" s="27" t="s">
        <v>4139</v>
      </c>
      <c r="D958" s="28" t="s">
        <v>5762</v>
      </c>
      <c r="E958" s="28" t="s">
        <v>5763</v>
      </c>
      <c r="F958" s="28" t="s">
        <v>5640</v>
      </c>
      <c r="G958" s="28" t="s">
        <v>5812</v>
      </c>
      <c r="H958" s="27" t="s">
        <v>5715</v>
      </c>
      <c r="I958" s="28" t="s">
        <v>5734</v>
      </c>
      <c r="J958" s="27"/>
    </row>
    <row r="959" customFormat="false" ht="15" hidden="false" customHeight="true" outlineLevel="0" collapsed="false">
      <c r="A959" s="27" t="s">
        <v>4141</v>
      </c>
      <c r="B959" s="27" t="s">
        <v>559</v>
      </c>
      <c r="C959" s="27" t="s">
        <v>4142</v>
      </c>
      <c r="D959" s="28" t="s">
        <v>5813</v>
      </c>
      <c r="E959" s="28" t="s">
        <v>5639</v>
      </c>
      <c r="F959" s="28" t="s">
        <v>5640</v>
      </c>
      <c r="G959" s="28" t="s">
        <v>5812</v>
      </c>
      <c r="H959" s="27" t="s">
        <v>5715</v>
      </c>
      <c r="I959" s="28" t="s">
        <v>5734</v>
      </c>
      <c r="J959" s="27"/>
    </row>
    <row r="960" customFormat="false" ht="15" hidden="false" customHeight="true" outlineLevel="0" collapsed="false">
      <c r="A960" s="27" t="s">
        <v>4144</v>
      </c>
      <c r="B960" s="27" t="s">
        <v>559</v>
      </c>
      <c r="C960" s="28" t="s">
        <v>4145</v>
      </c>
      <c r="D960" s="28" t="s">
        <v>5792</v>
      </c>
      <c r="E960" s="28" t="s">
        <v>5793</v>
      </c>
      <c r="F960" s="28" t="s">
        <v>5640</v>
      </c>
      <c r="G960" s="28" t="s">
        <v>5812</v>
      </c>
      <c r="H960" s="27" t="s">
        <v>5715</v>
      </c>
      <c r="I960" s="28" t="s">
        <v>5734</v>
      </c>
      <c r="J960" s="27"/>
    </row>
    <row r="961" customFormat="false" ht="15" hidden="false" customHeight="true" outlineLevel="0" collapsed="false">
      <c r="A961" s="27" t="s">
        <v>4147</v>
      </c>
      <c r="B961" s="27" t="s">
        <v>559</v>
      </c>
      <c r="C961" s="27" t="s">
        <v>4148</v>
      </c>
      <c r="D961" s="28" t="s">
        <v>5762</v>
      </c>
      <c r="E961" s="28" t="s">
        <v>5763</v>
      </c>
      <c r="F961" s="28" t="s">
        <v>5640</v>
      </c>
      <c r="G961" s="28" t="s">
        <v>5812</v>
      </c>
      <c r="H961" s="27" t="s">
        <v>5715</v>
      </c>
      <c r="I961" s="28" t="s">
        <v>5734</v>
      </c>
      <c r="J961" s="27"/>
    </row>
    <row r="962" customFormat="false" ht="15" hidden="false" customHeight="true" outlineLevel="0" collapsed="false">
      <c r="A962" s="27" t="s">
        <v>4150</v>
      </c>
      <c r="B962" s="27" t="s">
        <v>559</v>
      </c>
      <c r="C962" s="27" t="s">
        <v>4151</v>
      </c>
      <c r="D962" s="28" t="s">
        <v>5813</v>
      </c>
      <c r="E962" s="28" t="s">
        <v>5639</v>
      </c>
      <c r="F962" s="28" t="s">
        <v>5640</v>
      </c>
      <c r="G962" s="28" t="s">
        <v>5812</v>
      </c>
      <c r="H962" s="27" t="s">
        <v>5715</v>
      </c>
      <c r="I962" s="28" t="s">
        <v>5734</v>
      </c>
      <c r="J962" s="27"/>
    </row>
    <row r="963" customFormat="false" ht="15" hidden="false" customHeight="true" outlineLevel="0" collapsed="false">
      <c r="A963" s="27" t="s">
        <v>4153</v>
      </c>
      <c r="B963" s="27" t="s">
        <v>559</v>
      </c>
      <c r="C963" s="27" t="s">
        <v>4154</v>
      </c>
      <c r="D963" s="28" t="s">
        <v>5813</v>
      </c>
      <c r="E963" s="28" t="s">
        <v>5639</v>
      </c>
      <c r="F963" s="28" t="s">
        <v>5640</v>
      </c>
      <c r="G963" s="28" t="s">
        <v>5812</v>
      </c>
      <c r="H963" s="27" t="s">
        <v>5715</v>
      </c>
      <c r="I963" s="28" t="s">
        <v>5734</v>
      </c>
      <c r="J963" s="27"/>
    </row>
    <row r="964" customFormat="false" ht="15" hidden="false" customHeight="true" outlineLevel="0" collapsed="false">
      <c r="A964" s="27" t="s">
        <v>4156</v>
      </c>
      <c r="B964" s="27" t="s">
        <v>559</v>
      </c>
      <c r="C964" s="27" t="s">
        <v>4157</v>
      </c>
      <c r="D964" s="28" t="s">
        <v>5762</v>
      </c>
      <c r="E964" s="28" t="s">
        <v>5763</v>
      </c>
      <c r="F964" s="28" t="s">
        <v>5640</v>
      </c>
      <c r="G964" s="28" t="s">
        <v>5812</v>
      </c>
      <c r="H964" s="27" t="s">
        <v>5715</v>
      </c>
      <c r="I964" s="28" t="s">
        <v>5734</v>
      </c>
      <c r="J964" s="27"/>
    </row>
    <row r="965" customFormat="false" ht="15" hidden="false" customHeight="true" outlineLevel="0" collapsed="false">
      <c r="A965" s="27" t="s">
        <v>4159</v>
      </c>
      <c r="B965" s="27" t="s">
        <v>559</v>
      </c>
      <c r="C965" s="27" t="s">
        <v>4160</v>
      </c>
      <c r="D965" s="28" t="s">
        <v>5792</v>
      </c>
      <c r="E965" s="28" t="s">
        <v>5793</v>
      </c>
      <c r="F965" s="28" t="s">
        <v>5640</v>
      </c>
      <c r="G965" s="28" t="s">
        <v>5812</v>
      </c>
      <c r="H965" s="27" t="s">
        <v>5715</v>
      </c>
      <c r="I965" s="28" t="s">
        <v>5734</v>
      </c>
      <c r="J965" s="27"/>
    </row>
    <row r="966" customFormat="false" ht="15" hidden="false" customHeight="true" outlineLevel="0" collapsed="false">
      <c r="A966" s="27" t="s">
        <v>4162</v>
      </c>
      <c r="B966" s="27" t="s">
        <v>559</v>
      </c>
      <c r="C966" s="27" t="s">
        <v>4163</v>
      </c>
      <c r="D966" s="28" t="s">
        <v>5813</v>
      </c>
      <c r="E966" s="28" t="s">
        <v>5639</v>
      </c>
      <c r="F966" s="28" t="s">
        <v>5640</v>
      </c>
      <c r="G966" s="28" t="s">
        <v>5812</v>
      </c>
      <c r="H966" s="27" t="s">
        <v>5715</v>
      </c>
      <c r="I966" s="28" t="s">
        <v>5734</v>
      </c>
      <c r="J966" s="27"/>
    </row>
    <row r="967" customFormat="false" ht="15" hidden="false" customHeight="true" outlineLevel="0" collapsed="false">
      <c r="A967" s="27" t="s">
        <v>4165</v>
      </c>
      <c r="B967" s="27" t="s">
        <v>559</v>
      </c>
      <c r="C967" s="27" t="s">
        <v>4166</v>
      </c>
      <c r="D967" s="28" t="s">
        <v>5813</v>
      </c>
      <c r="E967" s="28" t="s">
        <v>5639</v>
      </c>
      <c r="F967" s="28" t="s">
        <v>5640</v>
      </c>
      <c r="G967" s="28" t="s">
        <v>5812</v>
      </c>
      <c r="H967" s="27" t="s">
        <v>5715</v>
      </c>
      <c r="I967" s="28" t="s">
        <v>5734</v>
      </c>
      <c r="J967" s="27"/>
    </row>
    <row r="968" customFormat="false" ht="15" hidden="false" customHeight="true" outlineLevel="0" collapsed="false">
      <c r="A968" s="27" t="s">
        <v>4168</v>
      </c>
      <c r="B968" s="27" t="s">
        <v>559</v>
      </c>
      <c r="C968" s="27" t="s">
        <v>4169</v>
      </c>
      <c r="D968" s="28" t="s">
        <v>5779</v>
      </c>
      <c r="E968" s="28" t="s">
        <v>5636</v>
      </c>
      <c r="F968" s="28" t="s">
        <v>5640</v>
      </c>
      <c r="G968" s="28" t="s">
        <v>5812</v>
      </c>
      <c r="H968" s="27" t="s">
        <v>5715</v>
      </c>
      <c r="I968" s="28" t="s">
        <v>5734</v>
      </c>
      <c r="J968" s="27"/>
    </row>
    <row r="969" customFormat="false" ht="15" hidden="false" customHeight="true" outlineLevel="0" collapsed="false">
      <c r="A969" s="27" t="s">
        <v>4171</v>
      </c>
      <c r="B969" s="27" t="s">
        <v>559</v>
      </c>
      <c r="C969" s="27" t="s">
        <v>4172</v>
      </c>
      <c r="D969" s="28" t="s">
        <v>5813</v>
      </c>
      <c r="E969" s="28" t="s">
        <v>5639</v>
      </c>
      <c r="F969" s="28" t="s">
        <v>5640</v>
      </c>
      <c r="G969" s="28" t="s">
        <v>5812</v>
      </c>
      <c r="H969" s="27" t="s">
        <v>5715</v>
      </c>
      <c r="I969" s="28" t="s">
        <v>5734</v>
      </c>
      <c r="J969" s="27"/>
    </row>
    <row r="970" customFormat="false" ht="15" hidden="false" customHeight="true" outlineLevel="0" collapsed="false">
      <c r="A970" s="27" t="s">
        <v>4174</v>
      </c>
      <c r="B970" s="27" t="s">
        <v>559</v>
      </c>
      <c r="C970" s="27" t="s">
        <v>4175</v>
      </c>
      <c r="D970" s="28" t="s">
        <v>5813</v>
      </c>
      <c r="E970" s="28" t="s">
        <v>5639</v>
      </c>
      <c r="F970" s="28" t="s">
        <v>5640</v>
      </c>
      <c r="G970" s="28" t="s">
        <v>5812</v>
      </c>
      <c r="H970" s="27" t="s">
        <v>5715</v>
      </c>
      <c r="I970" s="28" t="s">
        <v>5734</v>
      </c>
      <c r="J970" s="27"/>
    </row>
    <row r="971" customFormat="false" ht="15" hidden="false" customHeight="true" outlineLevel="0" collapsed="false">
      <c r="A971" s="27" t="s">
        <v>4177</v>
      </c>
      <c r="B971" s="27" t="s">
        <v>559</v>
      </c>
      <c r="C971" s="27" t="s">
        <v>4178</v>
      </c>
      <c r="D971" s="28" t="s">
        <v>5813</v>
      </c>
      <c r="E971" s="28" t="s">
        <v>5639</v>
      </c>
      <c r="F971" s="28" t="s">
        <v>5640</v>
      </c>
      <c r="G971" s="28" t="s">
        <v>5812</v>
      </c>
      <c r="H971" s="27" t="s">
        <v>5715</v>
      </c>
      <c r="I971" s="28" t="s">
        <v>5734</v>
      </c>
      <c r="J971" s="27"/>
    </row>
    <row r="972" customFormat="false" ht="15" hidden="false" customHeight="true" outlineLevel="0" collapsed="false">
      <c r="A972" s="27" t="s">
        <v>4180</v>
      </c>
      <c r="B972" s="27" t="s">
        <v>559</v>
      </c>
      <c r="C972" s="27" t="s">
        <v>4181</v>
      </c>
      <c r="D972" s="28" t="s">
        <v>5762</v>
      </c>
      <c r="E972" s="28" t="s">
        <v>5763</v>
      </c>
      <c r="F972" s="28" t="s">
        <v>5640</v>
      </c>
      <c r="G972" s="28" t="s">
        <v>5812</v>
      </c>
      <c r="H972" s="27" t="s">
        <v>5715</v>
      </c>
      <c r="I972" s="28" t="s">
        <v>5734</v>
      </c>
      <c r="J972" s="27"/>
    </row>
    <row r="973" customFormat="false" ht="15" hidden="false" customHeight="true" outlineLevel="0" collapsed="false">
      <c r="A973" s="27" t="s">
        <v>4183</v>
      </c>
      <c r="B973" s="27" t="s">
        <v>559</v>
      </c>
      <c r="C973" s="27" t="s">
        <v>4184</v>
      </c>
      <c r="D973" s="28" t="s">
        <v>5762</v>
      </c>
      <c r="E973" s="28" t="s">
        <v>5763</v>
      </c>
      <c r="F973" s="28" t="s">
        <v>5640</v>
      </c>
      <c r="G973" s="28" t="s">
        <v>5812</v>
      </c>
      <c r="H973" s="27" t="s">
        <v>5715</v>
      </c>
      <c r="I973" s="28" t="s">
        <v>5734</v>
      </c>
      <c r="J973" s="27"/>
    </row>
    <row r="974" customFormat="false" ht="15" hidden="false" customHeight="true" outlineLevel="0" collapsed="false">
      <c r="A974" s="27" t="s">
        <v>4186</v>
      </c>
      <c r="B974" s="27" t="s">
        <v>559</v>
      </c>
      <c r="C974" s="27" t="s">
        <v>4187</v>
      </c>
      <c r="D974" s="28" t="s">
        <v>5814</v>
      </c>
      <c r="E974" s="28" t="s">
        <v>5639</v>
      </c>
      <c r="F974" s="28" t="s">
        <v>5640</v>
      </c>
      <c r="G974" s="28" t="s">
        <v>5812</v>
      </c>
      <c r="H974" s="27" t="s">
        <v>5715</v>
      </c>
      <c r="I974" s="28" t="s">
        <v>5734</v>
      </c>
      <c r="J974" s="27"/>
    </row>
    <row r="975" customFormat="false" ht="15" hidden="false" customHeight="true" outlineLevel="0" collapsed="false">
      <c r="A975" s="27" t="s">
        <v>4189</v>
      </c>
      <c r="B975" s="27" t="s">
        <v>559</v>
      </c>
      <c r="C975" s="28" t="s">
        <v>4190</v>
      </c>
      <c r="D975" s="28" t="s">
        <v>5815</v>
      </c>
      <c r="E975" s="28" t="s">
        <v>5639</v>
      </c>
      <c r="F975" s="28" t="s">
        <v>5640</v>
      </c>
      <c r="G975" s="28" t="s">
        <v>5812</v>
      </c>
      <c r="H975" s="27" t="s">
        <v>5715</v>
      </c>
      <c r="I975" s="28" t="s">
        <v>5734</v>
      </c>
      <c r="J975" s="27"/>
    </row>
    <row r="976" customFormat="false" ht="15" hidden="false" customHeight="true" outlineLevel="0" collapsed="false">
      <c r="A976" s="27" t="s">
        <v>4192</v>
      </c>
      <c r="B976" s="27" t="s">
        <v>559</v>
      </c>
      <c r="C976" s="27" t="s">
        <v>4193</v>
      </c>
      <c r="D976" s="28" t="s">
        <v>5813</v>
      </c>
      <c r="E976" s="28" t="s">
        <v>5639</v>
      </c>
      <c r="F976" s="28" t="s">
        <v>5640</v>
      </c>
      <c r="G976" s="28" t="s">
        <v>5812</v>
      </c>
      <c r="H976" s="27" t="s">
        <v>5715</v>
      </c>
      <c r="I976" s="28" t="s">
        <v>5734</v>
      </c>
      <c r="J976" s="27"/>
    </row>
    <row r="977" customFormat="false" ht="15" hidden="false" customHeight="true" outlineLevel="0" collapsed="false">
      <c r="A977" s="27" t="s">
        <v>4195</v>
      </c>
      <c r="B977" s="27" t="s">
        <v>559</v>
      </c>
      <c r="C977" s="27" t="s">
        <v>4196</v>
      </c>
      <c r="D977" s="28" t="s">
        <v>5762</v>
      </c>
      <c r="E977" s="28" t="s">
        <v>5763</v>
      </c>
      <c r="F977" s="28" t="s">
        <v>5640</v>
      </c>
      <c r="G977" s="28" t="s">
        <v>5812</v>
      </c>
      <c r="H977" s="27" t="s">
        <v>5715</v>
      </c>
      <c r="I977" s="28" t="s">
        <v>5734</v>
      </c>
      <c r="J977" s="27"/>
    </row>
    <row r="978" customFormat="false" ht="15" hidden="false" customHeight="true" outlineLevel="0" collapsed="false">
      <c r="A978" s="27" t="s">
        <v>4198</v>
      </c>
      <c r="B978" s="27" t="s">
        <v>559</v>
      </c>
      <c r="C978" s="27" t="s">
        <v>4199</v>
      </c>
      <c r="D978" s="28" t="s">
        <v>5814</v>
      </c>
      <c r="E978" s="28" t="s">
        <v>5639</v>
      </c>
      <c r="F978" s="28" t="s">
        <v>5640</v>
      </c>
      <c r="G978" s="28" t="s">
        <v>5812</v>
      </c>
      <c r="H978" s="27" t="s">
        <v>5715</v>
      </c>
      <c r="I978" s="28" t="s">
        <v>5734</v>
      </c>
      <c r="J978" s="27"/>
    </row>
    <row r="979" customFormat="false" ht="15" hidden="false" customHeight="true" outlineLevel="0" collapsed="false">
      <c r="A979" s="27" t="s">
        <v>4201</v>
      </c>
      <c r="B979" s="27" t="s">
        <v>559</v>
      </c>
      <c r="C979" s="27" t="s">
        <v>4202</v>
      </c>
      <c r="D979" s="28" t="s">
        <v>5762</v>
      </c>
      <c r="E979" s="28" t="s">
        <v>5763</v>
      </c>
      <c r="F979" s="28" t="s">
        <v>5640</v>
      </c>
      <c r="G979" s="28" t="s">
        <v>5812</v>
      </c>
      <c r="H979" s="27" t="s">
        <v>5715</v>
      </c>
      <c r="I979" s="28" t="s">
        <v>5734</v>
      </c>
      <c r="J979" s="27"/>
    </row>
    <row r="980" customFormat="false" ht="15" hidden="false" customHeight="true" outlineLevel="0" collapsed="false">
      <c r="A980" s="27" t="s">
        <v>4204</v>
      </c>
      <c r="B980" s="27" t="s">
        <v>559</v>
      </c>
      <c r="C980" s="27" t="s">
        <v>4205</v>
      </c>
      <c r="D980" s="28" t="s">
        <v>5792</v>
      </c>
      <c r="E980" s="28" t="s">
        <v>5793</v>
      </c>
      <c r="F980" s="28" t="s">
        <v>5640</v>
      </c>
      <c r="G980" s="28" t="s">
        <v>5812</v>
      </c>
      <c r="H980" s="27" t="s">
        <v>5715</v>
      </c>
      <c r="I980" s="28" t="s">
        <v>5734</v>
      </c>
      <c r="J980" s="27"/>
    </row>
    <row r="981" customFormat="false" ht="15" hidden="false" customHeight="true" outlineLevel="0" collapsed="false">
      <c r="A981" s="27" t="s">
        <v>4207</v>
      </c>
      <c r="B981" s="27" t="s">
        <v>559</v>
      </c>
      <c r="C981" s="27" t="s">
        <v>4208</v>
      </c>
      <c r="D981" s="28" t="s">
        <v>5792</v>
      </c>
      <c r="E981" s="28" t="s">
        <v>5793</v>
      </c>
      <c r="F981" s="28" t="s">
        <v>5640</v>
      </c>
      <c r="G981" s="28" t="s">
        <v>5812</v>
      </c>
      <c r="H981" s="27" t="s">
        <v>5715</v>
      </c>
      <c r="I981" s="28" t="s">
        <v>5734</v>
      </c>
      <c r="J981" s="27"/>
    </row>
    <row r="982" customFormat="false" ht="15" hidden="false" customHeight="true" outlineLevel="0" collapsed="false">
      <c r="A982" s="27" t="s">
        <v>4210</v>
      </c>
      <c r="B982" s="27" t="s">
        <v>559</v>
      </c>
      <c r="C982" s="27" t="s">
        <v>4211</v>
      </c>
      <c r="D982" s="28" t="s">
        <v>5792</v>
      </c>
      <c r="E982" s="28" t="s">
        <v>5793</v>
      </c>
      <c r="F982" s="28" t="s">
        <v>5640</v>
      </c>
      <c r="G982" s="28" t="s">
        <v>5812</v>
      </c>
      <c r="H982" s="27" t="s">
        <v>5715</v>
      </c>
      <c r="I982" s="28" t="s">
        <v>5734</v>
      </c>
      <c r="J982" s="27"/>
    </row>
    <row r="983" customFormat="false" ht="15" hidden="false" customHeight="true" outlineLevel="0" collapsed="false">
      <c r="A983" s="27" t="s">
        <v>4213</v>
      </c>
      <c r="B983" s="27" t="s">
        <v>559</v>
      </c>
      <c r="C983" s="27" t="s">
        <v>4214</v>
      </c>
      <c r="D983" s="28" t="s">
        <v>5813</v>
      </c>
      <c r="E983" s="28" t="s">
        <v>5639</v>
      </c>
      <c r="F983" s="28" t="s">
        <v>5640</v>
      </c>
      <c r="G983" s="28" t="s">
        <v>5812</v>
      </c>
      <c r="H983" s="27" t="s">
        <v>5715</v>
      </c>
      <c r="I983" s="28" t="s">
        <v>5734</v>
      </c>
      <c r="J983" s="27"/>
    </row>
    <row r="984" customFormat="false" ht="15" hidden="false" customHeight="true" outlineLevel="0" collapsed="false">
      <c r="A984" s="27" t="s">
        <v>4216</v>
      </c>
      <c r="B984" s="27" t="s">
        <v>559</v>
      </c>
      <c r="C984" s="27" t="s">
        <v>4217</v>
      </c>
      <c r="D984" s="28" t="s">
        <v>5813</v>
      </c>
      <c r="E984" s="28" t="s">
        <v>5639</v>
      </c>
      <c r="F984" s="28" t="s">
        <v>5640</v>
      </c>
      <c r="G984" s="28" t="s">
        <v>5812</v>
      </c>
      <c r="H984" s="27" t="s">
        <v>5715</v>
      </c>
      <c r="I984" s="28" t="s">
        <v>5734</v>
      </c>
      <c r="J984" s="27"/>
    </row>
    <row r="985" customFormat="false" ht="15" hidden="false" customHeight="true" outlineLevel="0" collapsed="false">
      <c r="A985" s="27" t="s">
        <v>4219</v>
      </c>
      <c r="B985" s="27" t="s">
        <v>559</v>
      </c>
      <c r="C985" s="27" t="s">
        <v>4220</v>
      </c>
      <c r="D985" s="28" t="s">
        <v>5792</v>
      </c>
      <c r="E985" s="28" t="s">
        <v>5793</v>
      </c>
      <c r="F985" s="28" t="s">
        <v>5640</v>
      </c>
      <c r="G985" s="28" t="s">
        <v>5812</v>
      </c>
      <c r="H985" s="27" t="s">
        <v>5715</v>
      </c>
      <c r="I985" s="28" t="s">
        <v>5734</v>
      </c>
      <c r="J985" s="27"/>
    </row>
    <row r="986" customFormat="false" ht="15" hidden="false" customHeight="true" outlineLevel="0" collapsed="false">
      <c r="A986" s="27" t="s">
        <v>4222</v>
      </c>
      <c r="B986" s="27" t="s">
        <v>559</v>
      </c>
      <c r="C986" s="27" t="s">
        <v>4223</v>
      </c>
      <c r="D986" s="28" t="s">
        <v>5813</v>
      </c>
      <c r="E986" s="28" t="s">
        <v>5639</v>
      </c>
      <c r="F986" s="28" t="s">
        <v>5640</v>
      </c>
      <c r="G986" s="28" t="s">
        <v>5812</v>
      </c>
      <c r="H986" s="27" t="s">
        <v>5715</v>
      </c>
      <c r="I986" s="28" t="s">
        <v>5734</v>
      </c>
      <c r="J986" s="27"/>
    </row>
    <row r="987" customFormat="false" ht="15" hidden="false" customHeight="true" outlineLevel="0" collapsed="false">
      <c r="A987" s="27" t="s">
        <v>4225</v>
      </c>
      <c r="B987" s="27" t="s">
        <v>559</v>
      </c>
      <c r="C987" s="28" t="s">
        <v>4226</v>
      </c>
      <c r="D987" s="28" t="s">
        <v>5792</v>
      </c>
      <c r="E987" s="28" t="s">
        <v>5793</v>
      </c>
      <c r="F987" s="28" t="s">
        <v>5640</v>
      </c>
      <c r="G987" s="28" t="s">
        <v>5812</v>
      </c>
      <c r="H987" s="27" t="s">
        <v>5715</v>
      </c>
      <c r="I987" s="28" t="s">
        <v>5734</v>
      </c>
      <c r="J987" s="27"/>
    </row>
    <row r="988" customFormat="false" ht="15" hidden="false" customHeight="true" outlineLevel="0" collapsed="false">
      <c r="A988" s="27" t="s">
        <v>4228</v>
      </c>
      <c r="B988" s="27" t="s">
        <v>559</v>
      </c>
      <c r="C988" s="27" t="s">
        <v>4229</v>
      </c>
      <c r="D988" s="28" t="s">
        <v>5792</v>
      </c>
      <c r="E988" s="28" t="s">
        <v>5793</v>
      </c>
      <c r="F988" s="28" t="s">
        <v>5640</v>
      </c>
      <c r="G988" s="28" t="s">
        <v>5812</v>
      </c>
      <c r="H988" s="27" t="s">
        <v>5715</v>
      </c>
      <c r="I988" s="28" t="s">
        <v>5734</v>
      </c>
      <c r="J988" s="27"/>
    </row>
    <row r="989" customFormat="false" ht="15" hidden="false" customHeight="true" outlineLevel="0" collapsed="false">
      <c r="A989" s="27" t="s">
        <v>4231</v>
      </c>
      <c r="B989" s="27" t="s">
        <v>559</v>
      </c>
      <c r="C989" s="27" t="s">
        <v>4232</v>
      </c>
      <c r="D989" s="28" t="s">
        <v>5792</v>
      </c>
      <c r="E989" s="28" t="s">
        <v>5793</v>
      </c>
      <c r="F989" s="28" t="s">
        <v>5640</v>
      </c>
      <c r="G989" s="28" t="s">
        <v>5812</v>
      </c>
      <c r="H989" s="27" t="s">
        <v>5715</v>
      </c>
      <c r="I989" s="28" t="s">
        <v>5734</v>
      </c>
      <c r="J989" s="27"/>
    </row>
    <row r="990" customFormat="false" ht="15" hidden="false" customHeight="true" outlineLevel="0" collapsed="false">
      <c r="A990" s="27" t="s">
        <v>4234</v>
      </c>
      <c r="B990" s="27" t="s">
        <v>559</v>
      </c>
      <c r="C990" s="27" t="s">
        <v>4235</v>
      </c>
      <c r="D990" s="28" t="s">
        <v>5792</v>
      </c>
      <c r="E990" s="28" t="s">
        <v>5793</v>
      </c>
      <c r="F990" s="28" t="s">
        <v>5640</v>
      </c>
      <c r="G990" s="28" t="s">
        <v>5812</v>
      </c>
      <c r="H990" s="27" t="s">
        <v>5715</v>
      </c>
      <c r="I990" s="28" t="s">
        <v>5734</v>
      </c>
      <c r="J990" s="27"/>
    </row>
    <row r="991" customFormat="false" ht="15" hidden="false" customHeight="true" outlineLevel="0" collapsed="false">
      <c r="A991" s="27" t="s">
        <v>4237</v>
      </c>
      <c r="B991" s="27" t="s">
        <v>559</v>
      </c>
      <c r="C991" s="27" t="s">
        <v>4238</v>
      </c>
      <c r="D991" s="28" t="s">
        <v>5792</v>
      </c>
      <c r="E991" s="28" t="s">
        <v>5793</v>
      </c>
      <c r="F991" s="28" t="s">
        <v>5640</v>
      </c>
      <c r="G991" s="28" t="s">
        <v>5812</v>
      </c>
      <c r="H991" s="27" t="s">
        <v>5715</v>
      </c>
      <c r="I991" s="28" t="s">
        <v>5734</v>
      </c>
      <c r="J991" s="27"/>
    </row>
    <row r="992" customFormat="false" ht="15" hidden="false" customHeight="true" outlineLevel="0" collapsed="false">
      <c r="A992" s="27" t="s">
        <v>4240</v>
      </c>
      <c r="B992" s="27" t="s">
        <v>559</v>
      </c>
      <c r="C992" s="27" t="s">
        <v>4241</v>
      </c>
      <c r="D992" s="28" t="s">
        <v>5816</v>
      </c>
      <c r="E992" s="28" t="s">
        <v>5639</v>
      </c>
      <c r="F992" s="28" t="s">
        <v>5640</v>
      </c>
      <c r="G992" s="28" t="s">
        <v>5812</v>
      </c>
      <c r="H992" s="27" t="s">
        <v>5715</v>
      </c>
      <c r="I992" s="28" t="s">
        <v>5734</v>
      </c>
      <c r="J992" s="27"/>
    </row>
    <row r="993" customFormat="false" ht="15" hidden="false" customHeight="true" outlineLevel="0" collapsed="false">
      <c r="A993" s="27" t="s">
        <v>4243</v>
      </c>
      <c r="B993" s="27" t="s">
        <v>559</v>
      </c>
      <c r="C993" s="27" t="s">
        <v>4244</v>
      </c>
      <c r="D993" s="28" t="s">
        <v>5816</v>
      </c>
      <c r="E993" s="28" t="s">
        <v>5639</v>
      </c>
      <c r="F993" s="28" t="s">
        <v>5640</v>
      </c>
      <c r="G993" s="28" t="s">
        <v>5812</v>
      </c>
      <c r="H993" s="27" t="s">
        <v>5715</v>
      </c>
      <c r="I993" s="28" t="s">
        <v>5734</v>
      </c>
      <c r="J993" s="27"/>
    </row>
    <row r="994" customFormat="false" ht="15" hidden="false" customHeight="true" outlineLevel="0" collapsed="false">
      <c r="A994" s="27" t="s">
        <v>4246</v>
      </c>
      <c r="B994" s="27" t="s">
        <v>559</v>
      </c>
      <c r="C994" s="27" t="s">
        <v>4247</v>
      </c>
      <c r="D994" s="28" t="s">
        <v>5813</v>
      </c>
      <c r="E994" s="28" t="s">
        <v>5639</v>
      </c>
      <c r="F994" s="28" t="s">
        <v>5640</v>
      </c>
      <c r="G994" s="28" t="s">
        <v>5812</v>
      </c>
      <c r="H994" s="27" t="s">
        <v>5715</v>
      </c>
      <c r="I994" s="28" t="s">
        <v>5734</v>
      </c>
      <c r="J994" s="27"/>
    </row>
    <row r="995" customFormat="false" ht="15" hidden="false" customHeight="true" outlineLevel="0" collapsed="false">
      <c r="A995" s="27" t="s">
        <v>4249</v>
      </c>
      <c r="B995" s="27" t="s">
        <v>559</v>
      </c>
      <c r="C995" s="27" t="s">
        <v>4250</v>
      </c>
      <c r="D995" s="28" t="s">
        <v>5792</v>
      </c>
      <c r="E995" s="28" t="s">
        <v>5793</v>
      </c>
      <c r="F995" s="28" t="s">
        <v>5640</v>
      </c>
      <c r="G995" s="28" t="s">
        <v>5812</v>
      </c>
      <c r="H995" s="27" t="s">
        <v>5715</v>
      </c>
      <c r="I995" s="28" t="s">
        <v>5734</v>
      </c>
      <c r="J995" s="27"/>
    </row>
    <row r="996" customFormat="false" ht="15" hidden="false" customHeight="true" outlineLevel="0" collapsed="false">
      <c r="A996" s="27" t="s">
        <v>4252</v>
      </c>
      <c r="B996" s="27" t="s">
        <v>559</v>
      </c>
      <c r="C996" s="27" t="s">
        <v>4253</v>
      </c>
      <c r="D996" s="28" t="s">
        <v>5792</v>
      </c>
      <c r="E996" s="28" t="s">
        <v>5793</v>
      </c>
      <c r="F996" s="28" t="s">
        <v>5640</v>
      </c>
      <c r="G996" s="28" t="s">
        <v>5812</v>
      </c>
      <c r="H996" s="27" t="s">
        <v>5715</v>
      </c>
      <c r="I996" s="28" t="s">
        <v>5734</v>
      </c>
      <c r="J996" s="27"/>
    </row>
    <row r="997" customFormat="false" ht="15" hidden="false" customHeight="true" outlineLevel="0" collapsed="false">
      <c r="A997" s="27" t="s">
        <v>4255</v>
      </c>
      <c r="B997" s="27" t="s">
        <v>559</v>
      </c>
      <c r="C997" s="27" t="s">
        <v>4256</v>
      </c>
      <c r="D997" s="28" t="s">
        <v>5792</v>
      </c>
      <c r="E997" s="28" t="s">
        <v>5793</v>
      </c>
      <c r="F997" s="28" t="s">
        <v>5640</v>
      </c>
      <c r="G997" s="28" t="s">
        <v>5812</v>
      </c>
      <c r="H997" s="27" t="s">
        <v>5715</v>
      </c>
      <c r="I997" s="28" t="s">
        <v>5734</v>
      </c>
      <c r="J997" s="27"/>
    </row>
    <row r="998" customFormat="false" ht="15" hidden="false" customHeight="true" outlineLevel="0" collapsed="false">
      <c r="A998" s="27" t="s">
        <v>4258</v>
      </c>
      <c r="B998" s="27" t="s">
        <v>559</v>
      </c>
      <c r="C998" s="27" t="s">
        <v>4259</v>
      </c>
      <c r="D998" s="28" t="s">
        <v>5792</v>
      </c>
      <c r="E998" s="28" t="s">
        <v>5793</v>
      </c>
      <c r="F998" s="28" t="s">
        <v>5640</v>
      </c>
      <c r="G998" s="28" t="s">
        <v>5812</v>
      </c>
      <c r="H998" s="27" t="s">
        <v>5715</v>
      </c>
      <c r="I998" s="28" t="s">
        <v>5734</v>
      </c>
      <c r="J998" s="27"/>
    </row>
    <row r="999" customFormat="false" ht="15" hidden="false" customHeight="true" outlineLevel="0" collapsed="false">
      <c r="A999" s="27" t="s">
        <v>4261</v>
      </c>
      <c r="B999" s="27" t="s">
        <v>559</v>
      </c>
      <c r="C999" s="27" t="s">
        <v>4262</v>
      </c>
      <c r="D999" s="28" t="s">
        <v>5792</v>
      </c>
      <c r="E999" s="28" t="s">
        <v>5793</v>
      </c>
      <c r="F999" s="28" t="s">
        <v>5640</v>
      </c>
      <c r="G999" s="28" t="s">
        <v>5812</v>
      </c>
      <c r="H999" s="27" t="s">
        <v>5715</v>
      </c>
      <c r="I999" s="28" t="s">
        <v>5734</v>
      </c>
      <c r="J999" s="27"/>
    </row>
    <row r="1000" customFormat="false" ht="15" hidden="false" customHeight="true" outlineLevel="0" collapsed="false">
      <c r="A1000" s="27" t="s">
        <v>4264</v>
      </c>
      <c r="B1000" s="27" t="s">
        <v>559</v>
      </c>
      <c r="C1000" s="27" t="s">
        <v>4265</v>
      </c>
      <c r="D1000" s="28" t="s">
        <v>5817</v>
      </c>
      <c r="E1000" s="28" t="s">
        <v>5639</v>
      </c>
      <c r="F1000" s="28" t="s">
        <v>5640</v>
      </c>
      <c r="G1000" s="28" t="s">
        <v>5812</v>
      </c>
      <c r="H1000" s="27" t="s">
        <v>5715</v>
      </c>
      <c r="I1000" s="28" t="s">
        <v>5734</v>
      </c>
      <c r="J1000" s="27"/>
    </row>
    <row r="1001" customFormat="false" ht="15" hidden="false" customHeight="true" outlineLevel="0" collapsed="false">
      <c r="A1001" s="27" t="s">
        <v>4267</v>
      </c>
      <c r="B1001" s="27" t="s">
        <v>559</v>
      </c>
      <c r="C1001" s="27" t="s">
        <v>4268</v>
      </c>
      <c r="D1001" s="28" t="s">
        <v>5817</v>
      </c>
      <c r="E1001" s="28" t="s">
        <v>5639</v>
      </c>
      <c r="F1001" s="28" t="s">
        <v>5640</v>
      </c>
      <c r="G1001" s="28" t="s">
        <v>5812</v>
      </c>
      <c r="H1001" s="27" t="s">
        <v>5715</v>
      </c>
      <c r="I1001" s="28" t="s">
        <v>5734</v>
      </c>
      <c r="J1001" s="27"/>
    </row>
    <row r="1002" customFormat="false" ht="15" hidden="false" customHeight="true" outlineLevel="0" collapsed="false">
      <c r="A1002" s="27" t="s">
        <v>4270</v>
      </c>
      <c r="B1002" s="27" t="s">
        <v>559</v>
      </c>
      <c r="C1002" s="27" t="s">
        <v>4271</v>
      </c>
      <c r="D1002" s="28" t="s">
        <v>5792</v>
      </c>
      <c r="E1002" s="28" t="s">
        <v>5793</v>
      </c>
      <c r="F1002" s="28" t="s">
        <v>5640</v>
      </c>
      <c r="G1002" s="28" t="s">
        <v>5812</v>
      </c>
      <c r="H1002" s="27" t="s">
        <v>5715</v>
      </c>
      <c r="I1002" s="28" t="s">
        <v>5734</v>
      </c>
      <c r="J1002" s="27"/>
    </row>
    <row r="1003" customFormat="false" ht="15" hidden="false" customHeight="true" outlineLevel="0" collapsed="false">
      <c r="A1003" s="27" t="s">
        <v>4273</v>
      </c>
      <c r="B1003" s="27" t="s">
        <v>559</v>
      </c>
      <c r="C1003" s="27" t="s">
        <v>4274</v>
      </c>
      <c r="D1003" s="28" t="s">
        <v>5817</v>
      </c>
      <c r="E1003" s="28" t="s">
        <v>5639</v>
      </c>
      <c r="F1003" s="28" t="s">
        <v>5640</v>
      </c>
      <c r="G1003" s="28" t="s">
        <v>5812</v>
      </c>
      <c r="H1003" s="27" t="s">
        <v>5715</v>
      </c>
      <c r="I1003" s="28" t="s">
        <v>5734</v>
      </c>
      <c r="J1003" s="27"/>
    </row>
    <row r="1004" customFormat="false" ht="15" hidden="false" customHeight="true" outlineLevel="0" collapsed="false">
      <c r="A1004" s="27" t="s">
        <v>4276</v>
      </c>
      <c r="B1004" s="27" t="s">
        <v>559</v>
      </c>
      <c r="C1004" s="27" t="s">
        <v>4277</v>
      </c>
      <c r="D1004" s="28" t="s">
        <v>5816</v>
      </c>
      <c r="E1004" s="28" t="s">
        <v>5639</v>
      </c>
      <c r="F1004" s="28" t="s">
        <v>5640</v>
      </c>
      <c r="G1004" s="28" t="s">
        <v>5812</v>
      </c>
      <c r="H1004" s="27" t="s">
        <v>5715</v>
      </c>
      <c r="I1004" s="28" t="s">
        <v>5734</v>
      </c>
      <c r="J1004" s="27"/>
    </row>
    <row r="1005" customFormat="false" ht="15" hidden="false" customHeight="true" outlineLevel="0" collapsed="false">
      <c r="A1005" s="27" t="s">
        <v>4279</v>
      </c>
      <c r="B1005" s="27" t="s">
        <v>559</v>
      </c>
      <c r="C1005" s="28" t="s">
        <v>4280</v>
      </c>
      <c r="D1005" s="28" t="s">
        <v>5792</v>
      </c>
      <c r="E1005" s="28" t="s">
        <v>5793</v>
      </c>
      <c r="F1005" s="28" t="s">
        <v>5640</v>
      </c>
      <c r="G1005" s="28" t="s">
        <v>5812</v>
      </c>
      <c r="H1005" s="27" t="s">
        <v>5715</v>
      </c>
      <c r="I1005" s="28" t="s">
        <v>5734</v>
      </c>
      <c r="J1005" s="27"/>
    </row>
    <row r="1006" customFormat="false" ht="15" hidden="false" customHeight="true" outlineLevel="0" collapsed="false">
      <c r="A1006" s="27" t="s">
        <v>4282</v>
      </c>
      <c r="B1006" s="27" t="s">
        <v>559</v>
      </c>
      <c r="C1006" s="28" t="s">
        <v>4283</v>
      </c>
      <c r="D1006" s="28" t="s">
        <v>5792</v>
      </c>
      <c r="E1006" s="28" t="s">
        <v>5793</v>
      </c>
      <c r="F1006" s="28" t="s">
        <v>5640</v>
      </c>
      <c r="G1006" s="28" t="s">
        <v>5812</v>
      </c>
      <c r="H1006" s="27" t="s">
        <v>5715</v>
      </c>
      <c r="I1006" s="28" t="s">
        <v>5734</v>
      </c>
      <c r="J1006" s="27"/>
    </row>
    <row r="1007" customFormat="false" ht="15" hidden="false" customHeight="true" outlineLevel="0" collapsed="false">
      <c r="A1007" s="27" t="s">
        <v>4285</v>
      </c>
      <c r="B1007" s="27" t="s">
        <v>559</v>
      </c>
      <c r="C1007" s="27" t="s">
        <v>4286</v>
      </c>
      <c r="D1007" s="28" t="s">
        <v>5792</v>
      </c>
      <c r="E1007" s="28" t="s">
        <v>5793</v>
      </c>
      <c r="F1007" s="28" t="s">
        <v>5640</v>
      </c>
      <c r="G1007" s="28" t="s">
        <v>5812</v>
      </c>
      <c r="H1007" s="27" t="s">
        <v>5715</v>
      </c>
      <c r="I1007" s="28" t="s">
        <v>5734</v>
      </c>
      <c r="J1007" s="27"/>
    </row>
    <row r="1008" customFormat="false" ht="15" hidden="false" customHeight="true" outlineLevel="0" collapsed="false">
      <c r="A1008" s="27" t="s">
        <v>4288</v>
      </c>
      <c r="B1008" s="27" t="s">
        <v>559</v>
      </c>
      <c r="C1008" s="27" t="s">
        <v>4289</v>
      </c>
      <c r="D1008" s="28" t="s">
        <v>5792</v>
      </c>
      <c r="E1008" s="28" t="s">
        <v>5793</v>
      </c>
      <c r="F1008" s="28" t="s">
        <v>5640</v>
      </c>
      <c r="G1008" s="28" t="s">
        <v>5812</v>
      </c>
      <c r="H1008" s="27" t="s">
        <v>5715</v>
      </c>
      <c r="I1008" s="28" t="s">
        <v>5734</v>
      </c>
      <c r="J1008" s="27"/>
    </row>
    <row r="1009" customFormat="false" ht="15" hidden="false" customHeight="true" outlineLevel="0" collapsed="false">
      <c r="A1009" s="27" t="s">
        <v>4291</v>
      </c>
      <c r="B1009" s="27" t="s">
        <v>559</v>
      </c>
      <c r="C1009" s="28" t="s">
        <v>4292</v>
      </c>
      <c r="D1009" s="28" t="s">
        <v>5792</v>
      </c>
      <c r="E1009" s="28" t="s">
        <v>5793</v>
      </c>
      <c r="F1009" s="28" t="s">
        <v>5640</v>
      </c>
      <c r="G1009" s="28" t="s">
        <v>5812</v>
      </c>
      <c r="H1009" s="27" t="s">
        <v>5715</v>
      </c>
      <c r="I1009" s="28" t="s">
        <v>5734</v>
      </c>
      <c r="J1009" s="27"/>
    </row>
    <row r="1010" customFormat="false" ht="15" hidden="false" customHeight="true" outlineLevel="0" collapsed="false">
      <c r="A1010" s="27" t="s">
        <v>4294</v>
      </c>
      <c r="B1010" s="27" t="s">
        <v>559</v>
      </c>
      <c r="C1010" s="27" t="s">
        <v>4295</v>
      </c>
      <c r="D1010" s="28" t="s">
        <v>5792</v>
      </c>
      <c r="E1010" s="28" t="s">
        <v>5793</v>
      </c>
      <c r="F1010" s="28" t="s">
        <v>5640</v>
      </c>
      <c r="G1010" s="28" t="s">
        <v>5812</v>
      </c>
      <c r="H1010" s="27" t="s">
        <v>5715</v>
      </c>
      <c r="I1010" s="28" t="s">
        <v>5734</v>
      </c>
      <c r="J1010" s="27"/>
    </row>
    <row r="1011" customFormat="false" ht="15" hidden="false" customHeight="true" outlineLevel="0" collapsed="false">
      <c r="A1011" s="27" t="s">
        <v>4297</v>
      </c>
      <c r="B1011" s="27" t="s">
        <v>559</v>
      </c>
      <c r="C1011" s="28" t="s">
        <v>4298</v>
      </c>
      <c r="D1011" s="28" t="s">
        <v>5792</v>
      </c>
      <c r="E1011" s="28" t="s">
        <v>5793</v>
      </c>
      <c r="F1011" s="28" t="s">
        <v>5640</v>
      </c>
      <c r="G1011" s="28" t="s">
        <v>5812</v>
      </c>
      <c r="H1011" s="27" t="s">
        <v>5715</v>
      </c>
      <c r="I1011" s="28" t="s">
        <v>5734</v>
      </c>
      <c r="J1011" s="27"/>
    </row>
    <row r="1012" customFormat="false" ht="15" hidden="false" customHeight="true" outlineLevel="0" collapsed="false">
      <c r="A1012" s="27" t="s">
        <v>4300</v>
      </c>
      <c r="B1012" s="27" t="s">
        <v>559</v>
      </c>
      <c r="C1012" s="28" t="s">
        <v>4301</v>
      </c>
      <c r="D1012" s="28" t="s">
        <v>5676</v>
      </c>
      <c r="E1012" s="28" t="s">
        <v>5677</v>
      </c>
      <c r="F1012" s="28" t="s">
        <v>5630</v>
      </c>
      <c r="G1012" s="28" t="s">
        <v>5812</v>
      </c>
      <c r="H1012" s="27" t="s">
        <v>5715</v>
      </c>
      <c r="I1012" s="28" t="s">
        <v>5734</v>
      </c>
      <c r="J1012" s="27"/>
    </row>
    <row r="1013" customFormat="false" ht="15" hidden="false" customHeight="true" outlineLevel="0" collapsed="false">
      <c r="A1013" s="27" t="s">
        <v>4303</v>
      </c>
      <c r="B1013" s="27" t="s">
        <v>559</v>
      </c>
      <c r="C1013" s="27" t="s">
        <v>4304</v>
      </c>
      <c r="D1013" s="28" t="s">
        <v>5676</v>
      </c>
      <c r="E1013" s="28" t="s">
        <v>5677</v>
      </c>
      <c r="F1013" s="28" t="s">
        <v>5630</v>
      </c>
      <c r="G1013" s="28" t="s">
        <v>5812</v>
      </c>
      <c r="H1013" s="27" t="s">
        <v>5715</v>
      </c>
      <c r="I1013" s="28" t="s">
        <v>5734</v>
      </c>
      <c r="J1013" s="27"/>
    </row>
    <row r="1014" customFormat="false" ht="15" hidden="false" customHeight="true" outlineLevel="0" collapsed="false">
      <c r="A1014" s="27" t="s">
        <v>4306</v>
      </c>
      <c r="B1014" s="27" t="s">
        <v>559</v>
      </c>
      <c r="C1014" s="28" t="s">
        <v>4307</v>
      </c>
      <c r="D1014" s="28" t="s">
        <v>5676</v>
      </c>
      <c r="E1014" s="28" t="s">
        <v>5677</v>
      </c>
      <c r="F1014" s="28" t="s">
        <v>5630</v>
      </c>
      <c r="G1014" s="28" t="s">
        <v>5812</v>
      </c>
      <c r="H1014" s="27" t="s">
        <v>5715</v>
      </c>
      <c r="I1014" s="28" t="s">
        <v>5734</v>
      </c>
      <c r="J1014" s="27"/>
    </row>
    <row r="1015" customFormat="false" ht="15" hidden="false" customHeight="true" outlineLevel="0" collapsed="false">
      <c r="A1015" s="27" t="s">
        <v>4309</v>
      </c>
      <c r="B1015" s="27" t="s">
        <v>559</v>
      </c>
      <c r="C1015" s="28" t="s">
        <v>4310</v>
      </c>
      <c r="D1015" s="28" t="s">
        <v>5676</v>
      </c>
      <c r="E1015" s="28" t="s">
        <v>5677</v>
      </c>
      <c r="F1015" s="28" t="s">
        <v>5630</v>
      </c>
      <c r="G1015" s="28" t="s">
        <v>5812</v>
      </c>
      <c r="H1015" s="27" t="s">
        <v>5715</v>
      </c>
      <c r="I1015" s="28" t="s">
        <v>5734</v>
      </c>
      <c r="J1015" s="27"/>
    </row>
    <row r="1016" customFormat="false" ht="15" hidden="false" customHeight="true" outlineLevel="0" collapsed="false">
      <c r="A1016" s="27" t="s">
        <v>4312</v>
      </c>
      <c r="B1016" s="27" t="s">
        <v>559</v>
      </c>
      <c r="C1016" s="28" t="s">
        <v>4313</v>
      </c>
      <c r="D1016" s="28" t="s">
        <v>5676</v>
      </c>
      <c r="E1016" s="28" t="s">
        <v>5677</v>
      </c>
      <c r="F1016" s="28" t="s">
        <v>5630</v>
      </c>
      <c r="G1016" s="28" t="s">
        <v>5812</v>
      </c>
      <c r="H1016" s="27" t="s">
        <v>5715</v>
      </c>
      <c r="I1016" s="28" t="s">
        <v>5734</v>
      </c>
      <c r="J1016" s="27"/>
    </row>
    <row r="1017" customFormat="false" ht="15" hidden="false" customHeight="true" outlineLevel="0" collapsed="false">
      <c r="A1017" s="27" t="s">
        <v>4315</v>
      </c>
      <c r="B1017" s="27" t="s">
        <v>559</v>
      </c>
      <c r="C1017" s="28" t="s">
        <v>4316</v>
      </c>
      <c r="D1017" s="28" t="s">
        <v>5676</v>
      </c>
      <c r="E1017" s="28" t="s">
        <v>5677</v>
      </c>
      <c r="F1017" s="28" t="s">
        <v>5630</v>
      </c>
      <c r="G1017" s="28" t="s">
        <v>5812</v>
      </c>
      <c r="H1017" s="27" t="s">
        <v>5715</v>
      </c>
      <c r="I1017" s="28" t="s">
        <v>5734</v>
      </c>
      <c r="J1017" s="27"/>
    </row>
    <row r="1018" customFormat="false" ht="15" hidden="false" customHeight="true" outlineLevel="0" collapsed="false">
      <c r="A1018" s="27" t="s">
        <v>4318</v>
      </c>
      <c r="B1018" s="27" t="s">
        <v>559</v>
      </c>
      <c r="C1018" s="28" t="s">
        <v>4319</v>
      </c>
      <c r="D1018" s="28" t="s">
        <v>5676</v>
      </c>
      <c r="E1018" s="28" t="s">
        <v>5677</v>
      </c>
      <c r="F1018" s="28" t="s">
        <v>5630</v>
      </c>
      <c r="G1018" s="28" t="s">
        <v>5812</v>
      </c>
      <c r="H1018" s="27" t="s">
        <v>5715</v>
      </c>
      <c r="I1018" s="28" t="s">
        <v>5734</v>
      </c>
      <c r="J1018" s="27"/>
    </row>
    <row r="1019" customFormat="false" ht="15" hidden="false" customHeight="true" outlineLevel="0" collapsed="false">
      <c r="A1019" s="27" t="s">
        <v>4321</v>
      </c>
      <c r="B1019" s="27" t="s">
        <v>559</v>
      </c>
      <c r="C1019" s="28" t="s">
        <v>4322</v>
      </c>
      <c r="D1019" s="28" t="s">
        <v>5676</v>
      </c>
      <c r="E1019" s="28" t="s">
        <v>5677</v>
      </c>
      <c r="F1019" s="28" t="s">
        <v>5630</v>
      </c>
      <c r="G1019" s="28" t="s">
        <v>5812</v>
      </c>
      <c r="H1019" s="27" t="s">
        <v>5715</v>
      </c>
      <c r="I1019" s="28" t="s">
        <v>5734</v>
      </c>
      <c r="J1019" s="27"/>
    </row>
    <row r="1020" customFormat="false" ht="15" hidden="false" customHeight="true" outlineLevel="0" collapsed="false">
      <c r="A1020" s="27" t="s">
        <v>4324</v>
      </c>
      <c r="B1020" s="27" t="s">
        <v>559</v>
      </c>
      <c r="C1020" s="28" t="s">
        <v>4325</v>
      </c>
      <c r="D1020" s="28" t="s">
        <v>5676</v>
      </c>
      <c r="E1020" s="28" t="s">
        <v>5677</v>
      </c>
      <c r="F1020" s="28" t="s">
        <v>5630</v>
      </c>
      <c r="G1020" s="28" t="s">
        <v>5812</v>
      </c>
      <c r="H1020" s="27" t="s">
        <v>5715</v>
      </c>
      <c r="I1020" s="28" t="s">
        <v>5734</v>
      </c>
      <c r="J1020" s="27"/>
    </row>
    <row r="1021" customFormat="false" ht="15" hidden="false" customHeight="true" outlineLevel="0" collapsed="false">
      <c r="A1021" s="27" t="s">
        <v>4327</v>
      </c>
      <c r="B1021" s="27" t="s">
        <v>559</v>
      </c>
      <c r="C1021" s="28" t="s">
        <v>4328</v>
      </c>
      <c r="D1021" s="28" t="s">
        <v>5676</v>
      </c>
      <c r="E1021" s="28" t="s">
        <v>5677</v>
      </c>
      <c r="F1021" s="28" t="s">
        <v>5630</v>
      </c>
      <c r="G1021" s="28" t="s">
        <v>5812</v>
      </c>
      <c r="H1021" s="27" t="s">
        <v>5715</v>
      </c>
      <c r="I1021" s="28" t="s">
        <v>5734</v>
      </c>
      <c r="J1021" s="27"/>
    </row>
    <row r="1022" customFormat="false" ht="15" hidden="false" customHeight="true" outlineLevel="0" collapsed="false">
      <c r="A1022" s="27" t="s">
        <v>4330</v>
      </c>
      <c r="B1022" s="27" t="s">
        <v>559</v>
      </c>
      <c r="C1022" s="28" t="s">
        <v>4331</v>
      </c>
      <c r="D1022" s="28" t="s">
        <v>5676</v>
      </c>
      <c r="E1022" s="28" t="s">
        <v>5677</v>
      </c>
      <c r="F1022" s="28" t="s">
        <v>5630</v>
      </c>
      <c r="G1022" s="28" t="s">
        <v>5812</v>
      </c>
      <c r="H1022" s="27" t="s">
        <v>5715</v>
      </c>
      <c r="I1022" s="28" t="s">
        <v>5734</v>
      </c>
      <c r="J1022" s="27"/>
    </row>
    <row r="1023" customFormat="false" ht="15" hidden="false" customHeight="true" outlineLevel="0" collapsed="false">
      <c r="A1023" s="27" t="s">
        <v>4333</v>
      </c>
      <c r="B1023" s="27" t="s">
        <v>559</v>
      </c>
      <c r="C1023" s="28" t="s">
        <v>4334</v>
      </c>
      <c r="D1023" s="28" t="s">
        <v>5676</v>
      </c>
      <c r="E1023" s="28" t="s">
        <v>5677</v>
      </c>
      <c r="F1023" s="28" t="s">
        <v>5630</v>
      </c>
      <c r="G1023" s="28" t="s">
        <v>5812</v>
      </c>
      <c r="H1023" s="27" t="s">
        <v>5715</v>
      </c>
      <c r="I1023" s="28" t="s">
        <v>5734</v>
      </c>
      <c r="J1023" s="27"/>
    </row>
    <row r="1024" customFormat="false" ht="15" hidden="false" customHeight="true" outlineLevel="0" collapsed="false">
      <c r="A1024" s="27" t="s">
        <v>4336</v>
      </c>
      <c r="B1024" s="27" t="s">
        <v>559</v>
      </c>
      <c r="C1024" s="28" t="s">
        <v>4337</v>
      </c>
      <c r="D1024" s="28" t="s">
        <v>5676</v>
      </c>
      <c r="E1024" s="28" t="s">
        <v>5677</v>
      </c>
      <c r="F1024" s="28" t="s">
        <v>5630</v>
      </c>
      <c r="G1024" s="28" t="s">
        <v>5812</v>
      </c>
      <c r="H1024" s="27" t="s">
        <v>5715</v>
      </c>
      <c r="I1024" s="28" t="s">
        <v>5734</v>
      </c>
      <c r="J1024" s="27"/>
    </row>
    <row r="1025" customFormat="false" ht="15" hidden="false" customHeight="true" outlineLevel="0" collapsed="false">
      <c r="A1025" s="27" t="s">
        <v>4339</v>
      </c>
      <c r="B1025" s="27" t="s">
        <v>559</v>
      </c>
      <c r="C1025" s="28" t="s">
        <v>4340</v>
      </c>
      <c r="D1025" s="28" t="s">
        <v>5676</v>
      </c>
      <c r="E1025" s="28" t="s">
        <v>5677</v>
      </c>
      <c r="F1025" s="28" t="s">
        <v>5630</v>
      </c>
      <c r="G1025" s="28" t="s">
        <v>5812</v>
      </c>
      <c r="H1025" s="27" t="s">
        <v>5715</v>
      </c>
      <c r="I1025" s="28" t="s">
        <v>5734</v>
      </c>
      <c r="J1025" s="27"/>
    </row>
    <row r="1026" customFormat="false" ht="15" hidden="false" customHeight="true" outlineLevel="0" collapsed="false">
      <c r="A1026" s="27" t="s">
        <v>4342</v>
      </c>
      <c r="B1026" s="27" t="s">
        <v>559</v>
      </c>
      <c r="C1026" s="28" t="s">
        <v>4343</v>
      </c>
      <c r="D1026" s="28" t="s">
        <v>5676</v>
      </c>
      <c r="E1026" s="28" t="s">
        <v>5677</v>
      </c>
      <c r="F1026" s="28" t="s">
        <v>5630</v>
      </c>
      <c r="G1026" s="28" t="s">
        <v>5812</v>
      </c>
      <c r="H1026" s="27" t="s">
        <v>5715</v>
      </c>
      <c r="I1026" s="28" t="s">
        <v>5734</v>
      </c>
      <c r="J1026" s="27"/>
    </row>
    <row r="1027" customFormat="false" ht="15" hidden="false" customHeight="true" outlineLevel="0" collapsed="false">
      <c r="A1027" s="27" t="s">
        <v>4345</v>
      </c>
      <c r="B1027" s="27" t="s">
        <v>559</v>
      </c>
      <c r="C1027" s="28" t="s">
        <v>4346</v>
      </c>
      <c r="D1027" s="28" t="s">
        <v>5676</v>
      </c>
      <c r="E1027" s="28" t="s">
        <v>5677</v>
      </c>
      <c r="F1027" s="28" t="s">
        <v>5630</v>
      </c>
      <c r="G1027" s="28" t="s">
        <v>5812</v>
      </c>
      <c r="H1027" s="27" t="s">
        <v>5715</v>
      </c>
      <c r="I1027" s="28" t="s">
        <v>5734</v>
      </c>
      <c r="J1027" s="27"/>
    </row>
    <row r="1028" customFormat="false" ht="15" hidden="false" customHeight="true" outlineLevel="0" collapsed="false">
      <c r="A1028" s="27" t="s">
        <v>4348</v>
      </c>
      <c r="B1028" s="27" t="s">
        <v>559</v>
      </c>
      <c r="C1028" s="28" t="s">
        <v>4349</v>
      </c>
      <c r="D1028" s="28" t="s">
        <v>5676</v>
      </c>
      <c r="E1028" s="28" t="s">
        <v>5677</v>
      </c>
      <c r="F1028" s="28" t="s">
        <v>5630</v>
      </c>
      <c r="G1028" s="28" t="s">
        <v>5812</v>
      </c>
      <c r="H1028" s="27" t="s">
        <v>5715</v>
      </c>
      <c r="I1028" s="28" t="s">
        <v>5734</v>
      </c>
      <c r="J1028" s="27"/>
    </row>
    <row r="1029" customFormat="false" ht="15" hidden="false" customHeight="true" outlineLevel="0" collapsed="false">
      <c r="A1029" s="27" t="s">
        <v>4351</v>
      </c>
      <c r="B1029" s="27" t="s">
        <v>559</v>
      </c>
      <c r="C1029" s="28" t="s">
        <v>4352</v>
      </c>
      <c r="D1029" s="28" t="s">
        <v>5676</v>
      </c>
      <c r="E1029" s="28" t="s">
        <v>5677</v>
      </c>
      <c r="F1029" s="28" t="s">
        <v>5630</v>
      </c>
      <c r="G1029" s="28" t="s">
        <v>5812</v>
      </c>
      <c r="H1029" s="27" t="s">
        <v>5715</v>
      </c>
      <c r="I1029" s="28" t="s">
        <v>5734</v>
      </c>
      <c r="J1029" s="27"/>
    </row>
    <row r="1030" customFormat="false" ht="15" hidden="false" customHeight="true" outlineLevel="0" collapsed="false">
      <c r="A1030" s="27" t="s">
        <v>4354</v>
      </c>
      <c r="B1030" s="27" t="s">
        <v>559</v>
      </c>
      <c r="C1030" s="28" t="s">
        <v>4355</v>
      </c>
      <c r="D1030" s="28" t="s">
        <v>5676</v>
      </c>
      <c r="E1030" s="28" t="s">
        <v>5677</v>
      </c>
      <c r="F1030" s="28" t="s">
        <v>5630</v>
      </c>
      <c r="G1030" s="28" t="s">
        <v>5812</v>
      </c>
      <c r="H1030" s="27" t="s">
        <v>5715</v>
      </c>
      <c r="I1030" s="28" t="s">
        <v>5734</v>
      </c>
      <c r="J1030" s="27"/>
    </row>
    <row r="1031" customFormat="false" ht="15" hidden="false" customHeight="true" outlineLevel="0" collapsed="false">
      <c r="A1031" s="27" t="s">
        <v>4357</v>
      </c>
      <c r="B1031" s="27" t="s">
        <v>559</v>
      </c>
      <c r="C1031" s="28" t="s">
        <v>4358</v>
      </c>
      <c r="D1031" s="28" t="s">
        <v>5676</v>
      </c>
      <c r="E1031" s="28" t="s">
        <v>5677</v>
      </c>
      <c r="F1031" s="28" t="s">
        <v>5630</v>
      </c>
      <c r="G1031" s="28" t="s">
        <v>5812</v>
      </c>
      <c r="H1031" s="27" t="s">
        <v>5715</v>
      </c>
      <c r="I1031" s="28" t="s">
        <v>5734</v>
      </c>
      <c r="J1031" s="27"/>
    </row>
    <row r="1032" customFormat="false" ht="15" hidden="false" customHeight="true" outlineLevel="0" collapsed="false">
      <c r="A1032" s="27" t="s">
        <v>4360</v>
      </c>
      <c r="B1032" s="27" t="s">
        <v>559</v>
      </c>
      <c r="C1032" s="28" t="s">
        <v>4361</v>
      </c>
      <c r="D1032" s="28" t="s">
        <v>5676</v>
      </c>
      <c r="E1032" s="28" t="s">
        <v>5677</v>
      </c>
      <c r="F1032" s="28" t="s">
        <v>5630</v>
      </c>
      <c r="G1032" s="28" t="s">
        <v>5812</v>
      </c>
      <c r="H1032" s="27" t="s">
        <v>5715</v>
      </c>
      <c r="I1032" s="28" t="s">
        <v>5734</v>
      </c>
      <c r="J1032" s="27"/>
    </row>
    <row r="1033" customFormat="false" ht="15" hidden="false" customHeight="true" outlineLevel="0" collapsed="false">
      <c r="A1033" s="27" t="s">
        <v>4363</v>
      </c>
      <c r="B1033" s="27" t="s">
        <v>559</v>
      </c>
      <c r="C1033" s="28" t="s">
        <v>4364</v>
      </c>
      <c r="D1033" s="28" t="s">
        <v>5676</v>
      </c>
      <c r="E1033" s="28" t="s">
        <v>5677</v>
      </c>
      <c r="F1033" s="28" t="s">
        <v>5630</v>
      </c>
      <c r="G1033" s="28" t="s">
        <v>5812</v>
      </c>
      <c r="H1033" s="27" t="s">
        <v>5715</v>
      </c>
      <c r="I1033" s="28" t="s">
        <v>5734</v>
      </c>
      <c r="J1033" s="27"/>
    </row>
    <row r="1034" customFormat="false" ht="15" hidden="false" customHeight="true" outlineLevel="0" collapsed="false">
      <c r="A1034" s="27" t="s">
        <v>4366</v>
      </c>
      <c r="B1034" s="27" t="s">
        <v>559</v>
      </c>
      <c r="C1034" s="28" t="s">
        <v>4367</v>
      </c>
      <c r="D1034" s="28" t="s">
        <v>5676</v>
      </c>
      <c r="E1034" s="28" t="s">
        <v>5677</v>
      </c>
      <c r="F1034" s="28" t="s">
        <v>5630</v>
      </c>
      <c r="G1034" s="28" t="s">
        <v>5812</v>
      </c>
      <c r="H1034" s="27" t="s">
        <v>5715</v>
      </c>
      <c r="I1034" s="28" t="s">
        <v>5734</v>
      </c>
      <c r="J1034" s="27"/>
    </row>
    <row r="1035" customFormat="false" ht="15" hidden="false" customHeight="true" outlineLevel="0" collapsed="false">
      <c r="A1035" s="27" t="s">
        <v>4369</v>
      </c>
      <c r="B1035" s="27" t="s">
        <v>559</v>
      </c>
      <c r="C1035" s="28" t="s">
        <v>4370</v>
      </c>
      <c r="D1035" s="28" t="s">
        <v>5676</v>
      </c>
      <c r="E1035" s="28" t="s">
        <v>5677</v>
      </c>
      <c r="F1035" s="28" t="s">
        <v>5630</v>
      </c>
      <c r="G1035" s="28" t="s">
        <v>5812</v>
      </c>
      <c r="H1035" s="27" t="s">
        <v>5715</v>
      </c>
      <c r="I1035" s="28" t="s">
        <v>5734</v>
      </c>
      <c r="J1035" s="27"/>
    </row>
    <row r="1036" customFormat="false" ht="15" hidden="false" customHeight="true" outlineLevel="0" collapsed="false">
      <c r="A1036" s="27" t="s">
        <v>4372</v>
      </c>
      <c r="B1036" s="27" t="s">
        <v>559</v>
      </c>
      <c r="C1036" s="28" t="s">
        <v>4373</v>
      </c>
      <c r="D1036" s="28" t="s">
        <v>5676</v>
      </c>
      <c r="E1036" s="28" t="s">
        <v>5677</v>
      </c>
      <c r="F1036" s="28" t="s">
        <v>5630</v>
      </c>
      <c r="G1036" s="28" t="s">
        <v>5812</v>
      </c>
      <c r="H1036" s="27" t="s">
        <v>5715</v>
      </c>
      <c r="I1036" s="28" t="s">
        <v>5734</v>
      </c>
      <c r="J1036" s="27"/>
    </row>
    <row r="1037" customFormat="false" ht="15" hidden="false" customHeight="true" outlineLevel="0" collapsed="false">
      <c r="A1037" s="27" t="s">
        <v>4375</v>
      </c>
      <c r="B1037" s="27" t="s">
        <v>559</v>
      </c>
      <c r="C1037" s="28" t="s">
        <v>4376</v>
      </c>
      <c r="D1037" s="28" t="s">
        <v>5676</v>
      </c>
      <c r="E1037" s="28" t="s">
        <v>5677</v>
      </c>
      <c r="F1037" s="28" t="s">
        <v>5630</v>
      </c>
      <c r="G1037" s="28" t="s">
        <v>5812</v>
      </c>
      <c r="H1037" s="27" t="s">
        <v>5715</v>
      </c>
      <c r="I1037" s="28" t="s">
        <v>5734</v>
      </c>
      <c r="J1037" s="27"/>
    </row>
    <row r="1038" customFormat="false" ht="15" hidden="false" customHeight="true" outlineLevel="0" collapsed="false">
      <c r="A1038" s="27" t="s">
        <v>4378</v>
      </c>
      <c r="B1038" s="27" t="s">
        <v>559</v>
      </c>
      <c r="C1038" s="28" t="s">
        <v>4379</v>
      </c>
      <c r="D1038" s="28" t="s">
        <v>5676</v>
      </c>
      <c r="E1038" s="28" t="s">
        <v>5677</v>
      </c>
      <c r="F1038" s="28" t="s">
        <v>5630</v>
      </c>
      <c r="G1038" s="28" t="s">
        <v>5812</v>
      </c>
      <c r="H1038" s="27" t="s">
        <v>5715</v>
      </c>
      <c r="I1038" s="28" t="s">
        <v>5734</v>
      </c>
      <c r="J1038" s="27"/>
    </row>
    <row r="1039" customFormat="false" ht="15" hidden="false" customHeight="true" outlineLevel="0" collapsed="false">
      <c r="A1039" s="27" t="s">
        <v>4381</v>
      </c>
      <c r="B1039" s="27" t="s">
        <v>559</v>
      </c>
      <c r="C1039" s="28" t="s">
        <v>4382</v>
      </c>
      <c r="D1039" s="28" t="s">
        <v>5676</v>
      </c>
      <c r="E1039" s="28" t="s">
        <v>5677</v>
      </c>
      <c r="F1039" s="28" t="s">
        <v>5630</v>
      </c>
      <c r="G1039" s="28" t="s">
        <v>5812</v>
      </c>
      <c r="H1039" s="27" t="s">
        <v>5715</v>
      </c>
      <c r="I1039" s="28" t="s">
        <v>5734</v>
      </c>
      <c r="J1039" s="27"/>
    </row>
    <row r="1040" customFormat="false" ht="15" hidden="false" customHeight="true" outlineLevel="0" collapsed="false">
      <c r="A1040" s="27" t="s">
        <v>4384</v>
      </c>
      <c r="B1040" s="27" t="s">
        <v>559</v>
      </c>
      <c r="C1040" s="28" t="s">
        <v>4385</v>
      </c>
      <c r="D1040" s="28" t="s">
        <v>5676</v>
      </c>
      <c r="E1040" s="28" t="s">
        <v>5677</v>
      </c>
      <c r="F1040" s="28" t="s">
        <v>5630</v>
      </c>
      <c r="G1040" s="28" t="s">
        <v>5812</v>
      </c>
      <c r="H1040" s="27" t="s">
        <v>5715</v>
      </c>
      <c r="I1040" s="28" t="s">
        <v>5734</v>
      </c>
      <c r="J1040" s="27"/>
    </row>
    <row r="1041" customFormat="false" ht="15" hidden="false" customHeight="true" outlineLevel="0" collapsed="false">
      <c r="A1041" s="27" t="s">
        <v>4387</v>
      </c>
      <c r="B1041" s="27" t="s">
        <v>559</v>
      </c>
      <c r="C1041" s="28" t="s">
        <v>4388</v>
      </c>
      <c r="D1041" s="28" t="s">
        <v>5676</v>
      </c>
      <c r="E1041" s="28" t="s">
        <v>5677</v>
      </c>
      <c r="F1041" s="28" t="s">
        <v>5630</v>
      </c>
      <c r="G1041" s="28" t="s">
        <v>5812</v>
      </c>
      <c r="H1041" s="27" t="s">
        <v>5715</v>
      </c>
      <c r="I1041" s="28" t="s">
        <v>5734</v>
      </c>
      <c r="J1041" s="27"/>
    </row>
    <row r="1042" customFormat="false" ht="15" hidden="false" customHeight="true" outlineLevel="0" collapsed="false">
      <c r="A1042" s="27" t="s">
        <v>4390</v>
      </c>
      <c r="B1042" s="27" t="s">
        <v>559</v>
      </c>
      <c r="C1042" s="28" t="s">
        <v>4391</v>
      </c>
      <c r="D1042" s="28" t="s">
        <v>5676</v>
      </c>
      <c r="E1042" s="28" t="s">
        <v>5677</v>
      </c>
      <c r="F1042" s="28" t="s">
        <v>5630</v>
      </c>
      <c r="G1042" s="28" t="s">
        <v>5812</v>
      </c>
      <c r="H1042" s="27" t="s">
        <v>5715</v>
      </c>
      <c r="I1042" s="28" t="s">
        <v>5734</v>
      </c>
      <c r="J1042" s="27"/>
    </row>
    <row r="1043" customFormat="false" ht="15" hidden="false" customHeight="true" outlineLevel="0" collapsed="false">
      <c r="A1043" s="27" t="s">
        <v>4393</v>
      </c>
      <c r="B1043" s="27" t="s">
        <v>559</v>
      </c>
      <c r="C1043" s="28" t="s">
        <v>4394</v>
      </c>
      <c r="D1043" s="28" t="s">
        <v>5676</v>
      </c>
      <c r="E1043" s="28" t="s">
        <v>5677</v>
      </c>
      <c r="F1043" s="28" t="s">
        <v>5630</v>
      </c>
      <c r="G1043" s="28" t="s">
        <v>5812</v>
      </c>
      <c r="H1043" s="27" t="s">
        <v>5715</v>
      </c>
      <c r="I1043" s="28" t="s">
        <v>5734</v>
      </c>
      <c r="J1043" s="27"/>
    </row>
    <row r="1044" customFormat="false" ht="15" hidden="false" customHeight="true" outlineLevel="0" collapsed="false">
      <c r="A1044" s="27" t="s">
        <v>4396</v>
      </c>
      <c r="B1044" s="27" t="s">
        <v>559</v>
      </c>
      <c r="C1044" s="28" t="s">
        <v>4397</v>
      </c>
      <c r="D1044" s="28" t="s">
        <v>5676</v>
      </c>
      <c r="E1044" s="28" t="s">
        <v>5677</v>
      </c>
      <c r="F1044" s="28" t="s">
        <v>5630</v>
      </c>
      <c r="G1044" s="28" t="s">
        <v>5812</v>
      </c>
      <c r="H1044" s="27" t="s">
        <v>5715</v>
      </c>
      <c r="I1044" s="28" t="s">
        <v>5734</v>
      </c>
      <c r="J1044" s="27"/>
    </row>
    <row r="1045" customFormat="false" ht="15" hidden="false" customHeight="true" outlineLevel="0" collapsed="false">
      <c r="A1045" s="27" t="s">
        <v>4399</v>
      </c>
      <c r="B1045" s="27" t="s">
        <v>559</v>
      </c>
      <c r="C1045" s="28" t="s">
        <v>4400</v>
      </c>
      <c r="D1045" s="28" t="s">
        <v>5676</v>
      </c>
      <c r="E1045" s="28" t="s">
        <v>5677</v>
      </c>
      <c r="F1045" s="28" t="s">
        <v>5630</v>
      </c>
      <c r="G1045" s="28" t="s">
        <v>5812</v>
      </c>
      <c r="H1045" s="27" t="s">
        <v>5715</v>
      </c>
      <c r="I1045" s="28" t="s">
        <v>5734</v>
      </c>
      <c r="J1045" s="27"/>
    </row>
    <row r="1046" customFormat="false" ht="15" hidden="false" customHeight="true" outlineLevel="0" collapsed="false">
      <c r="A1046" s="27" t="s">
        <v>4402</v>
      </c>
      <c r="B1046" s="27" t="s">
        <v>559</v>
      </c>
      <c r="C1046" s="27" t="s">
        <v>4403</v>
      </c>
      <c r="D1046" s="28" t="s">
        <v>5676</v>
      </c>
      <c r="E1046" s="28" t="s">
        <v>5677</v>
      </c>
      <c r="F1046" s="28" t="s">
        <v>5630</v>
      </c>
      <c r="G1046" s="28" t="s">
        <v>5812</v>
      </c>
      <c r="H1046" s="27" t="s">
        <v>5715</v>
      </c>
      <c r="I1046" s="28" t="s">
        <v>5734</v>
      </c>
      <c r="J1046" s="27"/>
    </row>
    <row r="1047" customFormat="false" ht="15" hidden="false" customHeight="true" outlineLevel="0" collapsed="false">
      <c r="A1047" s="27" t="s">
        <v>4405</v>
      </c>
      <c r="B1047" s="27" t="s">
        <v>559</v>
      </c>
      <c r="C1047" s="27" t="s">
        <v>4406</v>
      </c>
      <c r="D1047" s="28" t="s">
        <v>5676</v>
      </c>
      <c r="E1047" s="28" t="s">
        <v>5677</v>
      </c>
      <c r="F1047" s="28" t="s">
        <v>5630</v>
      </c>
      <c r="G1047" s="28" t="s">
        <v>5812</v>
      </c>
      <c r="H1047" s="27" t="s">
        <v>5715</v>
      </c>
      <c r="I1047" s="28" t="s">
        <v>5734</v>
      </c>
      <c r="J1047" s="27"/>
    </row>
    <row r="1048" customFormat="false" ht="15" hidden="false" customHeight="true" outlineLevel="0" collapsed="false">
      <c r="A1048" s="27" t="s">
        <v>4408</v>
      </c>
      <c r="B1048" s="27" t="s">
        <v>559</v>
      </c>
      <c r="C1048" s="28" t="s">
        <v>4409</v>
      </c>
      <c r="D1048" s="28" t="s">
        <v>5676</v>
      </c>
      <c r="E1048" s="28" t="s">
        <v>5677</v>
      </c>
      <c r="F1048" s="28" t="s">
        <v>5630</v>
      </c>
      <c r="G1048" s="28" t="s">
        <v>5812</v>
      </c>
      <c r="H1048" s="27" t="s">
        <v>5715</v>
      </c>
      <c r="I1048" s="28" t="s">
        <v>5734</v>
      </c>
      <c r="J1048" s="27"/>
    </row>
    <row r="1049" customFormat="false" ht="15" hidden="false" customHeight="true" outlineLevel="0" collapsed="false">
      <c r="A1049" s="27" t="s">
        <v>4411</v>
      </c>
      <c r="B1049" s="27" t="s">
        <v>559</v>
      </c>
      <c r="C1049" s="28" t="s">
        <v>4412</v>
      </c>
      <c r="D1049" s="28" t="s">
        <v>5676</v>
      </c>
      <c r="E1049" s="28" t="s">
        <v>5677</v>
      </c>
      <c r="F1049" s="28" t="s">
        <v>5630</v>
      </c>
      <c r="G1049" s="28" t="s">
        <v>5812</v>
      </c>
      <c r="H1049" s="27" t="s">
        <v>5715</v>
      </c>
      <c r="I1049" s="28" t="s">
        <v>5734</v>
      </c>
      <c r="J1049" s="27"/>
    </row>
    <row r="1050" customFormat="false" ht="15" hidden="false" customHeight="true" outlineLevel="0" collapsed="false">
      <c r="A1050" s="27" t="s">
        <v>4414</v>
      </c>
      <c r="B1050" s="27" t="s">
        <v>559</v>
      </c>
      <c r="C1050" s="28" t="s">
        <v>4415</v>
      </c>
      <c r="D1050" s="28" t="s">
        <v>5676</v>
      </c>
      <c r="E1050" s="28" t="s">
        <v>5677</v>
      </c>
      <c r="F1050" s="28" t="s">
        <v>5630</v>
      </c>
      <c r="G1050" s="28" t="s">
        <v>5812</v>
      </c>
      <c r="H1050" s="27" t="s">
        <v>5715</v>
      </c>
      <c r="I1050" s="28" t="s">
        <v>5734</v>
      </c>
      <c r="J1050" s="27"/>
    </row>
    <row r="1051" customFormat="false" ht="15" hidden="false" customHeight="true" outlineLevel="0" collapsed="false">
      <c r="A1051" s="27" t="s">
        <v>4417</v>
      </c>
      <c r="B1051" s="27" t="s">
        <v>559</v>
      </c>
      <c r="C1051" s="28" t="s">
        <v>4418</v>
      </c>
      <c r="D1051" s="28" t="s">
        <v>5676</v>
      </c>
      <c r="E1051" s="28" t="s">
        <v>5677</v>
      </c>
      <c r="F1051" s="28" t="s">
        <v>5630</v>
      </c>
      <c r="G1051" s="28" t="s">
        <v>5812</v>
      </c>
      <c r="H1051" s="27" t="s">
        <v>5715</v>
      </c>
      <c r="I1051" s="28" t="s">
        <v>5734</v>
      </c>
      <c r="J1051" s="27"/>
    </row>
    <row r="1052" customFormat="false" ht="15" hidden="false" customHeight="true" outlineLevel="0" collapsed="false">
      <c r="A1052" s="27" t="s">
        <v>4420</v>
      </c>
      <c r="B1052" s="27" t="s">
        <v>559</v>
      </c>
      <c r="C1052" s="28" t="s">
        <v>4421</v>
      </c>
      <c r="D1052" s="28" t="s">
        <v>5676</v>
      </c>
      <c r="E1052" s="28" t="s">
        <v>5677</v>
      </c>
      <c r="F1052" s="28" t="s">
        <v>5630</v>
      </c>
      <c r="G1052" s="28" t="s">
        <v>5812</v>
      </c>
      <c r="H1052" s="27" t="s">
        <v>5715</v>
      </c>
      <c r="I1052" s="28" t="s">
        <v>5734</v>
      </c>
      <c r="J1052" s="27"/>
    </row>
    <row r="1053" customFormat="false" ht="15" hidden="false" customHeight="true" outlineLevel="0" collapsed="false">
      <c r="A1053" s="27" t="s">
        <v>4423</v>
      </c>
      <c r="B1053" s="27" t="s">
        <v>559</v>
      </c>
      <c r="C1053" s="28" t="s">
        <v>4424</v>
      </c>
      <c r="D1053" s="28" t="s">
        <v>5676</v>
      </c>
      <c r="E1053" s="28" t="s">
        <v>5677</v>
      </c>
      <c r="F1053" s="28" t="s">
        <v>5630</v>
      </c>
      <c r="G1053" s="28" t="s">
        <v>5812</v>
      </c>
      <c r="H1053" s="27" t="s">
        <v>5715</v>
      </c>
      <c r="I1053" s="28" t="s">
        <v>5734</v>
      </c>
      <c r="J1053" s="27"/>
    </row>
    <row r="1054" customFormat="false" ht="15" hidden="false" customHeight="true" outlineLevel="0" collapsed="false">
      <c r="A1054" s="27" t="s">
        <v>4426</v>
      </c>
      <c r="B1054" s="27" t="s">
        <v>559</v>
      </c>
      <c r="C1054" s="28" t="s">
        <v>4427</v>
      </c>
      <c r="D1054" s="28" t="s">
        <v>5676</v>
      </c>
      <c r="E1054" s="28" t="s">
        <v>5677</v>
      </c>
      <c r="F1054" s="28" t="s">
        <v>5630</v>
      </c>
      <c r="G1054" s="28" t="s">
        <v>5812</v>
      </c>
      <c r="H1054" s="27" t="s">
        <v>5715</v>
      </c>
      <c r="I1054" s="28" t="s">
        <v>5734</v>
      </c>
      <c r="J1054" s="27"/>
    </row>
    <row r="1055" customFormat="false" ht="15" hidden="false" customHeight="true" outlineLevel="0" collapsed="false">
      <c r="A1055" s="27" t="s">
        <v>4429</v>
      </c>
      <c r="B1055" s="27" t="s">
        <v>559</v>
      </c>
      <c r="C1055" s="28" t="s">
        <v>4430</v>
      </c>
      <c r="D1055" s="28" t="s">
        <v>5676</v>
      </c>
      <c r="E1055" s="28" t="s">
        <v>5677</v>
      </c>
      <c r="F1055" s="28" t="s">
        <v>5630</v>
      </c>
      <c r="G1055" s="28" t="s">
        <v>5812</v>
      </c>
      <c r="H1055" s="27" t="s">
        <v>5715</v>
      </c>
      <c r="I1055" s="28" t="s">
        <v>5734</v>
      </c>
      <c r="J1055" s="27"/>
    </row>
    <row r="1056" customFormat="false" ht="15" hidden="false" customHeight="true" outlineLevel="0" collapsed="false">
      <c r="A1056" s="27" t="s">
        <v>4432</v>
      </c>
      <c r="B1056" s="27" t="s">
        <v>559</v>
      </c>
      <c r="C1056" s="28" t="s">
        <v>4433</v>
      </c>
      <c r="D1056" s="28" t="s">
        <v>5676</v>
      </c>
      <c r="E1056" s="28" t="s">
        <v>5677</v>
      </c>
      <c r="F1056" s="28" t="s">
        <v>5630</v>
      </c>
      <c r="G1056" s="28" t="s">
        <v>5812</v>
      </c>
      <c r="H1056" s="27" t="s">
        <v>5715</v>
      </c>
      <c r="I1056" s="28" t="s">
        <v>5734</v>
      </c>
      <c r="J1056" s="27"/>
    </row>
    <row r="1057" customFormat="false" ht="15" hidden="false" customHeight="true" outlineLevel="0" collapsed="false">
      <c r="A1057" s="27" t="s">
        <v>4435</v>
      </c>
      <c r="B1057" s="27" t="s">
        <v>559</v>
      </c>
      <c r="C1057" s="28" t="s">
        <v>4436</v>
      </c>
      <c r="D1057" s="28" t="s">
        <v>5676</v>
      </c>
      <c r="E1057" s="28" t="s">
        <v>5677</v>
      </c>
      <c r="F1057" s="28" t="s">
        <v>5630</v>
      </c>
      <c r="G1057" s="28" t="s">
        <v>5812</v>
      </c>
      <c r="H1057" s="27" t="s">
        <v>5715</v>
      </c>
      <c r="I1057" s="28" t="s">
        <v>5734</v>
      </c>
      <c r="J1057" s="27"/>
    </row>
    <row r="1058" customFormat="false" ht="15" hidden="false" customHeight="true" outlineLevel="0" collapsed="false">
      <c r="A1058" s="27" t="s">
        <v>4438</v>
      </c>
      <c r="B1058" s="27" t="s">
        <v>559</v>
      </c>
      <c r="C1058" s="28" t="s">
        <v>4439</v>
      </c>
      <c r="D1058" s="28" t="s">
        <v>5676</v>
      </c>
      <c r="E1058" s="28" t="s">
        <v>5677</v>
      </c>
      <c r="F1058" s="28" t="s">
        <v>5630</v>
      </c>
      <c r="G1058" s="28" t="s">
        <v>5812</v>
      </c>
      <c r="H1058" s="27" t="s">
        <v>5715</v>
      </c>
      <c r="I1058" s="28" t="s">
        <v>5734</v>
      </c>
      <c r="J1058" s="27"/>
    </row>
    <row r="1059" customFormat="false" ht="15" hidden="false" customHeight="true" outlineLevel="0" collapsed="false">
      <c r="A1059" s="27" t="s">
        <v>4441</v>
      </c>
      <c r="B1059" s="27" t="s">
        <v>559</v>
      </c>
      <c r="C1059" s="28" t="s">
        <v>4442</v>
      </c>
      <c r="D1059" s="28" t="s">
        <v>5676</v>
      </c>
      <c r="E1059" s="28" t="s">
        <v>5677</v>
      </c>
      <c r="F1059" s="28" t="s">
        <v>5630</v>
      </c>
      <c r="G1059" s="28" t="s">
        <v>5812</v>
      </c>
      <c r="H1059" s="27" t="s">
        <v>5715</v>
      </c>
      <c r="I1059" s="28" t="s">
        <v>5734</v>
      </c>
      <c r="J1059" s="27"/>
    </row>
    <row r="1060" customFormat="false" ht="15" hidden="false" customHeight="true" outlineLevel="0" collapsed="false">
      <c r="A1060" s="27" t="s">
        <v>4444</v>
      </c>
      <c r="B1060" s="27" t="s">
        <v>559</v>
      </c>
      <c r="C1060" s="28" t="s">
        <v>4445</v>
      </c>
      <c r="D1060" s="28" t="s">
        <v>5676</v>
      </c>
      <c r="E1060" s="28" t="s">
        <v>5677</v>
      </c>
      <c r="F1060" s="28" t="s">
        <v>5630</v>
      </c>
      <c r="G1060" s="28" t="s">
        <v>5812</v>
      </c>
      <c r="H1060" s="27" t="s">
        <v>5715</v>
      </c>
      <c r="I1060" s="28" t="s">
        <v>5734</v>
      </c>
      <c r="J1060" s="27"/>
    </row>
    <row r="1061" customFormat="false" ht="15" hidden="false" customHeight="true" outlineLevel="0" collapsed="false">
      <c r="A1061" s="27" t="s">
        <v>4447</v>
      </c>
      <c r="B1061" s="27" t="s">
        <v>559</v>
      </c>
      <c r="C1061" s="28" t="s">
        <v>4448</v>
      </c>
      <c r="D1061" s="28" t="s">
        <v>5676</v>
      </c>
      <c r="E1061" s="28" t="s">
        <v>5677</v>
      </c>
      <c r="F1061" s="28" t="s">
        <v>5630</v>
      </c>
      <c r="G1061" s="28" t="s">
        <v>5812</v>
      </c>
      <c r="H1061" s="27" t="s">
        <v>5715</v>
      </c>
      <c r="I1061" s="28" t="s">
        <v>5734</v>
      </c>
      <c r="J1061" s="27"/>
    </row>
    <row r="1062" customFormat="false" ht="15" hidden="false" customHeight="true" outlineLevel="0" collapsed="false">
      <c r="A1062" s="27" t="s">
        <v>4450</v>
      </c>
      <c r="B1062" s="27" t="s">
        <v>559</v>
      </c>
      <c r="C1062" s="28" t="s">
        <v>4451</v>
      </c>
      <c r="D1062" s="28" t="s">
        <v>5676</v>
      </c>
      <c r="E1062" s="28" t="s">
        <v>5677</v>
      </c>
      <c r="F1062" s="28" t="s">
        <v>5630</v>
      </c>
      <c r="G1062" s="28" t="s">
        <v>5812</v>
      </c>
      <c r="H1062" s="27" t="s">
        <v>5715</v>
      </c>
      <c r="I1062" s="28" t="s">
        <v>5734</v>
      </c>
      <c r="J1062" s="27"/>
    </row>
    <row r="1063" customFormat="false" ht="15" hidden="false" customHeight="true" outlineLevel="0" collapsed="false">
      <c r="A1063" s="27" t="s">
        <v>4453</v>
      </c>
      <c r="B1063" s="27" t="s">
        <v>559</v>
      </c>
      <c r="C1063" s="28" t="s">
        <v>4454</v>
      </c>
      <c r="D1063" s="28" t="s">
        <v>5676</v>
      </c>
      <c r="E1063" s="28" t="s">
        <v>5677</v>
      </c>
      <c r="F1063" s="28" t="s">
        <v>5630</v>
      </c>
      <c r="G1063" s="28" t="s">
        <v>5812</v>
      </c>
      <c r="H1063" s="27" t="s">
        <v>5715</v>
      </c>
      <c r="I1063" s="28" t="s">
        <v>5734</v>
      </c>
      <c r="J1063" s="27"/>
    </row>
    <row r="1064" customFormat="false" ht="15" hidden="false" customHeight="true" outlineLevel="0" collapsed="false">
      <c r="A1064" s="27" t="s">
        <v>4456</v>
      </c>
      <c r="B1064" s="27" t="s">
        <v>559</v>
      </c>
      <c r="C1064" s="28" t="s">
        <v>4457</v>
      </c>
      <c r="D1064" s="28" t="s">
        <v>5676</v>
      </c>
      <c r="E1064" s="28" t="s">
        <v>5677</v>
      </c>
      <c r="F1064" s="28" t="s">
        <v>5630</v>
      </c>
      <c r="G1064" s="28" t="s">
        <v>5812</v>
      </c>
      <c r="H1064" s="27" t="s">
        <v>5715</v>
      </c>
      <c r="I1064" s="28" t="s">
        <v>5734</v>
      </c>
      <c r="J1064" s="27"/>
    </row>
    <row r="1065" customFormat="false" ht="15" hidden="false" customHeight="true" outlineLevel="0" collapsed="false">
      <c r="A1065" s="27" t="s">
        <v>4459</v>
      </c>
      <c r="B1065" s="27" t="s">
        <v>559</v>
      </c>
      <c r="C1065" s="28" t="s">
        <v>4460</v>
      </c>
      <c r="D1065" s="28" t="s">
        <v>5676</v>
      </c>
      <c r="E1065" s="28" t="s">
        <v>5677</v>
      </c>
      <c r="F1065" s="28" t="s">
        <v>5630</v>
      </c>
      <c r="G1065" s="28" t="s">
        <v>5812</v>
      </c>
      <c r="H1065" s="27" t="s">
        <v>5715</v>
      </c>
      <c r="I1065" s="28" t="s">
        <v>5734</v>
      </c>
      <c r="J1065" s="27"/>
    </row>
    <row r="1066" customFormat="false" ht="15" hidden="false" customHeight="true" outlineLevel="0" collapsed="false">
      <c r="A1066" s="27" t="s">
        <v>4462</v>
      </c>
      <c r="B1066" s="27" t="s">
        <v>559</v>
      </c>
      <c r="C1066" s="28" t="s">
        <v>4463</v>
      </c>
      <c r="D1066" s="28" t="s">
        <v>5676</v>
      </c>
      <c r="E1066" s="28" t="s">
        <v>5677</v>
      </c>
      <c r="F1066" s="28" t="s">
        <v>5630</v>
      </c>
      <c r="G1066" s="28" t="s">
        <v>5812</v>
      </c>
      <c r="H1066" s="27" t="s">
        <v>5715</v>
      </c>
      <c r="I1066" s="28" t="s">
        <v>5734</v>
      </c>
      <c r="J1066" s="27"/>
    </row>
    <row r="1067" customFormat="false" ht="15" hidden="false" customHeight="true" outlineLevel="0" collapsed="false">
      <c r="A1067" s="27" t="s">
        <v>4465</v>
      </c>
      <c r="B1067" s="27" t="s">
        <v>559</v>
      </c>
      <c r="C1067" s="28" t="s">
        <v>4466</v>
      </c>
      <c r="D1067" s="28" t="s">
        <v>5676</v>
      </c>
      <c r="E1067" s="28" t="s">
        <v>5677</v>
      </c>
      <c r="F1067" s="28" t="s">
        <v>5630</v>
      </c>
      <c r="G1067" s="28" t="s">
        <v>5812</v>
      </c>
      <c r="H1067" s="27" t="s">
        <v>5715</v>
      </c>
      <c r="I1067" s="28" t="s">
        <v>5734</v>
      </c>
      <c r="J1067" s="27"/>
    </row>
    <row r="1068" customFormat="false" ht="15" hidden="false" customHeight="true" outlineLevel="0" collapsed="false">
      <c r="A1068" s="27" t="s">
        <v>4468</v>
      </c>
      <c r="B1068" s="27" t="s">
        <v>559</v>
      </c>
      <c r="C1068" s="28" t="s">
        <v>4469</v>
      </c>
      <c r="D1068" s="28" t="s">
        <v>5676</v>
      </c>
      <c r="E1068" s="28" t="s">
        <v>5677</v>
      </c>
      <c r="F1068" s="28" t="s">
        <v>5630</v>
      </c>
      <c r="G1068" s="28" t="s">
        <v>5812</v>
      </c>
      <c r="H1068" s="27" t="s">
        <v>5715</v>
      </c>
      <c r="I1068" s="28" t="s">
        <v>5734</v>
      </c>
      <c r="J1068" s="27"/>
    </row>
    <row r="1069" customFormat="false" ht="15" hidden="false" customHeight="true" outlineLevel="0" collapsed="false">
      <c r="A1069" s="27" t="s">
        <v>4471</v>
      </c>
      <c r="B1069" s="27" t="s">
        <v>559</v>
      </c>
      <c r="C1069" s="28" t="s">
        <v>4472</v>
      </c>
      <c r="D1069" s="28" t="s">
        <v>5676</v>
      </c>
      <c r="E1069" s="28" t="s">
        <v>5677</v>
      </c>
      <c r="F1069" s="28" t="s">
        <v>5630</v>
      </c>
      <c r="G1069" s="28" t="s">
        <v>5812</v>
      </c>
      <c r="H1069" s="27" t="s">
        <v>5715</v>
      </c>
      <c r="I1069" s="28" t="s">
        <v>5734</v>
      </c>
      <c r="J1069" s="27"/>
    </row>
    <row r="1070" customFormat="false" ht="15" hidden="false" customHeight="true" outlineLevel="0" collapsed="false">
      <c r="A1070" s="27" t="s">
        <v>4474</v>
      </c>
      <c r="B1070" s="27" t="s">
        <v>559</v>
      </c>
      <c r="C1070" s="28" t="s">
        <v>4475</v>
      </c>
      <c r="D1070" s="28" t="s">
        <v>5676</v>
      </c>
      <c r="E1070" s="28" t="s">
        <v>5677</v>
      </c>
      <c r="F1070" s="28" t="s">
        <v>5630</v>
      </c>
      <c r="G1070" s="28" t="s">
        <v>5812</v>
      </c>
      <c r="H1070" s="27" t="s">
        <v>5715</v>
      </c>
      <c r="I1070" s="28" t="s">
        <v>5734</v>
      </c>
      <c r="J1070" s="27"/>
    </row>
    <row r="1071" customFormat="false" ht="15" hidden="false" customHeight="true" outlineLevel="0" collapsed="false">
      <c r="A1071" s="27" t="s">
        <v>4477</v>
      </c>
      <c r="B1071" s="27" t="s">
        <v>559</v>
      </c>
      <c r="C1071" s="28" t="s">
        <v>4478</v>
      </c>
      <c r="D1071" s="28" t="s">
        <v>5676</v>
      </c>
      <c r="E1071" s="28" t="s">
        <v>5677</v>
      </c>
      <c r="F1071" s="28" t="s">
        <v>5630</v>
      </c>
      <c r="G1071" s="28" t="s">
        <v>5812</v>
      </c>
      <c r="H1071" s="27" t="s">
        <v>5715</v>
      </c>
      <c r="I1071" s="28" t="s">
        <v>5734</v>
      </c>
      <c r="J1071" s="27"/>
    </row>
    <row r="1072" customFormat="false" ht="15" hidden="false" customHeight="true" outlineLevel="0" collapsed="false">
      <c r="A1072" s="27" t="s">
        <v>4480</v>
      </c>
      <c r="B1072" s="27" t="s">
        <v>559</v>
      </c>
      <c r="C1072" s="28" t="s">
        <v>4481</v>
      </c>
      <c r="D1072" s="28" t="s">
        <v>5676</v>
      </c>
      <c r="E1072" s="28" t="s">
        <v>5677</v>
      </c>
      <c r="F1072" s="28" t="s">
        <v>5630</v>
      </c>
      <c r="G1072" s="28" t="s">
        <v>5812</v>
      </c>
      <c r="H1072" s="27" t="s">
        <v>5715</v>
      </c>
      <c r="I1072" s="28" t="s">
        <v>5734</v>
      </c>
      <c r="J1072" s="27"/>
    </row>
    <row r="1073" customFormat="false" ht="15" hidden="false" customHeight="true" outlineLevel="0" collapsed="false">
      <c r="A1073" s="27" t="s">
        <v>4483</v>
      </c>
      <c r="B1073" s="27" t="s">
        <v>559</v>
      </c>
      <c r="C1073" s="28" t="s">
        <v>4484</v>
      </c>
      <c r="D1073" s="28" t="s">
        <v>5676</v>
      </c>
      <c r="E1073" s="28" t="s">
        <v>5677</v>
      </c>
      <c r="F1073" s="28" t="s">
        <v>5630</v>
      </c>
      <c r="G1073" s="28" t="s">
        <v>5812</v>
      </c>
      <c r="H1073" s="27" t="s">
        <v>5715</v>
      </c>
      <c r="I1073" s="28" t="s">
        <v>5734</v>
      </c>
      <c r="J1073" s="27"/>
    </row>
    <row r="1074" customFormat="false" ht="15" hidden="false" customHeight="true" outlineLevel="0" collapsed="false">
      <c r="A1074" s="27" t="s">
        <v>4486</v>
      </c>
      <c r="B1074" s="27" t="s">
        <v>559</v>
      </c>
      <c r="C1074" s="28" t="s">
        <v>4487</v>
      </c>
      <c r="D1074" s="28" t="s">
        <v>5676</v>
      </c>
      <c r="E1074" s="28" t="s">
        <v>5677</v>
      </c>
      <c r="F1074" s="28" t="s">
        <v>5630</v>
      </c>
      <c r="G1074" s="28" t="s">
        <v>5812</v>
      </c>
      <c r="H1074" s="27" t="s">
        <v>5715</v>
      </c>
      <c r="I1074" s="28" t="s">
        <v>5734</v>
      </c>
      <c r="J1074" s="27"/>
    </row>
    <row r="1075" customFormat="false" ht="15" hidden="false" customHeight="true" outlineLevel="0" collapsed="false">
      <c r="A1075" s="27" t="s">
        <v>4489</v>
      </c>
      <c r="B1075" s="27" t="s">
        <v>559</v>
      </c>
      <c r="C1075" s="28" t="s">
        <v>4490</v>
      </c>
      <c r="D1075" s="28" t="s">
        <v>5676</v>
      </c>
      <c r="E1075" s="28" t="s">
        <v>5677</v>
      </c>
      <c r="F1075" s="28" t="s">
        <v>5630</v>
      </c>
      <c r="G1075" s="28" t="s">
        <v>5812</v>
      </c>
      <c r="H1075" s="27" t="s">
        <v>5715</v>
      </c>
      <c r="I1075" s="28" t="s">
        <v>5734</v>
      </c>
      <c r="J1075" s="27"/>
    </row>
    <row r="1076" customFormat="false" ht="15" hidden="false" customHeight="true" outlineLevel="0" collapsed="false">
      <c r="A1076" s="27" t="s">
        <v>4492</v>
      </c>
      <c r="B1076" s="27" t="s">
        <v>559</v>
      </c>
      <c r="C1076" s="28" t="s">
        <v>4493</v>
      </c>
      <c r="D1076" s="28" t="s">
        <v>5676</v>
      </c>
      <c r="E1076" s="28" t="s">
        <v>5677</v>
      </c>
      <c r="F1076" s="28" t="s">
        <v>5630</v>
      </c>
      <c r="G1076" s="28" t="s">
        <v>5812</v>
      </c>
      <c r="H1076" s="27" t="s">
        <v>5715</v>
      </c>
      <c r="I1076" s="28" t="s">
        <v>5734</v>
      </c>
      <c r="J1076" s="27"/>
    </row>
    <row r="1077" customFormat="false" ht="15" hidden="false" customHeight="true" outlineLevel="0" collapsed="false">
      <c r="A1077" s="27" t="s">
        <v>4495</v>
      </c>
      <c r="B1077" s="27" t="s">
        <v>559</v>
      </c>
      <c r="C1077" s="28" t="s">
        <v>4496</v>
      </c>
      <c r="D1077" s="28" t="s">
        <v>5676</v>
      </c>
      <c r="E1077" s="28" t="s">
        <v>5677</v>
      </c>
      <c r="F1077" s="28" t="s">
        <v>5630</v>
      </c>
      <c r="G1077" s="28" t="s">
        <v>5812</v>
      </c>
      <c r="H1077" s="27" t="s">
        <v>5715</v>
      </c>
      <c r="I1077" s="28" t="s">
        <v>5734</v>
      </c>
      <c r="J1077" s="27"/>
    </row>
    <row r="1078" customFormat="false" ht="15" hidden="false" customHeight="true" outlineLevel="0" collapsed="false">
      <c r="A1078" s="27" t="s">
        <v>4498</v>
      </c>
      <c r="B1078" s="27" t="s">
        <v>559</v>
      </c>
      <c r="C1078" s="28" t="s">
        <v>4499</v>
      </c>
      <c r="D1078" s="28" t="s">
        <v>5676</v>
      </c>
      <c r="E1078" s="28" t="s">
        <v>5677</v>
      </c>
      <c r="F1078" s="28" t="s">
        <v>5630</v>
      </c>
      <c r="G1078" s="28" t="s">
        <v>5812</v>
      </c>
      <c r="H1078" s="27" t="s">
        <v>5715</v>
      </c>
      <c r="I1078" s="28" t="s">
        <v>5734</v>
      </c>
      <c r="J1078" s="27"/>
    </row>
    <row r="1079" customFormat="false" ht="15" hidden="false" customHeight="true" outlineLevel="0" collapsed="false">
      <c r="A1079" s="27" t="s">
        <v>4501</v>
      </c>
      <c r="B1079" s="27" t="s">
        <v>559</v>
      </c>
      <c r="C1079" s="28" t="s">
        <v>4502</v>
      </c>
      <c r="D1079" s="28" t="s">
        <v>5676</v>
      </c>
      <c r="E1079" s="28" t="s">
        <v>5677</v>
      </c>
      <c r="F1079" s="28" t="s">
        <v>5630</v>
      </c>
      <c r="G1079" s="28" t="s">
        <v>5812</v>
      </c>
      <c r="H1079" s="27" t="s">
        <v>5715</v>
      </c>
      <c r="I1079" s="28" t="s">
        <v>5734</v>
      </c>
      <c r="J1079" s="27"/>
    </row>
    <row r="1080" customFormat="false" ht="15" hidden="false" customHeight="true" outlineLevel="0" collapsed="false">
      <c r="A1080" s="27" t="s">
        <v>4504</v>
      </c>
      <c r="B1080" s="27" t="s">
        <v>559</v>
      </c>
      <c r="C1080" s="27" t="s">
        <v>4505</v>
      </c>
      <c r="D1080" s="28" t="s">
        <v>5676</v>
      </c>
      <c r="E1080" s="28" t="s">
        <v>5677</v>
      </c>
      <c r="F1080" s="28" t="s">
        <v>5630</v>
      </c>
      <c r="G1080" s="28" t="s">
        <v>5812</v>
      </c>
      <c r="H1080" s="27" t="s">
        <v>5715</v>
      </c>
      <c r="I1080" s="28" t="s">
        <v>5734</v>
      </c>
      <c r="J1080" s="27"/>
    </row>
    <row r="1081" customFormat="false" ht="15" hidden="false" customHeight="true" outlineLevel="0" collapsed="false">
      <c r="A1081" s="27" t="s">
        <v>4507</v>
      </c>
      <c r="B1081" s="27" t="s">
        <v>559</v>
      </c>
      <c r="C1081" s="27" t="s">
        <v>4508</v>
      </c>
      <c r="D1081" s="28" t="s">
        <v>5676</v>
      </c>
      <c r="E1081" s="28" t="s">
        <v>5677</v>
      </c>
      <c r="F1081" s="28" t="s">
        <v>5630</v>
      </c>
      <c r="G1081" s="28" t="s">
        <v>5812</v>
      </c>
      <c r="H1081" s="27" t="s">
        <v>5715</v>
      </c>
      <c r="I1081" s="28" t="s">
        <v>5734</v>
      </c>
      <c r="J1081" s="27"/>
    </row>
    <row r="1082" customFormat="false" ht="15" hidden="false" customHeight="true" outlineLevel="0" collapsed="false">
      <c r="A1082" s="27" t="s">
        <v>4510</v>
      </c>
      <c r="B1082" s="27" t="s">
        <v>559</v>
      </c>
      <c r="C1082" s="28" t="s">
        <v>4511</v>
      </c>
      <c r="D1082" s="28" t="s">
        <v>5676</v>
      </c>
      <c r="E1082" s="28" t="s">
        <v>5677</v>
      </c>
      <c r="F1082" s="28" t="s">
        <v>5630</v>
      </c>
      <c r="G1082" s="28" t="s">
        <v>5812</v>
      </c>
      <c r="H1082" s="27" t="s">
        <v>5715</v>
      </c>
      <c r="I1082" s="28" t="s">
        <v>5734</v>
      </c>
      <c r="J1082" s="27"/>
    </row>
    <row r="1083" customFormat="false" ht="15" hidden="false" customHeight="true" outlineLevel="0" collapsed="false">
      <c r="A1083" s="27" t="s">
        <v>4513</v>
      </c>
      <c r="B1083" s="27" t="s">
        <v>559</v>
      </c>
      <c r="C1083" s="28" t="s">
        <v>4514</v>
      </c>
      <c r="D1083" s="28" t="s">
        <v>5676</v>
      </c>
      <c r="E1083" s="28" t="s">
        <v>5677</v>
      </c>
      <c r="F1083" s="28" t="s">
        <v>5630</v>
      </c>
      <c r="G1083" s="28" t="s">
        <v>5812</v>
      </c>
      <c r="H1083" s="27" t="s">
        <v>5715</v>
      </c>
      <c r="I1083" s="28" t="s">
        <v>5734</v>
      </c>
      <c r="J1083" s="27"/>
    </row>
    <row r="1084" customFormat="false" ht="15" hidden="false" customHeight="true" outlineLevel="0" collapsed="false">
      <c r="A1084" s="27" t="s">
        <v>4516</v>
      </c>
      <c r="B1084" s="27" t="s">
        <v>559</v>
      </c>
      <c r="C1084" s="27" t="s">
        <v>4517</v>
      </c>
      <c r="D1084" s="28" t="s">
        <v>5676</v>
      </c>
      <c r="E1084" s="28" t="s">
        <v>5677</v>
      </c>
      <c r="F1084" s="28" t="s">
        <v>5630</v>
      </c>
      <c r="G1084" s="28" t="s">
        <v>5812</v>
      </c>
      <c r="H1084" s="27" t="s">
        <v>5715</v>
      </c>
      <c r="I1084" s="28" t="s">
        <v>5734</v>
      </c>
      <c r="J1084" s="27"/>
    </row>
    <row r="1085" customFormat="false" ht="15" hidden="false" customHeight="true" outlineLevel="0" collapsed="false">
      <c r="A1085" s="27" t="s">
        <v>4519</v>
      </c>
      <c r="B1085" s="27" t="s">
        <v>559</v>
      </c>
      <c r="C1085" s="27" t="s">
        <v>4520</v>
      </c>
      <c r="D1085" s="28" t="s">
        <v>5676</v>
      </c>
      <c r="E1085" s="28" t="s">
        <v>5677</v>
      </c>
      <c r="F1085" s="28" t="s">
        <v>5630</v>
      </c>
      <c r="G1085" s="28" t="s">
        <v>5812</v>
      </c>
      <c r="H1085" s="27" t="s">
        <v>5715</v>
      </c>
      <c r="I1085" s="28" t="s">
        <v>5734</v>
      </c>
      <c r="J1085" s="27"/>
    </row>
    <row r="1086" customFormat="false" ht="15" hidden="false" customHeight="true" outlineLevel="0" collapsed="false">
      <c r="A1086" s="27" t="s">
        <v>4522</v>
      </c>
      <c r="B1086" s="27" t="s">
        <v>559</v>
      </c>
      <c r="C1086" s="28" t="s">
        <v>4523</v>
      </c>
      <c r="D1086" s="28" t="s">
        <v>5701</v>
      </c>
      <c r="E1086" s="28" t="s">
        <v>5702</v>
      </c>
      <c r="F1086" s="28" t="s">
        <v>5640</v>
      </c>
      <c r="G1086" s="28" t="s">
        <v>5812</v>
      </c>
      <c r="H1086" s="27" t="s">
        <v>5715</v>
      </c>
      <c r="I1086" s="28" t="s">
        <v>5734</v>
      </c>
      <c r="J1086" s="27"/>
    </row>
    <row r="1087" customFormat="false" ht="15" hidden="false" customHeight="true" outlineLevel="0" collapsed="false">
      <c r="A1087" s="27" t="s">
        <v>4525</v>
      </c>
      <c r="B1087" s="27" t="s">
        <v>559</v>
      </c>
      <c r="C1087" s="28" t="s">
        <v>4526</v>
      </c>
      <c r="D1087" s="28" t="s">
        <v>5701</v>
      </c>
      <c r="E1087" s="28" t="s">
        <v>5702</v>
      </c>
      <c r="F1087" s="28" t="s">
        <v>5640</v>
      </c>
      <c r="G1087" s="28" t="s">
        <v>5812</v>
      </c>
      <c r="H1087" s="27" t="s">
        <v>5715</v>
      </c>
      <c r="I1087" s="28" t="s">
        <v>5734</v>
      </c>
      <c r="J1087" s="27"/>
    </row>
    <row r="1088" customFormat="false" ht="15" hidden="false" customHeight="true" outlineLevel="0" collapsed="false">
      <c r="A1088" s="27" t="s">
        <v>4528</v>
      </c>
      <c r="B1088" s="27" t="s">
        <v>559</v>
      </c>
      <c r="C1088" s="28" t="s">
        <v>4529</v>
      </c>
      <c r="D1088" s="28" t="s">
        <v>5818</v>
      </c>
      <c r="E1088" s="28" t="s">
        <v>5639</v>
      </c>
      <c r="F1088" s="28" t="s">
        <v>5640</v>
      </c>
      <c r="G1088" s="28" t="s">
        <v>5812</v>
      </c>
      <c r="H1088" s="27" t="s">
        <v>5715</v>
      </c>
      <c r="I1088" s="28" t="s">
        <v>5734</v>
      </c>
      <c r="J1088" s="27"/>
    </row>
    <row r="1089" customFormat="false" ht="15" hidden="false" customHeight="true" outlineLevel="0" collapsed="false">
      <c r="A1089" s="27" t="s">
        <v>4531</v>
      </c>
      <c r="B1089" s="27" t="s">
        <v>559</v>
      </c>
      <c r="C1089" s="28" t="s">
        <v>4532</v>
      </c>
      <c r="D1089" s="28" t="s">
        <v>5701</v>
      </c>
      <c r="E1089" s="28" t="s">
        <v>5702</v>
      </c>
      <c r="F1089" s="28" t="s">
        <v>5640</v>
      </c>
      <c r="G1089" s="28" t="s">
        <v>5812</v>
      </c>
      <c r="H1089" s="27" t="s">
        <v>5715</v>
      </c>
      <c r="I1089" s="28" t="s">
        <v>5734</v>
      </c>
      <c r="J1089" s="27"/>
    </row>
    <row r="1090" customFormat="false" ht="15" hidden="false" customHeight="true" outlineLevel="0" collapsed="false">
      <c r="A1090" s="27" t="s">
        <v>4534</v>
      </c>
      <c r="B1090" s="27" t="s">
        <v>559</v>
      </c>
      <c r="C1090" s="28" t="s">
        <v>4535</v>
      </c>
      <c r="D1090" s="28" t="s">
        <v>5701</v>
      </c>
      <c r="E1090" s="28" t="s">
        <v>5702</v>
      </c>
      <c r="F1090" s="28" t="s">
        <v>5640</v>
      </c>
      <c r="G1090" s="28" t="s">
        <v>5812</v>
      </c>
      <c r="H1090" s="27" t="s">
        <v>5715</v>
      </c>
      <c r="I1090" s="28" t="s">
        <v>5734</v>
      </c>
      <c r="J1090" s="27"/>
    </row>
    <row r="1091" customFormat="false" ht="15" hidden="false" customHeight="true" outlineLevel="0" collapsed="false">
      <c r="A1091" s="27" t="s">
        <v>4537</v>
      </c>
      <c r="B1091" s="27" t="s">
        <v>559</v>
      </c>
      <c r="C1091" s="28" t="s">
        <v>4538</v>
      </c>
      <c r="D1091" s="28" t="s">
        <v>5676</v>
      </c>
      <c r="E1091" s="28" t="s">
        <v>5677</v>
      </c>
      <c r="F1091" s="28" t="s">
        <v>5630</v>
      </c>
      <c r="G1091" s="28" t="s">
        <v>5812</v>
      </c>
      <c r="H1091" s="27" t="s">
        <v>5715</v>
      </c>
      <c r="I1091" s="28" t="s">
        <v>5734</v>
      </c>
      <c r="J1091" s="27"/>
    </row>
    <row r="1092" customFormat="false" ht="15" hidden="false" customHeight="true" outlineLevel="0" collapsed="false">
      <c r="A1092" s="27" t="s">
        <v>4540</v>
      </c>
      <c r="B1092" s="27" t="s">
        <v>559</v>
      </c>
      <c r="C1092" s="28" t="s">
        <v>4541</v>
      </c>
      <c r="D1092" s="28" t="s">
        <v>5701</v>
      </c>
      <c r="E1092" s="28" t="s">
        <v>5702</v>
      </c>
      <c r="F1092" s="28" t="s">
        <v>5640</v>
      </c>
      <c r="G1092" s="28" t="s">
        <v>5812</v>
      </c>
      <c r="H1092" s="27" t="s">
        <v>5715</v>
      </c>
      <c r="I1092" s="28" t="s">
        <v>5734</v>
      </c>
      <c r="J1092" s="27"/>
    </row>
    <row r="1093" customFormat="false" ht="15" hidden="false" customHeight="true" outlineLevel="0" collapsed="false">
      <c r="A1093" s="27" t="s">
        <v>4543</v>
      </c>
      <c r="B1093" s="27" t="s">
        <v>559</v>
      </c>
      <c r="C1093" s="28" t="s">
        <v>4544</v>
      </c>
      <c r="D1093" s="28" t="s">
        <v>5792</v>
      </c>
      <c r="E1093" s="28" t="s">
        <v>5793</v>
      </c>
      <c r="F1093" s="28" t="s">
        <v>5640</v>
      </c>
      <c r="G1093" s="28" t="s">
        <v>5812</v>
      </c>
      <c r="H1093" s="27" t="s">
        <v>5715</v>
      </c>
      <c r="I1093" s="28" t="s">
        <v>5734</v>
      </c>
      <c r="J1093" s="27"/>
    </row>
    <row r="1094" customFormat="false" ht="15" hidden="false" customHeight="true" outlineLevel="0" collapsed="false">
      <c r="A1094" s="27" t="s">
        <v>4546</v>
      </c>
      <c r="B1094" s="27" t="s">
        <v>559</v>
      </c>
      <c r="C1094" s="28" t="s">
        <v>4547</v>
      </c>
      <c r="D1094" s="28" t="s">
        <v>5792</v>
      </c>
      <c r="E1094" s="28" t="s">
        <v>5793</v>
      </c>
      <c r="F1094" s="28" t="s">
        <v>5640</v>
      </c>
      <c r="G1094" s="28" t="s">
        <v>5812</v>
      </c>
      <c r="H1094" s="27" t="s">
        <v>5715</v>
      </c>
      <c r="I1094" s="28" t="s">
        <v>5734</v>
      </c>
      <c r="J1094" s="27"/>
    </row>
    <row r="1095" customFormat="false" ht="15" hidden="false" customHeight="true" outlineLevel="0" collapsed="false">
      <c r="A1095" s="27" t="s">
        <v>4549</v>
      </c>
      <c r="B1095" s="27" t="s">
        <v>559</v>
      </c>
      <c r="C1095" s="28" t="s">
        <v>4550</v>
      </c>
      <c r="D1095" s="28" t="s">
        <v>5792</v>
      </c>
      <c r="E1095" s="28" t="s">
        <v>5793</v>
      </c>
      <c r="F1095" s="28" t="s">
        <v>5640</v>
      </c>
      <c r="G1095" s="28" t="s">
        <v>5812</v>
      </c>
      <c r="H1095" s="27" t="s">
        <v>5715</v>
      </c>
      <c r="I1095" s="28" t="s">
        <v>5734</v>
      </c>
      <c r="J1095" s="27"/>
    </row>
    <row r="1096" customFormat="false" ht="15" hidden="false" customHeight="true" outlineLevel="0" collapsed="false">
      <c r="A1096" s="27" t="s">
        <v>4552</v>
      </c>
      <c r="B1096" s="27" t="s">
        <v>559</v>
      </c>
      <c r="C1096" s="28" t="s">
        <v>4553</v>
      </c>
      <c r="D1096" s="28" t="s">
        <v>5792</v>
      </c>
      <c r="E1096" s="28" t="s">
        <v>5793</v>
      </c>
      <c r="F1096" s="28" t="s">
        <v>5640</v>
      </c>
      <c r="G1096" s="28" t="s">
        <v>5812</v>
      </c>
      <c r="H1096" s="27" t="s">
        <v>5715</v>
      </c>
      <c r="I1096" s="28" t="s">
        <v>5734</v>
      </c>
      <c r="J1096" s="27"/>
    </row>
    <row r="1097" customFormat="false" ht="15" hidden="false" customHeight="true" outlineLevel="0" collapsed="false">
      <c r="A1097" s="27" t="s">
        <v>4555</v>
      </c>
      <c r="B1097" s="27" t="s">
        <v>559</v>
      </c>
      <c r="C1097" s="28" t="s">
        <v>4556</v>
      </c>
      <c r="D1097" s="28" t="s">
        <v>5792</v>
      </c>
      <c r="E1097" s="28" t="s">
        <v>5793</v>
      </c>
      <c r="F1097" s="28" t="s">
        <v>5640</v>
      </c>
      <c r="G1097" s="28" t="s">
        <v>5812</v>
      </c>
      <c r="H1097" s="27" t="s">
        <v>5715</v>
      </c>
      <c r="I1097" s="28" t="s">
        <v>5734</v>
      </c>
      <c r="J1097" s="27"/>
    </row>
    <row r="1098" customFormat="false" ht="15" hidden="false" customHeight="true" outlineLevel="0" collapsed="false">
      <c r="A1098" s="27" t="s">
        <v>4558</v>
      </c>
      <c r="B1098" s="27" t="s">
        <v>559</v>
      </c>
      <c r="C1098" s="28" t="s">
        <v>4559</v>
      </c>
      <c r="D1098" s="28" t="s">
        <v>5792</v>
      </c>
      <c r="E1098" s="28" t="s">
        <v>5793</v>
      </c>
      <c r="F1098" s="28" t="s">
        <v>5640</v>
      </c>
      <c r="G1098" s="28" t="s">
        <v>5812</v>
      </c>
      <c r="H1098" s="27" t="s">
        <v>5715</v>
      </c>
      <c r="I1098" s="28" t="s">
        <v>5734</v>
      </c>
      <c r="J1098" s="27"/>
    </row>
    <row r="1099" customFormat="false" ht="15" hidden="false" customHeight="true" outlineLevel="0" collapsed="false">
      <c r="A1099" s="27" t="s">
        <v>4561</v>
      </c>
      <c r="B1099" s="27" t="s">
        <v>559</v>
      </c>
      <c r="C1099" s="28" t="s">
        <v>4562</v>
      </c>
      <c r="D1099" s="28" t="s">
        <v>5792</v>
      </c>
      <c r="E1099" s="28" t="s">
        <v>5793</v>
      </c>
      <c r="F1099" s="28" t="s">
        <v>5640</v>
      </c>
      <c r="G1099" s="28" t="s">
        <v>5812</v>
      </c>
      <c r="H1099" s="27" t="s">
        <v>5715</v>
      </c>
      <c r="I1099" s="28" t="s">
        <v>5734</v>
      </c>
      <c r="J1099" s="27"/>
    </row>
    <row r="1100" customFormat="false" ht="15" hidden="false" customHeight="true" outlineLevel="0" collapsed="false">
      <c r="A1100" s="27" t="s">
        <v>4570</v>
      </c>
      <c r="B1100" s="27" t="s">
        <v>559</v>
      </c>
      <c r="C1100" s="28" t="s">
        <v>4571</v>
      </c>
      <c r="D1100" s="28" t="s">
        <v>5817</v>
      </c>
      <c r="E1100" s="28" t="s">
        <v>5639</v>
      </c>
      <c r="F1100" s="28" t="s">
        <v>5640</v>
      </c>
      <c r="G1100" s="28" t="s">
        <v>5812</v>
      </c>
      <c r="H1100" s="27" t="s">
        <v>5715</v>
      </c>
      <c r="I1100" s="28" t="s">
        <v>5734</v>
      </c>
      <c r="J1100" s="27"/>
    </row>
    <row r="1101" customFormat="false" ht="15" hidden="false" customHeight="true" outlineLevel="0" collapsed="false">
      <c r="A1101" s="27" t="s">
        <v>4573</v>
      </c>
      <c r="B1101" s="27" t="s">
        <v>559</v>
      </c>
      <c r="C1101" s="27" t="s">
        <v>4574</v>
      </c>
      <c r="D1101" s="28" t="s">
        <v>5817</v>
      </c>
      <c r="E1101" s="28" t="s">
        <v>5639</v>
      </c>
      <c r="F1101" s="28" t="s">
        <v>5640</v>
      </c>
      <c r="G1101" s="28" t="s">
        <v>5812</v>
      </c>
      <c r="H1101" s="27" t="s">
        <v>5715</v>
      </c>
      <c r="I1101" s="28" t="s">
        <v>5734</v>
      </c>
      <c r="J1101" s="27"/>
    </row>
    <row r="1102" customFormat="false" ht="15" hidden="false" customHeight="true" outlineLevel="0" collapsed="false">
      <c r="A1102" s="27" t="s">
        <v>4576</v>
      </c>
      <c r="B1102" s="27" t="s">
        <v>559</v>
      </c>
      <c r="C1102" s="28" t="s">
        <v>4577</v>
      </c>
      <c r="D1102" s="28" t="s">
        <v>5792</v>
      </c>
      <c r="E1102" s="28" t="s">
        <v>5793</v>
      </c>
      <c r="F1102" s="28" t="s">
        <v>5640</v>
      </c>
      <c r="G1102" s="28" t="s">
        <v>5812</v>
      </c>
      <c r="H1102" s="27" t="s">
        <v>5715</v>
      </c>
      <c r="I1102" s="28" t="s">
        <v>5734</v>
      </c>
      <c r="J1102" s="27"/>
    </row>
    <row r="1103" customFormat="false" ht="15" hidden="false" customHeight="true" outlineLevel="0" collapsed="false">
      <c r="A1103" s="27" t="s">
        <v>4579</v>
      </c>
      <c r="B1103" s="27" t="s">
        <v>559</v>
      </c>
      <c r="C1103" s="28" t="s">
        <v>4580</v>
      </c>
      <c r="D1103" s="28" t="s">
        <v>5817</v>
      </c>
      <c r="E1103" s="28" t="s">
        <v>5639</v>
      </c>
      <c r="F1103" s="28" t="s">
        <v>5640</v>
      </c>
      <c r="G1103" s="28" t="s">
        <v>5812</v>
      </c>
      <c r="H1103" s="27" t="s">
        <v>5715</v>
      </c>
      <c r="I1103" s="28" t="s">
        <v>5734</v>
      </c>
      <c r="J1103" s="27"/>
    </row>
    <row r="1104" customFormat="false" ht="15" hidden="false" customHeight="true" outlineLevel="0" collapsed="false">
      <c r="A1104" s="27" t="s">
        <v>4582</v>
      </c>
      <c r="B1104" s="27" t="s">
        <v>559</v>
      </c>
      <c r="C1104" s="28" t="s">
        <v>4583</v>
      </c>
      <c r="D1104" s="28" t="s">
        <v>5817</v>
      </c>
      <c r="E1104" s="28" t="s">
        <v>5639</v>
      </c>
      <c r="F1104" s="28" t="s">
        <v>5640</v>
      </c>
      <c r="G1104" s="28" t="s">
        <v>5812</v>
      </c>
      <c r="H1104" s="27" t="s">
        <v>5715</v>
      </c>
      <c r="I1104" s="28" t="s">
        <v>5734</v>
      </c>
      <c r="J1104" s="27"/>
    </row>
    <row r="1105" customFormat="false" ht="15" hidden="false" customHeight="true" outlineLevel="0" collapsed="false">
      <c r="A1105" s="27" t="s">
        <v>4585</v>
      </c>
      <c r="B1105" s="27" t="s">
        <v>559</v>
      </c>
      <c r="C1105" s="28" t="s">
        <v>4586</v>
      </c>
      <c r="D1105" s="28" t="s">
        <v>5792</v>
      </c>
      <c r="E1105" s="28" t="s">
        <v>5793</v>
      </c>
      <c r="F1105" s="28" t="s">
        <v>5640</v>
      </c>
      <c r="G1105" s="28" t="s">
        <v>5812</v>
      </c>
      <c r="H1105" s="27" t="s">
        <v>5715</v>
      </c>
      <c r="I1105" s="28" t="s">
        <v>5734</v>
      </c>
      <c r="J1105" s="27"/>
    </row>
    <row r="1106" customFormat="false" ht="15" hidden="false" customHeight="true" outlineLevel="0" collapsed="false">
      <c r="A1106" s="27" t="s">
        <v>4588</v>
      </c>
      <c r="B1106" s="27" t="s">
        <v>559</v>
      </c>
      <c r="C1106" s="27" t="s">
        <v>4589</v>
      </c>
      <c r="D1106" s="28" t="s">
        <v>5817</v>
      </c>
      <c r="E1106" s="28" t="s">
        <v>5639</v>
      </c>
      <c r="F1106" s="28" t="s">
        <v>5640</v>
      </c>
      <c r="G1106" s="28" t="s">
        <v>5812</v>
      </c>
      <c r="H1106" s="27" t="s">
        <v>5715</v>
      </c>
      <c r="I1106" s="28" t="s">
        <v>5734</v>
      </c>
      <c r="J1106" s="27"/>
    </row>
    <row r="1107" customFormat="false" ht="15" hidden="false" customHeight="true" outlineLevel="0" collapsed="false">
      <c r="A1107" s="27" t="s">
        <v>4591</v>
      </c>
      <c r="B1107" s="27" t="s">
        <v>559</v>
      </c>
      <c r="C1107" s="28" t="s">
        <v>4592</v>
      </c>
      <c r="D1107" s="28" t="s">
        <v>5792</v>
      </c>
      <c r="E1107" s="28" t="s">
        <v>5793</v>
      </c>
      <c r="F1107" s="28" t="s">
        <v>5640</v>
      </c>
      <c r="G1107" s="28" t="s">
        <v>5812</v>
      </c>
      <c r="H1107" s="27" t="s">
        <v>5715</v>
      </c>
      <c r="I1107" s="28" t="s">
        <v>5734</v>
      </c>
      <c r="J1107" s="27"/>
    </row>
    <row r="1108" customFormat="false" ht="15" hidden="false" customHeight="true" outlineLevel="0" collapsed="false">
      <c r="A1108" s="27" t="s">
        <v>4594</v>
      </c>
      <c r="B1108" s="27" t="s">
        <v>559</v>
      </c>
      <c r="C1108" s="28" t="s">
        <v>4595</v>
      </c>
      <c r="D1108" s="28" t="s">
        <v>5817</v>
      </c>
      <c r="E1108" s="28" t="s">
        <v>5639</v>
      </c>
      <c r="F1108" s="28" t="s">
        <v>5640</v>
      </c>
      <c r="G1108" s="28" t="s">
        <v>5812</v>
      </c>
      <c r="H1108" s="27" t="s">
        <v>5715</v>
      </c>
      <c r="I1108" s="28" t="s">
        <v>5734</v>
      </c>
      <c r="J1108" s="27"/>
    </row>
    <row r="1109" customFormat="false" ht="15" hidden="false" customHeight="true" outlineLevel="0" collapsed="false">
      <c r="A1109" s="27" t="s">
        <v>4597</v>
      </c>
      <c r="B1109" s="27" t="s">
        <v>559</v>
      </c>
      <c r="C1109" s="28" t="s">
        <v>4598</v>
      </c>
      <c r="D1109" s="28" t="s">
        <v>5792</v>
      </c>
      <c r="E1109" s="28" t="s">
        <v>5793</v>
      </c>
      <c r="F1109" s="28" t="s">
        <v>5640</v>
      </c>
      <c r="G1109" s="28" t="s">
        <v>5812</v>
      </c>
      <c r="H1109" s="27" t="s">
        <v>5715</v>
      </c>
      <c r="I1109" s="28" t="s">
        <v>5734</v>
      </c>
      <c r="J1109" s="27"/>
    </row>
    <row r="1110" customFormat="false" ht="15" hidden="false" customHeight="true" outlineLevel="0" collapsed="false">
      <c r="A1110" s="27" t="s">
        <v>4600</v>
      </c>
      <c r="B1110" s="27" t="s">
        <v>559</v>
      </c>
      <c r="C1110" s="27" t="s">
        <v>4601</v>
      </c>
      <c r="D1110" s="28" t="s">
        <v>5701</v>
      </c>
      <c r="E1110" s="28" t="s">
        <v>5702</v>
      </c>
      <c r="F1110" s="28" t="s">
        <v>5640</v>
      </c>
      <c r="G1110" s="28" t="s">
        <v>5812</v>
      </c>
      <c r="H1110" s="27" t="s">
        <v>5715</v>
      </c>
      <c r="I1110" s="28" t="s">
        <v>5734</v>
      </c>
      <c r="J1110" s="27"/>
    </row>
    <row r="1111" customFormat="false" ht="15" hidden="false" customHeight="true" outlineLevel="0" collapsed="false">
      <c r="A1111" s="27" t="s">
        <v>4603</v>
      </c>
      <c r="B1111" s="27" t="s">
        <v>559</v>
      </c>
      <c r="C1111" s="28" t="s">
        <v>4604</v>
      </c>
      <c r="D1111" s="28" t="s">
        <v>5655</v>
      </c>
      <c r="E1111" s="28" t="s">
        <v>5656</v>
      </c>
      <c r="F1111" s="28" t="s">
        <v>5640</v>
      </c>
      <c r="G1111" s="28" t="s">
        <v>5812</v>
      </c>
      <c r="H1111" s="27" t="s">
        <v>5715</v>
      </c>
      <c r="I1111" s="28" t="s">
        <v>5734</v>
      </c>
      <c r="J1111" s="27"/>
    </row>
    <row r="1112" customFormat="false" ht="15" hidden="false" customHeight="true" outlineLevel="0" collapsed="false">
      <c r="A1112" s="27" t="s">
        <v>4606</v>
      </c>
      <c r="B1112" s="27" t="s">
        <v>559</v>
      </c>
      <c r="C1112" s="28" t="s">
        <v>4607</v>
      </c>
      <c r="D1112" s="28" t="s">
        <v>5819</v>
      </c>
      <c r="E1112" s="28" t="s">
        <v>5639</v>
      </c>
      <c r="F1112" s="28" t="s">
        <v>5640</v>
      </c>
      <c r="G1112" s="28" t="s">
        <v>5812</v>
      </c>
      <c r="H1112" s="27" t="s">
        <v>5715</v>
      </c>
      <c r="I1112" s="28" t="s">
        <v>5734</v>
      </c>
      <c r="J1112" s="27"/>
    </row>
    <row r="1113" customFormat="false" ht="15" hidden="false" customHeight="true" outlineLevel="0" collapsed="false">
      <c r="A1113" s="27" t="s">
        <v>4609</v>
      </c>
      <c r="B1113" s="27" t="s">
        <v>559</v>
      </c>
      <c r="C1113" s="28" t="s">
        <v>4610</v>
      </c>
      <c r="D1113" s="28" t="s">
        <v>5792</v>
      </c>
      <c r="E1113" s="28" t="s">
        <v>5793</v>
      </c>
      <c r="F1113" s="28" t="s">
        <v>5640</v>
      </c>
      <c r="G1113" s="28" t="s">
        <v>5812</v>
      </c>
      <c r="H1113" s="27" t="s">
        <v>5715</v>
      </c>
      <c r="I1113" s="28" t="s">
        <v>5734</v>
      </c>
      <c r="J1113" s="27"/>
    </row>
    <row r="1114" customFormat="false" ht="15" hidden="false" customHeight="true" outlineLevel="0" collapsed="false">
      <c r="A1114" s="27" t="s">
        <v>4612</v>
      </c>
      <c r="B1114" s="27" t="s">
        <v>559</v>
      </c>
      <c r="C1114" s="28" t="s">
        <v>4613</v>
      </c>
      <c r="D1114" s="28" t="s">
        <v>5792</v>
      </c>
      <c r="E1114" s="28" t="s">
        <v>5793</v>
      </c>
      <c r="F1114" s="28" t="s">
        <v>5640</v>
      </c>
      <c r="G1114" s="28" t="s">
        <v>5812</v>
      </c>
      <c r="H1114" s="27" t="s">
        <v>5715</v>
      </c>
      <c r="I1114" s="28" t="s">
        <v>5734</v>
      </c>
      <c r="J1114" s="27"/>
    </row>
    <row r="1115" customFormat="false" ht="15" hidden="false" customHeight="true" outlineLevel="0" collapsed="false">
      <c r="A1115" s="27" t="s">
        <v>4615</v>
      </c>
      <c r="B1115" s="27" t="s">
        <v>559</v>
      </c>
      <c r="C1115" s="28" t="s">
        <v>4616</v>
      </c>
      <c r="D1115" s="28" t="s">
        <v>5792</v>
      </c>
      <c r="E1115" s="28" t="s">
        <v>5793</v>
      </c>
      <c r="F1115" s="28" t="s">
        <v>5640</v>
      </c>
      <c r="G1115" s="28" t="s">
        <v>5812</v>
      </c>
      <c r="H1115" s="27" t="s">
        <v>5715</v>
      </c>
      <c r="I1115" s="28" t="s">
        <v>5734</v>
      </c>
      <c r="J1115" s="27"/>
    </row>
    <row r="1116" customFormat="false" ht="15" hidden="false" customHeight="true" outlineLevel="0" collapsed="false">
      <c r="A1116" s="27" t="s">
        <v>4618</v>
      </c>
      <c r="B1116" s="27" t="s">
        <v>559</v>
      </c>
      <c r="C1116" s="28" t="s">
        <v>4619</v>
      </c>
      <c r="D1116" s="28" t="s">
        <v>5792</v>
      </c>
      <c r="E1116" s="28" t="s">
        <v>5793</v>
      </c>
      <c r="F1116" s="28" t="s">
        <v>5640</v>
      </c>
      <c r="G1116" s="28" t="s">
        <v>5812</v>
      </c>
      <c r="H1116" s="27" t="s">
        <v>5715</v>
      </c>
      <c r="I1116" s="28" t="s">
        <v>5734</v>
      </c>
      <c r="J1116" s="27"/>
    </row>
    <row r="1117" customFormat="false" ht="15" hidden="false" customHeight="true" outlineLevel="0" collapsed="false">
      <c r="A1117" s="27" t="s">
        <v>4621</v>
      </c>
      <c r="B1117" s="27" t="s">
        <v>559</v>
      </c>
      <c r="C1117" s="28" t="s">
        <v>4622</v>
      </c>
      <c r="D1117" s="28" t="s">
        <v>5792</v>
      </c>
      <c r="E1117" s="28" t="s">
        <v>5793</v>
      </c>
      <c r="F1117" s="28" t="s">
        <v>5640</v>
      </c>
      <c r="G1117" s="28" t="s">
        <v>5812</v>
      </c>
      <c r="H1117" s="27" t="s">
        <v>5715</v>
      </c>
      <c r="I1117" s="28" t="s">
        <v>5734</v>
      </c>
      <c r="J1117" s="27"/>
    </row>
    <row r="1118" customFormat="false" ht="15" hidden="false" customHeight="true" outlineLevel="0" collapsed="false">
      <c r="A1118" s="27" t="s">
        <v>4624</v>
      </c>
      <c r="B1118" s="27" t="s">
        <v>559</v>
      </c>
      <c r="C1118" s="28" t="s">
        <v>4625</v>
      </c>
      <c r="D1118" s="28" t="s">
        <v>5792</v>
      </c>
      <c r="E1118" s="28" t="s">
        <v>5793</v>
      </c>
      <c r="F1118" s="28" t="s">
        <v>5640</v>
      </c>
      <c r="G1118" s="28" t="s">
        <v>5812</v>
      </c>
      <c r="H1118" s="27" t="s">
        <v>5715</v>
      </c>
      <c r="I1118" s="28" t="s">
        <v>5734</v>
      </c>
      <c r="J1118" s="27"/>
    </row>
    <row r="1119" customFormat="false" ht="15" hidden="false" customHeight="true" outlineLevel="0" collapsed="false">
      <c r="A1119" s="27" t="s">
        <v>4627</v>
      </c>
      <c r="B1119" s="27" t="s">
        <v>559</v>
      </c>
      <c r="C1119" s="28" t="s">
        <v>4628</v>
      </c>
      <c r="D1119" s="28" t="s">
        <v>5792</v>
      </c>
      <c r="E1119" s="28" t="s">
        <v>5793</v>
      </c>
      <c r="F1119" s="28" t="s">
        <v>5640</v>
      </c>
      <c r="G1119" s="28" t="s">
        <v>5812</v>
      </c>
      <c r="H1119" s="27" t="s">
        <v>5715</v>
      </c>
      <c r="I1119" s="28" t="s">
        <v>5734</v>
      </c>
      <c r="J1119" s="27"/>
    </row>
    <row r="1120" customFormat="false" ht="15" hidden="false" customHeight="true" outlineLevel="0" collapsed="false">
      <c r="A1120" s="27" t="s">
        <v>4630</v>
      </c>
      <c r="B1120" s="27" t="s">
        <v>559</v>
      </c>
      <c r="C1120" s="28" t="s">
        <v>4631</v>
      </c>
      <c r="D1120" s="28" t="s">
        <v>5792</v>
      </c>
      <c r="E1120" s="28" t="s">
        <v>5793</v>
      </c>
      <c r="F1120" s="28" t="s">
        <v>5640</v>
      </c>
      <c r="G1120" s="28" t="s">
        <v>5812</v>
      </c>
      <c r="H1120" s="27" t="s">
        <v>5715</v>
      </c>
      <c r="I1120" s="28" t="s">
        <v>5734</v>
      </c>
      <c r="J1120" s="27"/>
    </row>
    <row r="1121" customFormat="false" ht="15" hidden="false" customHeight="true" outlineLevel="0" collapsed="false">
      <c r="A1121" s="27" t="s">
        <v>4633</v>
      </c>
      <c r="B1121" s="27" t="s">
        <v>559</v>
      </c>
      <c r="C1121" s="28" t="s">
        <v>4634</v>
      </c>
      <c r="D1121" s="28" t="s">
        <v>5792</v>
      </c>
      <c r="E1121" s="28" t="s">
        <v>5793</v>
      </c>
      <c r="F1121" s="28" t="s">
        <v>5640</v>
      </c>
      <c r="G1121" s="28" t="s">
        <v>5812</v>
      </c>
      <c r="H1121" s="27" t="s">
        <v>5715</v>
      </c>
      <c r="I1121" s="28" t="s">
        <v>5734</v>
      </c>
      <c r="J1121" s="27"/>
    </row>
    <row r="1122" customFormat="false" ht="15" hidden="false" customHeight="true" outlineLevel="0" collapsed="false">
      <c r="A1122" s="27" t="s">
        <v>4636</v>
      </c>
      <c r="B1122" s="27" t="s">
        <v>559</v>
      </c>
      <c r="C1122" s="28" t="s">
        <v>4637</v>
      </c>
      <c r="D1122" s="28" t="s">
        <v>5792</v>
      </c>
      <c r="E1122" s="28" t="s">
        <v>5793</v>
      </c>
      <c r="F1122" s="28" t="s">
        <v>5640</v>
      </c>
      <c r="G1122" s="28" t="s">
        <v>5812</v>
      </c>
      <c r="H1122" s="27" t="s">
        <v>5715</v>
      </c>
      <c r="I1122" s="28" t="s">
        <v>5734</v>
      </c>
      <c r="J1122" s="27"/>
    </row>
    <row r="1123" customFormat="false" ht="15" hidden="false" customHeight="true" outlineLevel="0" collapsed="false">
      <c r="A1123" s="27" t="s">
        <v>4639</v>
      </c>
      <c r="B1123" s="27" t="s">
        <v>559</v>
      </c>
      <c r="C1123" s="28" t="s">
        <v>4640</v>
      </c>
      <c r="D1123" s="28" t="s">
        <v>5792</v>
      </c>
      <c r="E1123" s="28" t="s">
        <v>5793</v>
      </c>
      <c r="F1123" s="28" t="s">
        <v>5640</v>
      </c>
      <c r="G1123" s="28" t="s">
        <v>5812</v>
      </c>
      <c r="H1123" s="27" t="s">
        <v>5715</v>
      </c>
      <c r="I1123" s="28" t="s">
        <v>5734</v>
      </c>
      <c r="J1123" s="27"/>
    </row>
    <row r="1124" customFormat="false" ht="15" hidden="false" customHeight="true" outlineLevel="0" collapsed="false">
      <c r="A1124" s="27" t="s">
        <v>4642</v>
      </c>
      <c r="B1124" s="27" t="s">
        <v>559</v>
      </c>
      <c r="C1124" s="28" t="s">
        <v>4643</v>
      </c>
      <c r="D1124" s="28" t="s">
        <v>5817</v>
      </c>
      <c r="E1124" s="28" t="s">
        <v>5639</v>
      </c>
      <c r="F1124" s="28" t="s">
        <v>5640</v>
      </c>
      <c r="G1124" s="28" t="s">
        <v>5812</v>
      </c>
      <c r="H1124" s="27" t="s">
        <v>5715</v>
      </c>
      <c r="I1124" s="28" t="s">
        <v>5734</v>
      </c>
      <c r="J1124" s="27"/>
    </row>
    <row r="1125" customFormat="false" ht="15" hidden="false" customHeight="true" outlineLevel="0" collapsed="false">
      <c r="A1125" s="27" t="s">
        <v>4648</v>
      </c>
      <c r="B1125" s="27" t="s">
        <v>559</v>
      </c>
      <c r="C1125" s="28" t="s">
        <v>4649</v>
      </c>
      <c r="D1125" s="28" t="s">
        <v>5792</v>
      </c>
      <c r="E1125" s="28" t="s">
        <v>5793</v>
      </c>
      <c r="F1125" s="28" t="s">
        <v>5640</v>
      </c>
      <c r="G1125" s="28" t="s">
        <v>5812</v>
      </c>
      <c r="H1125" s="27" t="s">
        <v>5715</v>
      </c>
      <c r="I1125" s="28" t="s">
        <v>5734</v>
      </c>
      <c r="J1125" s="27"/>
    </row>
    <row r="1126" customFormat="false" ht="15" hidden="false" customHeight="true" outlineLevel="0" collapsed="false">
      <c r="A1126" s="27" t="s">
        <v>4651</v>
      </c>
      <c r="B1126" s="27" t="s">
        <v>559</v>
      </c>
      <c r="C1126" s="28" t="s">
        <v>4652</v>
      </c>
      <c r="D1126" s="28" t="s">
        <v>5792</v>
      </c>
      <c r="E1126" s="28" t="s">
        <v>5793</v>
      </c>
      <c r="F1126" s="28" t="s">
        <v>5640</v>
      </c>
      <c r="G1126" s="28" t="s">
        <v>5812</v>
      </c>
      <c r="H1126" s="27" t="s">
        <v>5715</v>
      </c>
      <c r="I1126" s="28" t="s">
        <v>5734</v>
      </c>
      <c r="J1126" s="27"/>
    </row>
    <row r="1127" customFormat="false" ht="15" hidden="false" customHeight="true" outlineLevel="0" collapsed="false">
      <c r="A1127" s="27" t="s">
        <v>4654</v>
      </c>
      <c r="B1127" s="27" t="s">
        <v>559</v>
      </c>
      <c r="C1127" s="28" t="s">
        <v>4655</v>
      </c>
      <c r="D1127" s="28" t="s">
        <v>5792</v>
      </c>
      <c r="E1127" s="28" t="s">
        <v>5793</v>
      </c>
      <c r="F1127" s="28" t="s">
        <v>5640</v>
      </c>
      <c r="G1127" s="28" t="s">
        <v>5812</v>
      </c>
      <c r="H1127" s="27" t="s">
        <v>5715</v>
      </c>
      <c r="I1127" s="28" t="s">
        <v>5734</v>
      </c>
      <c r="J1127" s="27"/>
    </row>
    <row r="1128" customFormat="false" ht="15" hidden="false" customHeight="true" outlineLevel="0" collapsed="false">
      <c r="A1128" s="27" t="s">
        <v>4657</v>
      </c>
      <c r="B1128" s="27" t="s">
        <v>559</v>
      </c>
      <c r="C1128" s="28" t="s">
        <v>4658</v>
      </c>
      <c r="D1128" s="28" t="s">
        <v>5792</v>
      </c>
      <c r="E1128" s="28" t="s">
        <v>5793</v>
      </c>
      <c r="F1128" s="28" t="s">
        <v>5640</v>
      </c>
      <c r="G1128" s="28" t="s">
        <v>5812</v>
      </c>
      <c r="H1128" s="27" t="s">
        <v>5715</v>
      </c>
      <c r="I1128" s="28" t="s">
        <v>5734</v>
      </c>
      <c r="J1128" s="27"/>
    </row>
    <row r="1129" customFormat="false" ht="15" hidden="false" customHeight="true" outlineLevel="0" collapsed="false">
      <c r="A1129" s="27" t="s">
        <v>4663</v>
      </c>
      <c r="B1129" s="27" t="s">
        <v>559</v>
      </c>
      <c r="C1129" s="28" t="s">
        <v>4664</v>
      </c>
      <c r="D1129" s="28" t="s">
        <v>5792</v>
      </c>
      <c r="E1129" s="28" t="s">
        <v>5793</v>
      </c>
      <c r="F1129" s="28" t="s">
        <v>5640</v>
      </c>
      <c r="G1129" s="28" t="s">
        <v>5812</v>
      </c>
      <c r="H1129" s="27" t="s">
        <v>5715</v>
      </c>
      <c r="I1129" s="28" t="s">
        <v>5734</v>
      </c>
      <c r="J1129" s="27"/>
    </row>
    <row r="1130" customFormat="false" ht="15" hidden="false" customHeight="true" outlineLevel="0" collapsed="false">
      <c r="A1130" s="27" t="s">
        <v>4666</v>
      </c>
      <c r="B1130" s="27" t="s">
        <v>566</v>
      </c>
      <c r="C1130" s="28" t="s">
        <v>4667</v>
      </c>
      <c r="D1130" s="28" t="s">
        <v>5679</v>
      </c>
      <c r="E1130" s="28" t="s">
        <v>5820</v>
      </c>
      <c r="F1130" s="28" t="s">
        <v>5630</v>
      </c>
      <c r="G1130" s="28" t="s">
        <v>5821</v>
      </c>
      <c r="H1130" s="27" t="s">
        <v>5811</v>
      </c>
      <c r="I1130" s="28" t="s">
        <v>5734</v>
      </c>
      <c r="J1130" s="27"/>
    </row>
    <row r="1131" customFormat="false" ht="15" hidden="false" customHeight="true" outlineLevel="0" collapsed="false">
      <c r="A1131" s="27" t="s">
        <v>4675</v>
      </c>
      <c r="B1131" s="27" t="s">
        <v>566</v>
      </c>
      <c r="C1131" s="28" t="s">
        <v>4676</v>
      </c>
      <c r="D1131" s="28" t="s">
        <v>5679</v>
      </c>
      <c r="E1131" s="28" t="s">
        <v>5820</v>
      </c>
      <c r="F1131" s="28" t="s">
        <v>5630</v>
      </c>
      <c r="G1131" s="28" t="s">
        <v>5821</v>
      </c>
      <c r="H1131" s="27" t="s">
        <v>5811</v>
      </c>
      <c r="I1131" s="28" t="s">
        <v>5734</v>
      </c>
      <c r="J1131" s="27"/>
    </row>
    <row r="1132" customFormat="false" ht="15" hidden="false" customHeight="true" outlineLevel="0" collapsed="false">
      <c r="A1132" s="27" t="s">
        <v>4678</v>
      </c>
      <c r="B1132" s="27" t="s">
        <v>566</v>
      </c>
      <c r="C1132" s="28" t="s">
        <v>4679</v>
      </c>
      <c r="D1132" s="28" t="s">
        <v>5679</v>
      </c>
      <c r="E1132" s="28" t="s">
        <v>5820</v>
      </c>
      <c r="F1132" s="28" t="s">
        <v>5630</v>
      </c>
      <c r="G1132" s="28" t="s">
        <v>5821</v>
      </c>
      <c r="H1132" s="27" t="s">
        <v>5811</v>
      </c>
      <c r="I1132" s="28" t="s">
        <v>5734</v>
      </c>
      <c r="J1132" s="27"/>
    </row>
    <row r="1133" customFormat="false" ht="15" hidden="false" customHeight="true" outlineLevel="0" collapsed="false">
      <c r="A1133" s="27" t="s">
        <v>4682</v>
      </c>
      <c r="B1133" s="27" t="s">
        <v>566</v>
      </c>
      <c r="C1133" s="28" t="s">
        <v>4683</v>
      </c>
      <c r="D1133" s="28" t="s">
        <v>5679</v>
      </c>
      <c r="E1133" s="28" t="s">
        <v>5820</v>
      </c>
      <c r="F1133" s="28" t="s">
        <v>5630</v>
      </c>
      <c r="G1133" s="28" t="s">
        <v>5821</v>
      </c>
      <c r="H1133" s="27" t="s">
        <v>5811</v>
      </c>
      <c r="I1133" s="28" t="s">
        <v>5734</v>
      </c>
      <c r="J1133" s="27"/>
    </row>
    <row r="1134" customFormat="false" ht="15" hidden="false" customHeight="true" outlineLevel="0" collapsed="false">
      <c r="A1134" s="27" t="s">
        <v>4685</v>
      </c>
      <c r="B1134" s="27" t="s">
        <v>566</v>
      </c>
      <c r="C1134" s="28" t="s">
        <v>4686</v>
      </c>
      <c r="D1134" s="28" t="s">
        <v>5679</v>
      </c>
      <c r="E1134" s="28" t="s">
        <v>5820</v>
      </c>
      <c r="F1134" s="28" t="s">
        <v>5630</v>
      </c>
      <c r="G1134" s="28" t="s">
        <v>5821</v>
      </c>
      <c r="H1134" s="27" t="s">
        <v>5811</v>
      </c>
      <c r="I1134" s="28" t="s">
        <v>5734</v>
      </c>
      <c r="J1134" s="27"/>
    </row>
    <row r="1135" customFormat="false" ht="15" hidden="false" customHeight="true" outlineLevel="0" collapsed="false">
      <c r="A1135" s="27" t="s">
        <v>4688</v>
      </c>
      <c r="B1135" s="27" t="s">
        <v>566</v>
      </c>
      <c r="C1135" s="28" t="s">
        <v>4689</v>
      </c>
      <c r="D1135" s="28" t="s">
        <v>5679</v>
      </c>
      <c r="E1135" s="28" t="s">
        <v>5820</v>
      </c>
      <c r="F1135" s="28" t="s">
        <v>5630</v>
      </c>
      <c r="G1135" s="28" t="s">
        <v>5821</v>
      </c>
      <c r="H1135" s="27" t="s">
        <v>5811</v>
      </c>
      <c r="I1135" s="28" t="s">
        <v>5734</v>
      </c>
      <c r="J1135" s="27"/>
    </row>
    <row r="1136" customFormat="false" ht="15" hidden="false" customHeight="true" outlineLevel="0" collapsed="false">
      <c r="A1136" s="27" t="s">
        <v>4691</v>
      </c>
      <c r="B1136" s="27" t="s">
        <v>566</v>
      </c>
      <c r="C1136" s="28" t="s">
        <v>4692</v>
      </c>
      <c r="D1136" s="28" t="s">
        <v>5679</v>
      </c>
      <c r="E1136" s="28" t="s">
        <v>5820</v>
      </c>
      <c r="F1136" s="28" t="s">
        <v>5630</v>
      </c>
      <c r="G1136" s="28" t="s">
        <v>5821</v>
      </c>
      <c r="H1136" s="27" t="s">
        <v>5811</v>
      </c>
      <c r="I1136" s="28" t="s">
        <v>5734</v>
      </c>
      <c r="J1136" s="27"/>
    </row>
    <row r="1137" customFormat="false" ht="15" hidden="false" customHeight="true" outlineLevel="0" collapsed="false">
      <c r="A1137" s="27" t="s">
        <v>4694</v>
      </c>
      <c r="B1137" s="27" t="s">
        <v>566</v>
      </c>
      <c r="C1137" s="28" t="s">
        <v>4695</v>
      </c>
      <c r="D1137" s="28" t="s">
        <v>5655</v>
      </c>
      <c r="E1137" s="28" t="s">
        <v>5820</v>
      </c>
      <c r="F1137" s="28" t="s">
        <v>5630</v>
      </c>
      <c r="G1137" s="28" t="s">
        <v>5821</v>
      </c>
      <c r="H1137" s="27" t="s">
        <v>5811</v>
      </c>
      <c r="I1137" s="28" t="s">
        <v>5734</v>
      </c>
      <c r="J1137" s="27"/>
    </row>
    <row r="1138" customFormat="false" ht="15" hidden="false" customHeight="true" outlineLevel="0" collapsed="false">
      <c r="A1138" s="27" t="s">
        <v>4698</v>
      </c>
      <c r="B1138" s="27" t="s">
        <v>566</v>
      </c>
      <c r="C1138" s="28" t="s">
        <v>4699</v>
      </c>
      <c r="D1138" s="28" t="s">
        <v>5679</v>
      </c>
      <c r="E1138" s="28" t="s">
        <v>5820</v>
      </c>
      <c r="F1138" s="28" t="s">
        <v>5630</v>
      </c>
      <c r="G1138" s="28" t="s">
        <v>5821</v>
      </c>
      <c r="H1138" s="27" t="s">
        <v>5811</v>
      </c>
      <c r="I1138" s="28" t="s">
        <v>5734</v>
      </c>
      <c r="J1138" s="27"/>
    </row>
    <row r="1139" customFormat="false" ht="15" hidden="false" customHeight="true" outlineLevel="0" collapsed="false">
      <c r="A1139" s="27" t="s">
        <v>4715</v>
      </c>
      <c r="B1139" s="27" t="s">
        <v>566</v>
      </c>
      <c r="C1139" s="28" t="s">
        <v>4716</v>
      </c>
      <c r="D1139" s="28" t="s">
        <v>5679</v>
      </c>
      <c r="E1139" s="28" t="s">
        <v>5820</v>
      </c>
      <c r="F1139" s="28" t="s">
        <v>5630</v>
      </c>
      <c r="G1139" s="28" t="s">
        <v>5821</v>
      </c>
      <c r="H1139" s="27" t="s">
        <v>5811</v>
      </c>
      <c r="I1139" s="28" t="s">
        <v>5734</v>
      </c>
      <c r="J1139" s="27"/>
    </row>
    <row r="1140" customFormat="false" ht="15" hidden="false" customHeight="true" outlineLevel="0" collapsed="false">
      <c r="A1140" s="27" t="s">
        <v>4722</v>
      </c>
      <c r="B1140" s="27" t="s">
        <v>566</v>
      </c>
      <c r="C1140" s="28" t="s">
        <v>4723</v>
      </c>
      <c r="D1140" s="28" t="s">
        <v>5679</v>
      </c>
      <c r="E1140" s="28" t="s">
        <v>5820</v>
      </c>
      <c r="F1140" s="28" t="s">
        <v>5630</v>
      </c>
      <c r="G1140" s="28" t="s">
        <v>5821</v>
      </c>
      <c r="H1140" s="27" t="s">
        <v>5811</v>
      </c>
      <c r="I1140" s="28" t="s">
        <v>5734</v>
      </c>
      <c r="J1140" s="27"/>
    </row>
    <row r="1141" customFormat="false" ht="15" hidden="false" customHeight="true" outlineLevel="0" collapsed="false">
      <c r="A1141" s="27" t="s">
        <v>4725</v>
      </c>
      <c r="B1141" s="27" t="s">
        <v>566</v>
      </c>
      <c r="C1141" s="28" t="s">
        <v>4726</v>
      </c>
      <c r="D1141" s="28" t="s">
        <v>5679</v>
      </c>
      <c r="E1141" s="28" t="s">
        <v>5820</v>
      </c>
      <c r="F1141" s="28" t="s">
        <v>5630</v>
      </c>
      <c r="G1141" s="28" t="s">
        <v>5821</v>
      </c>
      <c r="H1141" s="27" t="s">
        <v>5811</v>
      </c>
      <c r="I1141" s="28" t="s">
        <v>5734</v>
      </c>
      <c r="J1141" s="27"/>
    </row>
    <row r="1142" customFormat="false" ht="15" hidden="false" customHeight="true" outlineLevel="0" collapsed="false">
      <c r="A1142" s="27" t="s">
        <v>4730</v>
      </c>
      <c r="B1142" s="27" t="s">
        <v>566</v>
      </c>
      <c r="C1142" s="28" t="s">
        <v>4731</v>
      </c>
      <c r="D1142" s="28" t="s">
        <v>5723</v>
      </c>
      <c r="E1142" s="28" t="s">
        <v>5820</v>
      </c>
      <c r="F1142" s="28" t="s">
        <v>5630</v>
      </c>
      <c r="G1142" s="28" t="s">
        <v>5821</v>
      </c>
      <c r="H1142" s="27" t="s">
        <v>5811</v>
      </c>
      <c r="I1142" s="28" t="s">
        <v>5734</v>
      </c>
      <c r="J1142" s="27"/>
    </row>
    <row r="1143" customFormat="false" ht="15" hidden="false" customHeight="true" outlineLevel="0" collapsed="false">
      <c r="A1143" s="27" t="s">
        <v>4734</v>
      </c>
      <c r="B1143" s="27" t="s">
        <v>566</v>
      </c>
      <c r="C1143" s="28" t="s">
        <v>4735</v>
      </c>
      <c r="D1143" s="28" t="s">
        <v>5679</v>
      </c>
      <c r="E1143" s="28" t="s">
        <v>5820</v>
      </c>
      <c r="F1143" s="28" t="s">
        <v>5630</v>
      </c>
      <c r="G1143" s="28" t="s">
        <v>5821</v>
      </c>
      <c r="H1143" s="27" t="s">
        <v>5811</v>
      </c>
      <c r="I1143" s="28" t="s">
        <v>5734</v>
      </c>
      <c r="J1143" s="27"/>
    </row>
    <row r="1144" customFormat="false" ht="15" hidden="false" customHeight="true" outlineLevel="0" collapsed="false">
      <c r="A1144" s="27" t="s">
        <v>4738</v>
      </c>
      <c r="B1144" s="27" t="s">
        <v>566</v>
      </c>
      <c r="C1144" s="28" t="s">
        <v>4739</v>
      </c>
      <c r="D1144" s="28" t="s">
        <v>5755</v>
      </c>
      <c r="E1144" s="28" t="s">
        <v>5711</v>
      </c>
      <c r="F1144" s="28" t="s">
        <v>5640</v>
      </c>
      <c r="G1144" s="28" t="s">
        <v>5821</v>
      </c>
      <c r="H1144" s="27" t="s">
        <v>5811</v>
      </c>
      <c r="I1144" s="28" t="s">
        <v>5734</v>
      </c>
      <c r="J1144" s="27"/>
    </row>
    <row r="1145" customFormat="false" ht="15" hidden="false" customHeight="true" outlineLevel="0" collapsed="false">
      <c r="A1145" s="27" t="s">
        <v>4744</v>
      </c>
      <c r="B1145" s="27" t="s">
        <v>566</v>
      </c>
      <c r="C1145" s="28" t="s">
        <v>4745</v>
      </c>
      <c r="D1145" s="28" t="s">
        <v>5679</v>
      </c>
      <c r="E1145" s="28" t="s">
        <v>5820</v>
      </c>
      <c r="F1145" s="28" t="s">
        <v>5630</v>
      </c>
      <c r="G1145" s="28" t="s">
        <v>5821</v>
      </c>
      <c r="H1145" s="27" t="s">
        <v>5811</v>
      </c>
      <c r="I1145" s="28" t="s">
        <v>5734</v>
      </c>
      <c r="J1145" s="27"/>
    </row>
    <row r="1146" customFormat="false" ht="15" hidden="false" customHeight="true" outlineLevel="0" collapsed="false">
      <c r="A1146" s="27" t="s">
        <v>4748</v>
      </c>
      <c r="B1146" s="27" t="s">
        <v>566</v>
      </c>
      <c r="C1146" s="28" t="s">
        <v>4749</v>
      </c>
      <c r="D1146" s="28" t="s">
        <v>5655</v>
      </c>
      <c r="E1146" s="28" t="s">
        <v>5820</v>
      </c>
      <c r="F1146" s="28" t="s">
        <v>5630</v>
      </c>
      <c r="G1146" s="28" t="s">
        <v>5821</v>
      </c>
      <c r="H1146" s="27" t="s">
        <v>5811</v>
      </c>
      <c r="I1146" s="28" t="s">
        <v>5734</v>
      </c>
      <c r="J1146" s="27"/>
    </row>
    <row r="1147" customFormat="false" ht="15" hidden="false" customHeight="true" outlineLevel="0" collapsed="false">
      <c r="A1147" s="27" t="s">
        <v>4753</v>
      </c>
      <c r="B1147" s="27" t="s">
        <v>566</v>
      </c>
      <c r="C1147" s="28" t="s">
        <v>4754</v>
      </c>
      <c r="D1147" s="28" t="s">
        <v>5822</v>
      </c>
      <c r="E1147" s="28" t="s">
        <v>5722</v>
      </c>
      <c r="F1147" s="28" t="s">
        <v>5640</v>
      </c>
      <c r="G1147" s="28" t="s">
        <v>5821</v>
      </c>
      <c r="H1147" s="27" t="s">
        <v>5811</v>
      </c>
      <c r="I1147" s="28" t="s">
        <v>5734</v>
      </c>
      <c r="J1147" s="27"/>
    </row>
    <row r="1148" customFormat="false" ht="15" hidden="false" customHeight="true" outlineLevel="0" collapsed="false">
      <c r="A1148" s="27" t="s">
        <v>4757</v>
      </c>
      <c r="B1148" s="27" t="s">
        <v>575</v>
      </c>
      <c r="C1148" s="27" t="s">
        <v>4758</v>
      </c>
      <c r="D1148" s="28" t="s">
        <v>5701</v>
      </c>
      <c r="E1148" s="28" t="s">
        <v>5702</v>
      </c>
      <c r="F1148" s="28" t="s">
        <v>5640</v>
      </c>
      <c r="G1148" s="27" t="s">
        <v>5823</v>
      </c>
      <c r="H1148" s="27" t="s">
        <v>5811</v>
      </c>
      <c r="I1148" s="28" t="s">
        <v>5734</v>
      </c>
      <c r="J1148" s="27"/>
    </row>
    <row r="1149" customFormat="false" ht="15" hidden="false" customHeight="true" outlineLevel="0" collapsed="false">
      <c r="A1149" s="27" t="s">
        <v>4763</v>
      </c>
      <c r="B1149" s="27" t="s">
        <v>575</v>
      </c>
      <c r="C1149" s="28" t="s">
        <v>4764</v>
      </c>
      <c r="D1149" s="28" t="s">
        <v>5824</v>
      </c>
      <c r="E1149" s="28" t="s">
        <v>5639</v>
      </c>
      <c r="F1149" s="28" t="s">
        <v>5640</v>
      </c>
      <c r="G1149" s="27" t="s">
        <v>5823</v>
      </c>
      <c r="H1149" s="27" t="s">
        <v>5811</v>
      </c>
      <c r="I1149" s="28" t="s">
        <v>5734</v>
      </c>
      <c r="J1149" s="27"/>
    </row>
    <row r="1150" customFormat="false" ht="15" hidden="false" customHeight="true" outlineLevel="0" collapsed="false">
      <c r="A1150" s="27" t="s">
        <v>4766</v>
      </c>
      <c r="B1150" s="27" t="s">
        <v>575</v>
      </c>
      <c r="C1150" s="27" t="s">
        <v>4767</v>
      </c>
      <c r="D1150" s="28" t="s">
        <v>5682</v>
      </c>
      <c r="E1150" s="28" t="s">
        <v>5683</v>
      </c>
      <c r="F1150" s="28" t="s">
        <v>5640</v>
      </c>
      <c r="G1150" s="27" t="s">
        <v>5823</v>
      </c>
      <c r="H1150" s="27" t="s">
        <v>5811</v>
      </c>
      <c r="I1150" s="28" t="s">
        <v>5734</v>
      </c>
      <c r="J1150" s="27"/>
    </row>
    <row r="1151" customFormat="false" ht="15" hidden="false" customHeight="true" outlineLevel="0" collapsed="false">
      <c r="A1151" s="27" t="s">
        <v>4769</v>
      </c>
      <c r="B1151" s="27" t="s">
        <v>575</v>
      </c>
      <c r="C1151" s="27" t="s">
        <v>4770</v>
      </c>
      <c r="D1151" s="28" t="s">
        <v>5679</v>
      </c>
      <c r="E1151" s="28" t="s">
        <v>5820</v>
      </c>
      <c r="F1151" s="28" t="s">
        <v>5640</v>
      </c>
      <c r="G1151" s="27" t="s">
        <v>5823</v>
      </c>
      <c r="H1151" s="27" t="s">
        <v>5811</v>
      </c>
      <c r="I1151" s="28" t="s">
        <v>5734</v>
      </c>
      <c r="J1151" s="27"/>
    </row>
    <row r="1152" customFormat="false" ht="15" hidden="false" customHeight="true" outlineLevel="0" collapsed="false">
      <c r="A1152" s="27" t="s">
        <v>4772</v>
      </c>
      <c r="B1152" s="27" t="s">
        <v>575</v>
      </c>
      <c r="C1152" s="28" t="s">
        <v>4773</v>
      </c>
      <c r="D1152" s="28" t="s">
        <v>5709</v>
      </c>
      <c r="E1152" s="28" t="s">
        <v>5639</v>
      </c>
      <c r="F1152" s="28" t="s">
        <v>5640</v>
      </c>
      <c r="G1152" s="27" t="s">
        <v>5823</v>
      </c>
      <c r="H1152" s="27" t="s">
        <v>5811</v>
      </c>
      <c r="I1152" s="28" t="s">
        <v>5734</v>
      </c>
      <c r="J1152" s="27"/>
    </row>
    <row r="1153" customFormat="false" ht="15" hidden="false" customHeight="true" outlineLevel="0" collapsed="false">
      <c r="A1153" s="27" t="s">
        <v>4775</v>
      </c>
      <c r="B1153" s="27" t="s">
        <v>575</v>
      </c>
      <c r="C1153" s="27" t="s">
        <v>4776</v>
      </c>
      <c r="D1153" s="28" t="s">
        <v>5709</v>
      </c>
      <c r="E1153" s="28" t="s">
        <v>5639</v>
      </c>
      <c r="F1153" s="28" t="s">
        <v>5640</v>
      </c>
      <c r="G1153" s="27" t="s">
        <v>5823</v>
      </c>
      <c r="H1153" s="27" t="s">
        <v>5811</v>
      </c>
      <c r="I1153" s="28" t="s">
        <v>5734</v>
      </c>
      <c r="J1153" s="27"/>
    </row>
    <row r="1154" customFormat="false" ht="15" hidden="false" customHeight="true" outlineLevel="0" collapsed="false">
      <c r="A1154" s="27" t="s">
        <v>4779</v>
      </c>
      <c r="B1154" s="27" t="s">
        <v>575</v>
      </c>
      <c r="C1154" s="27" t="s">
        <v>4780</v>
      </c>
      <c r="D1154" s="28" t="s">
        <v>5824</v>
      </c>
      <c r="E1154" s="28" t="s">
        <v>5639</v>
      </c>
      <c r="F1154" s="28" t="s">
        <v>5640</v>
      </c>
      <c r="G1154" s="27" t="s">
        <v>5823</v>
      </c>
      <c r="H1154" s="27" t="s">
        <v>5811</v>
      </c>
      <c r="I1154" s="28" t="s">
        <v>5734</v>
      </c>
      <c r="J1154" s="27"/>
    </row>
    <row r="1155" customFormat="false" ht="15" hidden="false" customHeight="true" outlineLevel="0" collapsed="false">
      <c r="A1155" s="27" t="s">
        <v>4782</v>
      </c>
      <c r="B1155" s="27" t="s">
        <v>575</v>
      </c>
      <c r="C1155" s="27" t="s">
        <v>4783</v>
      </c>
      <c r="D1155" s="28" t="s">
        <v>5679</v>
      </c>
      <c r="E1155" s="28" t="s">
        <v>5820</v>
      </c>
      <c r="F1155" s="28" t="s">
        <v>5640</v>
      </c>
      <c r="G1155" s="27" t="s">
        <v>5823</v>
      </c>
      <c r="H1155" s="27" t="s">
        <v>5811</v>
      </c>
      <c r="I1155" s="28" t="s">
        <v>5734</v>
      </c>
      <c r="J1155" s="27"/>
    </row>
    <row r="1156" customFormat="false" ht="15" hidden="false" customHeight="true" outlineLevel="0" collapsed="false">
      <c r="A1156" s="27" t="s">
        <v>4786</v>
      </c>
      <c r="B1156" s="27" t="s">
        <v>575</v>
      </c>
      <c r="C1156" s="27" t="s">
        <v>4787</v>
      </c>
      <c r="D1156" s="28" t="s">
        <v>5824</v>
      </c>
      <c r="E1156" s="28" t="s">
        <v>5639</v>
      </c>
      <c r="F1156" s="28" t="s">
        <v>5640</v>
      </c>
      <c r="G1156" s="27" t="s">
        <v>5823</v>
      </c>
      <c r="H1156" s="27" t="s">
        <v>5811</v>
      </c>
      <c r="I1156" s="28" t="s">
        <v>5734</v>
      </c>
      <c r="J1156" s="27"/>
    </row>
    <row r="1157" customFormat="false" ht="15" hidden="false" customHeight="true" outlineLevel="0" collapsed="false">
      <c r="A1157" s="27" t="s">
        <v>4789</v>
      </c>
      <c r="B1157" s="27" t="s">
        <v>575</v>
      </c>
      <c r="C1157" s="28" t="s">
        <v>4790</v>
      </c>
      <c r="D1157" s="28" t="s">
        <v>5679</v>
      </c>
      <c r="E1157" s="28" t="s">
        <v>5820</v>
      </c>
      <c r="F1157" s="28" t="s">
        <v>5640</v>
      </c>
      <c r="G1157" s="27" t="s">
        <v>5823</v>
      </c>
      <c r="H1157" s="27" t="s">
        <v>5811</v>
      </c>
      <c r="I1157" s="28" t="s">
        <v>5734</v>
      </c>
      <c r="J1157" s="27"/>
    </row>
    <row r="1158" customFormat="false" ht="15" hidden="false" customHeight="true" outlineLevel="0" collapsed="false">
      <c r="A1158" s="27" t="s">
        <v>4793</v>
      </c>
      <c r="B1158" s="27" t="s">
        <v>575</v>
      </c>
      <c r="C1158" s="28" t="s">
        <v>4794</v>
      </c>
      <c r="D1158" s="28" t="s">
        <v>5709</v>
      </c>
      <c r="E1158" s="28" t="s">
        <v>5639</v>
      </c>
      <c r="F1158" s="28" t="s">
        <v>5640</v>
      </c>
      <c r="G1158" s="27" t="s">
        <v>5823</v>
      </c>
      <c r="H1158" s="27" t="s">
        <v>5811</v>
      </c>
      <c r="I1158" s="28" t="s">
        <v>5734</v>
      </c>
      <c r="J1158" s="27"/>
    </row>
    <row r="1159" customFormat="false" ht="15" hidden="false" customHeight="true" outlineLevel="0" collapsed="false">
      <c r="A1159" s="27" t="s">
        <v>4795</v>
      </c>
      <c r="B1159" s="27" t="s">
        <v>575</v>
      </c>
      <c r="C1159" s="27" t="s">
        <v>4796</v>
      </c>
      <c r="D1159" s="28" t="s">
        <v>5824</v>
      </c>
      <c r="E1159" s="28" t="s">
        <v>5639</v>
      </c>
      <c r="F1159" s="28" t="s">
        <v>5640</v>
      </c>
      <c r="G1159" s="27" t="s">
        <v>5823</v>
      </c>
      <c r="H1159" s="27" t="s">
        <v>5811</v>
      </c>
      <c r="I1159" s="28" t="s">
        <v>5734</v>
      </c>
      <c r="J1159" s="27"/>
    </row>
    <row r="1160" customFormat="false" ht="15" hidden="false" customHeight="true" outlineLevel="0" collapsed="false">
      <c r="A1160" s="27" t="s">
        <v>4799</v>
      </c>
      <c r="B1160" s="27" t="s">
        <v>575</v>
      </c>
      <c r="C1160" s="27" t="s">
        <v>4800</v>
      </c>
      <c r="D1160" s="28" t="s">
        <v>5824</v>
      </c>
      <c r="E1160" s="28" t="s">
        <v>5639</v>
      </c>
      <c r="F1160" s="28" t="s">
        <v>5640</v>
      </c>
      <c r="G1160" s="27" t="s">
        <v>5823</v>
      </c>
      <c r="H1160" s="27" t="s">
        <v>5811</v>
      </c>
      <c r="I1160" s="28" t="s">
        <v>5734</v>
      </c>
      <c r="J1160" s="27"/>
    </row>
    <row r="1161" customFormat="false" ht="15" hidden="false" customHeight="true" outlineLevel="0" collapsed="false">
      <c r="A1161" s="27" t="s">
        <v>4803</v>
      </c>
      <c r="B1161" s="27" t="s">
        <v>575</v>
      </c>
      <c r="C1161" s="27" t="s">
        <v>4804</v>
      </c>
      <c r="D1161" s="28" t="s">
        <v>5824</v>
      </c>
      <c r="E1161" s="28" t="s">
        <v>5639</v>
      </c>
      <c r="F1161" s="28" t="s">
        <v>5640</v>
      </c>
      <c r="G1161" s="27" t="s">
        <v>5823</v>
      </c>
      <c r="H1161" s="27" t="s">
        <v>5811</v>
      </c>
      <c r="I1161" s="28" t="s">
        <v>5734</v>
      </c>
      <c r="J1161" s="27"/>
    </row>
    <row r="1162" customFormat="false" ht="15" hidden="false" customHeight="true" outlineLevel="0" collapsed="false">
      <c r="A1162" s="27" t="s">
        <v>4806</v>
      </c>
      <c r="B1162" s="27" t="s">
        <v>575</v>
      </c>
      <c r="C1162" s="27" t="s">
        <v>4807</v>
      </c>
      <c r="D1162" s="28" t="s">
        <v>5679</v>
      </c>
      <c r="E1162" s="28" t="s">
        <v>5820</v>
      </c>
      <c r="F1162" s="28" t="s">
        <v>5640</v>
      </c>
      <c r="G1162" s="27" t="s">
        <v>5823</v>
      </c>
      <c r="H1162" s="27" t="s">
        <v>5811</v>
      </c>
      <c r="I1162" s="28" t="s">
        <v>5734</v>
      </c>
      <c r="J1162" s="27"/>
    </row>
    <row r="1163" customFormat="false" ht="15" hidden="false" customHeight="true" outlineLevel="0" collapsed="false">
      <c r="A1163" s="27" t="s">
        <v>4809</v>
      </c>
      <c r="B1163" s="27" t="s">
        <v>575</v>
      </c>
      <c r="C1163" s="28" t="s">
        <v>4810</v>
      </c>
      <c r="D1163" s="28" t="s">
        <v>5709</v>
      </c>
      <c r="E1163" s="28" t="s">
        <v>5639</v>
      </c>
      <c r="F1163" s="28" t="s">
        <v>5640</v>
      </c>
      <c r="G1163" s="27" t="s">
        <v>5823</v>
      </c>
      <c r="H1163" s="27" t="s">
        <v>5811</v>
      </c>
      <c r="I1163" s="28" t="s">
        <v>5734</v>
      </c>
      <c r="J1163" s="27"/>
    </row>
    <row r="1164" customFormat="false" ht="15" hidden="false" customHeight="true" outlineLevel="0" collapsed="false">
      <c r="A1164" s="27" t="s">
        <v>4812</v>
      </c>
      <c r="B1164" s="27" t="s">
        <v>575</v>
      </c>
      <c r="C1164" s="27" t="s">
        <v>4813</v>
      </c>
      <c r="D1164" s="28" t="s">
        <v>5679</v>
      </c>
      <c r="E1164" s="28" t="s">
        <v>5820</v>
      </c>
      <c r="F1164" s="28" t="s">
        <v>5640</v>
      </c>
      <c r="G1164" s="27" t="s">
        <v>5823</v>
      </c>
      <c r="H1164" s="27" t="s">
        <v>5811</v>
      </c>
      <c r="I1164" s="28" t="s">
        <v>5734</v>
      </c>
      <c r="J1164" s="27"/>
    </row>
    <row r="1165" customFormat="false" ht="15" hidden="false" customHeight="true" outlineLevel="0" collapsed="false">
      <c r="A1165" s="27" t="s">
        <v>4816</v>
      </c>
      <c r="B1165" s="27" t="s">
        <v>575</v>
      </c>
      <c r="C1165" s="27" t="s">
        <v>4817</v>
      </c>
      <c r="D1165" s="28" t="s">
        <v>5679</v>
      </c>
      <c r="E1165" s="28" t="s">
        <v>5820</v>
      </c>
      <c r="F1165" s="28" t="s">
        <v>5640</v>
      </c>
      <c r="G1165" s="27" t="s">
        <v>5823</v>
      </c>
      <c r="H1165" s="27" t="s">
        <v>5811</v>
      </c>
      <c r="I1165" s="28" t="s">
        <v>5734</v>
      </c>
      <c r="J1165" s="27"/>
    </row>
    <row r="1166" customFormat="false" ht="15" hidden="false" customHeight="true" outlineLevel="0" collapsed="false">
      <c r="A1166" s="27" t="s">
        <v>4819</v>
      </c>
      <c r="B1166" s="27" t="s">
        <v>575</v>
      </c>
      <c r="C1166" s="28" t="s">
        <v>4820</v>
      </c>
      <c r="D1166" s="28" t="s">
        <v>5824</v>
      </c>
      <c r="E1166" s="28" t="s">
        <v>5639</v>
      </c>
      <c r="F1166" s="28" t="s">
        <v>5640</v>
      </c>
      <c r="G1166" s="27" t="s">
        <v>5823</v>
      </c>
      <c r="H1166" s="27" t="s">
        <v>5811</v>
      </c>
      <c r="I1166" s="28" t="s">
        <v>5734</v>
      </c>
      <c r="J1166" s="27"/>
    </row>
    <row r="1167" customFormat="false" ht="15" hidden="false" customHeight="true" outlineLevel="0" collapsed="false">
      <c r="A1167" s="27" t="s">
        <v>4826</v>
      </c>
      <c r="B1167" s="27" t="s">
        <v>575</v>
      </c>
      <c r="C1167" s="27" t="s">
        <v>4827</v>
      </c>
      <c r="D1167" s="28" t="s">
        <v>5723</v>
      </c>
      <c r="E1167" s="28" t="s">
        <v>5820</v>
      </c>
      <c r="F1167" s="28" t="s">
        <v>5640</v>
      </c>
      <c r="G1167" s="27" t="s">
        <v>5823</v>
      </c>
      <c r="H1167" s="27" t="s">
        <v>5811</v>
      </c>
      <c r="I1167" s="28" t="s">
        <v>5734</v>
      </c>
      <c r="J1167" s="27"/>
    </row>
    <row r="1168" customFormat="false" ht="15" hidden="false" customHeight="true" outlineLevel="0" collapsed="false">
      <c r="A1168" s="27" t="s">
        <v>4829</v>
      </c>
      <c r="B1168" s="27" t="s">
        <v>575</v>
      </c>
      <c r="C1168" s="27" t="s">
        <v>4830</v>
      </c>
      <c r="D1168" s="28" t="s">
        <v>5824</v>
      </c>
      <c r="E1168" s="28" t="s">
        <v>5639</v>
      </c>
      <c r="F1168" s="28" t="s">
        <v>5640</v>
      </c>
      <c r="G1168" s="27" t="s">
        <v>5823</v>
      </c>
      <c r="H1168" s="27" t="s">
        <v>5811</v>
      </c>
      <c r="I1168" s="28" t="s">
        <v>5734</v>
      </c>
      <c r="J1168" s="27"/>
    </row>
    <row r="1169" customFormat="false" ht="15" hidden="false" customHeight="true" outlineLevel="0" collapsed="false">
      <c r="A1169" s="27" t="s">
        <v>4834</v>
      </c>
      <c r="B1169" s="27" t="s">
        <v>575</v>
      </c>
      <c r="C1169" s="27" t="s">
        <v>4835</v>
      </c>
      <c r="D1169" s="28" t="s">
        <v>5807</v>
      </c>
      <c r="E1169" s="28" t="s">
        <v>5825</v>
      </c>
      <c r="F1169" s="28" t="s">
        <v>5640</v>
      </c>
      <c r="G1169" s="27" t="s">
        <v>5823</v>
      </c>
      <c r="H1169" s="27" t="s">
        <v>5811</v>
      </c>
      <c r="I1169" s="28" t="s">
        <v>5734</v>
      </c>
      <c r="J1169" s="27"/>
    </row>
    <row r="1170" customFormat="false" ht="15" hidden="false" customHeight="true" outlineLevel="0" collapsed="false">
      <c r="A1170" s="27" t="s">
        <v>4836</v>
      </c>
      <c r="B1170" s="27" t="s">
        <v>575</v>
      </c>
      <c r="C1170" s="28" t="s">
        <v>4837</v>
      </c>
      <c r="D1170" s="28" t="s">
        <v>5807</v>
      </c>
      <c r="E1170" s="28" t="s">
        <v>5825</v>
      </c>
      <c r="F1170" s="28" t="s">
        <v>5640</v>
      </c>
      <c r="G1170" s="27" t="s">
        <v>5823</v>
      </c>
      <c r="H1170" s="27" t="s">
        <v>5811</v>
      </c>
      <c r="I1170" s="28" t="s">
        <v>5734</v>
      </c>
      <c r="J1170" s="27"/>
    </row>
    <row r="1171" customFormat="false" ht="15" hidden="false" customHeight="true" outlineLevel="0" collapsed="false">
      <c r="A1171" s="27" t="s">
        <v>4841</v>
      </c>
      <c r="B1171" s="27" t="s">
        <v>575</v>
      </c>
      <c r="C1171" s="28" t="s">
        <v>4842</v>
      </c>
      <c r="D1171" s="28" t="s">
        <v>5729</v>
      </c>
      <c r="E1171" s="28" t="s">
        <v>5639</v>
      </c>
      <c r="F1171" s="28" t="s">
        <v>5640</v>
      </c>
      <c r="G1171" s="27" t="s">
        <v>5823</v>
      </c>
      <c r="H1171" s="27" t="s">
        <v>5811</v>
      </c>
      <c r="I1171" s="28" t="s">
        <v>5734</v>
      </c>
      <c r="J1171" s="27"/>
    </row>
    <row r="1172" customFormat="false" ht="15" hidden="false" customHeight="true" outlineLevel="0" collapsed="false">
      <c r="A1172" s="27" t="s">
        <v>4844</v>
      </c>
      <c r="B1172" s="27" t="s">
        <v>575</v>
      </c>
      <c r="C1172" s="28" t="s">
        <v>4845</v>
      </c>
      <c r="D1172" s="28" t="s">
        <v>5824</v>
      </c>
      <c r="E1172" s="28" t="s">
        <v>5639</v>
      </c>
      <c r="F1172" s="28" t="s">
        <v>5640</v>
      </c>
      <c r="G1172" s="27" t="s">
        <v>5823</v>
      </c>
      <c r="H1172" s="27" t="s">
        <v>5811</v>
      </c>
      <c r="I1172" s="28" t="s">
        <v>5734</v>
      </c>
      <c r="J1172" s="27"/>
    </row>
    <row r="1173" customFormat="false" ht="15" hidden="false" customHeight="true" outlineLevel="0" collapsed="false">
      <c r="A1173" s="27" t="s">
        <v>4847</v>
      </c>
      <c r="B1173" s="27" t="s">
        <v>575</v>
      </c>
      <c r="C1173" s="28" t="s">
        <v>4848</v>
      </c>
      <c r="D1173" s="28" t="s">
        <v>5709</v>
      </c>
      <c r="E1173" s="28" t="s">
        <v>5639</v>
      </c>
      <c r="F1173" s="28" t="s">
        <v>5640</v>
      </c>
      <c r="G1173" s="27" t="s">
        <v>5823</v>
      </c>
      <c r="H1173" s="27" t="s">
        <v>5811</v>
      </c>
      <c r="I1173" s="28" t="s">
        <v>5734</v>
      </c>
      <c r="J1173" s="27"/>
    </row>
    <row r="1174" customFormat="false" ht="15" hidden="false" customHeight="true" outlineLevel="0" collapsed="false">
      <c r="A1174" s="27" t="s">
        <v>4852</v>
      </c>
      <c r="B1174" s="27" t="s">
        <v>575</v>
      </c>
      <c r="C1174" s="28" t="s">
        <v>4853</v>
      </c>
      <c r="D1174" s="28" t="s">
        <v>5826</v>
      </c>
      <c r="E1174" s="28" t="s">
        <v>5639</v>
      </c>
      <c r="F1174" s="28" t="s">
        <v>5640</v>
      </c>
      <c r="G1174" s="27" t="s">
        <v>5823</v>
      </c>
      <c r="H1174" s="27" t="s">
        <v>5811</v>
      </c>
      <c r="I1174" s="28" t="s">
        <v>5734</v>
      </c>
      <c r="J1174" s="27"/>
    </row>
    <row r="1175" customFormat="false" ht="15" hidden="false" customHeight="true" outlineLevel="0" collapsed="false">
      <c r="A1175" s="27" t="s">
        <v>4856</v>
      </c>
      <c r="B1175" s="27" t="s">
        <v>575</v>
      </c>
      <c r="C1175" s="28" t="s">
        <v>4857</v>
      </c>
      <c r="D1175" s="28" t="s">
        <v>5824</v>
      </c>
      <c r="E1175" s="28" t="s">
        <v>5639</v>
      </c>
      <c r="F1175" s="28" t="s">
        <v>5640</v>
      </c>
      <c r="G1175" s="27" t="s">
        <v>5823</v>
      </c>
      <c r="H1175" s="27" t="s">
        <v>5811</v>
      </c>
      <c r="I1175" s="28" t="s">
        <v>5734</v>
      </c>
      <c r="J1175" s="2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12"/>
    <col collapsed="false" customWidth="true" hidden="false" outlineLevel="0" max="4" min="4" style="1" width="20"/>
    <col collapsed="false" customWidth="true" hidden="false" outlineLevel="0" max="5" min="5" style="1" width="12"/>
    <col collapsed="false" customWidth="true" hidden="false" outlineLevel="0" max="6" min="6" style="1" width="10"/>
    <col collapsed="false" customWidth="true" hidden="false" outlineLevel="0" max="7" min="7" style="1" width="30"/>
    <col collapsed="false" customWidth="true" hidden="false" outlineLevel="0" max="8" min="8" style="1" width="16"/>
    <col collapsed="false" customWidth="true" hidden="false" outlineLevel="0" max="9" min="9" style="1" width="14"/>
    <col collapsed="false" customWidth="true" hidden="false" outlineLevel="0" max="10" min="10" style="1" width="34"/>
    <col collapsed="false" customWidth="true" hidden="false" outlineLevel="0" max="11" min="11" style="1" width="12"/>
  </cols>
  <sheetData>
    <row r="1" customFormat="false" ht="29.25" hidden="false" customHeight="true" outlineLevel="0" collapsed="false">
      <c r="A1" s="29" t="s">
        <v>435</v>
      </c>
      <c r="B1" s="29" t="s">
        <v>437</v>
      </c>
      <c r="C1" s="29" t="s">
        <v>5827</v>
      </c>
      <c r="D1" s="30" t="s">
        <v>5828</v>
      </c>
      <c r="E1" s="29" t="s">
        <v>5829</v>
      </c>
      <c r="F1" s="30" t="s">
        <v>5830</v>
      </c>
      <c r="G1" s="29" t="s">
        <v>5831</v>
      </c>
      <c r="H1" s="29" t="s">
        <v>5832</v>
      </c>
      <c r="I1" s="29" t="s">
        <v>5833</v>
      </c>
      <c r="J1" s="29" t="s">
        <v>5626</v>
      </c>
      <c r="K1" s="29" t="s">
        <v>5834</v>
      </c>
    </row>
    <row r="2" customFormat="false" ht="15" hidden="false" customHeight="true" outlineLevel="0" collapsed="false">
      <c r="A2" s="27" t="s">
        <v>448</v>
      </c>
      <c r="B2" s="28" t="s">
        <v>450</v>
      </c>
      <c r="C2" s="27" t="n">
        <v>70</v>
      </c>
      <c r="D2" s="27" t="n">
        <v>69</v>
      </c>
      <c r="E2" s="27" t="n">
        <v>98.6</v>
      </c>
      <c r="F2" s="27" t="n">
        <v>24</v>
      </c>
      <c r="G2" s="28" t="s">
        <v>5628</v>
      </c>
      <c r="H2" s="27" t="n">
        <v>29</v>
      </c>
      <c r="I2" s="27" t="n">
        <v>58.8</v>
      </c>
      <c r="J2" s="28" t="s">
        <v>5631</v>
      </c>
      <c r="K2" s="27" t="s">
        <v>5835</v>
      </c>
    </row>
    <row r="3" customFormat="false" ht="15" hidden="false" customHeight="true" outlineLevel="0" collapsed="false">
      <c r="A3" s="27" t="s">
        <v>458</v>
      </c>
      <c r="B3" s="28" t="s">
        <v>460</v>
      </c>
      <c r="C3" s="27" t="n">
        <v>79</v>
      </c>
      <c r="D3" s="27" t="n">
        <v>76</v>
      </c>
      <c r="E3" s="27" t="n">
        <v>96.2</v>
      </c>
      <c r="F3" s="27" t="n">
        <v>13</v>
      </c>
      <c r="G3" s="28" t="s">
        <v>5674</v>
      </c>
      <c r="H3" s="27" t="n">
        <v>32.9</v>
      </c>
      <c r="I3" s="27" t="n">
        <v>61.8</v>
      </c>
      <c r="J3" s="28" t="s">
        <v>5669</v>
      </c>
      <c r="K3" s="27" t="s">
        <v>5835</v>
      </c>
    </row>
    <row r="4" customFormat="false" ht="15" hidden="false" customHeight="true" outlineLevel="0" collapsed="false">
      <c r="A4" s="27" t="s">
        <v>465</v>
      </c>
      <c r="B4" s="28" t="s">
        <v>467</v>
      </c>
      <c r="C4" s="27" t="n">
        <v>18</v>
      </c>
      <c r="D4" s="27" t="n">
        <v>16</v>
      </c>
      <c r="E4" s="27" t="n">
        <v>88.9</v>
      </c>
      <c r="F4" s="27" t="n">
        <v>9</v>
      </c>
      <c r="G4" s="28" t="s">
        <v>5679</v>
      </c>
      <c r="H4" s="27" t="n">
        <v>25</v>
      </c>
      <c r="I4" s="27" t="n">
        <v>12.5</v>
      </c>
      <c r="J4" s="28" t="s">
        <v>5696</v>
      </c>
      <c r="K4" s="27" t="s">
        <v>5835</v>
      </c>
    </row>
    <row r="5" customFormat="false" ht="15" hidden="false" customHeight="true" outlineLevel="0" collapsed="false">
      <c r="A5" s="27" t="s">
        <v>471</v>
      </c>
      <c r="B5" s="28" t="s">
        <v>473</v>
      </c>
      <c r="C5" s="27" t="n">
        <v>60</v>
      </c>
      <c r="D5" s="27" t="n">
        <v>58</v>
      </c>
      <c r="E5" s="27" t="n">
        <v>96.7</v>
      </c>
      <c r="F5" s="27" t="n">
        <v>6</v>
      </c>
      <c r="G5" s="28" t="s">
        <v>5705</v>
      </c>
      <c r="H5" s="27" t="n">
        <v>37.9</v>
      </c>
      <c r="I5" s="27" t="n">
        <v>0</v>
      </c>
      <c r="J5" s="28" t="s">
        <v>5706</v>
      </c>
      <c r="K5" s="27" t="s">
        <v>5835</v>
      </c>
    </row>
    <row r="6" customFormat="false" ht="15" hidden="false" customHeight="true" outlineLevel="0" collapsed="false">
      <c r="A6" s="27" t="s">
        <v>478</v>
      </c>
      <c r="B6" s="28" t="s">
        <v>480</v>
      </c>
      <c r="C6" s="27" t="n">
        <v>88</v>
      </c>
      <c r="D6" s="27" t="n">
        <v>85</v>
      </c>
      <c r="E6" s="27" t="n">
        <v>96.6</v>
      </c>
      <c r="F6" s="27" t="n">
        <v>18</v>
      </c>
      <c r="G6" s="28" t="s">
        <v>5712</v>
      </c>
      <c r="H6" s="27" t="n">
        <v>34.1</v>
      </c>
      <c r="I6" s="27" t="n">
        <v>34.1</v>
      </c>
      <c r="J6" s="28" t="s">
        <v>5714</v>
      </c>
      <c r="K6" s="27" t="s">
        <v>5835</v>
      </c>
    </row>
    <row r="7" customFormat="false" ht="15" hidden="false" customHeight="true" outlineLevel="0" collapsed="false">
      <c r="A7" s="27" t="s">
        <v>487</v>
      </c>
      <c r="B7" s="28" t="s">
        <v>489</v>
      </c>
      <c r="C7" s="27" t="n">
        <v>34</v>
      </c>
      <c r="D7" s="27" t="n">
        <v>32</v>
      </c>
      <c r="E7" s="27" t="n">
        <v>94.1</v>
      </c>
      <c r="F7" s="27" t="n">
        <v>10</v>
      </c>
      <c r="G7" s="28" t="s">
        <v>5682</v>
      </c>
      <c r="H7" s="27" t="n">
        <v>46.9</v>
      </c>
      <c r="I7" s="27" t="n">
        <v>29</v>
      </c>
      <c r="J7" s="28" t="s">
        <v>5733</v>
      </c>
      <c r="K7" s="27" t="s">
        <v>5835</v>
      </c>
    </row>
    <row r="8" customFormat="false" ht="15" hidden="false" customHeight="true" outlineLevel="0" collapsed="false">
      <c r="A8" s="27" t="s">
        <v>493</v>
      </c>
      <c r="B8" s="28" t="s">
        <v>495</v>
      </c>
      <c r="C8" s="27" t="n">
        <v>11</v>
      </c>
      <c r="D8" s="27" t="n">
        <v>11</v>
      </c>
      <c r="E8" s="27" t="n">
        <v>100</v>
      </c>
      <c r="F8" s="27" t="n">
        <v>2</v>
      </c>
      <c r="G8" s="28" t="s">
        <v>5694</v>
      </c>
      <c r="H8" s="27" t="n">
        <v>90.9</v>
      </c>
      <c r="I8" s="27" t="n">
        <v>100</v>
      </c>
      <c r="J8" s="28" t="s">
        <v>5744</v>
      </c>
      <c r="K8" s="27" t="s">
        <v>5835</v>
      </c>
    </row>
    <row r="9" customFormat="false" ht="15" hidden="false" customHeight="true" outlineLevel="0" collapsed="false">
      <c r="A9" s="27" t="s">
        <v>502</v>
      </c>
      <c r="B9" s="28" t="s">
        <v>504</v>
      </c>
      <c r="C9" s="27" t="n">
        <v>68</v>
      </c>
      <c r="D9" s="27" t="n">
        <v>63</v>
      </c>
      <c r="E9" s="27" t="n">
        <v>92.6</v>
      </c>
      <c r="F9" s="27" t="n">
        <v>12</v>
      </c>
      <c r="G9" s="28" t="s">
        <v>5747</v>
      </c>
      <c r="H9" s="27" t="n">
        <v>54</v>
      </c>
      <c r="I9" s="27" t="n">
        <v>54.8</v>
      </c>
      <c r="J9" s="28" t="s">
        <v>5749</v>
      </c>
      <c r="K9" s="27" t="s">
        <v>5835</v>
      </c>
    </row>
    <row r="10" customFormat="false" ht="15" hidden="false" customHeight="true" outlineLevel="0" collapsed="false">
      <c r="A10" s="27" t="s">
        <v>509</v>
      </c>
      <c r="B10" s="28" t="s">
        <v>511</v>
      </c>
      <c r="C10" s="27" t="n">
        <v>28</v>
      </c>
      <c r="D10" s="27" t="n">
        <v>28</v>
      </c>
      <c r="E10" s="27" t="n">
        <v>100</v>
      </c>
      <c r="F10" s="27" t="n">
        <v>5</v>
      </c>
      <c r="G10" s="28" t="s">
        <v>5758</v>
      </c>
      <c r="H10" s="27" t="n">
        <v>71.4</v>
      </c>
      <c r="I10" s="27" t="n">
        <v>96.4</v>
      </c>
      <c r="J10" s="28" t="s">
        <v>5760</v>
      </c>
      <c r="K10" s="27" t="s">
        <v>5835</v>
      </c>
    </row>
    <row r="11" customFormat="false" ht="15" hidden="false" customHeight="true" outlineLevel="0" collapsed="false">
      <c r="A11" s="27" t="s">
        <v>515</v>
      </c>
      <c r="B11" s="28" t="s">
        <v>517</v>
      </c>
      <c r="C11" s="27" t="n">
        <v>69</v>
      </c>
      <c r="D11" s="27" t="n">
        <v>62</v>
      </c>
      <c r="E11" s="27" t="n">
        <v>89.9</v>
      </c>
      <c r="F11" s="27" t="n">
        <v>2</v>
      </c>
      <c r="G11" s="28" t="s">
        <v>5766</v>
      </c>
      <c r="H11" s="27" t="n">
        <v>98.4</v>
      </c>
      <c r="I11" s="27" t="n">
        <v>98.4</v>
      </c>
      <c r="J11" s="28" t="s">
        <v>5768</v>
      </c>
      <c r="K11" s="27" t="s">
        <v>5835</v>
      </c>
    </row>
    <row r="12" customFormat="false" ht="15" hidden="false" customHeight="true" outlineLevel="0" collapsed="false">
      <c r="A12" s="27" t="s">
        <v>523</v>
      </c>
      <c r="B12" s="27" t="s">
        <v>525</v>
      </c>
      <c r="C12" s="27" t="n">
        <v>63</v>
      </c>
      <c r="D12" s="27" t="n">
        <v>60</v>
      </c>
      <c r="E12" s="27" t="n">
        <v>95.2</v>
      </c>
      <c r="F12" s="27" t="n">
        <v>10</v>
      </c>
      <c r="G12" s="28" t="s">
        <v>5772</v>
      </c>
      <c r="H12" s="27" t="n">
        <v>38.3</v>
      </c>
      <c r="I12" s="27" t="n">
        <v>81.7</v>
      </c>
      <c r="J12" s="27" t="s">
        <v>5774</v>
      </c>
      <c r="K12" s="27" t="s">
        <v>5835</v>
      </c>
    </row>
    <row r="13" customFormat="false" ht="15" hidden="false" customHeight="true" outlineLevel="0" collapsed="false">
      <c r="A13" s="27" t="s">
        <v>531</v>
      </c>
      <c r="B13" s="28" t="s">
        <v>533</v>
      </c>
      <c r="C13" s="27" t="n">
        <v>138</v>
      </c>
      <c r="D13" s="27" t="n">
        <v>96</v>
      </c>
      <c r="E13" s="27" t="n">
        <v>69.6</v>
      </c>
      <c r="F13" s="27" t="n">
        <v>9</v>
      </c>
      <c r="G13" s="28" t="s">
        <v>5792</v>
      </c>
      <c r="H13" s="27" t="n">
        <v>38.5</v>
      </c>
      <c r="I13" s="27" t="n">
        <v>1.1</v>
      </c>
      <c r="J13" s="28" t="s">
        <v>5788</v>
      </c>
      <c r="K13" s="27" t="s">
        <v>5835</v>
      </c>
    </row>
    <row r="14" customFormat="false" ht="15" hidden="false" customHeight="true" outlineLevel="0" collapsed="false">
      <c r="A14" s="27" t="s">
        <v>538</v>
      </c>
      <c r="B14" s="28" t="s">
        <v>540</v>
      </c>
      <c r="C14" s="27" t="n">
        <v>150</v>
      </c>
      <c r="D14" s="27" t="n">
        <v>120</v>
      </c>
      <c r="E14" s="27" t="n">
        <v>80</v>
      </c>
      <c r="F14" s="27" t="n">
        <v>15</v>
      </c>
      <c r="G14" s="28" t="s">
        <v>5795</v>
      </c>
      <c r="H14" s="27" t="n">
        <v>50</v>
      </c>
      <c r="I14" s="27" t="n">
        <v>66.7</v>
      </c>
      <c r="J14" s="28" t="s">
        <v>5797</v>
      </c>
      <c r="K14" s="27" t="s">
        <v>5835</v>
      </c>
    </row>
    <row r="15" customFormat="false" ht="15" hidden="false" customHeight="true" outlineLevel="0" collapsed="false">
      <c r="A15" s="27" t="s">
        <v>544</v>
      </c>
      <c r="B15" s="28" t="s">
        <v>546</v>
      </c>
      <c r="C15" s="27" t="n">
        <v>20</v>
      </c>
      <c r="D15" s="27" t="n">
        <v>0</v>
      </c>
      <c r="E15" s="27" t="n">
        <v>0</v>
      </c>
      <c r="F15" s="27" t="n">
        <v>0</v>
      </c>
      <c r="G15" s="27" t="s">
        <v>5836</v>
      </c>
      <c r="J15" s="27"/>
      <c r="K15" s="27" t="s">
        <v>5835</v>
      </c>
    </row>
    <row r="16" customFormat="false" ht="15" hidden="false" customHeight="true" outlineLevel="0" collapsed="false">
      <c r="A16" s="27" t="s">
        <v>551</v>
      </c>
      <c r="B16" s="28" t="s">
        <v>553</v>
      </c>
      <c r="C16" s="27" t="n">
        <v>16</v>
      </c>
      <c r="D16" s="27" t="n">
        <v>13</v>
      </c>
      <c r="E16" s="27" t="n">
        <v>81.2</v>
      </c>
      <c r="F16" s="27" t="n">
        <v>3</v>
      </c>
      <c r="G16" s="28" t="s">
        <v>5808</v>
      </c>
      <c r="H16" s="27" t="n">
        <v>76.9</v>
      </c>
      <c r="I16" s="27" t="n">
        <v>76.9</v>
      </c>
      <c r="J16" s="28" t="s">
        <v>5810</v>
      </c>
      <c r="K16" s="27" t="s">
        <v>5835</v>
      </c>
    </row>
    <row r="17" customFormat="false" ht="15" hidden="false" customHeight="true" outlineLevel="0" collapsed="false">
      <c r="A17" s="27" t="s">
        <v>559</v>
      </c>
      <c r="B17" s="28" t="s">
        <v>561</v>
      </c>
      <c r="C17" s="27" t="n">
        <v>345</v>
      </c>
      <c r="D17" s="27" t="n">
        <v>339</v>
      </c>
      <c r="E17" s="27" t="n">
        <v>98.3</v>
      </c>
      <c r="F17" s="27" t="n">
        <v>16</v>
      </c>
      <c r="G17" s="28" t="s">
        <v>5676</v>
      </c>
      <c r="H17" s="27" t="n">
        <v>46.9</v>
      </c>
      <c r="I17" s="27" t="n">
        <v>47</v>
      </c>
      <c r="J17" s="28" t="s">
        <v>5812</v>
      </c>
      <c r="K17" s="27" t="s">
        <v>5835</v>
      </c>
    </row>
    <row r="18" customFormat="false" ht="15" hidden="false" customHeight="true" outlineLevel="0" collapsed="false">
      <c r="A18" s="27" t="s">
        <v>566</v>
      </c>
      <c r="B18" s="28" t="s">
        <v>568</v>
      </c>
      <c r="C18" s="27" t="n">
        <v>20</v>
      </c>
      <c r="D18" s="27" t="n">
        <v>18</v>
      </c>
      <c r="E18" s="27" t="n">
        <v>90</v>
      </c>
      <c r="F18" s="27" t="n">
        <v>5</v>
      </c>
      <c r="G18" s="28" t="s">
        <v>5679</v>
      </c>
      <c r="H18" s="27" t="n">
        <v>72.2</v>
      </c>
      <c r="I18" s="27" t="n">
        <v>88.9</v>
      </c>
      <c r="J18" s="28" t="s">
        <v>5821</v>
      </c>
      <c r="K18" s="27" t="s">
        <v>5835</v>
      </c>
    </row>
    <row r="19" customFormat="false" ht="15" hidden="false" customHeight="true" outlineLevel="0" collapsed="false">
      <c r="A19" s="27" t="s">
        <v>575</v>
      </c>
      <c r="B19" s="27" t="s">
        <v>577</v>
      </c>
      <c r="C19" s="27" t="n">
        <v>34</v>
      </c>
      <c r="D19" s="27" t="n">
        <v>28</v>
      </c>
      <c r="E19" s="27" t="n">
        <v>82.4</v>
      </c>
      <c r="F19" s="27" t="n">
        <v>9</v>
      </c>
      <c r="G19" s="28" t="s">
        <v>5824</v>
      </c>
      <c r="H19" s="27" t="n">
        <v>35.7</v>
      </c>
      <c r="I19" s="27" t="n">
        <v>0</v>
      </c>
      <c r="J19" s="27" t="s">
        <v>5823</v>
      </c>
      <c r="K19" s="27" t="s">
        <v>5835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16"/>
    <col collapsed="false" customWidth="true" hidden="false" outlineLevel="0" max="6" min="4" style="1" width="14"/>
    <col collapsed="false" customWidth="true" hidden="false" outlineLevel="0" max="7" min="7" style="1" width="8"/>
    <col collapsed="false" customWidth="true" hidden="false" outlineLevel="0" max="8" min="8" style="1" width="10"/>
    <col collapsed="false" customWidth="true" hidden="false" outlineLevel="0" max="9" min="9" style="1" width="30"/>
    <col collapsed="false" customWidth="true" hidden="false" outlineLevel="0" max="10" min="10" style="1" width="40"/>
  </cols>
  <sheetData>
    <row r="1" customFormat="false" ht="29.25" hidden="false" customHeight="true" outlineLevel="0" collapsed="false">
      <c r="A1" s="29" t="s">
        <v>435</v>
      </c>
      <c r="B1" s="29" t="s">
        <v>437</v>
      </c>
      <c r="C1" s="30" t="s">
        <v>5837</v>
      </c>
      <c r="D1" s="29" t="s">
        <v>5838</v>
      </c>
      <c r="E1" s="29" t="s">
        <v>5839</v>
      </c>
      <c r="F1" s="29" t="s">
        <v>5840</v>
      </c>
      <c r="G1" s="29" t="s">
        <v>5841</v>
      </c>
      <c r="H1" s="29" t="s">
        <v>5842</v>
      </c>
      <c r="I1" s="29" t="s">
        <v>447</v>
      </c>
    </row>
    <row r="2" customFormat="false" ht="15" hidden="false" customHeight="true" outlineLevel="0" collapsed="false">
      <c r="A2" s="32" t="s">
        <v>448</v>
      </c>
      <c r="B2" s="31" t="s">
        <v>450</v>
      </c>
      <c r="C2" s="32" t="n">
        <v>5</v>
      </c>
      <c r="D2" s="31" t="s">
        <v>5843</v>
      </c>
      <c r="E2" s="32" t="s">
        <v>5844</v>
      </c>
      <c r="F2" s="32" t="n">
        <v>2025</v>
      </c>
      <c r="G2" s="31" t="s">
        <v>761</v>
      </c>
      <c r="H2" s="31" t="s">
        <v>5845</v>
      </c>
      <c r="I2" s="32"/>
    </row>
    <row r="3" customFormat="false" ht="29.25" hidden="false" customHeight="true" outlineLevel="0" collapsed="false">
      <c r="A3" s="32" t="s">
        <v>458</v>
      </c>
      <c r="B3" s="31" t="s">
        <v>460</v>
      </c>
      <c r="C3" s="32" t="n">
        <v>5</v>
      </c>
      <c r="D3" s="32" t="s">
        <v>5846</v>
      </c>
      <c r="E3" s="32" t="s">
        <v>5836</v>
      </c>
      <c r="F3" s="32" t="n">
        <v>2025</v>
      </c>
      <c r="G3" s="31" t="s">
        <v>761</v>
      </c>
      <c r="H3" s="32" t="s">
        <v>5847</v>
      </c>
      <c r="I3" s="32"/>
    </row>
    <row r="4" customFormat="false" ht="15" hidden="false" customHeight="true" outlineLevel="0" collapsed="false">
      <c r="A4" s="32" t="s">
        <v>465</v>
      </c>
      <c r="B4" s="31" t="s">
        <v>467</v>
      </c>
      <c r="C4" s="32" t="n">
        <v>5</v>
      </c>
      <c r="D4" s="32" t="s">
        <v>5836</v>
      </c>
      <c r="E4" s="32" t="s">
        <v>5836</v>
      </c>
      <c r="F4" s="32" t="n">
        <v>2025</v>
      </c>
      <c r="G4" s="31" t="s">
        <v>761</v>
      </c>
      <c r="H4" s="31" t="s">
        <v>5848</v>
      </c>
      <c r="I4" s="32"/>
    </row>
    <row r="5" customFormat="false" ht="15" hidden="false" customHeight="true" outlineLevel="0" collapsed="false">
      <c r="A5" s="32" t="s">
        <v>471</v>
      </c>
      <c r="B5" s="31" t="s">
        <v>473</v>
      </c>
      <c r="C5" s="32" t="n">
        <v>4</v>
      </c>
      <c r="D5" s="32" t="s">
        <v>5849</v>
      </c>
      <c r="E5" s="32" t="s">
        <v>5836</v>
      </c>
      <c r="F5" s="32" t="n">
        <v>2025</v>
      </c>
      <c r="G5" s="31" t="s">
        <v>761</v>
      </c>
      <c r="H5" s="31" t="s">
        <v>5850</v>
      </c>
      <c r="I5" s="32"/>
    </row>
    <row r="6" customFormat="false" ht="15" hidden="false" customHeight="true" outlineLevel="0" collapsed="false">
      <c r="A6" s="32" t="s">
        <v>478</v>
      </c>
      <c r="B6" s="31" t="s">
        <v>480</v>
      </c>
      <c r="C6" s="32" t="n">
        <v>3</v>
      </c>
      <c r="D6" s="31" t="s">
        <v>5851</v>
      </c>
      <c r="E6" s="32" t="s">
        <v>5836</v>
      </c>
      <c r="F6" s="32" t="n">
        <v>2025</v>
      </c>
      <c r="G6" s="31" t="s">
        <v>761</v>
      </c>
      <c r="H6" s="31" t="s">
        <v>5852</v>
      </c>
      <c r="I6" s="32"/>
    </row>
    <row r="7" customFormat="false" ht="15" hidden="false" customHeight="true" outlineLevel="0" collapsed="false">
      <c r="A7" s="32" t="s">
        <v>487</v>
      </c>
      <c r="B7" s="31" t="s">
        <v>489</v>
      </c>
      <c r="C7" s="32" t="n">
        <v>4</v>
      </c>
      <c r="D7" s="32" t="s">
        <v>5853</v>
      </c>
      <c r="E7" s="32" t="s">
        <v>5836</v>
      </c>
      <c r="F7" s="32" t="n">
        <v>2025</v>
      </c>
      <c r="G7" s="31" t="s">
        <v>761</v>
      </c>
      <c r="H7" s="31" t="s">
        <v>5845</v>
      </c>
      <c r="I7" s="32"/>
    </row>
    <row r="8" customFormat="false" ht="15" hidden="false" customHeight="true" outlineLevel="0" collapsed="false">
      <c r="A8" s="32" t="s">
        <v>493</v>
      </c>
      <c r="B8" s="31" t="s">
        <v>495</v>
      </c>
      <c r="C8" s="32" t="n">
        <v>4</v>
      </c>
      <c r="D8" s="32" t="s">
        <v>5849</v>
      </c>
      <c r="E8" s="32" t="s">
        <v>5836</v>
      </c>
      <c r="F8" s="32" t="n">
        <v>2025</v>
      </c>
      <c r="G8" s="31" t="s">
        <v>761</v>
      </c>
      <c r="H8" s="31" t="s">
        <v>5850</v>
      </c>
      <c r="I8" s="32"/>
    </row>
    <row r="9" customFormat="false" ht="15" hidden="false" customHeight="true" outlineLevel="0" collapsed="false">
      <c r="A9" s="32" t="s">
        <v>502</v>
      </c>
      <c r="B9" s="31" t="s">
        <v>504</v>
      </c>
      <c r="C9" s="32" t="n">
        <v>5</v>
      </c>
      <c r="D9" s="32" t="s">
        <v>5836</v>
      </c>
      <c r="E9" s="32" t="s">
        <v>5836</v>
      </c>
      <c r="F9" s="32" t="n">
        <v>2025</v>
      </c>
      <c r="G9" s="31" t="s">
        <v>5854</v>
      </c>
      <c r="H9" s="31" t="s">
        <v>5855</v>
      </c>
      <c r="I9" s="32"/>
    </row>
    <row r="10" customFormat="false" ht="15" hidden="false" customHeight="true" outlineLevel="0" collapsed="false">
      <c r="A10" s="32" t="s">
        <v>509</v>
      </c>
      <c r="B10" s="31" t="s">
        <v>511</v>
      </c>
      <c r="C10" s="32" t="n">
        <v>4</v>
      </c>
      <c r="D10" s="32" t="s">
        <v>5836</v>
      </c>
      <c r="E10" s="32" t="s">
        <v>5836</v>
      </c>
      <c r="F10" s="32" t="n">
        <v>2025</v>
      </c>
      <c r="G10" s="31" t="s">
        <v>5854</v>
      </c>
      <c r="H10" s="31" t="s">
        <v>5848</v>
      </c>
      <c r="I10" s="32"/>
    </row>
    <row r="11" customFormat="false" ht="15" hidden="false" customHeight="true" outlineLevel="0" collapsed="false">
      <c r="A11" s="32" t="s">
        <v>515</v>
      </c>
      <c r="B11" s="31" t="s">
        <v>517</v>
      </c>
      <c r="C11" s="32" t="n">
        <v>4</v>
      </c>
      <c r="D11" s="32" t="s">
        <v>5856</v>
      </c>
      <c r="E11" s="32" t="s">
        <v>5857</v>
      </c>
      <c r="F11" s="32" t="n">
        <v>2025</v>
      </c>
      <c r="G11" s="31" t="s">
        <v>5854</v>
      </c>
      <c r="H11" s="31" t="s">
        <v>5850</v>
      </c>
      <c r="I11" s="32"/>
    </row>
    <row r="12" customFormat="false" ht="15" hidden="false" customHeight="true" outlineLevel="0" collapsed="false">
      <c r="A12" s="32" t="s">
        <v>523</v>
      </c>
      <c r="B12" s="32" t="s">
        <v>525</v>
      </c>
      <c r="C12" s="32" t="n">
        <v>4</v>
      </c>
      <c r="D12" s="32" t="s">
        <v>5836</v>
      </c>
      <c r="E12" s="32" t="s">
        <v>5858</v>
      </c>
      <c r="F12" s="32" t="n">
        <v>2025</v>
      </c>
      <c r="G12" s="31" t="s">
        <v>5854</v>
      </c>
      <c r="H12" s="31" t="s">
        <v>5850</v>
      </c>
      <c r="I12" s="32"/>
    </row>
    <row r="13" customFormat="false" ht="15" hidden="false" customHeight="true" outlineLevel="0" collapsed="false">
      <c r="A13" s="32" t="s">
        <v>531</v>
      </c>
      <c r="B13" s="31" t="s">
        <v>533</v>
      </c>
      <c r="C13" s="32" t="n">
        <v>4</v>
      </c>
      <c r="D13" s="32" t="s">
        <v>5836</v>
      </c>
      <c r="E13" s="32" t="s">
        <v>5836</v>
      </c>
      <c r="F13" s="32" t="n">
        <v>2025</v>
      </c>
      <c r="G13" s="31" t="s">
        <v>5854</v>
      </c>
      <c r="H13" s="31" t="s">
        <v>5852</v>
      </c>
      <c r="I13" s="32"/>
    </row>
    <row r="14" customFormat="false" ht="29.25" hidden="false" customHeight="true" outlineLevel="0" collapsed="false">
      <c r="A14" s="32" t="s">
        <v>538</v>
      </c>
      <c r="B14" s="31" t="s">
        <v>540</v>
      </c>
      <c r="C14" s="32" t="n">
        <v>3</v>
      </c>
      <c r="D14" s="32" t="s">
        <v>5836</v>
      </c>
      <c r="E14" s="32" t="s">
        <v>5858</v>
      </c>
      <c r="F14" s="32" t="n">
        <v>2025</v>
      </c>
      <c r="G14" s="31" t="s">
        <v>5854</v>
      </c>
      <c r="H14" s="31" t="s">
        <v>5859</v>
      </c>
      <c r="I14" s="32" t="s">
        <v>5860</v>
      </c>
    </row>
    <row r="15" customFormat="false" ht="15" hidden="false" customHeight="true" outlineLevel="0" collapsed="false">
      <c r="A15" s="32" t="s">
        <v>544</v>
      </c>
      <c r="B15" s="31" t="s">
        <v>546</v>
      </c>
      <c r="C15" s="32" t="n">
        <v>4</v>
      </c>
      <c r="D15" s="32" t="s">
        <v>5836</v>
      </c>
      <c r="E15" s="32" t="s">
        <v>5836</v>
      </c>
      <c r="F15" s="32" t="n">
        <v>2025</v>
      </c>
      <c r="G15" s="31" t="s">
        <v>761</v>
      </c>
      <c r="H15" s="31" t="s">
        <v>5852</v>
      </c>
      <c r="I15" s="32"/>
    </row>
    <row r="16" customFormat="false" ht="29.25" hidden="false" customHeight="true" outlineLevel="0" collapsed="false">
      <c r="A16" s="32" t="s">
        <v>551</v>
      </c>
      <c r="B16" s="31" t="s">
        <v>553</v>
      </c>
      <c r="C16" s="32" t="n">
        <v>2</v>
      </c>
      <c r="D16" s="32" t="s">
        <v>5836</v>
      </c>
      <c r="E16" s="32" t="s">
        <v>5836</v>
      </c>
      <c r="F16" s="32" t="n">
        <v>2025</v>
      </c>
      <c r="G16" s="31" t="s">
        <v>761</v>
      </c>
      <c r="H16" s="31" t="s">
        <v>5848</v>
      </c>
      <c r="I16" s="32"/>
    </row>
    <row r="17" customFormat="false" ht="15" hidden="false" customHeight="true" outlineLevel="0" collapsed="false">
      <c r="A17" s="32" t="s">
        <v>559</v>
      </c>
      <c r="B17" s="31" t="s">
        <v>561</v>
      </c>
      <c r="C17" s="32" t="n">
        <v>5</v>
      </c>
      <c r="D17" s="31" t="s">
        <v>5843</v>
      </c>
      <c r="E17" s="32" t="s">
        <v>5836</v>
      </c>
      <c r="F17" s="32" t="n">
        <v>2025</v>
      </c>
      <c r="G17" s="31" t="s">
        <v>5854</v>
      </c>
      <c r="H17" s="32" t="s">
        <v>5861</v>
      </c>
      <c r="I17" s="32"/>
    </row>
    <row r="18" customFormat="false" ht="43.5" hidden="false" customHeight="true" outlineLevel="0" collapsed="false">
      <c r="A18" s="32" t="s">
        <v>566</v>
      </c>
      <c r="B18" s="31" t="s">
        <v>568</v>
      </c>
      <c r="C18" s="32" t="n">
        <v>4</v>
      </c>
      <c r="D18" s="32" t="s">
        <v>5836</v>
      </c>
      <c r="E18" s="32" t="s">
        <v>5836</v>
      </c>
      <c r="F18" s="32" t="n">
        <v>2025</v>
      </c>
      <c r="G18" s="31" t="s">
        <v>5854</v>
      </c>
      <c r="H18" s="31" t="s">
        <v>5852</v>
      </c>
      <c r="I18" s="32" t="s">
        <v>5862</v>
      </c>
    </row>
    <row r="19" customFormat="false" ht="15" hidden="false" customHeight="true" outlineLevel="0" collapsed="false">
      <c r="A19" s="32" t="s">
        <v>575</v>
      </c>
      <c r="B19" s="32" t="s">
        <v>577</v>
      </c>
      <c r="C19" s="32" t="n">
        <v>4</v>
      </c>
      <c r="D19" s="32" t="s">
        <v>5836</v>
      </c>
      <c r="E19" s="32" t="s">
        <v>5836</v>
      </c>
      <c r="F19" s="32" t="n">
        <v>2025</v>
      </c>
      <c r="G19" s="31" t="s">
        <v>761</v>
      </c>
      <c r="H19" s="31" t="s">
        <v>5848</v>
      </c>
      <c r="I19" s="3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0"/>
    <col collapsed="false" customWidth="true" hidden="false" outlineLevel="0" max="3" min="3" style="1" width="26"/>
    <col collapsed="false" customWidth="true" hidden="false" outlineLevel="0" max="5" min="4" style="1" width="8"/>
    <col collapsed="false" customWidth="true" hidden="false" outlineLevel="0" max="6" min="6" style="1" width="60"/>
    <col collapsed="false" customWidth="true" hidden="false" outlineLevel="0" max="7" min="7" style="1" width="40"/>
    <col collapsed="false" customWidth="true" hidden="false" outlineLevel="0" max="10" min="8" style="1" width="26"/>
  </cols>
  <sheetData>
    <row r="1" customFormat="false" ht="72" hidden="false" customHeight="true" outlineLevel="0" collapsed="false">
      <c r="A1" s="29" t="s">
        <v>5863</v>
      </c>
    </row>
    <row r="2" customFormat="false" ht="83.25" hidden="false" customHeight="true" outlineLevel="0" collapsed="false">
      <c r="A2" s="29" t="s">
        <v>5864</v>
      </c>
    </row>
    <row r="4" customFormat="false" ht="15" hidden="false" customHeight="true" outlineLevel="0" collapsed="false">
      <c r="A4" s="31" t="s">
        <v>5865</v>
      </c>
      <c r="B4" s="31" t="s">
        <v>5866</v>
      </c>
      <c r="C4" s="31" t="s">
        <v>5867</v>
      </c>
      <c r="D4" s="31" t="s">
        <v>5868</v>
      </c>
      <c r="E4" s="31" t="s">
        <v>5869</v>
      </c>
      <c r="F4" s="31" t="s">
        <v>5870</v>
      </c>
      <c r="G4" s="31" t="s">
        <v>5871</v>
      </c>
      <c r="H4" s="32" t="s">
        <v>5872</v>
      </c>
    </row>
    <row r="5" customFormat="false" ht="29.25" hidden="false" customHeight="true" outlineLevel="0" collapsed="false">
      <c r="A5" s="31" t="s">
        <v>5873</v>
      </c>
      <c r="B5" s="32" t="s">
        <v>5874</v>
      </c>
      <c r="C5" s="32" t="s">
        <v>5875</v>
      </c>
      <c r="D5" s="32" t="n">
        <v>0</v>
      </c>
      <c r="E5" s="32" t="s">
        <v>5876</v>
      </c>
      <c r="F5" s="32" t="s">
        <v>5877</v>
      </c>
      <c r="G5" s="31" t="s">
        <v>5878</v>
      </c>
      <c r="H5" s="31" t="s">
        <v>5879</v>
      </c>
    </row>
    <row r="6" customFormat="false" ht="29.25" hidden="false" customHeight="true" outlineLevel="0" collapsed="false">
      <c r="A6" s="31" t="s">
        <v>5873</v>
      </c>
      <c r="B6" s="32" t="s">
        <v>5880</v>
      </c>
      <c r="C6" s="32" t="s">
        <v>5881</v>
      </c>
      <c r="D6" s="32" t="n">
        <v>1</v>
      </c>
      <c r="E6" s="32" t="s">
        <v>5876</v>
      </c>
      <c r="F6" s="31" t="s">
        <v>5882</v>
      </c>
      <c r="G6" s="32" t="s">
        <v>5643</v>
      </c>
      <c r="H6" s="31" t="s">
        <v>5879</v>
      </c>
    </row>
    <row r="7" customFormat="false" ht="29.25" hidden="false" customHeight="true" outlineLevel="0" collapsed="false">
      <c r="A7" s="31" t="s">
        <v>5873</v>
      </c>
      <c r="B7" s="32" t="s">
        <v>5883</v>
      </c>
      <c r="C7" s="32" t="s">
        <v>5884</v>
      </c>
      <c r="D7" s="32" t="n">
        <v>2</v>
      </c>
      <c r="E7" s="32" t="s">
        <v>5876</v>
      </c>
      <c r="F7" s="32" t="s">
        <v>5885</v>
      </c>
      <c r="G7" s="32" t="s">
        <v>5643</v>
      </c>
      <c r="H7" s="31" t="s">
        <v>5886</v>
      </c>
    </row>
    <row r="8" customFormat="false" ht="29.25" hidden="false" customHeight="true" outlineLevel="0" collapsed="false">
      <c r="A8" s="31" t="s">
        <v>5873</v>
      </c>
      <c r="B8" s="32" t="s">
        <v>5887</v>
      </c>
      <c r="C8" s="32" t="s">
        <v>5888</v>
      </c>
      <c r="D8" s="32" t="n">
        <v>1</v>
      </c>
      <c r="E8" s="32" t="s">
        <v>5876</v>
      </c>
      <c r="F8" s="31" t="s">
        <v>5889</v>
      </c>
      <c r="G8" s="31" t="s">
        <v>5890</v>
      </c>
      <c r="H8" s="31" t="s">
        <v>5879</v>
      </c>
    </row>
    <row r="9" customFormat="false" ht="29.25" hidden="false" customHeight="true" outlineLevel="0" collapsed="false">
      <c r="A9" s="31" t="s">
        <v>5873</v>
      </c>
      <c r="B9" s="32" t="s">
        <v>5891</v>
      </c>
      <c r="C9" s="31" t="s">
        <v>5892</v>
      </c>
      <c r="D9" s="32" t="n">
        <v>1</v>
      </c>
      <c r="E9" s="32" t="s">
        <v>5876</v>
      </c>
      <c r="F9" s="32" t="s">
        <v>5893</v>
      </c>
      <c r="G9" s="31" t="s">
        <v>5894</v>
      </c>
      <c r="H9" s="31" t="s">
        <v>5879</v>
      </c>
    </row>
    <row r="10" customFormat="false" ht="43.5" hidden="false" customHeight="true" outlineLevel="0" collapsed="false">
      <c r="A10" s="31" t="s">
        <v>5873</v>
      </c>
      <c r="B10" s="32" t="s">
        <v>5895</v>
      </c>
      <c r="C10" s="31" t="s">
        <v>5896</v>
      </c>
      <c r="D10" s="32" t="n">
        <v>2</v>
      </c>
      <c r="E10" s="32" t="s">
        <v>5876</v>
      </c>
      <c r="F10" s="31" t="s">
        <v>5897</v>
      </c>
      <c r="G10" s="31" t="s">
        <v>5898</v>
      </c>
      <c r="H10" s="31" t="s">
        <v>5879</v>
      </c>
    </row>
    <row r="11" customFormat="false" ht="54.75" hidden="false" customHeight="true" outlineLevel="0" collapsed="false">
      <c r="A11" s="31" t="s">
        <v>5899</v>
      </c>
      <c r="B11" s="32" t="s">
        <v>5900</v>
      </c>
      <c r="C11" s="31" t="s">
        <v>5901</v>
      </c>
      <c r="D11" s="32" t="n">
        <v>1.5</v>
      </c>
      <c r="E11" s="32" t="s">
        <v>5876</v>
      </c>
      <c r="F11" s="31" t="s">
        <v>5902</v>
      </c>
      <c r="G11" s="31" t="s">
        <v>5903</v>
      </c>
      <c r="H11" s="31" t="s">
        <v>5879</v>
      </c>
    </row>
    <row r="12" customFormat="false" ht="43.5" hidden="false" customHeight="true" outlineLevel="0" collapsed="false">
      <c r="A12" s="31" t="s">
        <v>5899</v>
      </c>
      <c r="B12" s="32" t="s">
        <v>5904</v>
      </c>
      <c r="C12" s="31" t="s">
        <v>5905</v>
      </c>
      <c r="D12" s="32" t="n">
        <v>1.5</v>
      </c>
      <c r="E12" s="32" t="s">
        <v>5876</v>
      </c>
      <c r="F12" s="31" t="s">
        <v>5906</v>
      </c>
      <c r="G12" s="31" t="s">
        <v>5907</v>
      </c>
      <c r="H12" s="31" t="s">
        <v>5879</v>
      </c>
    </row>
    <row r="13" customFormat="false" ht="29.25" hidden="false" customHeight="true" outlineLevel="0" collapsed="false">
      <c r="A13" s="31" t="s">
        <v>5899</v>
      </c>
      <c r="B13" s="32" t="s">
        <v>5908</v>
      </c>
      <c r="C13" s="31" t="s">
        <v>5909</v>
      </c>
      <c r="D13" s="32" t="n">
        <v>1.5</v>
      </c>
      <c r="E13" s="32" t="s">
        <v>5876</v>
      </c>
      <c r="F13" s="31" t="s">
        <v>5910</v>
      </c>
      <c r="G13" s="31" t="s">
        <v>5907</v>
      </c>
      <c r="H13" s="31" t="s">
        <v>5879</v>
      </c>
    </row>
    <row r="14" customFormat="false" ht="86.25" hidden="false" customHeight="true" outlineLevel="0" collapsed="false">
      <c r="A14" s="31" t="s">
        <v>5911</v>
      </c>
      <c r="B14" s="32" t="s">
        <v>5912</v>
      </c>
      <c r="C14" s="32" t="s">
        <v>5913</v>
      </c>
      <c r="D14" s="32" t="n">
        <v>3.5</v>
      </c>
      <c r="E14" s="32" t="s">
        <v>5876</v>
      </c>
      <c r="F14" s="32" t="s">
        <v>5914</v>
      </c>
      <c r="G14" s="31" t="s">
        <v>5903</v>
      </c>
      <c r="H14" s="31" t="s">
        <v>5879</v>
      </c>
    </row>
    <row r="15" customFormat="false" ht="29.25" hidden="false" customHeight="true" outlineLevel="0" collapsed="false">
      <c r="A15" s="31" t="s">
        <v>5911</v>
      </c>
      <c r="B15" s="32" t="s">
        <v>5915</v>
      </c>
      <c r="C15" s="31" t="s">
        <v>5916</v>
      </c>
      <c r="D15" s="32" t="n">
        <v>0.25</v>
      </c>
      <c r="E15" s="32" t="s">
        <v>5876</v>
      </c>
      <c r="F15" s="31" t="s">
        <v>5917</v>
      </c>
      <c r="G15" s="31" t="s">
        <v>5918</v>
      </c>
      <c r="H15" s="31" t="s">
        <v>5879</v>
      </c>
    </row>
    <row r="16" customFormat="false" ht="29.25" hidden="false" customHeight="true" outlineLevel="0" collapsed="false">
      <c r="A16" s="31" t="s">
        <v>5911</v>
      </c>
      <c r="B16" s="32" t="s">
        <v>5919</v>
      </c>
      <c r="C16" s="32" t="s">
        <v>5920</v>
      </c>
      <c r="D16" s="32" t="n">
        <v>0</v>
      </c>
      <c r="E16" s="32" t="s">
        <v>5876</v>
      </c>
      <c r="F16" s="31" t="s">
        <v>5921</v>
      </c>
      <c r="G16" s="31" t="s">
        <v>5922</v>
      </c>
      <c r="H16" s="31" t="s">
        <v>5879</v>
      </c>
    </row>
    <row r="17" customFormat="false" ht="29.25" hidden="false" customHeight="true" outlineLevel="0" collapsed="false">
      <c r="A17" s="31" t="s">
        <v>5923</v>
      </c>
      <c r="B17" s="32" t="s">
        <v>5924</v>
      </c>
      <c r="C17" s="31" t="s">
        <v>5925</v>
      </c>
      <c r="D17" s="32" t="n">
        <v>1.25</v>
      </c>
      <c r="E17" s="32" t="s">
        <v>5876</v>
      </c>
      <c r="F17" s="32" t="s">
        <v>5926</v>
      </c>
      <c r="G17" s="31" t="s">
        <v>5903</v>
      </c>
      <c r="H17" s="31" t="s">
        <v>5879</v>
      </c>
    </row>
    <row r="18" customFormat="false" ht="43.5" hidden="false" customHeight="true" outlineLevel="0" collapsed="false">
      <c r="A18" s="31" t="s">
        <v>5923</v>
      </c>
      <c r="B18" s="32" t="s">
        <v>5927</v>
      </c>
      <c r="C18" s="31" t="s">
        <v>5928</v>
      </c>
      <c r="D18" s="32" t="n">
        <v>0.25</v>
      </c>
      <c r="E18" s="32" t="s">
        <v>5876</v>
      </c>
      <c r="F18" s="31" t="s">
        <v>5929</v>
      </c>
      <c r="G18" s="31" t="s">
        <v>5894</v>
      </c>
      <c r="H18" s="31" t="s">
        <v>5879</v>
      </c>
    </row>
    <row r="19" customFormat="false" ht="15" hidden="false" customHeight="true" outlineLevel="0" collapsed="false">
      <c r="A19" s="31" t="s">
        <v>5923</v>
      </c>
      <c r="B19" s="32" t="s">
        <v>5930</v>
      </c>
      <c r="C19" s="31" t="s">
        <v>5931</v>
      </c>
      <c r="D19" s="32" t="n">
        <v>0.25</v>
      </c>
      <c r="E19" s="32" t="s">
        <v>5369</v>
      </c>
      <c r="F19" s="31" t="s">
        <v>5932</v>
      </c>
      <c r="G19" s="31" t="s">
        <v>5894</v>
      </c>
      <c r="H19" s="31" t="s">
        <v>5879</v>
      </c>
    </row>
    <row r="20" customFormat="false" ht="15" hidden="false" customHeight="true" outlineLevel="0" collapsed="false">
      <c r="A20" s="31" t="s">
        <v>5923</v>
      </c>
      <c r="B20" s="32" t="s">
        <v>5933</v>
      </c>
      <c r="C20" s="31" t="s">
        <v>5934</v>
      </c>
      <c r="D20" s="32" t="n">
        <v>0.25</v>
      </c>
      <c r="E20" s="32" t="s">
        <v>5876</v>
      </c>
      <c r="F20" s="31" t="s">
        <v>5935</v>
      </c>
      <c r="G20" s="31" t="s">
        <v>5894</v>
      </c>
      <c r="H20" s="31" t="s">
        <v>5879</v>
      </c>
    </row>
    <row r="21" customFormat="false" ht="57.75" hidden="false" customHeight="true" outlineLevel="0" collapsed="false">
      <c r="A21" s="31" t="s">
        <v>5923</v>
      </c>
      <c r="B21" s="32" t="s">
        <v>5936</v>
      </c>
      <c r="C21" s="31" t="s">
        <v>5937</v>
      </c>
      <c r="D21" s="32" t="n">
        <v>0.25</v>
      </c>
      <c r="E21" s="32" t="s">
        <v>5876</v>
      </c>
      <c r="F21" s="31" t="s">
        <v>5938</v>
      </c>
      <c r="G21" s="31" t="s">
        <v>5894</v>
      </c>
      <c r="H21" s="31" t="s">
        <v>5879</v>
      </c>
    </row>
    <row r="22" customFormat="false" ht="29.25" hidden="false" customHeight="true" outlineLevel="0" collapsed="false">
      <c r="A22" s="31" t="s">
        <v>5923</v>
      </c>
      <c r="B22" s="32" t="s">
        <v>5939</v>
      </c>
      <c r="C22" s="31" t="s">
        <v>5940</v>
      </c>
      <c r="D22" s="32" t="n">
        <v>0</v>
      </c>
      <c r="E22" s="32" t="s">
        <v>5876</v>
      </c>
      <c r="F22" s="31" t="s">
        <v>5941</v>
      </c>
      <c r="G22" s="31" t="s">
        <v>5942</v>
      </c>
      <c r="H22" s="31" t="s">
        <v>5943</v>
      </c>
    </row>
    <row r="23" customFormat="false" ht="29.25" hidden="false" customHeight="true" outlineLevel="0" collapsed="false">
      <c r="A23" s="31" t="s">
        <v>5923</v>
      </c>
      <c r="B23" s="32" t="s">
        <v>5944</v>
      </c>
      <c r="C23" s="31" t="s">
        <v>5945</v>
      </c>
      <c r="D23" s="32" t="n">
        <v>0.5</v>
      </c>
      <c r="E23" s="32" t="s">
        <v>5876</v>
      </c>
      <c r="F23" s="31" t="s">
        <v>5946</v>
      </c>
      <c r="G23" s="32" t="s">
        <v>5643</v>
      </c>
      <c r="H23" s="31" t="s">
        <v>5879</v>
      </c>
    </row>
    <row r="24" customFormat="false" ht="57.75" hidden="false" customHeight="true" outlineLevel="0" collapsed="false">
      <c r="A24" s="31" t="s">
        <v>5923</v>
      </c>
      <c r="B24" s="32" t="s">
        <v>5947</v>
      </c>
      <c r="C24" s="31" t="s">
        <v>5948</v>
      </c>
      <c r="D24" s="32" t="n">
        <v>0.5</v>
      </c>
      <c r="E24" s="32" t="s">
        <v>5876</v>
      </c>
      <c r="F24" s="31" t="s">
        <v>5949</v>
      </c>
      <c r="G24" s="31" t="s">
        <v>5903</v>
      </c>
      <c r="H24" s="32" t="s">
        <v>5950</v>
      </c>
    </row>
    <row r="25" customFormat="false" ht="43.5" hidden="false" customHeight="true" outlineLevel="0" collapsed="false">
      <c r="A25" s="31" t="s">
        <v>5923</v>
      </c>
      <c r="B25" s="32" t="s">
        <v>5951</v>
      </c>
      <c r="C25" s="31" t="s">
        <v>5952</v>
      </c>
      <c r="D25" s="32" t="n">
        <v>0.5</v>
      </c>
      <c r="E25" s="32" t="s">
        <v>5876</v>
      </c>
      <c r="F25" s="31" t="s">
        <v>5953</v>
      </c>
      <c r="G25" s="31" t="s">
        <v>5907</v>
      </c>
      <c r="H25" s="32" t="s">
        <v>5950</v>
      </c>
    </row>
    <row r="26" customFormat="false" ht="43.5" hidden="false" customHeight="true" outlineLevel="0" collapsed="false">
      <c r="A26" s="31" t="s">
        <v>5923</v>
      </c>
      <c r="B26" s="32" t="s">
        <v>5954</v>
      </c>
      <c r="C26" s="31" t="s">
        <v>5955</v>
      </c>
      <c r="D26" s="32" t="n">
        <v>0.5</v>
      </c>
      <c r="E26" s="32" t="s">
        <v>5876</v>
      </c>
      <c r="F26" s="31" t="s">
        <v>5956</v>
      </c>
      <c r="G26" s="31" t="s">
        <v>5907</v>
      </c>
      <c r="H26" s="32" t="s">
        <v>5950</v>
      </c>
    </row>
    <row r="27" customFormat="false" ht="43.5" hidden="false" customHeight="true" outlineLevel="0" collapsed="false">
      <c r="A27" s="31" t="s">
        <v>5923</v>
      </c>
      <c r="B27" s="32" t="s">
        <v>5957</v>
      </c>
      <c r="C27" s="31" t="s">
        <v>5958</v>
      </c>
      <c r="D27" s="32" t="n">
        <v>0.5</v>
      </c>
      <c r="E27" s="32" t="s">
        <v>5876</v>
      </c>
      <c r="F27" s="31" t="s">
        <v>5959</v>
      </c>
      <c r="G27" s="31" t="s">
        <v>5907</v>
      </c>
      <c r="H27" s="32" t="s">
        <v>5950</v>
      </c>
    </row>
    <row r="28" customFormat="false" ht="29.25" hidden="false" customHeight="true" outlineLevel="0" collapsed="false">
      <c r="A28" s="31" t="s">
        <v>5923</v>
      </c>
      <c r="B28" s="32" t="s">
        <v>5960</v>
      </c>
      <c r="C28" s="31" t="s">
        <v>5961</v>
      </c>
      <c r="D28" s="32" t="n">
        <v>0</v>
      </c>
      <c r="E28" s="32" t="s">
        <v>5876</v>
      </c>
      <c r="F28" s="32" t="s">
        <v>5962</v>
      </c>
      <c r="G28" s="31" t="s">
        <v>5963</v>
      </c>
      <c r="H28" s="31" t="s">
        <v>5943</v>
      </c>
    </row>
    <row r="29" customFormat="false" ht="43.5" hidden="false" customHeight="true" outlineLevel="0" collapsed="false">
      <c r="A29" s="31" t="s">
        <v>5964</v>
      </c>
      <c r="B29" s="32" t="s">
        <v>5965</v>
      </c>
      <c r="C29" s="31" t="s">
        <v>5966</v>
      </c>
      <c r="D29" s="32" t="n">
        <v>1</v>
      </c>
      <c r="E29" s="32" t="s">
        <v>5369</v>
      </c>
      <c r="F29" s="31" t="s">
        <v>5967</v>
      </c>
      <c r="G29" s="31" t="s">
        <v>5968</v>
      </c>
      <c r="H29" s="31" t="s">
        <v>5879</v>
      </c>
    </row>
    <row r="30" customFormat="false" ht="43.5" hidden="false" customHeight="true" outlineLevel="0" collapsed="false">
      <c r="A30" s="31" t="s">
        <v>5964</v>
      </c>
      <c r="B30" s="32" t="s">
        <v>5969</v>
      </c>
      <c r="C30" s="31" t="s">
        <v>5970</v>
      </c>
      <c r="D30" s="32" t="n">
        <v>1</v>
      </c>
      <c r="E30" s="32" t="s">
        <v>5369</v>
      </c>
      <c r="F30" s="31" t="s">
        <v>5971</v>
      </c>
      <c r="G30" s="31" t="s">
        <v>5972</v>
      </c>
      <c r="H30" s="31" t="s">
        <v>5973</v>
      </c>
    </row>
    <row r="31" customFormat="false" ht="43.5" hidden="false" customHeight="true" outlineLevel="0" collapsed="false">
      <c r="A31" s="31" t="s">
        <v>5964</v>
      </c>
      <c r="B31" s="32" t="s">
        <v>5974</v>
      </c>
      <c r="C31" s="31" t="s">
        <v>5975</v>
      </c>
      <c r="D31" s="32" t="n">
        <v>1</v>
      </c>
      <c r="E31" s="32" t="s">
        <v>5369</v>
      </c>
      <c r="F31" s="32" t="s">
        <v>5976</v>
      </c>
      <c r="G31" s="32" t="s">
        <v>5977</v>
      </c>
      <c r="H31" s="31" t="s">
        <v>5978</v>
      </c>
    </row>
    <row r="32" customFormat="false" ht="29.25" hidden="false" customHeight="true" outlineLevel="0" collapsed="false">
      <c r="A32" s="31" t="s">
        <v>5964</v>
      </c>
      <c r="B32" s="32" t="s">
        <v>5979</v>
      </c>
      <c r="C32" s="31" t="s">
        <v>5980</v>
      </c>
      <c r="D32" s="32" t="n">
        <v>0.75</v>
      </c>
      <c r="E32" s="32" t="s">
        <v>5369</v>
      </c>
      <c r="F32" s="31" t="s">
        <v>5981</v>
      </c>
      <c r="G32" s="32" t="s">
        <v>5643</v>
      </c>
      <c r="H32" s="31" t="s">
        <v>5879</v>
      </c>
    </row>
    <row r="33" customFormat="false" ht="43.5" hidden="false" customHeight="true" outlineLevel="0" collapsed="false">
      <c r="A33" s="31" t="s">
        <v>5964</v>
      </c>
      <c r="B33" s="32" t="s">
        <v>5982</v>
      </c>
      <c r="C33" s="31" t="s">
        <v>5983</v>
      </c>
      <c r="D33" s="32" t="n">
        <v>1.25</v>
      </c>
      <c r="E33" s="32" t="s">
        <v>5369</v>
      </c>
      <c r="F33" s="31" t="s">
        <v>5984</v>
      </c>
      <c r="G33" s="31" t="s">
        <v>5985</v>
      </c>
      <c r="H33" s="31" t="s">
        <v>5879</v>
      </c>
    </row>
    <row r="34" customFormat="false" ht="43.5" hidden="false" customHeight="true" outlineLevel="0" collapsed="false">
      <c r="A34" s="31" t="s">
        <v>5964</v>
      </c>
      <c r="B34" s="32" t="s">
        <v>5986</v>
      </c>
      <c r="C34" s="31" t="s">
        <v>5987</v>
      </c>
      <c r="D34" s="32" t="n">
        <v>0.5</v>
      </c>
      <c r="E34" s="32" t="s">
        <v>5369</v>
      </c>
      <c r="F34" s="32" t="s">
        <v>5988</v>
      </c>
      <c r="G34" s="31" t="s">
        <v>5989</v>
      </c>
      <c r="H34" s="31" t="s">
        <v>5879</v>
      </c>
    </row>
    <row r="35" customFormat="false" ht="43.5" hidden="false" customHeight="true" outlineLevel="0" collapsed="false">
      <c r="A35" s="31" t="s">
        <v>5964</v>
      </c>
      <c r="B35" s="32" t="s">
        <v>5990</v>
      </c>
      <c r="C35" s="31" t="s">
        <v>5991</v>
      </c>
      <c r="D35" s="32" t="n">
        <v>0.5</v>
      </c>
      <c r="E35" s="32" t="s">
        <v>5369</v>
      </c>
      <c r="F35" s="31" t="s">
        <v>5992</v>
      </c>
      <c r="G35" s="31" t="s">
        <v>5993</v>
      </c>
      <c r="H35" s="32" t="s">
        <v>5994</v>
      </c>
    </row>
    <row r="36" customFormat="false" ht="43.5" hidden="false" customHeight="true" outlineLevel="0" collapsed="false">
      <c r="A36" s="31" t="s">
        <v>5964</v>
      </c>
      <c r="B36" s="32" t="s">
        <v>5995</v>
      </c>
      <c r="C36" s="31" t="s">
        <v>5996</v>
      </c>
      <c r="D36" s="32" t="n">
        <v>1.5</v>
      </c>
      <c r="E36" s="32" t="s">
        <v>5369</v>
      </c>
      <c r="F36" s="32" t="s">
        <v>5997</v>
      </c>
      <c r="G36" s="31" t="s">
        <v>5894</v>
      </c>
      <c r="H36" s="31" t="s">
        <v>5879</v>
      </c>
    </row>
    <row r="37" customFormat="false" ht="43.5" hidden="false" customHeight="true" outlineLevel="0" collapsed="false">
      <c r="A37" s="31" t="s">
        <v>5964</v>
      </c>
      <c r="B37" s="32" t="s">
        <v>5998</v>
      </c>
      <c r="C37" s="32" t="s">
        <v>5999</v>
      </c>
      <c r="D37" s="32" t="n">
        <v>1</v>
      </c>
      <c r="E37" s="32" t="s">
        <v>5369</v>
      </c>
      <c r="F37" s="31" t="s">
        <v>6000</v>
      </c>
      <c r="G37" s="31" t="s">
        <v>5894</v>
      </c>
      <c r="H37" s="31" t="s">
        <v>5879</v>
      </c>
    </row>
    <row r="38" customFormat="false" ht="29.25" hidden="false" customHeight="true" outlineLevel="0" collapsed="false">
      <c r="A38" s="31" t="s">
        <v>5964</v>
      </c>
      <c r="B38" s="32" t="s">
        <v>6001</v>
      </c>
      <c r="C38" s="31" t="s">
        <v>6002</v>
      </c>
      <c r="D38" s="32" t="n">
        <v>1</v>
      </c>
      <c r="E38" s="32" t="s">
        <v>5369</v>
      </c>
      <c r="F38" s="31" t="s">
        <v>6003</v>
      </c>
      <c r="G38" s="31" t="s">
        <v>5894</v>
      </c>
      <c r="H38" s="31" t="s">
        <v>5879</v>
      </c>
    </row>
    <row r="39" customFormat="false" ht="43.5" hidden="false" customHeight="true" outlineLevel="0" collapsed="false">
      <c r="A39" s="31" t="s">
        <v>5964</v>
      </c>
      <c r="B39" s="32" t="s">
        <v>6004</v>
      </c>
      <c r="C39" s="31" t="s">
        <v>6005</v>
      </c>
      <c r="D39" s="32" t="n">
        <v>0.5</v>
      </c>
      <c r="E39" s="32" t="s">
        <v>5369</v>
      </c>
      <c r="F39" s="31" t="s">
        <v>6006</v>
      </c>
      <c r="G39" s="31" t="s">
        <v>5894</v>
      </c>
      <c r="H39" s="31" t="s">
        <v>5879</v>
      </c>
    </row>
    <row r="40" customFormat="false" ht="15" hidden="false" customHeight="true" outlineLevel="0" collapsed="false">
      <c r="A40" s="32" t="s">
        <v>6007</v>
      </c>
      <c r="D40" s="32" t="n">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0"/>
    <col collapsed="false" customWidth="true" hidden="false" outlineLevel="0" max="3" min="3" style="1" width="26"/>
    <col collapsed="false" customWidth="true" hidden="false" outlineLevel="0" max="5" min="4" style="1" width="8"/>
    <col collapsed="false" customWidth="true" hidden="false" outlineLevel="0" max="6" min="6" style="1" width="60"/>
    <col collapsed="false" customWidth="true" hidden="false" outlineLevel="0" max="7" min="7" style="1" width="40"/>
    <col collapsed="false" customWidth="true" hidden="false" outlineLevel="0" max="10" min="8" style="1" width="26"/>
  </cols>
  <sheetData>
    <row r="1" customFormat="false" ht="86.25" hidden="false" customHeight="true" outlineLevel="0" collapsed="false">
      <c r="A1" s="29" t="s">
        <v>6008</v>
      </c>
    </row>
    <row r="2" customFormat="false" ht="143.25" hidden="false" customHeight="true" outlineLevel="0" collapsed="false">
      <c r="A2" s="29" t="s">
        <v>6009</v>
      </c>
    </row>
    <row r="4" customFormat="false" ht="29.25" hidden="false" customHeight="true" outlineLevel="0" collapsed="false">
      <c r="A4" s="31" t="s">
        <v>5865</v>
      </c>
      <c r="B4" s="31" t="s">
        <v>5866</v>
      </c>
      <c r="C4" s="31" t="s">
        <v>5867</v>
      </c>
      <c r="D4" s="31" t="s">
        <v>5868</v>
      </c>
      <c r="E4" s="31" t="s">
        <v>6010</v>
      </c>
      <c r="F4" s="31" t="s">
        <v>5869</v>
      </c>
      <c r="G4" s="31" t="s">
        <v>6011</v>
      </c>
      <c r="H4" s="31" t="s">
        <v>5870</v>
      </c>
      <c r="I4" s="31" t="s">
        <v>5871</v>
      </c>
      <c r="J4" s="32" t="s">
        <v>5872</v>
      </c>
    </row>
    <row r="5" customFormat="false" ht="86.25" hidden="false" customHeight="true" outlineLevel="0" collapsed="false">
      <c r="A5" s="31" t="s">
        <v>6012</v>
      </c>
      <c r="B5" s="32" t="s">
        <v>6013</v>
      </c>
      <c r="C5" s="31" t="s">
        <v>6014</v>
      </c>
      <c r="D5" s="32" t="n">
        <v>0</v>
      </c>
      <c r="E5" s="32" t="s">
        <v>5643</v>
      </c>
      <c r="F5" s="32" t="s">
        <v>5643</v>
      </c>
      <c r="G5" s="32" t="s">
        <v>5643</v>
      </c>
      <c r="H5" s="31" t="s">
        <v>6015</v>
      </c>
      <c r="I5" s="31" t="s">
        <v>6016</v>
      </c>
      <c r="J5" s="31" t="s">
        <v>5879</v>
      </c>
    </row>
    <row r="6" customFormat="false" ht="185.25" hidden="false" customHeight="true" outlineLevel="0" collapsed="false">
      <c r="A6" s="31" t="s">
        <v>6017</v>
      </c>
      <c r="B6" s="32" t="s">
        <v>6018</v>
      </c>
      <c r="C6" s="31" t="s">
        <v>6019</v>
      </c>
      <c r="D6" s="32" t="n">
        <v>3</v>
      </c>
      <c r="E6" s="31" t="s">
        <v>6020</v>
      </c>
      <c r="F6" s="32" t="s">
        <v>6021</v>
      </c>
      <c r="G6" s="32" t="s">
        <v>5643</v>
      </c>
      <c r="H6" s="31" t="s">
        <v>6022</v>
      </c>
      <c r="I6" s="31" t="s">
        <v>6023</v>
      </c>
      <c r="J6" s="31" t="s">
        <v>5879</v>
      </c>
    </row>
    <row r="7" customFormat="false" ht="114.75" hidden="false" customHeight="true" outlineLevel="0" collapsed="false">
      <c r="A7" s="31" t="s">
        <v>6017</v>
      </c>
      <c r="B7" s="32" t="s">
        <v>6024</v>
      </c>
      <c r="C7" s="31" t="s">
        <v>6025</v>
      </c>
      <c r="D7" s="32" t="n">
        <v>3</v>
      </c>
      <c r="E7" s="31" t="s">
        <v>6020</v>
      </c>
      <c r="F7" s="32" t="s">
        <v>6021</v>
      </c>
      <c r="G7" s="31" t="s">
        <v>6026</v>
      </c>
      <c r="H7" s="31" t="s">
        <v>6027</v>
      </c>
      <c r="I7" s="31" t="s">
        <v>6028</v>
      </c>
      <c r="J7" s="32" t="s">
        <v>6029</v>
      </c>
    </row>
    <row r="8" customFormat="false" ht="72" hidden="false" customHeight="true" outlineLevel="0" collapsed="false">
      <c r="A8" s="31" t="s">
        <v>6017</v>
      </c>
      <c r="B8" s="32" t="s">
        <v>6030</v>
      </c>
      <c r="C8" s="31" t="s">
        <v>6031</v>
      </c>
      <c r="D8" s="32" t="n">
        <v>1.5</v>
      </c>
      <c r="E8" s="31" t="s">
        <v>6020</v>
      </c>
      <c r="F8" s="32" t="s">
        <v>6021</v>
      </c>
      <c r="G8" s="32" t="s">
        <v>6032</v>
      </c>
      <c r="H8" s="31" t="s">
        <v>6033</v>
      </c>
      <c r="I8" s="31" t="s">
        <v>6034</v>
      </c>
      <c r="J8" s="32" t="s">
        <v>6035</v>
      </c>
    </row>
    <row r="9" customFormat="false" ht="43.5" hidden="false" customHeight="true" outlineLevel="0" collapsed="false">
      <c r="A9" s="31" t="s">
        <v>6017</v>
      </c>
      <c r="B9" s="32" t="s">
        <v>6036</v>
      </c>
      <c r="C9" s="31" t="s">
        <v>6037</v>
      </c>
      <c r="D9" s="32" t="n">
        <v>1</v>
      </c>
      <c r="E9" s="31" t="s">
        <v>6020</v>
      </c>
      <c r="F9" s="32" t="s">
        <v>6021</v>
      </c>
      <c r="G9" s="32" t="s">
        <v>6038</v>
      </c>
      <c r="H9" s="31" t="s">
        <v>6039</v>
      </c>
      <c r="I9" s="32" t="s">
        <v>5643</v>
      </c>
      <c r="J9" s="32" t="s">
        <v>6040</v>
      </c>
    </row>
    <row r="10" customFormat="false" ht="43.5" hidden="false" customHeight="true" outlineLevel="0" collapsed="false">
      <c r="A10" s="31" t="s">
        <v>6017</v>
      </c>
      <c r="B10" s="32" t="s">
        <v>6041</v>
      </c>
      <c r="C10" s="31" t="s">
        <v>6042</v>
      </c>
      <c r="D10" s="32" t="n">
        <v>0.5</v>
      </c>
      <c r="E10" s="31" t="s">
        <v>6020</v>
      </c>
      <c r="F10" s="32" t="s">
        <v>6021</v>
      </c>
      <c r="G10" s="32" t="s">
        <v>6043</v>
      </c>
      <c r="H10" s="31" t="s">
        <v>6044</v>
      </c>
      <c r="I10" s="32" t="s">
        <v>5643</v>
      </c>
      <c r="J10" s="32" t="s">
        <v>6045</v>
      </c>
    </row>
    <row r="11" customFormat="false" ht="86.25" hidden="false" customHeight="true" outlineLevel="0" collapsed="false">
      <c r="A11" s="31" t="s">
        <v>6046</v>
      </c>
      <c r="B11" s="32" t="s">
        <v>6047</v>
      </c>
      <c r="C11" s="31" t="s">
        <v>6048</v>
      </c>
      <c r="D11" s="32" t="n">
        <v>1</v>
      </c>
      <c r="E11" s="31" t="s">
        <v>6020</v>
      </c>
      <c r="F11" s="32" t="s">
        <v>6021</v>
      </c>
      <c r="G11" s="32" t="s">
        <v>6049</v>
      </c>
      <c r="H11" s="31" t="s">
        <v>6050</v>
      </c>
      <c r="I11" s="31" t="s">
        <v>5894</v>
      </c>
      <c r="J11" s="31" t="s">
        <v>5879</v>
      </c>
    </row>
    <row r="12" customFormat="false" ht="114.75" hidden="false" customHeight="true" outlineLevel="0" collapsed="false">
      <c r="A12" s="31" t="s">
        <v>6046</v>
      </c>
      <c r="B12" s="32" t="s">
        <v>6051</v>
      </c>
      <c r="C12" s="31" t="s">
        <v>6052</v>
      </c>
      <c r="D12" s="32" t="n">
        <v>1</v>
      </c>
      <c r="E12" s="31" t="s">
        <v>6020</v>
      </c>
      <c r="F12" s="32" t="s">
        <v>6021</v>
      </c>
      <c r="G12" s="32" t="s">
        <v>5643</v>
      </c>
      <c r="H12" s="31" t="s">
        <v>6053</v>
      </c>
      <c r="I12" s="31" t="s">
        <v>6054</v>
      </c>
      <c r="J12" s="32" t="s">
        <v>6055</v>
      </c>
    </row>
    <row r="13" customFormat="false" ht="129" hidden="false" customHeight="true" outlineLevel="0" collapsed="false">
      <c r="A13" s="31" t="s">
        <v>6056</v>
      </c>
      <c r="B13" s="32" t="s">
        <v>6057</v>
      </c>
      <c r="C13" s="31" t="s">
        <v>6058</v>
      </c>
      <c r="D13" s="32" t="n">
        <v>1</v>
      </c>
      <c r="E13" s="31" t="s">
        <v>6020</v>
      </c>
      <c r="F13" s="32" t="s">
        <v>5369</v>
      </c>
      <c r="G13" s="32" t="s">
        <v>5643</v>
      </c>
      <c r="H13" s="32" t="s">
        <v>6059</v>
      </c>
      <c r="I13" s="31" t="s">
        <v>6060</v>
      </c>
      <c r="J13" s="31" t="s">
        <v>5879</v>
      </c>
    </row>
    <row r="14" customFormat="false" ht="72" hidden="false" customHeight="true" outlineLevel="0" collapsed="false">
      <c r="A14" s="31" t="s">
        <v>6056</v>
      </c>
      <c r="B14" s="32" t="s">
        <v>6061</v>
      </c>
      <c r="C14" s="31" t="s">
        <v>6062</v>
      </c>
      <c r="D14" s="32" t="n">
        <v>1</v>
      </c>
      <c r="E14" s="31" t="s">
        <v>6020</v>
      </c>
      <c r="F14" s="32" t="s">
        <v>5369</v>
      </c>
      <c r="G14" s="31" t="s">
        <v>6063</v>
      </c>
      <c r="H14" s="31" t="s">
        <v>6064</v>
      </c>
      <c r="I14" s="31" t="s">
        <v>6065</v>
      </c>
      <c r="J14" s="31" t="s">
        <v>5879</v>
      </c>
    </row>
    <row r="15" customFormat="false" ht="72" hidden="false" customHeight="true" outlineLevel="0" collapsed="false">
      <c r="A15" s="31" t="s">
        <v>6056</v>
      </c>
      <c r="B15" s="32" t="s">
        <v>6066</v>
      </c>
      <c r="C15" s="31" t="s">
        <v>6067</v>
      </c>
      <c r="D15" s="32" t="n">
        <v>1</v>
      </c>
      <c r="E15" s="31" t="s">
        <v>6020</v>
      </c>
      <c r="F15" s="32" t="s">
        <v>5369</v>
      </c>
      <c r="G15" s="32" t="s">
        <v>5643</v>
      </c>
      <c r="H15" s="32" t="s">
        <v>6068</v>
      </c>
      <c r="I15" s="32" t="s">
        <v>6069</v>
      </c>
      <c r="J15" s="31" t="s">
        <v>5879</v>
      </c>
    </row>
    <row r="16" customFormat="false" ht="129" hidden="false" customHeight="true" outlineLevel="0" collapsed="false">
      <c r="A16" s="31" t="s">
        <v>6056</v>
      </c>
      <c r="B16" s="32" t="s">
        <v>6070</v>
      </c>
      <c r="C16" s="31" t="s">
        <v>6071</v>
      </c>
      <c r="D16" s="32" t="n">
        <v>1.5</v>
      </c>
      <c r="E16" s="31" t="s">
        <v>6020</v>
      </c>
      <c r="F16" s="32" t="s">
        <v>6021</v>
      </c>
      <c r="G16" s="32" t="s">
        <v>5643</v>
      </c>
      <c r="H16" s="32" t="s">
        <v>6072</v>
      </c>
      <c r="I16" s="31" t="s">
        <v>6073</v>
      </c>
      <c r="J16" s="32" t="s">
        <v>6074</v>
      </c>
    </row>
    <row r="17" customFormat="false" ht="199.5" hidden="false" customHeight="true" outlineLevel="0" collapsed="false">
      <c r="A17" s="31" t="s">
        <v>6056</v>
      </c>
      <c r="B17" s="32" t="s">
        <v>6075</v>
      </c>
      <c r="C17" s="31" t="s">
        <v>6076</v>
      </c>
      <c r="D17" s="32" t="n">
        <v>1.5</v>
      </c>
      <c r="E17" s="31" t="s">
        <v>6020</v>
      </c>
      <c r="F17" s="32" t="s">
        <v>6021</v>
      </c>
      <c r="G17" s="32" t="s">
        <v>6077</v>
      </c>
      <c r="H17" s="31" t="s">
        <v>6078</v>
      </c>
      <c r="I17" s="31" t="s">
        <v>6079</v>
      </c>
      <c r="J17" s="32" t="s">
        <v>6080</v>
      </c>
    </row>
    <row r="18" customFormat="false" ht="72" hidden="false" customHeight="true" outlineLevel="0" collapsed="false">
      <c r="A18" s="31" t="s">
        <v>6056</v>
      </c>
      <c r="B18" s="32" t="s">
        <v>6081</v>
      </c>
      <c r="C18" s="31" t="s">
        <v>6082</v>
      </c>
      <c r="D18" s="32" t="n">
        <v>0.75</v>
      </c>
      <c r="E18" s="31" t="s">
        <v>6020</v>
      </c>
      <c r="F18" s="32" t="s">
        <v>5369</v>
      </c>
      <c r="G18" s="32" t="s">
        <v>5643</v>
      </c>
      <c r="H18" s="31" t="s">
        <v>6083</v>
      </c>
      <c r="I18" s="32" t="s">
        <v>5643</v>
      </c>
      <c r="J18" s="31" t="s">
        <v>5879</v>
      </c>
    </row>
    <row r="19" customFormat="false" ht="153.75" hidden="false" customHeight="true" outlineLevel="0" collapsed="false">
      <c r="A19" s="31" t="s">
        <v>6056</v>
      </c>
      <c r="B19" s="32" t="s">
        <v>6084</v>
      </c>
      <c r="C19" s="31" t="s">
        <v>6085</v>
      </c>
      <c r="D19" s="32" t="n">
        <v>1.25</v>
      </c>
      <c r="E19" s="31" t="s">
        <v>6020</v>
      </c>
      <c r="F19" s="32" t="s">
        <v>5369</v>
      </c>
      <c r="G19" s="32" t="s">
        <v>5643</v>
      </c>
      <c r="H19" s="31" t="s">
        <v>6086</v>
      </c>
      <c r="I19" s="32" t="s">
        <v>6087</v>
      </c>
      <c r="J19" s="31" t="s">
        <v>5879</v>
      </c>
    </row>
    <row r="20" customFormat="false" ht="143.25" hidden="false" customHeight="true" outlineLevel="0" collapsed="false">
      <c r="A20" s="31" t="s">
        <v>6056</v>
      </c>
      <c r="B20" s="32" t="s">
        <v>6088</v>
      </c>
      <c r="C20" s="31" t="s">
        <v>6089</v>
      </c>
      <c r="D20" s="32" t="n">
        <v>2</v>
      </c>
      <c r="E20" s="31" t="s">
        <v>6020</v>
      </c>
      <c r="F20" s="32" t="s">
        <v>5369</v>
      </c>
      <c r="G20" s="32" t="s">
        <v>5643</v>
      </c>
      <c r="H20" s="31" t="s">
        <v>6090</v>
      </c>
      <c r="I20" s="31" t="s">
        <v>5894</v>
      </c>
      <c r="J20" s="31" t="s">
        <v>5879</v>
      </c>
    </row>
    <row r="21" customFormat="false" ht="86.25" hidden="false" customHeight="true" outlineLevel="0" collapsed="false">
      <c r="A21" s="31" t="s">
        <v>6056</v>
      </c>
      <c r="B21" s="32" t="s">
        <v>6091</v>
      </c>
      <c r="C21" s="31" t="s">
        <v>6092</v>
      </c>
      <c r="D21" s="32" t="n">
        <v>1</v>
      </c>
      <c r="E21" s="31" t="s">
        <v>6020</v>
      </c>
      <c r="F21" s="32" t="s">
        <v>5369</v>
      </c>
      <c r="G21" s="32" t="s">
        <v>5643</v>
      </c>
      <c r="H21" s="31" t="s">
        <v>6093</v>
      </c>
      <c r="I21" s="31" t="s">
        <v>5894</v>
      </c>
      <c r="J21" s="31" t="s">
        <v>5879</v>
      </c>
    </row>
    <row r="22" customFormat="false" ht="341.25" hidden="false" customHeight="true" outlineLevel="0" collapsed="false">
      <c r="A22" s="31" t="s">
        <v>6094</v>
      </c>
      <c r="B22" s="32" t="s">
        <v>6095</v>
      </c>
      <c r="C22" s="31" t="s">
        <v>6096</v>
      </c>
      <c r="D22" s="32" t="n">
        <v>14</v>
      </c>
      <c r="E22" s="31" t="s">
        <v>6097</v>
      </c>
      <c r="F22" s="32" t="s">
        <v>6021</v>
      </c>
      <c r="G22" s="31" t="s">
        <v>6098</v>
      </c>
      <c r="H22" s="31" t="s">
        <v>6099</v>
      </c>
      <c r="I22" s="31" t="s">
        <v>6100</v>
      </c>
      <c r="J22" s="31" t="s">
        <v>5879</v>
      </c>
    </row>
    <row r="23" customFormat="false" ht="171" hidden="false" customHeight="true" outlineLevel="0" collapsed="false">
      <c r="A23" s="32" t="s">
        <v>6101</v>
      </c>
      <c r="B23" s="32" t="s">
        <v>6102</v>
      </c>
      <c r="C23" s="32" t="s">
        <v>6103</v>
      </c>
      <c r="D23" s="32" t="n">
        <v>7</v>
      </c>
      <c r="E23" s="31" t="s">
        <v>6097</v>
      </c>
      <c r="F23" s="32" t="s">
        <v>6021</v>
      </c>
      <c r="G23" s="31" t="s">
        <v>6104</v>
      </c>
      <c r="H23" s="32" t="s">
        <v>6105</v>
      </c>
      <c r="I23" s="31" t="s">
        <v>6106</v>
      </c>
      <c r="J23" s="31" t="s">
        <v>5879</v>
      </c>
    </row>
    <row r="24" customFormat="false" ht="100.5" hidden="false" customHeight="true" outlineLevel="0" collapsed="false">
      <c r="A24" s="31" t="s">
        <v>6107</v>
      </c>
      <c r="B24" s="32" t="s">
        <v>6108</v>
      </c>
      <c r="C24" s="31" t="s">
        <v>6109</v>
      </c>
      <c r="D24" s="32" t="n">
        <v>7</v>
      </c>
      <c r="E24" s="31" t="s">
        <v>6097</v>
      </c>
      <c r="F24" s="32" t="s">
        <v>6021</v>
      </c>
      <c r="G24" s="31" t="s">
        <v>6110</v>
      </c>
      <c r="H24" s="31" t="s">
        <v>6111</v>
      </c>
      <c r="I24" s="31" t="s">
        <v>6112</v>
      </c>
      <c r="J24" s="31" t="s">
        <v>5879</v>
      </c>
    </row>
    <row r="25" customFormat="false" ht="72" hidden="false" customHeight="true" outlineLevel="0" collapsed="false">
      <c r="A25" s="31" t="s">
        <v>6113</v>
      </c>
      <c r="B25" s="32" t="s">
        <v>6114</v>
      </c>
      <c r="C25" s="31" t="s">
        <v>6115</v>
      </c>
      <c r="D25" s="32" t="n">
        <v>4</v>
      </c>
      <c r="E25" s="31" t="s">
        <v>6097</v>
      </c>
      <c r="F25" s="32" t="s">
        <v>6021</v>
      </c>
      <c r="G25" s="31" t="s">
        <v>6116</v>
      </c>
      <c r="H25" s="31" t="s">
        <v>6117</v>
      </c>
      <c r="I25" s="31" t="s">
        <v>6112</v>
      </c>
      <c r="J25" s="31" t="s">
        <v>5879</v>
      </c>
    </row>
    <row r="26" customFormat="false" ht="100.5" hidden="false" customHeight="true" outlineLevel="0" collapsed="false">
      <c r="A26" s="31" t="s">
        <v>6118</v>
      </c>
      <c r="B26" s="32" t="s">
        <v>6119</v>
      </c>
      <c r="C26" s="32" t="s">
        <v>6120</v>
      </c>
      <c r="D26" s="32" t="n">
        <v>1.75</v>
      </c>
      <c r="E26" s="31" t="s">
        <v>6020</v>
      </c>
      <c r="F26" s="32" t="s">
        <v>6021</v>
      </c>
      <c r="G26" s="32" t="s">
        <v>5643</v>
      </c>
      <c r="H26" s="32" t="s">
        <v>6121</v>
      </c>
      <c r="I26" s="32" t="s">
        <v>5643</v>
      </c>
      <c r="J26" s="31" t="s">
        <v>5879</v>
      </c>
    </row>
    <row r="27" customFormat="false" ht="29.25" hidden="false" customHeight="true" outlineLevel="0" collapsed="false">
      <c r="A27" s="31" t="s">
        <v>6118</v>
      </c>
      <c r="B27" s="32" t="s">
        <v>6122</v>
      </c>
      <c r="C27" s="31" t="s">
        <v>6123</v>
      </c>
      <c r="D27" s="32" t="n">
        <v>1.25</v>
      </c>
      <c r="E27" s="31" t="s">
        <v>6020</v>
      </c>
      <c r="F27" s="32" t="s">
        <v>6021</v>
      </c>
      <c r="G27" s="32" t="s">
        <v>5643</v>
      </c>
      <c r="H27" s="31" t="s">
        <v>6124</v>
      </c>
      <c r="I27" s="32" t="s">
        <v>5643</v>
      </c>
      <c r="J27" s="31" t="s">
        <v>5879</v>
      </c>
    </row>
    <row r="28" customFormat="false" ht="29.25" hidden="false" customHeight="true" outlineLevel="0" collapsed="false">
      <c r="A28" s="31" t="s">
        <v>6118</v>
      </c>
      <c r="B28" s="32" t="s">
        <v>6125</v>
      </c>
      <c r="C28" s="31" t="s">
        <v>6123</v>
      </c>
      <c r="D28" s="32" t="n">
        <v>1.25</v>
      </c>
      <c r="E28" s="31" t="s">
        <v>6020</v>
      </c>
      <c r="F28" s="32" t="s">
        <v>6021</v>
      </c>
      <c r="G28" s="32" t="s">
        <v>5643</v>
      </c>
      <c r="H28" s="31" t="s">
        <v>6124</v>
      </c>
      <c r="I28" s="32" t="s">
        <v>5643</v>
      </c>
      <c r="J28" s="31" t="s">
        <v>5879</v>
      </c>
    </row>
    <row r="29" customFormat="false" ht="29.25" hidden="false" customHeight="true" outlineLevel="0" collapsed="false">
      <c r="A29" s="31" t="s">
        <v>6118</v>
      </c>
      <c r="B29" s="32" t="s">
        <v>6126</v>
      </c>
      <c r="C29" s="31" t="s">
        <v>6123</v>
      </c>
      <c r="D29" s="32" t="n">
        <v>1.25</v>
      </c>
      <c r="E29" s="31" t="s">
        <v>6020</v>
      </c>
      <c r="F29" s="32" t="s">
        <v>6021</v>
      </c>
      <c r="G29" s="32" t="s">
        <v>5643</v>
      </c>
      <c r="H29" s="31" t="s">
        <v>6124</v>
      </c>
      <c r="I29" s="32" t="s">
        <v>5643</v>
      </c>
      <c r="J29" s="31" t="s">
        <v>5879</v>
      </c>
    </row>
    <row r="30" customFormat="false" ht="185.25" hidden="false" customHeight="true" outlineLevel="0" collapsed="false">
      <c r="A30" s="31" t="s">
        <v>6127</v>
      </c>
      <c r="B30" s="32" t="s">
        <v>6128</v>
      </c>
      <c r="C30" s="31" t="s">
        <v>6129</v>
      </c>
      <c r="D30" s="32" t="n">
        <v>8.5</v>
      </c>
      <c r="E30" s="31" t="s">
        <v>6097</v>
      </c>
      <c r="F30" s="32" t="s">
        <v>6021</v>
      </c>
      <c r="G30" s="32" t="s">
        <v>6130</v>
      </c>
      <c r="H30" s="31" t="s">
        <v>6131</v>
      </c>
      <c r="I30" s="31" t="s">
        <v>6132</v>
      </c>
      <c r="J30" s="31" t="s">
        <v>6133</v>
      </c>
    </row>
    <row r="31" customFormat="false" ht="86.25" hidden="false" customHeight="true" outlineLevel="0" collapsed="false">
      <c r="A31" s="31" t="s">
        <v>6127</v>
      </c>
      <c r="B31" s="32" t="s">
        <v>6134</v>
      </c>
      <c r="C31" s="31" t="s">
        <v>6135</v>
      </c>
      <c r="D31" s="32" t="n">
        <v>2</v>
      </c>
      <c r="E31" s="31" t="s">
        <v>6097</v>
      </c>
      <c r="F31" s="32" t="s">
        <v>6021</v>
      </c>
      <c r="G31" s="32" t="s">
        <v>5643</v>
      </c>
      <c r="H31" s="32" t="s">
        <v>6136</v>
      </c>
      <c r="I31" s="31" t="s">
        <v>6112</v>
      </c>
      <c r="J31" s="31" t="s">
        <v>5879</v>
      </c>
    </row>
    <row r="32" customFormat="false" ht="15" hidden="false" customHeight="true" outlineLevel="0" collapsed="false">
      <c r="A32" s="32" t="s">
        <v>6137</v>
      </c>
      <c r="D32" s="32" t="n">
        <v>70</v>
      </c>
    </row>
    <row r="33" customFormat="false" ht="15" hidden="false" customHeight="true" outlineLevel="0" collapsed="false">
      <c r="A33" s="31" t="s">
        <v>6138</v>
      </c>
      <c r="D33" s="32" t="n">
        <v>42.5</v>
      </c>
    </row>
    <row r="34" customFormat="false" ht="15" hidden="false" customHeight="true" outlineLevel="0" collapsed="false">
      <c r="A34" s="31" t="s">
        <v>6139</v>
      </c>
      <c r="D34" s="32" t="n">
        <v>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2026-08-06T15:52:58Z</dcterms:created>
  <dc:creator>openpyxl</dc:creator>
  <dc:description/>
  <dc:language>en-US</dc:language>
  <cp:lastModifiedBy/>
  <dcterms:modified xsi:type="dcterms:W3CDTF">2026-08-16T06:20:30Z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